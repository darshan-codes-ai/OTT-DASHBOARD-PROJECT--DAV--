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43a5fe3e20cb94/Desktop/OTT DASHBOARDPROJECT(DAV)/"/>
    </mc:Choice>
  </mc:AlternateContent>
  <xr:revisionPtr revIDLastSave="342" documentId="8_{895FA4A5-60FD-4E56-8B75-586745B04F7B}" xr6:coauthVersionLast="47" xr6:coauthVersionMax="47" xr10:uidLastSave="{19730C3F-58EC-5D27-A9C9-6DE23D612238}"/>
  <bookViews>
    <workbookView xWindow="-108" yWindow="-108" windowWidth="23256" windowHeight="12456" activeTab="1" xr2:uid="{A1781704-5146-4EC2-A397-A73332B700BC}"/>
  </bookViews>
  <sheets>
    <sheet name="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2" l="1" a="1"/>
  <c r="R10" i="2" a="1"/>
  <c r="R11" i="2" a="1"/>
  <c r="R12" i="2" a="1"/>
  <c r="R8" i="2" a="1"/>
  <c r="D100" i="2" a="1"/>
  <c r="D75" i="2"/>
  <c r="C89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2" i="1"/>
  <c r="C66" i="2"/>
  <c r="C65" i="2"/>
  <c r="C64" i="2"/>
  <c r="C63" i="2"/>
  <c r="C62" i="2"/>
  <c r="C61" i="2"/>
  <c r="D38" i="2"/>
  <c r="D37" i="2"/>
  <c r="D36" i="2"/>
  <c r="D35" i="2"/>
  <c r="D30" i="2"/>
  <c r="D29" i="2"/>
  <c r="D28" i="2"/>
  <c r="D27" i="2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D19" i="2" s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D76" i="2" s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D77" i="2" s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D78" i="2" s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3" i="1"/>
  <c r="L4" i="1"/>
  <c r="L5" i="1"/>
  <c r="L6" i="1"/>
  <c r="L7" i="1"/>
  <c r="L8" i="1"/>
  <c r="L9" i="1"/>
  <c r="L2" i="1"/>
  <c r="D14" i="2"/>
  <c r="D13" i="2"/>
  <c r="D8" i="2"/>
  <c r="D12" i="2"/>
  <c r="D11" i="2"/>
  <c r="D10" i="2"/>
  <c r="D9" i="2"/>
  <c r="C88" i="2" l="1"/>
  <c r="C87" i="2"/>
  <c r="C90" i="2"/>
  <c r="C52" i="2"/>
  <c r="C51" i="2"/>
  <c r="D22" i="2"/>
  <c r="D21" i="2"/>
  <c r="D20" i="2"/>
  <c r="C50" i="2"/>
  <c r="C49" i="2"/>
  <c r="C4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<sst xmlns="http://schemas.openxmlformats.org/spreadsheetml/2006/main" count="24412" uniqueCount="9632">
  <si>
    <t>ID</t>
  </si>
  <si>
    <t>Title</t>
  </si>
  <si>
    <t>Year</t>
  </si>
  <si>
    <t>Age</t>
  </si>
  <si>
    <t>Rotten Tomatoes</t>
  </si>
  <si>
    <t>Netflix</t>
  </si>
  <si>
    <t>Hulu</t>
  </si>
  <si>
    <t>Prime Video</t>
  </si>
  <si>
    <t>Disney+</t>
  </si>
  <si>
    <t>Type</t>
  </si>
  <si>
    <t>The Irishman</t>
  </si>
  <si>
    <t>18+</t>
  </si>
  <si>
    <t>98/100</t>
  </si>
  <si>
    <t>Dangal</t>
  </si>
  <si>
    <t>7+</t>
  </si>
  <si>
    <t>97/100</t>
  </si>
  <si>
    <t>David Attenborough: A Life on Our Planet</t>
  </si>
  <si>
    <t>95/100</t>
  </si>
  <si>
    <t>Lagaan: Once Upon a Time in India</t>
  </si>
  <si>
    <t>94/100</t>
  </si>
  <si>
    <t>Roma</t>
  </si>
  <si>
    <t>To All the Boys I've Loved Before</t>
  </si>
  <si>
    <t>13+</t>
  </si>
  <si>
    <t>The Social Dilemma</t>
  </si>
  <si>
    <t>93/100</t>
  </si>
  <si>
    <t>Okja</t>
  </si>
  <si>
    <t>92/100</t>
  </si>
  <si>
    <t>The Ballad of Buster Scruggs</t>
  </si>
  <si>
    <t>16+</t>
  </si>
  <si>
    <t>The Trial of the Chicago 7</t>
  </si>
  <si>
    <t>Article 15</t>
  </si>
  <si>
    <t>Jim &amp; Andy: The Great Beyond- Featuring a Very Special, Contractually Obligated Mention of Tony Clifton</t>
  </si>
  <si>
    <t>Dolemite Is My Name</t>
  </si>
  <si>
    <t>Mudbound</t>
  </si>
  <si>
    <t>91/100</t>
  </si>
  <si>
    <t>Swades</t>
  </si>
  <si>
    <t>all</t>
  </si>
  <si>
    <t>Fyre</t>
  </si>
  <si>
    <t>Miss Americana</t>
  </si>
  <si>
    <t>90/100</t>
  </si>
  <si>
    <t>Virunga</t>
  </si>
  <si>
    <t>Black Friday</t>
  </si>
  <si>
    <t>Talvar</t>
  </si>
  <si>
    <t>The King</t>
  </si>
  <si>
    <t>John Mulaney: Kid Gorgeous at Radio City</t>
  </si>
  <si>
    <t>89/100</t>
  </si>
  <si>
    <t>I Am Mother</t>
  </si>
  <si>
    <t>Tell Me Who I Am</t>
  </si>
  <si>
    <t>The Departed</t>
  </si>
  <si>
    <t>Winter on Fire: Ukraine's Fight for Freedom</t>
  </si>
  <si>
    <t>Terminator 2: Judgment Day</t>
  </si>
  <si>
    <t>I Lost My Body</t>
  </si>
  <si>
    <t>Django Unchained</t>
  </si>
  <si>
    <t>The Half of It</t>
  </si>
  <si>
    <t>The Boy Who Harnessed the Wind</t>
  </si>
  <si>
    <t>The Devil All the Time</t>
  </si>
  <si>
    <t>The Fundamentals of Caring</t>
  </si>
  <si>
    <t>Pieces of a Woman</t>
  </si>
  <si>
    <t>88/100</t>
  </si>
  <si>
    <t>Gerald's Game</t>
  </si>
  <si>
    <t>On Body and Soul</t>
  </si>
  <si>
    <t>Shutter Island</t>
  </si>
  <si>
    <t>Always Be My Maybe</t>
  </si>
  <si>
    <t>The Intouchables</t>
  </si>
  <si>
    <t>Bill Burr: Paper Tiger</t>
  </si>
  <si>
    <t>87/100</t>
  </si>
  <si>
    <t>Special 26</t>
  </si>
  <si>
    <t>Kiss the Ground</t>
  </si>
  <si>
    <t>Crip Camp: A Disability Revolution</t>
  </si>
  <si>
    <t>Extraction</t>
  </si>
  <si>
    <t>No Direction Home: Bob Dylan</t>
  </si>
  <si>
    <t>Kabhi Khushi Kabhie Gham</t>
  </si>
  <si>
    <t>His House</t>
  </si>
  <si>
    <t>Super Deluxe</t>
  </si>
  <si>
    <t>The Guernsey Literary &amp; Potato Peel Pie Society</t>
  </si>
  <si>
    <t>A Secret Love</t>
  </si>
  <si>
    <t>The Night Comes for Us</t>
  </si>
  <si>
    <t>The Big Lebowski</t>
  </si>
  <si>
    <t>Pad Man</t>
  </si>
  <si>
    <t>American Factory</t>
  </si>
  <si>
    <t>86/100</t>
  </si>
  <si>
    <t>Bird Box</t>
  </si>
  <si>
    <t>The Pianist</t>
  </si>
  <si>
    <t>3 Idiots</t>
  </si>
  <si>
    <t>The Distinguished Citizen</t>
  </si>
  <si>
    <t>A Shaun the Sheep Movie: Farmageddon</t>
  </si>
  <si>
    <t>A Clockwork Orange</t>
  </si>
  <si>
    <t>What Happened to Monday</t>
  </si>
  <si>
    <t>Anthony Jeselnik: Thoughts and Prayers</t>
  </si>
  <si>
    <t>The White Helmets</t>
  </si>
  <si>
    <t>Invader ZIM: Enter the Florpus</t>
  </si>
  <si>
    <t>Happy as Lazzaro</t>
  </si>
  <si>
    <t>85/100</t>
  </si>
  <si>
    <t>Chasing Coral</t>
  </si>
  <si>
    <t>Kal Ho Naa Ho</t>
  </si>
  <si>
    <t>Pan's Labyrinth</t>
  </si>
  <si>
    <t>Team Foxcatcher</t>
  </si>
  <si>
    <t>The Meyerowitz Stories (New and Selected)</t>
  </si>
  <si>
    <t>Casino Royale</t>
  </si>
  <si>
    <t>The Hateful Eight</t>
  </si>
  <si>
    <t>Rush</t>
  </si>
  <si>
    <t>84/100</t>
  </si>
  <si>
    <t>Zombieland</t>
  </si>
  <si>
    <t>Eurovision Song Contest: The Story of Fire Saga</t>
  </si>
  <si>
    <t>Kapoor &amp; Sons</t>
  </si>
  <si>
    <t>The Perfection</t>
  </si>
  <si>
    <t>Dave Chappelle: Sticks &amp; Stones</t>
  </si>
  <si>
    <t>There Will Be Blood</t>
  </si>
  <si>
    <t>Million Dollar Baby</t>
  </si>
  <si>
    <t>The Social Network</t>
  </si>
  <si>
    <t>The Christmas Chronicles</t>
  </si>
  <si>
    <t>Monty Python and the Holy Grail</t>
  </si>
  <si>
    <t>The Pixar Story</t>
  </si>
  <si>
    <t>Ma Rainey's Black Bottom</t>
  </si>
  <si>
    <t>Calibre</t>
  </si>
  <si>
    <t>Silver Linings Playbook</t>
  </si>
  <si>
    <t>Over the Moon</t>
  </si>
  <si>
    <t>What Happened, Miss Simone?</t>
  </si>
  <si>
    <t>Nightcrawler</t>
  </si>
  <si>
    <t>Paddleton</t>
  </si>
  <si>
    <t>Cargo</t>
  </si>
  <si>
    <t>Rain Man</t>
  </si>
  <si>
    <t>83/100</t>
  </si>
  <si>
    <t>Cuba and the Cameraman</t>
  </si>
  <si>
    <t>The Ritual</t>
  </si>
  <si>
    <t>The Hater</t>
  </si>
  <si>
    <t>The Edge of Democracy</t>
  </si>
  <si>
    <t>Adam Sandler: 100% Fresh</t>
  </si>
  <si>
    <t>Guru</t>
  </si>
  <si>
    <t>A Twelve-Year Night</t>
  </si>
  <si>
    <t>Dumplin'</t>
  </si>
  <si>
    <t>The Conjuring</t>
  </si>
  <si>
    <t>Marriage Story</t>
  </si>
  <si>
    <t>My Octopus Teacher</t>
  </si>
  <si>
    <t>About Time</t>
  </si>
  <si>
    <t>Hey Arnold! The Jungle Movie</t>
  </si>
  <si>
    <t>Kung Fu Panda</t>
  </si>
  <si>
    <t>Superbad</t>
  </si>
  <si>
    <t>The Invisible Guest</t>
  </si>
  <si>
    <t>Chinatown</t>
  </si>
  <si>
    <t>82/100</t>
  </si>
  <si>
    <t>Mystic River</t>
  </si>
  <si>
    <t>The Theory of Everything</t>
  </si>
  <si>
    <t>Springsteen On Broadway</t>
  </si>
  <si>
    <t>The Life Ahead</t>
  </si>
  <si>
    <t>The Terminal</t>
  </si>
  <si>
    <t>Scott Pilgrim vs. the World</t>
  </si>
  <si>
    <t>Being Elmo: A Puppeteer's Journey</t>
  </si>
  <si>
    <t>Life of Brian</t>
  </si>
  <si>
    <t>The Resistance Banker</t>
  </si>
  <si>
    <t>How to Train Your Dragon 2</t>
  </si>
  <si>
    <t>The Endless Trench</t>
  </si>
  <si>
    <t>Even the Rain</t>
  </si>
  <si>
    <t>Love Actually</t>
  </si>
  <si>
    <t>Dear Ex</t>
  </si>
  <si>
    <t>Braven</t>
  </si>
  <si>
    <t>Period. End of Sentence.</t>
  </si>
  <si>
    <t>Captain Fantastic</t>
  </si>
  <si>
    <t>Veronica</t>
  </si>
  <si>
    <t>81/100</t>
  </si>
  <si>
    <t>The Siege of Jadotville</t>
  </si>
  <si>
    <t>Into the Inferno</t>
  </si>
  <si>
    <t>Ricky Gervais: Humanity</t>
  </si>
  <si>
    <t>A Whisker Away</t>
  </si>
  <si>
    <t>Lady Bird</t>
  </si>
  <si>
    <t>Road to Perdition</t>
  </si>
  <si>
    <t>Boogie Nights</t>
  </si>
  <si>
    <t>Total Recall</t>
  </si>
  <si>
    <t>Bo Burnham: Inside</t>
  </si>
  <si>
    <t>Snowpiercer</t>
  </si>
  <si>
    <t>Circus of Books</t>
  </si>
  <si>
    <t>Tallulah</t>
  </si>
  <si>
    <t>The Conjuring 2</t>
  </si>
  <si>
    <t>They'll Love Me When I'm Dead</t>
  </si>
  <si>
    <t>Nocturnal Animals</t>
  </si>
  <si>
    <t>Get Me Roger Stone</t>
  </si>
  <si>
    <t>Hachi: A Dog's Tale</t>
  </si>
  <si>
    <t>Dances with Wolves</t>
  </si>
  <si>
    <t>80/100</t>
  </si>
  <si>
    <t>Udta Punjab</t>
  </si>
  <si>
    <t>Bareilly's Barfi</t>
  </si>
  <si>
    <t>Divines</t>
  </si>
  <si>
    <t>Maktub</t>
  </si>
  <si>
    <t>Ittefaq</t>
  </si>
  <si>
    <t>Hannah Gadsby: Nanette</t>
  </si>
  <si>
    <t>Ali Wong: Hard Knock Wife</t>
  </si>
  <si>
    <t>Seven Pounds</t>
  </si>
  <si>
    <t>Uncut Gems</t>
  </si>
  <si>
    <t>The Kindergarten Teacher</t>
  </si>
  <si>
    <t>Les MisÃ©rables</t>
  </si>
  <si>
    <t>The Sky Is Pink</t>
  </si>
  <si>
    <t>Next Gen</t>
  </si>
  <si>
    <t>Tom Segura: Disgraceful</t>
  </si>
  <si>
    <t>My Happy Family</t>
  </si>
  <si>
    <t>The American Meme</t>
  </si>
  <si>
    <t>Badla</t>
  </si>
  <si>
    <t>Okko's Inn</t>
  </si>
  <si>
    <t>The Willoughbys</t>
  </si>
  <si>
    <t>Hunt for the Wilderpeople</t>
  </si>
  <si>
    <t>Stardust</t>
  </si>
  <si>
    <t>79/100</t>
  </si>
  <si>
    <t>Wheelman</t>
  </si>
  <si>
    <t>The Artist</t>
  </si>
  <si>
    <t>On My Skin</t>
  </si>
  <si>
    <t>Gaga: Five Foot Two</t>
  </si>
  <si>
    <t>Hugo</t>
  </si>
  <si>
    <t>The Impossible</t>
  </si>
  <si>
    <t>War Dogs</t>
  </si>
  <si>
    <t>Ip Man</t>
  </si>
  <si>
    <t>The Speed Cubers</t>
  </si>
  <si>
    <t>Kung Fu Panda 2</t>
  </si>
  <si>
    <t>The Dirt</t>
  </si>
  <si>
    <t>Andhadhun</t>
  </si>
  <si>
    <t>Atlantics</t>
  </si>
  <si>
    <t>37 Seconds</t>
  </si>
  <si>
    <t>El Camino: A Breaking Bad Movie</t>
  </si>
  <si>
    <t>Underworld</t>
  </si>
  <si>
    <t>The Ring</t>
  </si>
  <si>
    <t>Hold the Dark</t>
  </si>
  <si>
    <t>The Karate Kid</t>
  </si>
  <si>
    <t>Quincy</t>
  </si>
  <si>
    <t>The Patriot</t>
  </si>
  <si>
    <t>Get In</t>
  </si>
  <si>
    <t>ZZ Top: That Little Ol' Band From Texas</t>
  </si>
  <si>
    <t>Jerry Before Seinfeld</t>
  </si>
  <si>
    <t>Mike Birbiglia: The New One</t>
  </si>
  <si>
    <t>78/100</t>
  </si>
  <si>
    <t>A Silent Voice: The Movie</t>
  </si>
  <si>
    <t>Klaus</t>
  </si>
  <si>
    <t>Snowden</t>
  </si>
  <si>
    <t>Nick Kroll &amp; John Mulaney: Oh, Hello on Broadway</t>
  </si>
  <si>
    <t>What's Eating Gilbert Grape</t>
  </si>
  <si>
    <t>The Da Vinci Code</t>
  </si>
  <si>
    <t>Stranger Than Fiction</t>
  </si>
  <si>
    <t>Don 2</t>
  </si>
  <si>
    <t>Elena</t>
  </si>
  <si>
    <t>Real Steel</t>
  </si>
  <si>
    <t>The Founder</t>
  </si>
  <si>
    <t>Stargate</t>
  </si>
  <si>
    <t>Shirkers</t>
  </si>
  <si>
    <t>Chef</t>
  </si>
  <si>
    <t>Fire in the Blood</t>
  </si>
  <si>
    <t>Austin Powers: International Man of Mystery</t>
  </si>
  <si>
    <t>Miles Davis: Birth of the Cool</t>
  </si>
  <si>
    <t>Insidious</t>
  </si>
  <si>
    <t>Screwball</t>
  </si>
  <si>
    <t>The Old Guard</t>
  </si>
  <si>
    <t>Rango</t>
  </si>
  <si>
    <t>Before I Wake</t>
  </si>
  <si>
    <t>The Disaster Artist</t>
  </si>
  <si>
    <t>Fruitvale Station</t>
  </si>
  <si>
    <t>77/100</t>
  </si>
  <si>
    <t>The Florida Project</t>
  </si>
  <si>
    <t>Behind the Curve</t>
  </si>
  <si>
    <t>Lawless</t>
  </si>
  <si>
    <t>Errementari: The Blacksmith and the Devil</t>
  </si>
  <si>
    <t>Audrie &amp; Daisy</t>
  </si>
  <si>
    <t>Quantum of Solace</t>
  </si>
  <si>
    <t>The Master</t>
  </si>
  <si>
    <t>Layer Cake</t>
  </si>
  <si>
    <t>Flipped</t>
  </si>
  <si>
    <t>Steve Martin and Martin Short: An Evening You Will Forget for the Rest of Your Life</t>
  </si>
  <si>
    <t>Friends with Benefits</t>
  </si>
  <si>
    <t>Tig</t>
  </si>
  <si>
    <t>Roll Red Roll</t>
  </si>
  <si>
    <t>Enola Holmes</t>
  </si>
  <si>
    <t>PK</t>
  </si>
  <si>
    <t>Good Time</t>
  </si>
  <si>
    <t>The Next Three Days</t>
  </si>
  <si>
    <t>Miracle in Cell No. 7</t>
  </si>
  <si>
    <t>Like Stars on Earth</t>
  </si>
  <si>
    <t>Trixie Mattel: Moving Parts</t>
  </si>
  <si>
    <t>Talaash</t>
  </si>
  <si>
    <t>Evelyn</t>
  </si>
  <si>
    <t>I Am Sam</t>
  </si>
  <si>
    <t>In the Shadow of the Moon</t>
  </si>
  <si>
    <t>Neon Genesis Evangelion: The End of Evangelion</t>
  </si>
  <si>
    <t>Memoirs of a Geisha</t>
  </si>
  <si>
    <t>76/100</t>
  </si>
  <si>
    <t>Mad Max</t>
  </si>
  <si>
    <t>John Leguizamo's Latin History for Morons</t>
  </si>
  <si>
    <t>And Breathe Normally</t>
  </si>
  <si>
    <t>The Killing of a Sacred Deer</t>
  </si>
  <si>
    <t>Angels &amp; Demons</t>
  </si>
  <si>
    <t>Smoke &amp; Mirrors</t>
  </si>
  <si>
    <t>Bright</t>
  </si>
  <si>
    <t>Yes Man</t>
  </si>
  <si>
    <t>Murder Mystery</t>
  </si>
  <si>
    <t>Pink</t>
  </si>
  <si>
    <t>The Photographer of Mauthausen</t>
  </si>
  <si>
    <t>Midnight Run</t>
  </si>
  <si>
    <t>Flavors of Youth</t>
  </si>
  <si>
    <t>13th</t>
  </si>
  <si>
    <t>Ravenous</t>
  </si>
  <si>
    <t>Austin Powers: The Spy Who Shagged Me</t>
  </si>
  <si>
    <t>The Life of David Gale</t>
  </si>
  <si>
    <t>Tramps</t>
  </si>
  <si>
    <t>The Girl Next Door</t>
  </si>
  <si>
    <t>The Two Popes</t>
  </si>
  <si>
    <t>The Wandering Earth</t>
  </si>
  <si>
    <t>Just Another Love Story</t>
  </si>
  <si>
    <t>Eye for an Eye</t>
  </si>
  <si>
    <t>Patton Oswalt: Annihilation</t>
  </si>
  <si>
    <t>Joan Didion: The Center Will Not Hold</t>
  </si>
  <si>
    <t>Steve Jobs</t>
  </si>
  <si>
    <t>White Fang</t>
  </si>
  <si>
    <t>A Monster Calls</t>
  </si>
  <si>
    <t>Olympus Has Fallen</t>
  </si>
  <si>
    <t>Talladega Nights: The Ballad of Ricky Bobby</t>
  </si>
  <si>
    <t>The Time Traveler's Wife</t>
  </si>
  <si>
    <t>State of Play</t>
  </si>
  <si>
    <t>The Outlaw Josey Wales</t>
  </si>
  <si>
    <t>The Bank Job</t>
  </si>
  <si>
    <t>Miss Sloane</t>
  </si>
  <si>
    <t>Unknown</t>
  </si>
  <si>
    <t>75/100</t>
  </si>
  <si>
    <t>6 Underground</t>
  </si>
  <si>
    <t>Uncorked</t>
  </si>
  <si>
    <t>Petta</t>
  </si>
  <si>
    <t>Justin Timberlake + The Tennessee Kids</t>
  </si>
  <si>
    <t>My Fair Lady</t>
  </si>
  <si>
    <t>Bikram: Yogi, Guru, Predator</t>
  </si>
  <si>
    <t>A Futile and Stupid Gesture</t>
  </si>
  <si>
    <t>The Dig</t>
  </si>
  <si>
    <t>Legally Blonde</t>
  </si>
  <si>
    <t>Legend</t>
  </si>
  <si>
    <t>Notes on Blindness</t>
  </si>
  <si>
    <t>When We First Met</t>
  </si>
  <si>
    <t>Best Worst Thing That Ever Could Have Happened...</t>
  </si>
  <si>
    <t>Imperial Dreams</t>
  </si>
  <si>
    <t>Black Mirror: Bandersnatch</t>
  </si>
  <si>
    <t>Queen</t>
  </si>
  <si>
    <t>Joshua: Teenager vs. Superpower</t>
  </si>
  <si>
    <t>Air Force One</t>
  </si>
  <si>
    <t>Shot Caller</t>
  </si>
  <si>
    <t>What Dreams May Come</t>
  </si>
  <si>
    <t>Angel Has Fallen</t>
  </si>
  <si>
    <t>Crimson Peak</t>
  </si>
  <si>
    <t>Lemony Snicket's A Series of Unfortunate Events</t>
  </si>
  <si>
    <t>The Red Sea Diving Resort</t>
  </si>
  <si>
    <t>The Angel</t>
  </si>
  <si>
    <t>Army of the Dead</t>
  </si>
  <si>
    <t>Madagascar 3: Europe's Most Wanted</t>
  </si>
  <si>
    <t>Icarus</t>
  </si>
  <si>
    <t>Collateral Beauty</t>
  </si>
  <si>
    <t>The Danish Girl</t>
  </si>
  <si>
    <t>Green Zone</t>
  </si>
  <si>
    <t>John Mulaney: New in Town</t>
  </si>
  <si>
    <t>Strong Island</t>
  </si>
  <si>
    <t>The White Tiger</t>
  </si>
  <si>
    <t>Defiance</t>
  </si>
  <si>
    <t>A Fortunate Man</t>
  </si>
  <si>
    <t>The Death of Stalin</t>
  </si>
  <si>
    <t>Underworld: Awakening</t>
  </si>
  <si>
    <t>74/100</t>
  </si>
  <si>
    <t>Philomena</t>
  </si>
  <si>
    <t>Sanju</t>
  </si>
  <si>
    <t>Nappily Ever After</t>
  </si>
  <si>
    <t>I Care a Lot</t>
  </si>
  <si>
    <t>The Butler</t>
  </si>
  <si>
    <t>Qarib Qarib Singlle</t>
  </si>
  <si>
    <t>A Single Man</t>
  </si>
  <si>
    <t>Home</t>
  </si>
  <si>
    <t>Zack and Miri Make a Porno</t>
  </si>
  <si>
    <t>Seeing Allred</t>
  </si>
  <si>
    <t>Dostana</t>
  </si>
  <si>
    <t>Remember Me</t>
  </si>
  <si>
    <t>Underworld: Rise of the Lycans</t>
  </si>
  <si>
    <t>The Lovely Bones</t>
  </si>
  <si>
    <t>Madagascar: Escape 2 Africa</t>
  </si>
  <si>
    <t>No Strings Attached</t>
  </si>
  <si>
    <t>Heroin(e)</t>
  </si>
  <si>
    <t>A Ghost Story</t>
  </si>
  <si>
    <t>Safety Not Guaranteed</t>
  </si>
  <si>
    <t>Game Over</t>
  </si>
  <si>
    <t>Peppermint</t>
  </si>
  <si>
    <t>Have a Good Trip: Adventures in Psychedelics</t>
  </si>
  <si>
    <t>Beasts of No Nation</t>
  </si>
  <si>
    <t>Extinction</t>
  </si>
  <si>
    <t>Nobody Knows I'm Here</t>
  </si>
  <si>
    <t>ARQ</t>
  </si>
  <si>
    <t>Ali's Wedding</t>
  </si>
  <si>
    <t>Bo Burnham: Make Happy</t>
  </si>
  <si>
    <t>Mank</t>
  </si>
  <si>
    <t>Extremely Wicked, Shockingly Evil and Vile</t>
  </si>
  <si>
    <t>Due Date</t>
  </si>
  <si>
    <t>Between Two Ferns: The Movie</t>
  </si>
  <si>
    <t>Ip Man 2</t>
  </si>
  <si>
    <t>Mirage</t>
  </si>
  <si>
    <t>Puss in Boots</t>
  </si>
  <si>
    <t>Austin Powers in Goldmember</t>
  </si>
  <si>
    <t>The Kissing Booth</t>
  </si>
  <si>
    <t>73/100</t>
  </si>
  <si>
    <t>Hush</t>
  </si>
  <si>
    <t>Lost Bullet</t>
  </si>
  <si>
    <t>Dil Chahta Hai</t>
  </si>
  <si>
    <t>Election</t>
  </si>
  <si>
    <t>Soni</t>
  </si>
  <si>
    <t>BÄhubali: The Beginning</t>
  </si>
  <si>
    <t>Killing Them Softly</t>
  </si>
  <si>
    <t>Swordfish</t>
  </si>
  <si>
    <t>Wish Dragon</t>
  </si>
  <si>
    <t>Raees</t>
  </si>
  <si>
    <t>Let It Snow</t>
  </si>
  <si>
    <t>The Babysitter: Killer Queen</t>
  </si>
  <si>
    <t>Hardcore Henry</t>
  </si>
  <si>
    <t>Tig Notaro: Happy To Be Here</t>
  </si>
  <si>
    <t>Spelling the Dream</t>
  </si>
  <si>
    <t>Knock Down the House</t>
  </si>
  <si>
    <t>Resident Evil: Extinction</t>
  </si>
  <si>
    <t>Polar</t>
  </si>
  <si>
    <t>Saving Capitalism</t>
  </si>
  <si>
    <t>The Untold Tales of Armistead Maupin</t>
  </si>
  <si>
    <t>The Mitchells vs. The Machines</t>
  </si>
  <si>
    <t>Spenser Confidential</t>
  </si>
  <si>
    <t>Psychokinesis</t>
  </si>
  <si>
    <t>Monsters vs Aliens</t>
  </si>
  <si>
    <t>Twilight</t>
  </si>
  <si>
    <t>Self/less</t>
  </si>
  <si>
    <t>The Highwaymen</t>
  </si>
  <si>
    <t>ParaNorman</t>
  </si>
  <si>
    <t>Holidate</t>
  </si>
  <si>
    <t>Fear Street Part Two: 1978</t>
  </si>
  <si>
    <t>Pee-wee's Big Holiday</t>
  </si>
  <si>
    <t>Gunpowder Milkshake</t>
  </si>
  <si>
    <t>Michael Bolton's Big, Sexy Valentine's Day Special</t>
  </si>
  <si>
    <t>I Am Not Your Negro</t>
  </si>
  <si>
    <t>Midnight Special</t>
  </si>
  <si>
    <t>Layla M.</t>
  </si>
  <si>
    <t>Homefront</t>
  </si>
  <si>
    <t>The Squid and the Whale</t>
  </si>
  <si>
    <t>Comedian</t>
  </si>
  <si>
    <t>No Escape</t>
  </si>
  <si>
    <t>Mercury 13</t>
  </si>
  <si>
    <t>The Professor and the Madman</t>
  </si>
  <si>
    <t>Asperger's Are Us</t>
  </si>
  <si>
    <t>The Garden of Words</t>
  </si>
  <si>
    <t>Fractured</t>
  </si>
  <si>
    <t>The Queen</t>
  </si>
  <si>
    <t>The Whole Nine Yards</t>
  </si>
  <si>
    <t>72/100</t>
  </si>
  <si>
    <t>E-Team</t>
  </si>
  <si>
    <t>The Discovery</t>
  </si>
  <si>
    <t>The Strangers</t>
  </si>
  <si>
    <t>Penguins of Madagascar</t>
  </si>
  <si>
    <t>She's Out of My League</t>
  </si>
  <si>
    <t>Voyeur</t>
  </si>
  <si>
    <t>It Comes at Night</t>
  </si>
  <si>
    <t>The Manchurian Candidate</t>
  </si>
  <si>
    <t>Bon Cop Bad Cop 2</t>
  </si>
  <si>
    <t>Hot Rod</t>
  </si>
  <si>
    <t>The BFG</t>
  </si>
  <si>
    <t>Sunday's Illness</t>
  </si>
  <si>
    <t>The Lorax</t>
  </si>
  <si>
    <t>Win It All</t>
  </si>
  <si>
    <t>Mile 22</t>
  </si>
  <si>
    <t>Tenacious D in The Pick of Destiny</t>
  </si>
  <si>
    <t>The Sum of All Fears</t>
  </si>
  <si>
    <t>G.O.R.A.</t>
  </si>
  <si>
    <t>The Perfect Date</t>
  </si>
  <si>
    <t>Code 8</t>
  </si>
  <si>
    <t>Cowspiracy: The Sustainability Secret</t>
  </si>
  <si>
    <t>Life As We Know It</t>
  </si>
  <si>
    <t>American Assassin</t>
  </si>
  <si>
    <t>August: Osage County</t>
  </si>
  <si>
    <t>Kuch Kuch Hota Hai</t>
  </si>
  <si>
    <t>Who Am I</t>
  </si>
  <si>
    <t>Free State of Jones</t>
  </si>
  <si>
    <t>Beast Stalker</t>
  </si>
  <si>
    <t>Dark Skies</t>
  </si>
  <si>
    <t>Safe Haven</t>
  </si>
  <si>
    <t>BÄhubali 2: The Conclusion</t>
  </si>
  <si>
    <t>Outlaw King</t>
  </si>
  <si>
    <t>Cloudy with a Chance of Meatballs 2</t>
  </si>
  <si>
    <t>Turbo</t>
  </si>
  <si>
    <t>G.I. Joe: The Rise of Cobra</t>
  </si>
  <si>
    <t>Horns</t>
  </si>
  <si>
    <t>Drishyam</t>
  </si>
  <si>
    <t>Triple Frontier</t>
  </si>
  <si>
    <t>Hail, Caesar!</t>
  </si>
  <si>
    <t>The Ice Road</t>
  </si>
  <si>
    <t>Monster House</t>
  </si>
  <si>
    <t>Freaks</t>
  </si>
  <si>
    <t>Felon</t>
  </si>
  <si>
    <t>Horse Girl</t>
  </si>
  <si>
    <t>A Christmas Prince</t>
  </si>
  <si>
    <t>Hillbilly Elegy</t>
  </si>
  <si>
    <t>American Ultra</t>
  </si>
  <si>
    <t>First Match</t>
  </si>
  <si>
    <t>The Pelican Brief</t>
  </si>
  <si>
    <t>The Tourist</t>
  </si>
  <si>
    <t>The Dawn Wall</t>
  </si>
  <si>
    <t>I'm Thinking of Ending Things</t>
  </si>
  <si>
    <t>71/100</t>
  </si>
  <si>
    <t>Shutter</t>
  </si>
  <si>
    <t>Surf's Up</t>
  </si>
  <si>
    <t>The Twilight Saga: Breaking Dawn - Part 2</t>
  </si>
  <si>
    <t>Jagga Jasoos</t>
  </si>
  <si>
    <t>The Burial of Kojo</t>
  </si>
  <si>
    <t>My Best Friend's Wedding</t>
  </si>
  <si>
    <t>Bee Movie</t>
  </si>
  <si>
    <t>Seoul Searching</t>
  </si>
  <si>
    <t>Before I Fall</t>
  </si>
  <si>
    <t>The Babysitter</t>
  </si>
  <si>
    <t>After</t>
  </si>
  <si>
    <t>As Above, So Below</t>
  </si>
  <si>
    <t>Bo Burnham: What.</t>
  </si>
  <si>
    <t>Stree</t>
  </si>
  <si>
    <t>Velvet Buzzsaw</t>
  </si>
  <si>
    <t>Savages</t>
  </si>
  <si>
    <t>Jupiter Ascending</t>
  </si>
  <si>
    <t>Spectral</t>
  </si>
  <si>
    <t>Resident Evil: Afterlife</t>
  </si>
  <si>
    <t>Accepted</t>
  </si>
  <si>
    <t>Live Twice, Love Once</t>
  </si>
  <si>
    <t>Iliza Shlesinger: Elder Millennial</t>
  </si>
  <si>
    <t>Zindagi Na Milegi Dobara</t>
  </si>
  <si>
    <t>Free Fire</t>
  </si>
  <si>
    <t>Soorma</t>
  </si>
  <si>
    <t>The Zookeeper's Wife</t>
  </si>
  <si>
    <t>Time Share</t>
  </si>
  <si>
    <t>The Outpost</t>
  </si>
  <si>
    <t>Kabir Singh</t>
  </si>
  <si>
    <t>Homecoming: A Film by BeyoncÃ©</t>
  </si>
  <si>
    <t>Jerry Seinfeld: 23 Hours to Kill</t>
  </si>
  <si>
    <t>Ip Man 4: The Finale</t>
  </si>
  <si>
    <t>The Laundromat</t>
  </si>
  <si>
    <t>The 12th Man</t>
  </si>
  <si>
    <t>Bad Trip</t>
  </si>
  <si>
    <t>Mr. Peabody &amp; Sherman</t>
  </si>
  <si>
    <t>Ip Man 3</t>
  </si>
  <si>
    <t>Rang De Basanti</t>
  </si>
  <si>
    <t>The Midnight Sky</t>
  </si>
  <si>
    <t>Mr. Right</t>
  </si>
  <si>
    <t>White Christmas</t>
  </si>
  <si>
    <t>Synchronic</t>
  </si>
  <si>
    <t>Adrift</t>
  </si>
  <si>
    <t>70/100</t>
  </si>
  <si>
    <t>The Game Changers</t>
  </si>
  <si>
    <t>Michelle Wolf: Joke Show</t>
  </si>
  <si>
    <t>Da 5 Bloods</t>
  </si>
  <si>
    <t>The American</t>
  </si>
  <si>
    <t>The Best of Enemies</t>
  </si>
  <si>
    <t>Forgotten</t>
  </si>
  <si>
    <t>I Don't Feel at Home in This World Anymore</t>
  </si>
  <si>
    <t>Lupin the Third: The Castle of Cagliostro</t>
  </si>
  <si>
    <t>Never Back Down</t>
  </si>
  <si>
    <t>Fear Street: 1666</t>
  </si>
  <si>
    <t>Zathura: A Space Adventure</t>
  </si>
  <si>
    <t>Faith, Hope &amp; Love</t>
  </si>
  <si>
    <t>2 States</t>
  </si>
  <si>
    <t>Grass is Greener</t>
  </si>
  <si>
    <t>May the Devil Take You</t>
  </si>
  <si>
    <t>Double Jeopardy</t>
  </si>
  <si>
    <t>Ava</t>
  </si>
  <si>
    <t>Barfi!</t>
  </si>
  <si>
    <t>Barry</t>
  </si>
  <si>
    <t>Go!</t>
  </si>
  <si>
    <t>Everybody's Fine</t>
  </si>
  <si>
    <t>Monty Python Live at the Hollywood Bowl</t>
  </si>
  <si>
    <t>Parker</t>
  </si>
  <si>
    <t>The Karate Kid Part II</t>
  </si>
  <si>
    <t>System Crasher</t>
  </si>
  <si>
    <t>Under Siege</t>
  </si>
  <si>
    <t>Brain on Fire</t>
  </si>
  <si>
    <t>The Butterfly's Dream</t>
  </si>
  <si>
    <t>The Wrong Missy</t>
  </si>
  <si>
    <t>Battle: Los Angeles</t>
  </si>
  <si>
    <t>Pari</t>
  </si>
  <si>
    <t>The Beguiled</t>
  </si>
  <si>
    <t>Batman: The Killing Joke</t>
  </si>
  <si>
    <t>Sex Drive</t>
  </si>
  <si>
    <t>Mosul</t>
  </si>
  <si>
    <t>PokÃ©mon the Movie: The Power of Us</t>
  </si>
  <si>
    <t>Underdogs</t>
  </si>
  <si>
    <t>The Little Rascals</t>
  </si>
  <si>
    <t>Fun with Dick and Jane</t>
  </si>
  <si>
    <t>Ballerina</t>
  </si>
  <si>
    <t>Hasan Minhaj: Homecoming King</t>
  </si>
  <si>
    <t>An Easy Girl</t>
  </si>
  <si>
    <t>Highway</t>
  </si>
  <si>
    <t>The Book of Henry</t>
  </si>
  <si>
    <t>Reversing Roe</t>
  </si>
  <si>
    <t>The Clovehitch Killer</t>
  </si>
  <si>
    <t>There's Something in the Water</t>
  </si>
  <si>
    <t>Stuart Little</t>
  </si>
  <si>
    <t>Barakah Meets Barakah</t>
  </si>
  <si>
    <t>Starsky &amp; Hutch</t>
  </si>
  <si>
    <t>Loving</t>
  </si>
  <si>
    <t>Haider</t>
  </si>
  <si>
    <t>The Twilight Saga: Eclipse</t>
  </si>
  <si>
    <t>Triple 9</t>
  </si>
  <si>
    <t>Spanglish</t>
  </si>
  <si>
    <t>The Spiderwick Chronicles</t>
  </si>
  <si>
    <t>Kahaani</t>
  </si>
  <si>
    <t>69/100</t>
  </si>
  <si>
    <t>Lady J</t>
  </si>
  <si>
    <t>The Interpreter</t>
  </si>
  <si>
    <t>Frankenstein's Monster's Monster, Frankenstein</t>
  </si>
  <si>
    <t>Not Another Teen Movie</t>
  </si>
  <si>
    <t>The Cloverfield Paradox</t>
  </si>
  <si>
    <t>Disclosure</t>
  </si>
  <si>
    <t>Hot Girls Wanted</t>
  </si>
  <si>
    <t>Dead Man Down</t>
  </si>
  <si>
    <t>Fear Street: 1994</t>
  </si>
  <si>
    <t>Kill the Irishman</t>
  </si>
  <si>
    <t>Set It Up</t>
  </si>
  <si>
    <t>Case 39</t>
  </si>
  <si>
    <t>Outside the Wire</t>
  </si>
  <si>
    <t>Steal a Pencil for Me</t>
  </si>
  <si>
    <t>Project Power</t>
  </si>
  <si>
    <t>High Strung Free Dance</t>
  </si>
  <si>
    <t>The Twilight Saga: Breaking Dawn - Part 1</t>
  </si>
  <si>
    <t>Marc Maron: Too Real</t>
  </si>
  <si>
    <t>The Polka King</t>
  </si>
  <si>
    <t>6 Balloons</t>
  </si>
  <si>
    <t>Amanda Knox</t>
  </si>
  <si>
    <t>At Eternity's Gate</t>
  </si>
  <si>
    <t>Anon</t>
  </si>
  <si>
    <t>3 Days to Kill</t>
  </si>
  <si>
    <t>To the Bone</t>
  </si>
  <si>
    <t>Trollhunters: Rise of the Titans</t>
  </si>
  <si>
    <t>Mowgli: Legend of the Jungle</t>
  </si>
  <si>
    <t>Mother's Day</t>
  </si>
  <si>
    <t>Mortal Kombat</t>
  </si>
  <si>
    <t>Creep</t>
  </si>
  <si>
    <t>Death to 2020</t>
  </si>
  <si>
    <t>Operation Finale</t>
  </si>
  <si>
    <t>The Great Hack</t>
  </si>
  <si>
    <t>The Land of Steady Habits</t>
  </si>
  <si>
    <t>Suffragette</t>
  </si>
  <si>
    <t>Wildlife</t>
  </si>
  <si>
    <t>War Machine</t>
  </si>
  <si>
    <t>Bending the Arc</t>
  </si>
  <si>
    <t>Kill the Messenger</t>
  </si>
  <si>
    <t>Feminists: What Were They Thinking?</t>
  </si>
  <si>
    <t>If Anything Happens I Love You</t>
  </si>
  <si>
    <t>Nobody Speak: Trials of the Free Press</t>
  </si>
  <si>
    <t>Sand Castle</t>
  </si>
  <si>
    <t>The Forest of Love</t>
  </si>
  <si>
    <t>Kabhi Alvida Naa Kehna</t>
  </si>
  <si>
    <t>Fatherhood</t>
  </si>
  <si>
    <t>Our Idiot Brother</t>
  </si>
  <si>
    <t>QuiÃ©n te cantarÃ¡</t>
  </si>
  <si>
    <t>68/100</t>
  </si>
  <si>
    <t>Takers</t>
  </si>
  <si>
    <t>Udaan</t>
  </si>
  <si>
    <t>City of Joy</t>
  </si>
  <si>
    <t>Under the Shadow</t>
  </si>
  <si>
    <t>The Silence of Others</t>
  </si>
  <si>
    <t>Nacho Libre</t>
  </si>
  <si>
    <t>Ninja Assassin</t>
  </si>
  <si>
    <t>The Twilight Saga: New Moon</t>
  </si>
  <si>
    <t>Rocks</t>
  </si>
  <si>
    <t>Step Up Revolution</t>
  </si>
  <si>
    <t>Giving Voice</t>
  </si>
  <si>
    <t>Like Father</t>
  </si>
  <si>
    <t>Eddie Murphy Raw</t>
  </si>
  <si>
    <t>Berserk: The Golden Age Arc III - The Advent</t>
  </si>
  <si>
    <t>Aval</t>
  </si>
  <si>
    <t>The Promise</t>
  </si>
  <si>
    <t>Prospect</t>
  </si>
  <si>
    <t>Ne Zha</t>
  </si>
  <si>
    <t>Bad Genius</t>
  </si>
  <si>
    <t>Burning Sands</t>
  </si>
  <si>
    <t>Ludo</t>
  </si>
  <si>
    <t>Eat Pray Love</t>
  </si>
  <si>
    <t>Circle</t>
  </si>
  <si>
    <t>Rolling Thunder Revue: A Bob Dylan Story by Martin Scorsese</t>
  </si>
  <si>
    <t>Dovlatov</t>
  </si>
  <si>
    <t>Lakshya</t>
  </si>
  <si>
    <t>American Murder: The Family Next Door</t>
  </si>
  <si>
    <t>Jab We Met</t>
  </si>
  <si>
    <t>Kuchh Bheege Alfaaz</t>
  </si>
  <si>
    <t>John Mulaney: The Comeback Kid</t>
  </si>
  <si>
    <t>Apostle</t>
  </si>
  <si>
    <t>After We Collided</t>
  </si>
  <si>
    <t>Mystic Pizza</t>
  </si>
  <si>
    <t>Middle Men</t>
  </si>
  <si>
    <t>To All the Boys: P.S. I Still Love You</t>
  </si>
  <si>
    <t>Malang</t>
  </si>
  <si>
    <t>Someone Great</t>
  </si>
  <si>
    <t>Time Trap</t>
  </si>
  <si>
    <t>In This Corner of the World</t>
  </si>
  <si>
    <t>C/o Kancharapalem</t>
  </si>
  <si>
    <t>Agneepath</t>
  </si>
  <si>
    <t>The Package</t>
  </si>
  <si>
    <t>67/100</t>
  </si>
  <si>
    <t>Tau</t>
  </si>
  <si>
    <t>Your Highness</t>
  </si>
  <si>
    <t>Alexander</t>
  </si>
  <si>
    <t>Rurouni Kenshin: The Final</t>
  </si>
  <si>
    <t>Bill Burr: I'm Sorry You Feel That Way</t>
  </si>
  <si>
    <t>Berserk: The Golden Age Arc I - The Egg of the King</t>
  </si>
  <si>
    <t>All the Bright Places</t>
  </si>
  <si>
    <t>Streets of Fire</t>
  </si>
  <si>
    <t>Sleepless</t>
  </si>
  <si>
    <t>An Egyptian Story</t>
  </si>
  <si>
    <t>Major Grom: Plague Doctor</t>
  </si>
  <si>
    <t>Struggle: The Life and Lost Art of Szukalski</t>
  </si>
  <si>
    <t>Seaspiracy</t>
  </si>
  <si>
    <t>Wish I Was Here</t>
  </si>
  <si>
    <t>Moxie</t>
  </si>
  <si>
    <t>18 Presents</t>
  </si>
  <si>
    <t>Oxygen</t>
  </si>
  <si>
    <t>Private Life</t>
  </si>
  <si>
    <t>The Grandmaster</t>
  </si>
  <si>
    <t>Home Again</t>
  </si>
  <si>
    <t>Athlete A</t>
  </si>
  <si>
    <t>The Outsider</t>
  </si>
  <si>
    <t>The Fourth Kind</t>
  </si>
  <si>
    <t>Bastille Day</t>
  </si>
  <si>
    <t>The Whole Truth</t>
  </si>
  <si>
    <t>Ibiza</t>
  </si>
  <si>
    <t>Sabotage</t>
  </si>
  <si>
    <t>Penguin Bloom</t>
  </si>
  <si>
    <t>The Kissing Booth 2</t>
  </si>
  <si>
    <t>Kingsglaive: Final Fantasy XV</t>
  </si>
  <si>
    <t>Mirai</t>
  </si>
  <si>
    <t>Child's Play 2</t>
  </si>
  <si>
    <t>World Trade Center</t>
  </si>
  <si>
    <t>OMG: Oh My God!</t>
  </si>
  <si>
    <t>A Private War</t>
  </si>
  <si>
    <t>Get on Up</t>
  </si>
  <si>
    <t>The Possession</t>
  </si>
  <si>
    <t>The Angry Birds Movie 2</t>
  </si>
  <si>
    <t>Stowaway</t>
  </si>
  <si>
    <t>Bill Burr: You People Are All The Same</t>
  </si>
  <si>
    <t>Four Christmases</t>
  </si>
  <si>
    <t>Bombay Talkies</t>
  </si>
  <si>
    <t>Vampire Academy</t>
  </si>
  <si>
    <t>Brick Mansions</t>
  </si>
  <si>
    <t>Kingdom: Ashin of the North</t>
  </si>
  <si>
    <t>Andaz Apna Apna</t>
  </si>
  <si>
    <t>Emicida: AmarElo - It's All for Yesterday</t>
  </si>
  <si>
    <t>Blue Miracle</t>
  </si>
  <si>
    <t>Holding the Man</t>
  </si>
  <si>
    <t>Small Town Crime</t>
  </si>
  <si>
    <t>Ek Ladki Ko Dekha Toh Aisa Laga</t>
  </si>
  <si>
    <t>First They Killed My Father</t>
  </si>
  <si>
    <t>Rising Phoenix</t>
  </si>
  <si>
    <t>The Wolf's Call</t>
  </si>
  <si>
    <t>Paan Singh Tomar</t>
  </si>
  <si>
    <t>John Mulaney &amp; The Sack Lunch Bunch</t>
  </si>
  <si>
    <t>Seventh Son</t>
  </si>
  <si>
    <t>The Death of Mr. Lazarescu</t>
  </si>
  <si>
    <t>The Occupant</t>
  </si>
  <si>
    <t>The Body Remembers When the World Broke Open</t>
  </si>
  <si>
    <t>The Woman in the Window</t>
  </si>
  <si>
    <t>Berlin Syndrome</t>
  </si>
  <si>
    <t>What the Health</t>
  </si>
  <si>
    <t>The Runaways</t>
  </si>
  <si>
    <t>Kodachrome</t>
  </si>
  <si>
    <t>Croupier</t>
  </si>
  <si>
    <t>The Smurfs</t>
  </si>
  <si>
    <t>Muppets Most Wanted</t>
  </si>
  <si>
    <t>Creep 2</t>
  </si>
  <si>
    <t>Mandela: Long Walk to Freedom</t>
  </si>
  <si>
    <t>66/100</t>
  </si>
  <si>
    <t>Toilet: A Love Story</t>
  </si>
  <si>
    <t>The Square</t>
  </si>
  <si>
    <t>Jerry Seinfeld: I'm Telling You for the Last Time</t>
  </si>
  <si>
    <t>Roxanne, Roxanne</t>
  </si>
  <si>
    <t>Riphagen The Untouchable</t>
  </si>
  <si>
    <t>Dear Zindagi</t>
  </si>
  <si>
    <t>Vizontele</t>
  </si>
  <si>
    <t>Good on Paper</t>
  </si>
  <si>
    <t>Ophelia</t>
  </si>
  <si>
    <t>Black Sea</t>
  </si>
  <si>
    <t>Girl</t>
  </si>
  <si>
    <t>Irreplaceable You</t>
  </si>
  <si>
    <t>The Do-Over</t>
  </si>
  <si>
    <t>Metallica: Some Kind of Monster</t>
  </si>
  <si>
    <t>Handsome Devil</t>
  </si>
  <si>
    <t>Unfriended</t>
  </si>
  <si>
    <t>Visaranai</t>
  </si>
  <si>
    <t>Been So Long</t>
  </si>
  <si>
    <t>Yes Day</t>
  </si>
  <si>
    <t>Blood Red Sky</t>
  </si>
  <si>
    <t>The Bleeding Edge</t>
  </si>
  <si>
    <t>Tread</t>
  </si>
  <si>
    <t>Berserk: The Golden Age Arc II - The Battle for Doldrey</t>
  </si>
  <si>
    <t>Kevin Hart: Irresponsible</t>
  </si>
  <si>
    <t>In the Tall Grass</t>
  </si>
  <si>
    <t>Wadjda</t>
  </si>
  <si>
    <t>Ferry</t>
  </si>
  <si>
    <t>The Heartbreak Kid</t>
  </si>
  <si>
    <t>Fools Rush In</t>
  </si>
  <si>
    <t>Wild Child</t>
  </si>
  <si>
    <t>The Lovebirds</t>
  </si>
  <si>
    <t>Machete Kills</t>
  </si>
  <si>
    <t>Sergio</t>
  </si>
  <si>
    <t>The Last Letter From Your Lover</t>
  </si>
  <si>
    <t>Kursk</t>
  </si>
  <si>
    <t>Then Came You</t>
  </si>
  <si>
    <t>Gantz:O</t>
  </si>
  <si>
    <t>Jenny Slate: Stage Fright</t>
  </si>
  <si>
    <t>Taylor Swift: Reputation Stadium Tour</t>
  </si>
  <si>
    <t>Jodhaa Akbar</t>
  </si>
  <si>
    <t>Red Joan</t>
  </si>
  <si>
    <t>Amateur</t>
  </si>
  <si>
    <t>What a Girl Wants</t>
  </si>
  <si>
    <t>Quigley Down Under</t>
  </si>
  <si>
    <t>Cop Out</t>
  </si>
  <si>
    <t>Mindhorn</t>
  </si>
  <si>
    <t>Katt Williams: Great America</t>
  </si>
  <si>
    <t>Lingua Franca</t>
  </si>
  <si>
    <t>Abduction</t>
  </si>
  <si>
    <t>Copenhagen</t>
  </si>
  <si>
    <t>High Flying Bird</t>
  </si>
  <si>
    <t>Free to Play</t>
  </si>
  <si>
    <t>Life of Crime</t>
  </si>
  <si>
    <t>A Very Murray Christmas</t>
  </si>
  <si>
    <t>The Silence</t>
  </si>
  <si>
    <t>65/100</t>
  </si>
  <si>
    <t>Sarah's Key</t>
  </si>
  <si>
    <t>Abducted in Plain Sight</t>
  </si>
  <si>
    <t>Winchester</t>
  </si>
  <si>
    <t>Our Souls at Night</t>
  </si>
  <si>
    <t>The Karate Kid Part III</t>
  </si>
  <si>
    <t>Haseen Dillruba</t>
  </si>
  <si>
    <t>SampleThis</t>
  </si>
  <si>
    <t>Bride of Chucky</t>
  </si>
  <si>
    <t>Christine</t>
  </si>
  <si>
    <t>Secret Superstar</t>
  </si>
  <si>
    <t>The Lonely Island Presents: The Unauthorized Bash Brothers Experience</t>
  </si>
  <si>
    <t>WHAT DID JACK DO?</t>
  </si>
  <si>
    <t>Blue Jay</t>
  </si>
  <si>
    <t>Deidra &amp; Laney Rob a Train</t>
  </si>
  <si>
    <t>Hari Kondabolu: Warn Your Relatives</t>
  </si>
  <si>
    <t>Close</t>
  </si>
  <si>
    <t>Sir</t>
  </si>
  <si>
    <t>Congo</t>
  </si>
  <si>
    <t>The Prom</t>
  </si>
  <si>
    <t>Naruto Shippuden the Movie</t>
  </si>
  <si>
    <t>The Bling Ring</t>
  </si>
  <si>
    <t>Greater</t>
  </si>
  <si>
    <t>Neal Brennan: 3 Mics</t>
  </si>
  <si>
    <t>In the Family</t>
  </si>
  <si>
    <t>The Awakening of Motti Wolkenbruch</t>
  </si>
  <si>
    <t>Beats</t>
  </si>
  <si>
    <t>Lost Girls</t>
  </si>
  <si>
    <t>The Witch: Part 1. The Subversion</t>
  </si>
  <si>
    <t>Don</t>
  </si>
  <si>
    <t>A Little Chaos</t>
  </si>
  <si>
    <t>Dennis the Menace</t>
  </si>
  <si>
    <t>iBoy</t>
  </si>
  <si>
    <t>Rush: Beyond The Lighted Stage</t>
  </si>
  <si>
    <t>See You Yesterday</t>
  </si>
  <si>
    <t>Metallica: Through the Never</t>
  </si>
  <si>
    <t>Xtreme</t>
  </si>
  <si>
    <t>Beyond the Clouds</t>
  </si>
  <si>
    <t>Two Distant Strangers</t>
  </si>
  <si>
    <t>Bert Kreischer: Secret Time</t>
  </si>
  <si>
    <t>To All the Boys: Always and Forever</t>
  </si>
  <si>
    <t>Breaking Boundaries: The Science of Our Planet</t>
  </si>
  <si>
    <t>Yes, God, Yes</t>
  </si>
  <si>
    <t>The Long Riders</t>
  </si>
  <si>
    <t>Shepherds and Butchers</t>
  </si>
  <si>
    <t>Big Miracle</t>
  </si>
  <si>
    <t>Gunjan Saxena: The Kargil Girl</t>
  </si>
  <si>
    <t>The Invisible Guardian</t>
  </si>
  <si>
    <t>Cop Car</t>
  </si>
  <si>
    <t>Main Hoon Na</t>
  </si>
  <si>
    <t>Last Breath</t>
  </si>
  <si>
    <t>The Stepfather</t>
  </si>
  <si>
    <t>Joe Rogan: Strange Times</t>
  </si>
  <si>
    <t>The Sweetest Thing</t>
  </si>
  <si>
    <t>Dil Se..</t>
  </si>
  <si>
    <t>Thunder Force</t>
  </si>
  <si>
    <t>The Ivory Game</t>
  </si>
  <si>
    <t>Otherhood</t>
  </si>
  <si>
    <t>Space Sweepers</t>
  </si>
  <si>
    <t>The Prince &amp; Me</t>
  </si>
  <si>
    <t>For the Love of Spock</t>
  </si>
  <si>
    <t>The Green Inferno</t>
  </si>
  <si>
    <t>64/100</t>
  </si>
  <si>
    <t>A Babysitter's Guide to Monster Hunting</t>
  </si>
  <si>
    <t>Fantastic Fungi</t>
  </si>
  <si>
    <t>West Beirut</t>
  </si>
  <si>
    <t>He Never Died</t>
  </si>
  <si>
    <t>The Nut Job</t>
  </si>
  <si>
    <t>Unicorn Store</t>
  </si>
  <si>
    <t>Alex Strangelove</t>
  </si>
  <si>
    <t>Naruto Shippuden the Movie: The Will of Fire</t>
  </si>
  <si>
    <t>David Foster: Off the Record</t>
  </si>
  <si>
    <t>Pihu</t>
  </si>
  <si>
    <t>American Me</t>
  </si>
  <si>
    <t>The Christmas Chronicles: Part Two</t>
  </si>
  <si>
    <t>Sinister 2</t>
  </si>
  <si>
    <t>Don't Go Breaking My Heart</t>
  </si>
  <si>
    <t>Black '47</t>
  </si>
  <si>
    <t>Mute</t>
  </si>
  <si>
    <t>Crouching Tiger, Hidden Dragon: Sword of Destiny</t>
  </si>
  <si>
    <t>The Ottoman Lieutenant</t>
  </si>
  <si>
    <t>Teefa in Trouble</t>
  </si>
  <si>
    <t>David Cross: Making America Great Again</t>
  </si>
  <si>
    <t>The Last Days</t>
  </si>
  <si>
    <t>Fred Claus</t>
  </si>
  <si>
    <t>Sierra Burgess Is a Loser</t>
  </si>
  <si>
    <t>Pariah</t>
  </si>
  <si>
    <t>Cam</t>
  </si>
  <si>
    <t>The Boys in the Band</t>
  </si>
  <si>
    <t>Kai Po Che!</t>
  </si>
  <si>
    <t>The Tree of Blood</t>
  </si>
  <si>
    <t>Magic Carpet Ride</t>
  </si>
  <si>
    <t>A Sun</t>
  </si>
  <si>
    <t>The Mirror Has Two Faces</t>
  </si>
  <si>
    <t>The Skin of the Wolf</t>
  </si>
  <si>
    <t>Come Sunday</t>
  </si>
  <si>
    <t>The Forty-Year-Old Version</t>
  </si>
  <si>
    <t>Eli</t>
  </si>
  <si>
    <t>Naruto the Movie: Ninja Clash in the Land of Snow</t>
  </si>
  <si>
    <t>Tony Robbins: I Am Not Your Guru</t>
  </si>
  <si>
    <t>Good Burger</t>
  </si>
  <si>
    <t>Jimmy Neutron: Boy Genius</t>
  </si>
  <si>
    <t>American Son</t>
  </si>
  <si>
    <t>The Call</t>
  </si>
  <si>
    <t>Nights in Rodanthe</t>
  </si>
  <si>
    <t>Dick Johnson Is Dead</t>
  </si>
  <si>
    <t>Maps to the Stars</t>
  </si>
  <si>
    <t>The Hows of Us</t>
  </si>
  <si>
    <t>Mimi</t>
  </si>
  <si>
    <t>100 Meters</t>
  </si>
  <si>
    <t>The Death and Life of Marsha P. Johnson</t>
  </si>
  <si>
    <t>No Game No Life: Zero</t>
  </si>
  <si>
    <t>Taylor Tomlinson: Quarter-Life Crisis</t>
  </si>
  <si>
    <t>All Day and a Night</t>
  </si>
  <si>
    <t>Ali Wong: Baby Cobra</t>
  </si>
  <si>
    <t>Parmanu: The Story of Pokhran</t>
  </si>
  <si>
    <t>The Incredible Jessica James</t>
  </si>
  <si>
    <t>The Happytime Murders</t>
  </si>
  <si>
    <t>The Strangers: Prey at Night</t>
  </si>
  <si>
    <t>Cradle 2 the Grave</t>
  </si>
  <si>
    <t>Jim Gaffigan: King Baby</t>
  </si>
  <si>
    <t>Rust Creek</t>
  </si>
  <si>
    <t>The Smurfs 2</t>
  </si>
  <si>
    <t>Asmaa</t>
  </si>
  <si>
    <t>Rock On!!</t>
  </si>
  <si>
    <t>Fishermanâ€™s Friends</t>
  </si>
  <si>
    <t>Avengement</t>
  </si>
  <si>
    <t>Other People</t>
  </si>
  <si>
    <t>Kicking and Screaming</t>
  </si>
  <si>
    <t>Tamasha</t>
  </si>
  <si>
    <t>The Meddler</t>
  </si>
  <si>
    <t>White Girl</t>
  </si>
  <si>
    <t>Below Zero</t>
  </si>
  <si>
    <t>The Climb</t>
  </si>
  <si>
    <t>The Rachel Divide</t>
  </si>
  <si>
    <t>1000 Mabrouk</t>
  </si>
  <si>
    <t>Undefeated</t>
  </si>
  <si>
    <t>Lying and Stealing</t>
  </si>
  <si>
    <t>Who Would You Take to a Deserted Island?</t>
  </si>
  <si>
    <t>Richard Pryor: Live in Concert</t>
  </si>
  <si>
    <t>Om Shanti Om</t>
  </si>
  <si>
    <t>63/100</t>
  </si>
  <si>
    <t>Year One</t>
  </si>
  <si>
    <t>Waiting for "Superman"</t>
  </si>
  <si>
    <t>Andhaghaaram</t>
  </si>
  <si>
    <t>Hop</t>
  </si>
  <si>
    <t>Coming Soon</t>
  </si>
  <si>
    <t>The Rugrats Movie</t>
  </si>
  <si>
    <t>Jingle Jangle: A Christmas Journey</t>
  </si>
  <si>
    <t>Mission Blue</t>
  </si>
  <si>
    <t>Beverly Hills Ninja</t>
  </si>
  <si>
    <t>In a Valley of Violence</t>
  </si>
  <si>
    <t>The Battered Bastards of Baseball</t>
  </si>
  <si>
    <t>Inhuman Kiss</t>
  </si>
  <si>
    <t>The Motive</t>
  </si>
  <si>
    <t>Lust Stories</t>
  </si>
  <si>
    <t>Beyond Skyline</t>
  </si>
  <si>
    <t>Holiday in the Wild</t>
  </si>
  <si>
    <t>Umrika</t>
  </si>
  <si>
    <t>The Seven Deadly Sins: Prisoners of the Sky</t>
  </si>
  <si>
    <t>Long Shot</t>
  </si>
  <si>
    <t>Dev.D</t>
  </si>
  <si>
    <t>Judd Apatow: The Return</t>
  </si>
  <si>
    <t>Jaane Tu... Ya Jaane Na</t>
  </si>
  <si>
    <t>Escape from Planet Earth</t>
  </si>
  <si>
    <t>Aziz Ansari: Live at Madison Square Garden</t>
  </si>
  <si>
    <t>Yours, Mine &amp; Ours</t>
  </si>
  <si>
    <t>Bully</t>
  </si>
  <si>
    <t>Sleight</t>
  </si>
  <si>
    <t>The Hummingbird Project</t>
  </si>
  <si>
    <t>Game Over, Man!</t>
  </si>
  <si>
    <t>Edge of Seventeen</t>
  </si>
  <si>
    <t>A Christmas Prince: The Royal Wedding</t>
  </si>
  <si>
    <t>American Outlaws</t>
  </si>
  <si>
    <t>Jim Jefferies: Bare</t>
  </si>
  <si>
    <t>Wake Up Sid</t>
  </si>
  <si>
    <t>Bill Hicks: Relentless</t>
  </si>
  <si>
    <t>Mary Magdalene</t>
  </si>
  <si>
    <t>BLACKPINK: Light Up the Sky</t>
  </si>
  <si>
    <t>Madras Cafe</t>
  </si>
  <si>
    <t>Berlin Calling</t>
  </si>
  <si>
    <t>The Titan</t>
  </si>
  <si>
    <t>I Am Not an Easy Man</t>
  </si>
  <si>
    <t>Love Off the Cuff</t>
  </si>
  <si>
    <t>Child's Play 3</t>
  </si>
  <si>
    <t>Rugrats in Paris: The Movie</t>
  </si>
  <si>
    <t>Naruto Shippuden the Movie: Bonds</t>
  </si>
  <si>
    <t>Heneral Luna</t>
  </si>
  <si>
    <t>Delhi Belly</t>
  </si>
  <si>
    <t>Armed to the Teeth</t>
  </si>
  <si>
    <t>I Am All Girls</t>
  </si>
  <si>
    <t>Jagame Thandhiram</t>
  </si>
  <si>
    <t>Master Z: Ip Man Legacy</t>
  </si>
  <si>
    <t>Hubie Halloween</t>
  </si>
  <si>
    <t>Naruto Shippuden the Movie: Blood Prison</t>
  </si>
  <si>
    <t>Awake</t>
  </si>
  <si>
    <t>Bulbbul</t>
  </si>
  <si>
    <t>Malcolm &amp; Marie</t>
  </si>
  <si>
    <t>Fukrey</t>
  </si>
  <si>
    <t>Furie</t>
  </si>
  <si>
    <t>The Blue Elephant Part 2</t>
  </si>
  <si>
    <t>Orbiter 9</t>
  </si>
  <si>
    <t>Awe!</t>
  </si>
  <si>
    <t>Our Lovers</t>
  </si>
  <si>
    <t>Newness</t>
  </si>
  <si>
    <t>Freak Show</t>
  </si>
  <si>
    <t>Black or White</t>
  </si>
  <si>
    <t>Everybody's Everything</t>
  </si>
  <si>
    <t>The Darkest Hour</t>
  </si>
  <si>
    <t>Headshot</t>
  </si>
  <si>
    <t>Ratchet &amp; Clank</t>
  </si>
  <si>
    <t>Blind Detective</t>
  </si>
  <si>
    <t>Capital in the Twenty-First Century</t>
  </si>
  <si>
    <t>Rim of the World</t>
  </si>
  <si>
    <t>America: The Motion Picture</t>
  </si>
  <si>
    <t>The Princess Switch</t>
  </si>
  <si>
    <t>Belgica</t>
  </si>
  <si>
    <t>Pyaar Ka Punchnama 2</t>
  </si>
  <si>
    <t>Love Jones</t>
  </si>
  <si>
    <t>Kevin Hart: Seriously Funny</t>
  </si>
  <si>
    <t>Violet Evergarden: Eternity and the Auto Memory Doll</t>
  </si>
  <si>
    <t>Little Monsters</t>
  </si>
  <si>
    <t>Mucize</t>
  </si>
  <si>
    <t>Playing for Keeps</t>
  </si>
  <si>
    <t>62/100</t>
  </si>
  <si>
    <t>#Alive</t>
  </si>
  <si>
    <t>Finding 'Ohana</t>
  </si>
  <si>
    <t>Three</t>
  </si>
  <si>
    <t>Aziz Ansari: Right Now</t>
  </si>
  <si>
    <t>Bill Hicks: Revelations</t>
  </si>
  <si>
    <t>Love Happens</t>
  </si>
  <si>
    <t>The Wind</t>
  </si>
  <si>
    <t>Habibie &amp; Ainun</t>
  </si>
  <si>
    <t>Feel the Beat</t>
  </si>
  <si>
    <t>Hotel for Dogs</t>
  </si>
  <si>
    <t>Silver Skates</t>
  </si>
  <si>
    <t>Elizabeth Harvest</t>
  </si>
  <si>
    <t>Joseph: King of Dreams</t>
  </si>
  <si>
    <t>Choked: Paisa Bolta Hai</t>
  </si>
  <si>
    <t>Carrie Pilby</t>
  </si>
  <si>
    <t>Blame!</t>
  </si>
  <si>
    <t>Ala Vaikunthapurramuloo</t>
  </si>
  <si>
    <t>The Operative</t>
  </si>
  <si>
    <t>PelÃ©</t>
  </si>
  <si>
    <t>Little Evil</t>
  </si>
  <si>
    <t>Mersal</t>
  </si>
  <si>
    <t>Hannah Gadsby: Douglas</t>
  </si>
  <si>
    <t>Operation Christmas Drop</t>
  </si>
  <si>
    <t>PokÃ©mon the Movie: I Choose You!</t>
  </si>
  <si>
    <t>Sweetheart</t>
  </si>
  <si>
    <t>Delirium</t>
  </si>
  <si>
    <t>The Bar</t>
  </si>
  <si>
    <t>Herod's Law</t>
  </si>
  <si>
    <t>A Princess for Christmas</t>
  </si>
  <si>
    <t>Triple Threat</t>
  </si>
  <si>
    <t>Kevin Hart: What Now?</t>
  </si>
  <si>
    <t>Goon: Last of the Enforcers</t>
  </si>
  <si>
    <t>The Unknown Known</t>
  </si>
  <si>
    <t>The Paramedic</t>
  </si>
  <si>
    <t>Yuva</t>
  </si>
  <si>
    <t>Can't Help Falling in Love</t>
  </si>
  <si>
    <t>Sandy Wexler</t>
  </si>
  <si>
    <t>Nothing to Hide</t>
  </si>
  <si>
    <t>Sad Hill Unearthed</t>
  </si>
  <si>
    <t>How I Became a Superhero</t>
  </si>
  <si>
    <t>Isi &amp; Ossi</t>
  </si>
  <si>
    <t>Naruto Shippuden the Movie: The Lost Tower</t>
  </si>
  <si>
    <t>Trailer Park Boys: The Movie</t>
  </si>
  <si>
    <t>The Ridiculous 6</t>
  </si>
  <si>
    <t>Sword of Trust</t>
  </si>
  <si>
    <t>Bad Seeds</t>
  </si>
  <si>
    <t>Wildling</t>
  </si>
  <si>
    <t>Uyare</t>
  </si>
  <si>
    <t>Christmas Inheritance</t>
  </si>
  <si>
    <t>Chopsticks</t>
  </si>
  <si>
    <t>2 Hearts</t>
  </si>
  <si>
    <t>The Night Clerk</t>
  </si>
  <si>
    <t>Kevin Hart: I'm a Grown Little Man</t>
  </si>
  <si>
    <t>Work It</t>
  </si>
  <si>
    <t>Domestic Disturbance</t>
  </si>
  <si>
    <t>Gimme Shelter</t>
  </si>
  <si>
    <t>My Beautiful Broken Brain</t>
  </si>
  <si>
    <t>Bill Burr: Walk Your Way Out</t>
  </si>
  <si>
    <t>Minimalism: A Documentary About the Important Things</t>
  </si>
  <si>
    <t>Toc Toc</t>
  </si>
  <si>
    <t>Secret Magic Control Agency</t>
  </si>
  <si>
    <t>The Three Deaths of Marisela Escobedo</t>
  </si>
  <si>
    <t>Message from the King</t>
  </si>
  <si>
    <t>Falling Inn Love</t>
  </si>
  <si>
    <t>Demetri Martin: The Overthinker</t>
  </si>
  <si>
    <t>Nayattu</t>
  </si>
  <si>
    <t>61/100</t>
  </si>
  <si>
    <t>Cairo Station</t>
  </si>
  <si>
    <t>No Longer kids</t>
  </si>
  <si>
    <t>Demonic</t>
  </si>
  <si>
    <t>Wine Country</t>
  </si>
  <si>
    <t>The Fury of a Patient Man</t>
  </si>
  <si>
    <t>4 latas</t>
  </si>
  <si>
    <t>The Last Summer</t>
  </si>
  <si>
    <t>Jeff Dunham: Arguing with Myself</t>
  </si>
  <si>
    <t>Initial D</t>
  </si>
  <si>
    <t>In Darkness</t>
  </si>
  <si>
    <t>Mike Birbiglia: My Girlfriend's Boyfriend</t>
  </si>
  <si>
    <t>Seth Meyers: Lobby Baby</t>
  </si>
  <si>
    <t>Audrey</t>
  </si>
  <si>
    <t>I'm No Longer Here</t>
  </si>
  <si>
    <t>Bad Day for the Cut</t>
  </si>
  <si>
    <t>The Other Side of the Wind</t>
  </si>
  <si>
    <t>Best Wishes, Warmest Regards: A Schitt's Creek Farewell</t>
  </si>
  <si>
    <t>Modest Heroes</t>
  </si>
  <si>
    <t>Bennett's War</t>
  </si>
  <si>
    <t>Seed of Chucky</t>
  </si>
  <si>
    <t>Welcome Home</t>
  </si>
  <si>
    <t>1BR</t>
  </si>
  <si>
    <t>The Debt Collector</t>
  </si>
  <si>
    <t>Happy New Year</t>
  </si>
  <si>
    <t>Katt Williams: The Pimp Chronicles Pt. 1</t>
  </si>
  <si>
    <t>The Last Blockbuster</t>
  </si>
  <si>
    <t>Acts of Vengeance</t>
  </si>
  <si>
    <t>Mandela</t>
  </si>
  <si>
    <t>Calm with Horses</t>
  </si>
  <si>
    <t>A Haunted House 2</t>
  </si>
  <si>
    <t>Giant</t>
  </si>
  <si>
    <t>Dancing with the Birds</t>
  </si>
  <si>
    <t>Guzaarish</t>
  </si>
  <si>
    <t>The Seventh Day</t>
  </si>
  <si>
    <t>Chris Rock: Tamborine</t>
  </si>
  <si>
    <t>6 Bullets</t>
  </si>
  <si>
    <t>Shimmer Lake</t>
  </si>
  <si>
    <t>Altered Carbon: Resleeved</t>
  </si>
  <si>
    <t>I Am the Pretty Thing That Lives in the House</t>
  </si>
  <si>
    <t>Don't Listen</t>
  </si>
  <si>
    <t>The International</t>
  </si>
  <si>
    <t>The Last Airbender</t>
  </si>
  <si>
    <t>Things Heard &amp; Seen</t>
  </si>
  <si>
    <t>Life 2.0</t>
  </si>
  <si>
    <t>Fighting</t>
  </si>
  <si>
    <t>Wanda Sykes: Not Normal</t>
  </si>
  <si>
    <t>Studio 54</t>
  </si>
  <si>
    <t>Best of the Best</t>
  </si>
  <si>
    <t>Incarnate</t>
  </si>
  <si>
    <t>Raman Raghav 2.0</t>
  </si>
  <si>
    <t>Steel Rain</t>
  </si>
  <si>
    <t>Jim Gaffigan: Beyond the Pale</t>
  </si>
  <si>
    <t>Ajji</t>
  </si>
  <si>
    <t>The Legend of Bhagat Singh</t>
  </si>
  <si>
    <t>Hell Fest</t>
  </si>
  <si>
    <t>Oththa Seruppu Size 7</t>
  </si>
  <si>
    <t>Wasp Network</t>
  </si>
  <si>
    <t>Monster</t>
  </si>
  <si>
    <t>Kaminey</t>
  </si>
  <si>
    <t>Hasee Toh Phasee</t>
  </si>
  <si>
    <t>A Plastic Ocean</t>
  </si>
  <si>
    <t>Naruto the Movie: Legend of the Stone of Gelel</t>
  </si>
  <si>
    <t>Shrek the Musical</t>
  </si>
  <si>
    <t>Maximum Risk</t>
  </si>
  <si>
    <t>True Memoirs of an International Assassin</t>
  </si>
  <si>
    <t>Animal World</t>
  </si>
  <si>
    <t>Sightless</t>
  </si>
  <si>
    <t>Red Dot</t>
  </si>
  <si>
    <t>Tom Segura: Ball Hog</t>
  </si>
  <si>
    <t>Earthquake Bird</t>
  </si>
  <si>
    <t>Your Name Engraved Herein</t>
  </si>
  <si>
    <t>Skater Girl</t>
  </si>
  <si>
    <t>Bhavesh Joshi Superhero</t>
  </si>
  <si>
    <t>5 Flights Up</t>
  </si>
  <si>
    <t>60/100</t>
  </si>
  <si>
    <t>Murder by the Coast</t>
  </si>
  <si>
    <t>Radio Rebel</t>
  </si>
  <si>
    <t>Crack: Cocaine, Corruption &amp; Conspiracy</t>
  </si>
  <si>
    <t>Bittersweet</t>
  </si>
  <si>
    <t>Rangoon</t>
  </si>
  <si>
    <t>How It Ends</t>
  </si>
  <si>
    <t>Arjun: The Warrior Prince</t>
  </si>
  <si>
    <t>Love per Square Foot</t>
  </si>
  <si>
    <t>Nail Bomber: Manhunt</t>
  </si>
  <si>
    <t>We the Animals</t>
  </si>
  <si>
    <t>Take the Ball, Pass the Ball</t>
  </si>
  <si>
    <t>Pee Mak Phrakanong</t>
  </si>
  <si>
    <t>Cut Bank</t>
  </si>
  <si>
    <t>Gabbar Is Back</t>
  </si>
  <si>
    <t>Pete Davidson: Alive from New York</t>
  </si>
  <si>
    <t>Boy Missing</t>
  </si>
  <si>
    <t>Sorry For Disturbing</t>
  </si>
  <si>
    <t>Advantageous</t>
  </si>
  <si>
    <t>David Brent: Life on the Road</t>
  </si>
  <si>
    <t>A Fall from Grace</t>
  </si>
  <si>
    <t>The Legacy of the Bones</t>
  </si>
  <si>
    <t>Luka Chuppi</t>
  </si>
  <si>
    <t>Ankhon Dekhi</t>
  </si>
  <si>
    <t>Polaroid</t>
  </si>
  <si>
    <t>Unbreakable Kimmy Schmidt: Kimmy vs. the Reverend</t>
  </si>
  <si>
    <t>Naruto the Movie: Guardians of the Crescent Moon Kingdom</t>
  </si>
  <si>
    <t>This Changes Everything</t>
  </si>
  <si>
    <t>Rebecca</t>
  </si>
  <si>
    <t>Take Your Pills</t>
  </si>
  <si>
    <t>Jim Jefferies: Freedumb</t>
  </si>
  <si>
    <t>The African Doctor</t>
  </si>
  <si>
    <t>Secrets of the Saqqara Tomb</t>
  </si>
  <si>
    <t>Jim Gaffigan: Mr. Universe</t>
  </si>
  <si>
    <t>The Reason I Jump</t>
  </si>
  <si>
    <t>Retablo</t>
  </si>
  <si>
    <t>Aamir</t>
  </si>
  <si>
    <t>YucatÃ¡n</t>
  </si>
  <si>
    <t>Opening Night</t>
  </si>
  <si>
    <t>AK vs AK</t>
  </si>
  <si>
    <t>My Ex &amp; Whys</t>
  </si>
  <si>
    <t>Rogue City</t>
  </si>
  <si>
    <t>Dragon Quest: Your Story</t>
  </si>
  <si>
    <t>Full Out</t>
  </si>
  <si>
    <t>Welcome</t>
  </si>
  <si>
    <t>Rose Island</t>
  </si>
  <si>
    <t>Paheli</t>
  </si>
  <si>
    <t>Echo in the Canyon</t>
  </si>
  <si>
    <t>The Wedding Guest</t>
  </si>
  <si>
    <t>Malevolent</t>
  </si>
  <si>
    <t>Donald Glover: Weirdo</t>
  </si>
  <si>
    <t>Jim Gaffigan: Obsessed</t>
  </si>
  <si>
    <t>We Have Always Lived in the Castle</t>
  </si>
  <si>
    <t>The Coldest Game</t>
  </si>
  <si>
    <t>The Perfect Dictatorship</t>
  </si>
  <si>
    <t>La tribu</t>
  </si>
  <si>
    <t>Good Hair</t>
  </si>
  <si>
    <t>I Am Divine</t>
  </si>
  <si>
    <t>The Secret</t>
  </si>
  <si>
    <t>Paper Lives</t>
  </si>
  <si>
    <t>The Knight Before Christmas</t>
  </si>
  <si>
    <t>Biggie: I Got a Story to Tell</t>
  </si>
  <si>
    <t>Race</t>
  </si>
  <si>
    <t>Seventeen</t>
  </si>
  <si>
    <t>Concrete Cowboy</t>
  </si>
  <si>
    <t>W.E.</t>
  </si>
  <si>
    <t>Aziz Ansari: Buried Alive</t>
  </si>
  <si>
    <t>Judah Friedlander: America Is the Greatest Country in the United States</t>
  </si>
  <si>
    <t>Into the Grizzly Maze</t>
  </si>
  <si>
    <t>The Vanished</t>
  </si>
  <si>
    <t>Buster's Mal Heart</t>
  </si>
  <si>
    <t>Dangerous Lies</t>
  </si>
  <si>
    <t>Blaze</t>
  </si>
  <si>
    <t>The Book of Sun</t>
  </si>
  <si>
    <t>Chalte Chalte</t>
  </si>
  <si>
    <t>The Week Of</t>
  </si>
  <si>
    <t>Tom Segura: Mostly Stories</t>
  </si>
  <si>
    <t>Security</t>
  </si>
  <si>
    <t>Untamed Romania</t>
  </si>
  <si>
    <t>Angel Eyes</t>
  </si>
  <si>
    <t>Hostel: Part III</t>
  </si>
  <si>
    <t>What Keeps You Alive</t>
  </si>
  <si>
    <t>Cinema Bandi</t>
  </si>
  <si>
    <t>Ghosts of War</t>
  </si>
  <si>
    <t>The Wild Thornberrys Movie</t>
  </si>
  <si>
    <t>Inside Man: Most Wanted</t>
  </si>
  <si>
    <t>Kabhi Haan Kabhi Naa</t>
  </si>
  <si>
    <t>Illang: The Wolf Brigade</t>
  </si>
  <si>
    <t>Night in Paradise</t>
  </si>
  <si>
    <t>The Ballad of Lefty Brown</t>
  </si>
  <si>
    <t>Rodney King</t>
  </si>
  <si>
    <t>Tune in for Love</t>
  </si>
  <si>
    <t>Semana Santa</t>
  </si>
  <si>
    <t>Jimmy Carr: Funny Business</t>
  </si>
  <si>
    <t>Trevor Noah: Son of Patricia</t>
  </si>
  <si>
    <t>The History of Future Folk</t>
  </si>
  <si>
    <t>Romeo Akbar Walter</t>
  </si>
  <si>
    <t>Nobody Sleeps in the Woods Tonight</t>
  </si>
  <si>
    <t>59/100</t>
  </si>
  <si>
    <t>Bon Cop Bad Cop</t>
  </si>
  <si>
    <t>IO</t>
  </si>
  <si>
    <t>My Little Pony: Best Gift Ever</t>
  </si>
  <si>
    <t>Casting JonBenet</t>
  </si>
  <si>
    <t>For Here or to Go?</t>
  </si>
  <si>
    <t>Term Life</t>
  </si>
  <si>
    <t>Merku Thodarchi Malai</t>
  </si>
  <si>
    <t>Outside In</t>
  </si>
  <si>
    <t>El Camino Christmas</t>
  </si>
  <si>
    <t>ariana grande: excuse me, i love you</t>
  </si>
  <si>
    <t>Stephanie</t>
  </si>
  <si>
    <t>Benji</t>
  </si>
  <si>
    <t>3 Generations</t>
  </si>
  <si>
    <t>Never Back Down 2: The Beatdown</t>
  </si>
  <si>
    <t>Bill Hicks: Sane Man</t>
  </si>
  <si>
    <t>Hampstead</t>
  </si>
  <si>
    <t>Zach Galifianakis: Live at the Purple Onion</t>
  </si>
  <si>
    <t>Burn Out</t>
  </si>
  <si>
    <t>The Next Karate Kid</t>
  </si>
  <si>
    <t>Kung Fu Panda: Secrets of the Scroll</t>
  </si>
  <si>
    <t>Holy Camp!</t>
  </si>
  <si>
    <t>Bleach the Movie: Hell Verse</t>
  </si>
  <si>
    <t>Naomi and Ely's No Kiss List</t>
  </si>
  <si>
    <t>U Turn</t>
  </si>
  <si>
    <t>The 8th Night</t>
  </si>
  <si>
    <t>Time to Hunt</t>
  </si>
  <si>
    <t>The Soul</t>
  </si>
  <si>
    <t>Monty Python Live (Mostly)</t>
  </si>
  <si>
    <t>Extremis</t>
  </si>
  <si>
    <t>Joe Rogan: Triggered</t>
  </si>
  <si>
    <t>Trailer Park Boys: Countdown to Liquor Day</t>
  </si>
  <si>
    <t>Straight Up</t>
  </si>
  <si>
    <t>Wazir</t>
  </si>
  <si>
    <t>Vampires vs. the Bronx</t>
  </si>
  <si>
    <t>Rocko's Modern Life: Static Cling</t>
  </si>
  <si>
    <t>My Masterpiece</t>
  </si>
  <si>
    <t>Raajneeti</t>
  </si>
  <si>
    <t>Leslie Jones: Time Machine</t>
  </si>
  <si>
    <t>Hum Aapke Hain Koun..!</t>
  </si>
  <si>
    <t>Dragonheart: Vengeance</t>
  </si>
  <si>
    <t>Anthony Jeselnik: Fire in the Maternity Ward</t>
  </si>
  <si>
    <t>All Together Now</t>
  </si>
  <si>
    <t>The Fluffy Movie</t>
  </si>
  <si>
    <t>Population 436</t>
  </si>
  <si>
    <t>Bullet Head</t>
  </si>
  <si>
    <t>By the Sea</t>
  </si>
  <si>
    <t>Raat Akeli Hai</t>
  </si>
  <si>
    <t>The Darkness</t>
  </si>
  <si>
    <t>Tom Segura: Completely Normal</t>
  </si>
  <si>
    <t>The Present</t>
  </si>
  <si>
    <t>Dream/Killer</t>
  </si>
  <si>
    <t>Unknown Origins</t>
  </si>
  <si>
    <t>The Sleepover</t>
  </si>
  <si>
    <t>Qismat</t>
  </si>
  <si>
    <t>Skins</t>
  </si>
  <si>
    <t>K. D.</t>
  </si>
  <si>
    <t>Trevor Noah: Afraid of the Dark</t>
  </si>
  <si>
    <t>Haraamkhor</t>
  </si>
  <si>
    <t>Dil Dhadakne Do</t>
  </si>
  <si>
    <t>Revolt</t>
  </si>
  <si>
    <t>Ronny Chieng: Asian Comedian Destroys America!</t>
  </si>
  <si>
    <t>Gangaajal</t>
  </si>
  <si>
    <t>Why Do Fools Fall In Love</t>
  </si>
  <si>
    <t>Lovesong</t>
  </si>
  <si>
    <t>365 Days</t>
  </si>
  <si>
    <t>Unrest</t>
  </si>
  <si>
    <t>Starship Troopers: Traitor of Mars</t>
  </si>
  <si>
    <t>ShÃ©hÃ©razade</t>
  </si>
  <si>
    <t>Mine 9</t>
  </si>
  <si>
    <t>Jack Whitehall: At Large</t>
  </si>
  <si>
    <t>Power of Grayskull: The Definitive History of He-Man and the Masters of the Universe</t>
  </si>
  <si>
    <t>Mike Birbiglia: Thank God for Jokes</t>
  </si>
  <si>
    <t>The Lost Husband</t>
  </si>
  <si>
    <t>Blind Date</t>
  </si>
  <si>
    <t>Namastey London</t>
  </si>
  <si>
    <t>An Evening with Beverly Luff Linn</t>
  </si>
  <si>
    <t>K-ON! The Movie</t>
  </si>
  <si>
    <t>The Grizzlies</t>
  </si>
  <si>
    <t>No Escape Room</t>
  </si>
  <si>
    <t>Bayonet</t>
  </si>
  <si>
    <t>Dabbe: Cin Ã‡arpmasÄ±</t>
  </si>
  <si>
    <t>ReMastered: The Two Killings of Sam Cooke</t>
  </si>
  <si>
    <t>AÅ›oka</t>
  </si>
  <si>
    <t>Public Works</t>
  </si>
  <si>
    <t>The Eichmann Show</t>
  </si>
  <si>
    <t>Framing John DeLorean</t>
  </si>
  <si>
    <t>The Guide to the Perfect Family</t>
  </si>
  <si>
    <t>Search Party</t>
  </si>
  <si>
    <t>Nate Bargatze: The Greatest Average American</t>
  </si>
  <si>
    <t>Pagglait</t>
  </si>
  <si>
    <t>The Trailer Park Boys Xmas Special</t>
  </si>
  <si>
    <t>Operation Varsity Blues: The College Admissions Scandal</t>
  </si>
  <si>
    <t>Shaitan</t>
  </si>
  <si>
    <t>Phir Hera Pheri</t>
  </si>
  <si>
    <t>Children of the Sea</t>
  </si>
  <si>
    <t>She's Dating the Gangster</t>
  </si>
  <si>
    <t>Scary Movie 5</t>
  </si>
  <si>
    <t>A Perfect Ending</t>
  </si>
  <si>
    <t>Raising Victor Vargas</t>
  </si>
  <si>
    <t>A Land Imagined</t>
  </si>
  <si>
    <t>Pet Sematary II</t>
  </si>
  <si>
    <t>Zapped</t>
  </si>
  <si>
    <t>The Art of Loving: Story of Michalina Wislocka</t>
  </si>
  <si>
    <t>Michael Che Matters</t>
  </si>
  <si>
    <t>The Most Assassinated Woman in the World</t>
  </si>
  <si>
    <t>58/100</t>
  </si>
  <si>
    <t>Inuyasha the Movie 3: Swords of an Honorable Ruler</t>
  </si>
  <si>
    <t>Jim Jefferies: This Is Me Now</t>
  </si>
  <si>
    <t>Iron Sky: The Coming Race</t>
  </si>
  <si>
    <t>I Am Kalam</t>
  </si>
  <si>
    <t>Curtiz</t>
  </si>
  <si>
    <t>First Kill</t>
  </si>
  <si>
    <t>The World Is Yours</t>
  </si>
  <si>
    <t>Rize</t>
  </si>
  <si>
    <t>The Four Seasons</t>
  </si>
  <si>
    <t>Cloudburst</t>
  </si>
  <si>
    <t>Small Crimes</t>
  </si>
  <si>
    <t>Offering to the Storm</t>
  </si>
  <si>
    <t>Ali &amp; Ratu Ratu Queens</t>
  </si>
  <si>
    <t>Ultras</t>
  </si>
  <si>
    <t>6 Years</t>
  </si>
  <si>
    <t>Katherine Ryan: In Trouble</t>
  </si>
  <si>
    <t>Burning Cane</t>
  </si>
  <si>
    <t>Sarkar</t>
  </si>
  <si>
    <t>Bleach the Movie: Fade to Black</t>
  </si>
  <si>
    <t>Jailbreak</t>
  </si>
  <si>
    <t>Jackass Presents: Bad Grandpa .5</t>
  </si>
  <si>
    <t>The Crimes That Bind</t>
  </si>
  <si>
    <t>Lu Over the Wall</t>
  </si>
  <si>
    <t>Last Summer</t>
  </si>
  <si>
    <t>Us and Them</t>
  </si>
  <si>
    <t>Five Element Ninjas</t>
  </si>
  <si>
    <t>The House of Flowers: The Movie</t>
  </si>
  <si>
    <t>Trailer Park Boys: Say Goodnight to the Bad Guys</t>
  </si>
  <si>
    <t>Red</t>
  </si>
  <si>
    <t>Waist Deep</t>
  </si>
  <si>
    <t>Barbra: The Music ... The Mem'ries ... The Magic!</t>
  </si>
  <si>
    <t>Love Jacked</t>
  </si>
  <si>
    <t>Strange But True</t>
  </si>
  <si>
    <t>Keith Richards: Under the Influence</t>
  </si>
  <si>
    <t>The Late Bloomer</t>
  </si>
  <si>
    <t>Rock the Kasbah</t>
  </si>
  <si>
    <t>Crazy About Her</t>
  </si>
  <si>
    <t>All Good</t>
  </si>
  <si>
    <t>Death Race: Beyond Anarchy</t>
  </si>
  <si>
    <t>Inuyasha the Movie 2: The Castle Beyond the Looking Glass</t>
  </si>
  <si>
    <t>We Summon the Darkness</t>
  </si>
  <si>
    <t>Why Me?</t>
  </si>
  <si>
    <t>Billu</t>
  </si>
  <si>
    <t>PokÃ©mon: Mewtwo Strikes Back - Evolution</t>
  </si>
  <si>
    <t>Ride Like a Girl</t>
  </si>
  <si>
    <t>The Saint</t>
  </si>
  <si>
    <t>Atlas Shrugged: Part II</t>
  </si>
  <si>
    <t>Coven</t>
  </si>
  <si>
    <t>New Gods: Nezha Reborn</t>
  </si>
  <si>
    <t>Why Did You Kill Me?</t>
  </si>
  <si>
    <t>Pootie Tang</t>
  </si>
  <si>
    <t>Mary Kom</t>
  </si>
  <si>
    <t>Godzilla: City on the Edge of Battle</t>
  </si>
  <si>
    <t>My Mother's Wound</t>
  </si>
  <si>
    <t>Frank &amp; Lola</t>
  </si>
  <si>
    <t>End Game</t>
  </si>
  <si>
    <t>Trolls Holiday</t>
  </si>
  <si>
    <t>W. Kamau Bell: Private School Negro</t>
  </si>
  <si>
    <t>The Keeping Hours</t>
  </si>
  <si>
    <t>Hey Arnold! The Movie</t>
  </si>
  <si>
    <t>Chillar Party</t>
  </si>
  <si>
    <t>Tanu Weds Manu</t>
  </si>
  <si>
    <t>Ashin of the North</t>
  </si>
  <si>
    <t>Manto</t>
  </si>
  <si>
    <t>Singham</t>
  </si>
  <si>
    <t>Whisky</t>
  </si>
  <si>
    <t>Inuyasha the Movie: Affections Touching Across Time</t>
  </si>
  <si>
    <t>Piercing</t>
  </si>
  <si>
    <t>Ishqiya</t>
  </si>
  <si>
    <t>Mission Control: The Unsung Heroes of Apollo</t>
  </si>
  <si>
    <t>Effie Gray</t>
  </si>
  <si>
    <t>The Man Without Gravity</t>
  </si>
  <si>
    <t>Return to the 36th Chamber</t>
  </si>
  <si>
    <t>Sun Dogs</t>
  </si>
  <si>
    <t>Sweet &amp; Sour</t>
  </si>
  <si>
    <t>Truth or Dare</t>
  </si>
  <si>
    <t>Mucho Mucho Amor: The Legend of Walter Mercado</t>
  </si>
  <si>
    <t>Sky Tour: The Movie</t>
  </si>
  <si>
    <t>The Decline</t>
  </si>
  <si>
    <t>99 Songs</t>
  </si>
  <si>
    <t>One Day</t>
  </si>
  <si>
    <t>Rocky Handsome</t>
  </si>
  <si>
    <t>Deon Cole: Cole Hearted</t>
  </si>
  <si>
    <t>Ladies First</t>
  </si>
  <si>
    <t>Hello, Love, Goodbye</t>
  </si>
  <si>
    <t>Khoobsurat</t>
  </si>
  <si>
    <t>57/100</t>
  </si>
  <si>
    <t>Mascots</t>
  </si>
  <si>
    <t>Canvas</t>
  </si>
  <si>
    <t>Eric Andre: Legalize Everything</t>
  </si>
  <si>
    <t>Kingdom of Us</t>
  </si>
  <si>
    <t>Hitler: A Career</t>
  </si>
  <si>
    <t>The Disciple</t>
  </si>
  <si>
    <t>Jim Gaffigan: Cinco</t>
  </si>
  <si>
    <t>Mobile Suit Gundam: Hathaway</t>
  </si>
  <si>
    <t>Nas: Time Is Illmatic</t>
  </si>
  <si>
    <t>Jeff Dunham: Controlled Chaos</t>
  </si>
  <si>
    <t>Radium Girls</t>
  </si>
  <si>
    <t>Pachamama</t>
  </si>
  <si>
    <t>Do Dooni Chaar</t>
  </si>
  <si>
    <t>I Love You, Stupid</t>
  </si>
  <si>
    <t>Ari EldjÃ¡rn: Pardon My Icelandic</t>
  </si>
  <si>
    <t>Inuyasha the Movie 4: Fire on the Mystic Island</t>
  </si>
  <si>
    <t>Memories of a Teenager</t>
  </si>
  <si>
    <t>Still Smokin</t>
  </si>
  <si>
    <t>The Land</t>
  </si>
  <si>
    <t>The Black Godfather</t>
  </si>
  <si>
    <t>The Drug King</t>
  </si>
  <si>
    <t>Black Holes: The Edge of All We Know</t>
  </si>
  <si>
    <t>The Boy Who Cried Werewolf</t>
  </si>
  <si>
    <t>Killing Gunther</t>
  </si>
  <si>
    <t>Betty White: First Lady of Television</t>
  </si>
  <si>
    <t>Dilwale</t>
  </si>
  <si>
    <t>Get the Goat</t>
  </si>
  <si>
    <t>Bert Kreischer: Hey Big Boy</t>
  </si>
  <si>
    <t>Mubarakan</t>
  </si>
  <si>
    <t>The Lighthouse of the Orcas</t>
  </si>
  <si>
    <t>Take Me</t>
  </si>
  <si>
    <t>Sir! No Sir!</t>
  </si>
  <si>
    <t>The Young Messiah</t>
  </si>
  <si>
    <t>Mean Girls 2</t>
  </si>
  <si>
    <t>Marc Maron: Thinky Pain</t>
  </si>
  <si>
    <t>Dragons: Dawn Of The Dragon Racers</t>
  </si>
  <si>
    <t>Point Blank</t>
  </si>
  <si>
    <t>Aykut EniÅŸte</t>
  </si>
  <si>
    <t>Sentinelle</t>
  </si>
  <si>
    <t>SuperlÃ³pez</t>
  </si>
  <si>
    <t>Fatima</t>
  </si>
  <si>
    <t>Mobile Suit Gundam: Char's Counterattack</t>
  </si>
  <si>
    <t>A Cinderella Story: Christmas Wish</t>
  </si>
  <si>
    <t>Ready to Mingle</t>
  </si>
  <si>
    <t>The Girl King</t>
  </si>
  <si>
    <t>Battle</t>
  </si>
  <si>
    <t>Girl on the Third Floor</t>
  </si>
  <si>
    <t>Indian Horse</t>
  </si>
  <si>
    <t>All My Friends Are Dead</t>
  </si>
  <si>
    <t>Life in a Metro</t>
  </si>
  <si>
    <t>The Warning</t>
  </si>
  <si>
    <t>Kevin James: Sweat the Small Stuff</t>
  </si>
  <si>
    <t>Joy</t>
  </si>
  <si>
    <t>Bert Kreischer: The Machine</t>
  </si>
  <si>
    <t>Print the Legend</t>
  </si>
  <si>
    <t>LA Originals</t>
  </si>
  <si>
    <t>Sour Apples</t>
  </si>
  <si>
    <t>The Legend of Cocaine Island</t>
  </si>
  <si>
    <t>AdÃº</t>
  </si>
  <si>
    <t>Wedding Association</t>
  </si>
  <si>
    <t>Bliss</t>
  </si>
  <si>
    <t>Sudani from Nigeria</t>
  </si>
  <si>
    <t>Step Sisters</t>
  </si>
  <si>
    <t>Oye Lucky! Lucky Oye!</t>
  </si>
  <si>
    <t>Mr. Pig</t>
  </si>
  <si>
    <t>No One Killed Jessica</t>
  </si>
  <si>
    <t>Naked</t>
  </si>
  <si>
    <t>Animal Crackers</t>
  </si>
  <si>
    <t>Forensic</t>
  </si>
  <si>
    <t>Marc Maron: End Times Fun</t>
  </si>
  <si>
    <t>Svaha: The Sixth Finger</t>
  </si>
  <si>
    <t>American Pie Presents: Girls' Rules</t>
  </si>
  <si>
    <t>Candy Jar</t>
  </si>
  <si>
    <t>Harishchandrachi Factory</t>
  </si>
  <si>
    <t>Hunterrr</t>
  </si>
  <si>
    <t>The Breaker Upperers</t>
  </si>
  <si>
    <t>Snow Day</t>
  </si>
  <si>
    <t>A California Christmas</t>
  </si>
  <si>
    <t>XOXO</t>
  </si>
  <si>
    <t>Tremors: Shrieker Island</t>
  </si>
  <si>
    <t>I Am Woman</t>
  </si>
  <si>
    <t>The Outcasts</t>
  </si>
  <si>
    <t>Sebastian Maniscalco: What's Wrong with People?</t>
  </si>
  <si>
    <t>Desperados</t>
  </si>
  <si>
    <t>A Classic Horror Story</t>
  </si>
  <si>
    <t>Made You Look: A True Story About Fake Art</t>
  </si>
  <si>
    <t>Monty Python: Parrot Sketch Not Included</t>
  </si>
  <si>
    <t>Accident</t>
  </si>
  <si>
    <t>Ben Platt: Live from Radio City Music Hall</t>
  </si>
  <si>
    <t>The Princess Switch: Switched Again</t>
  </si>
  <si>
    <t>Luck by Chance</t>
  </si>
  <si>
    <t>Angela's Christmas</t>
  </si>
  <si>
    <t>Ajeeb Daastaans</t>
  </si>
  <si>
    <t>Fun Mom Dinner</t>
  </si>
  <si>
    <t>Dabbe 5: Zehr-i Cin</t>
  </si>
  <si>
    <t>Dog Gone Trouble</t>
  </si>
  <si>
    <t>Raising the Bar</t>
  </si>
  <si>
    <t>Kardec</t>
  </si>
  <si>
    <t>The Devil Below</t>
  </si>
  <si>
    <t>Catfight</t>
  </si>
  <si>
    <t>Tall Girl</t>
  </si>
  <si>
    <t>Alone/Together</t>
  </si>
  <si>
    <t>56/100</t>
  </si>
  <si>
    <t>Gridlocked</t>
  </si>
  <si>
    <t>Mard Ko Dard Nahi Hota</t>
  </si>
  <si>
    <t>Craig Ferguson: Tickle Fight</t>
  </si>
  <si>
    <t>Jeff Dunham's Very Special Christmas Special</t>
  </si>
  <si>
    <t>Special Correspondents</t>
  </si>
  <si>
    <t>Charming</t>
  </si>
  <si>
    <t>Njan Prakashan</t>
  </si>
  <si>
    <t>Sniper: Ghost Shooter</t>
  </si>
  <si>
    <t>1898: Our Last Men in the Philippines</t>
  </si>
  <si>
    <t>What Lies Below</t>
  </si>
  <si>
    <t>Double World</t>
  </si>
  <si>
    <t>Kevin Hart: Zero F**ks Given</t>
  </si>
  <si>
    <t>Spy Kids: All the Time in the World</t>
  </si>
  <si>
    <t>The Irishman: In Conversation</t>
  </si>
  <si>
    <t>I Called Him Morgan</t>
  </si>
  <si>
    <t>Lost in London</t>
  </si>
  <si>
    <t>Simon Killer</t>
  </si>
  <si>
    <t>Peepli Live</t>
  </si>
  <si>
    <t>Rudy Habibie</t>
  </si>
  <si>
    <t>Expelled from Paradise</t>
  </si>
  <si>
    <t>Guilty</t>
  </si>
  <si>
    <t>Katt Williams: American Hustle</t>
  </si>
  <si>
    <t>Love on Delivery</t>
  </si>
  <si>
    <t>A Week Away</t>
  </si>
  <si>
    <t>Tigertail</t>
  </si>
  <si>
    <t>Paskal: The Movie</t>
  </si>
  <si>
    <t>Wild Oats</t>
  </si>
  <si>
    <t>Revenger</t>
  </si>
  <si>
    <t>Rubaru Roshni</t>
  </si>
  <si>
    <t>Kappela</t>
  </si>
  <si>
    <t>Cuties</t>
  </si>
  <si>
    <t>Jim Jefferies: Intolerant</t>
  </si>
  <si>
    <t>Dilan 1990</t>
  </si>
  <si>
    <t>Dragon Tiger Gate</t>
  </si>
  <si>
    <t>Prom Night</t>
  </si>
  <si>
    <t>Out of Thin Air</t>
  </si>
  <si>
    <t>Karthik Calling Karthik</t>
  </si>
  <si>
    <t>Mobile Suit Gundam III: Encounters in Space</t>
  </si>
  <si>
    <t>Love, Guaranteed</t>
  </si>
  <si>
    <t>A Family</t>
  </si>
  <si>
    <t>Spyder</t>
  </si>
  <si>
    <t>Cosmic Sin</t>
  </si>
  <si>
    <t>Ana e VitÃ³ria</t>
  </si>
  <si>
    <t>Birdshot</t>
  </si>
  <si>
    <t>X-Large</t>
  </si>
  <si>
    <t>Jimmy Carr: The Best of Ultimate Gold Greatest Hits</t>
  </si>
  <si>
    <t>Pretty Guardians Sailor Moon Eternal The MOVIE - Part 1</t>
  </si>
  <si>
    <t>Tim Minchin and the Heritage Orchestra: Live at the Royal Albert Hall</t>
  </si>
  <si>
    <t>Mumbai Diaries</t>
  </si>
  <si>
    <t>Cousins</t>
  </si>
  <si>
    <t>Heaven Without People</t>
  </si>
  <si>
    <t>Road to Roma</t>
  </si>
  <si>
    <t>Phobia 2</t>
  </si>
  <si>
    <t>Mr. Roosevelt</t>
  </si>
  <si>
    <t>Ee Nagaraniki Emaindi</t>
  </si>
  <si>
    <t>Ani... Dr. Kashinath Ghanekar</t>
  </si>
  <si>
    <t>Let It Fall: Los Angeles 1982-1992</t>
  </si>
  <si>
    <t>White Boy</t>
  </si>
  <si>
    <t>Fashion</t>
  </si>
  <si>
    <t>Godzilla: The Planet Eater</t>
  </si>
  <si>
    <t>Walt Disney Animation Studios Short Films Collection</t>
  </si>
  <si>
    <t>Death of Me</t>
  </si>
  <si>
    <t>Sniper: Legacy</t>
  </si>
  <si>
    <t>Words Bubble Up Like Soda Pop</t>
  </si>
  <si>
    <t>Dynasty Warriors</t>
  </si>
  <si>
    <t>Coded Bias</t>
  </si>
  <si>
    <t>Starting Over Again</t>
  </si>
  <si>
    <t>Phir Bhi Dil Hai Hindustani</t>
  </si>
  <si>
    <t>Dedh Ishqiya</t>
  </si>
  <si>
    <t>Dance of the 41</t>
  </si>
  <si>
    <t>Love in a Puff</t>
  </si>
  <si>
    <t>School Life</t>
  </si>
  <si>
    <t>The After Party</t>
  </si>
  <si>
    <t>Await Further Instructions</t>
  </si>
  <si>
    <t>I Am Michael</t>
  </si>
  <si>
    <t>Cadaver</t>
  </si>
  <si>
    <t>Results</t>
  </si>
  <si>
    <t>Mobile Suit Gundam I</t>
  </si>
  <si>
    <t>A Christmas Prince: The Royal Baby</t>
  </si>
  <si>
    <t>The Long Dumb Road</t>
  </si>
  <si>
    <t>Demetri Martin: Live (At The Time)</t>
  </si>
  <si>
    <t>This Little Love of Mine</t>
  </si>
  <si>
    <t>El Pepe, A Supreme Life</t>
  </si>
  <si>
    <t>My Suicide</t>
  </si>
  <si>
    <t>Amy Schumer: Growing</t>
  </si>
  <si>
    <t>Zozo</t>
  </si>
  <si>
    <t>Debt Collectors</t>
  </si>
  <si>
    <t>Can't Complain</t>
  </si>
  <si>
    <t>Clinical</t>
  </si>
  <si>
    <t>Sky Ladder: The Art of Cai Guo-Qiang</t>
  </si>
  <si>
    <t>Rowdy Rathore</t>
  </si>
  <si>
    <t>Sebastian Maniscalco: Why Would You Do That?</t>
  </si>
  <si>
    <t>Ordinary People</t>
  </si>
  <si>
    <t>Bigfoot Family</t>
  </si>
  <si>
    <t>The Minimalists: Less Is Now</t>
  </si>
  <si>
    <t>Iliza Shlesinger: Freezing Hot</t>
  </si>
  <si>
    <t>The Most Unknown</t>
  </si>
  <si>
    <t>Rich in Love</t>
  </si>
  <si>
    <t>Deep</t>
  </si>
  <si>
    <t>Biking Borders - eine etwas andere Reise</t>
  </si>
  <si>
    <t>Ghost Lab</t>
  </si>
  <si>
    <t>Uppity: The Willy T. Ribbs Story</t>
  </si>
  <si>
    <t>The Legacy of a Whitetail Deer Hunter</t>
  </si>
  <si>
    <t>How to Get Over a Breakup</t>
  </si>
  <si>
    <t>Between Worlds</t>
  </si>
  <si>
    <t>A Perfect Fit</t>
  </si>
  <si>
    <t>Sillu Karupatti</t>
  </si>
  <si>
    <t>Jiu Jitsu</t>
  </si>
  <si>
    <t>Loev</t>
  </si>
  <si>
    <t>Chelsea Peretti: One of the Greats</t>
  </si>
  <si>
    <t>The Last Laugh</t>
  </si>
  <si>
    <t>Dil</t>
  </si>
  <si>
    <t>55/100</t>
  </si>
  <si>
    <t>Mike Birbiglia: What I Should Have Said Was Nothing</t>
  </si>
  <si>
    <t>The Same Blood</t>
  </si>
  <si>
    <t>Nigerian Prince</t>
  </si>
  <si>
    <t>Iliza Shlesinger: Confirmed Kills</t>
  </si>
  <si>
    <t>The 101-Year-Old Man Who Skipped Out on the Bill and Disappeared</t>
  </si>
  <si>
    <t>An Ordinary Man</t>
  </si>
  <si>
    <t>The Silence of the Marsh</t>
  </si>
  <si>
    <t>MFKZ</t>
  </si>
  <si>
    <t>The Most Hated Woman in America</t>
  </si>
  <si>
    <t>Fireworks</t>
  </si>
  <si>
    <t>BÃ©bÃ©'s Kids</t>
  </si>
  <si>
    <t>My Little Pony: Equestria Girls - Legend of Everfree</t>
  </si>
  <si>
    <t>Prime Time</t>
  </si>
  <si>
    <t>Wedding Unplanned</t>
  </si>
  <si>
    <t>Banana Split</t>
  </si>
  <si>
    <t>Hannibal Buress: Comedy Camisado</t>
  </si>
  <si>
    <t>Father of the Year</t>
  </si>
  <si>
    <t>Hot Sweet Sour</t>
  </si>
  <si>
    <t>Doom: Annihilation</t>
  </si>
  <si>
    <t>Legends of the Hidden Temple</t>
  </si>
  <si>
    <t>Taxi No. 9 2 11: Nau Do Gyarah</t>
  </si>
  <si>
    <t>Ajab Prem Ki Ghazab Kahani</t>
  </si>
  <si>
    <t>Mallesham</t>
  </si>
  <si>
    <t>Four Sisters and a Wedding</t>
  </si>
  <si>
    <t>Crazy Beautiful You</t>
  </si>
  <si>
    <t>Organize Ä°ÅŸler: Sazan SarmalÄ±</t>
  </si>
  <si>
    <t>Baggio: The Divine Ponytail</t>
  </si>
  <si>
    <t>Patrick</t>
  </si>
  <si>
    <t>I Am Jonas</t>
  </si>
  <si>
    <t>Jarhead: Law of Return</t>
  </si>
  <si>
    <t>The Clapper</t>
  </si>
  <si>
    <t>Force 2</t>
  </si>
  <si>
    <t>Jab Harry Met Sejal</t>
  </si>
  <si>
    <t>Hating Peter Tatchell</t>
  </si>
  <si>
    <t>Baaghi</t>
  </si>
  <si>
    <t>Sarah Silverman: A Speck of Dust</t>
  </si>
  <si>
    <t>Middle of Nowhere</t>
  </si>
  <si>
    <t>MOTHER</t>
  </si>
  <si>
    <t>Dreamy Eyes</t>
  </si>
  <si>
    <t>Whose Streets?</t>
  </si>
  <si>
    <t>The Scorpion King: Book of Souls</t>
  </si>
  <si>
    <t>The Crystal Calls - Making The Dark Crystal: Age of Resistance</t>
  </si>
  <si>
    <t>Sextuplets</t>
  </si>
  <si>
    <t>Jem and the Holograms</t>
  </si>
  <si>
    <t>Rip Tide</t>
  </si>
  <si>
    <t>7 Years</t>
  </si>
  <si>
    <t>Gabriel Iglesias: One Show Fits All</t>
  </si>
  <si>
    <t>Luciano Mellera: Infantiloide</t>
  </si>
  <si>
    <t>Menashe</t>
  </si>
  <si>
    <t>The Girl on the Train</t>
  </si>
  <si>
    <t>Mercy Black</t>
  </si>
  <si>
    <t>Swearnet: The Movie</t>
  </si>
  <si>
    <t>I Fine..Thank You..Love You</t>
  </si>
  <si>
    <t>Monsoon</t>
  </si>
  <si>
    <t>The Players</t>
  </si>
  <si>
    <t>Nate Bargatze: The Tennessee Kid</t>
  </si>
  <si>
    <t>The Warriors Gate</t>
  </si>
  <si>
    <t>Sebastian Maniscalco: Stay Hungry</t>
  </si>
  <si>
    <t>Rurouni Kenshin: The Beginning</t>
  </si>
  <si>
    <t>One</t>
  </si>
  <si>
    <t>Laddaland</t>
  </si>
  <si>
    <t>BuyBust</t>
  </si>
  <si>
    <t>Garfunkel and Oates: Trying to be Special</t>
  </si>
  <si>
    <t>Travis Scott: Look Mom I Can Fly</t>
  </si>
  <si>
    <t>Uma Maheswara Ugra Roopasya</t>
  </si>
  <si>
    <t>ABCD</t>
  </si>
  <si>
    <t>Fire in Paradise</t>
  </si>
  <si>
    <t>From One Second to the Next</t>
  </si>
  <si>
    <t>Residue</t>
  </si>
  <si>
    <t>Dancing Queens</t>
  </si>
  <si>
    <t>Company of Heroes</t>
  </si>
  <si>
    <t>Jeff Dunham: Minding the Monsters</t>
  </si>
  <si>
    <t>Half Girlfriend</t>
  </si>
  <si>
    <t>Shaun the Sheep: The Farmer's Llamas</t>
  </si>
  <si>
    <t>I See You</t>
  </si>
  <si>
    <t>Girls und Panzer: The Movie</t>
  </si>
  <si>
    <t>Septembers of Shiraz</t>
  </si>
  <si>
    <t>Mobile Suit Gundam II: Soldiers of Sorrow</t>
  </si>
  <si>
    <t>Manorama Six Feet Under</t>
  </si>
  <si>
    <t>Transformer</t>
  </si>
  <si>
    <t>The Plagues of Breslau</t>
  </si>
  <si>
    <t>The Ruthless</t>
  </si>
  <si>
    <t>Humpty Sharma Ki Dulhania</t>
  </si>
  <si>
    <t>The Mars Generation</t>
  </si>
  <si>
    <t>It's for Your Own Good</t>
  </si>
  <si>
    <t>Dave Chappelle: The Kennedy Center Mark Twain Prize</t>
  </si>
  <si>
    <t>Kidnapping Stella</t>
  </si>
  <si>
    <t>The Stand In</t>
  </si>
  <si>
    <t>Fan Girl</t>
  </si>
  <si>
    <t>Gabriel Iglesias: I'm Sorry for What I Said When I Was Hungry</t>
  </si>
  <si>
    <t>Chup Chup Ke</t>
  </si>
  <si>
    <t>Duck Butter</t>
  </si>
  <si>
    <t>Sand Storm</t>
  </si>
  <si>
    <t>Nothing to Lose</t>
  </si>
  <si>
    <t>The Resurrection of Gavin Stone</t>
  </si>
  <si>
    <t>Zion</t>
  </si>
  <si>
    <t>Hazaaron Khwaishein Aisi</t>
  </si>
  <si>
    <t>Freedom at Midnight</t>
  </si>
  <si>
    <t>The Black Prince</t>
  </si>
  <si>
    <t>Budhia Singh: Born to Run</t>
  </si>
  <si>
    <t>Madame Claude</t>
  </si>
  <si>
    <t>Jeff Dunham: Beside Himself</t>
  </si>
  <si>
    <t>Happy Anniversary</t>
  </si>
  <si>
    <t>The Silence of the Sky</t>
  </si>
  <si>
    <t>Elisa &amp; Marcela</t>
  </si>
  <si>
    <t>Manu</t>
  </si>
  <si>
    <t>Have You Ever Seen Fireflies?</t>
  </si>
  <si>
    <t>Tony Manero</t>
  </si>
  <si>
    <t>Patton Oswalt: Talking for Clapping</t>
  </si>
  <si>
    <t>The Other One: The Long, Strange Trip of Bob Weir</t>
  </si>
  <si>
    <t>54/100</t>
  </si>
  <si>
    <t>Dukhtar</t>
  </si>
  <si>
    <t>That Thing Called Tadhana</t>
  </si>
  <si>
    <t>Must Be... Love</t>
  </si>
  <si>
    <t>House of the Witch</t>
  </si>
  <si>
    <t>Baazaar</t>
  </si>
  <si>
    <t>Line Walker</t>
  </si>
  <si>
    <t>Tim Minchin: So F**king Rock Live</t>
  </si>
  <si>
    <t>Twin Murders: The Silence of the White City</t>
  </si>
  <si>
    <t>Jinxed</t>
  </si>
  <si>
    <t>Mariposa</t>
  </si>
  <si>
    <t>Legendary Weapons of China</t>
  </si>
  <si>
    <t>The Wedding Party</t>
  </si>
  <si>
    <t>The Laws of Thermodynamics</t>
  </si>
  <si>
    <t>Love You to the Stars and Back</t>
  </si>
  <si>
    <t>Monsters: Dark Continent</t>
  </si>
  <si>
    <t>Mad World</t>
  </si>
  <si>
    <t>Torbaaz</t>
  </si>
  <si>
    <t>Kannum Kannum Kollaiyadithaal</t>
  </si>
  <si>
    <t>Badland</t>
  </si>
  <si>
    <t>Red Istanbul</t>
  </si>
  <si>
    <t>Big Time Movie</t>
  </si>
  <si>
    <t>What We Started</t>
  </si>
  <si>
    <t>Happy Old Year</t>
  </si>
  <si>
    <t>Race 2</t>
  </si>
  <si>
    <t>Big Stone Gap</t>
  </si>
  <si>
    <t>Universal Soldier: The Return</t>
  </si>
  <si>
    <t>Monty Python: The Meaning of Live</t>
  </si>
  <si>
    <t>Psycho</t>
  </si>
  <si>
    <t>Brothers</t>
  </si>
  <si>
    <t>Killa</t>
  </si>
  <si>
    <t>In Our Mothers' Gardens</t>
  </si>
  <si>
    <t>Dry Martina</t>
  </si>
  <si>
    <t>Lommbock</t>
  </si>
  <si>
    <t>The Lift Boy</t>
  </si>
  <si>
    <t>We Can Be Heroes</t>
  </si>
  <si>
    <t>Close Enemies</t>
  </si>
  <si>
    <t>Maria</t>
  </si>
  <si>
    <t>We Are Young. We Are Strong.</t>
  </si>
  <si>
    <t>Kalel, 15</t>
  </si>
  <si>
    <t>The Watchman</t>
  </si>
  <si>
    <t>Drunk Parents</t>
  </si>
  <si>
    <t>Caught by a Wave</t>
  </si>
  <si>
    <t>BarÃ§a Dreams</t>
  </si>
  <si>
    <t>Life Overtakes Me</t>
  </si>
  <si>
    <t>Jeff Dunham: All Over the Map</t>
  </si>
  <si>
    <t>Iliza Shlesinger: Unveiled</t>
  </si>
  <si>
    <t>Mumbai Meri Jaan</t>
  </si>
  <si>
    <t>The Block Island Sound</t>
  </si>
  <si>
    <t>Recovery Boys</t>
  </si>
  <si>
    <t>Classmates Minus</t>
  </si>
  <si>
    <t>Martial Arts of Shaolin</t>
  </si>
  <si>
    <t>#AnneFrank. Parallel Stories</t>
  </si>
  <si>
    <t>Sitara: Let Girls Dream</t>
  </si>
  <si>
    <t>Mohenjo Daro</t>
  </si>
  <si>
    <t>Greg Davies: You Magnificent Beast</t>
  </si>
  <si>
    <t>Ordinary World</t>
  </si>
  <si>
    <t>Phantom</t>
  </si>
  <si>
    <t>Much Loved</t>
  </si>
  <si>
    <t>Denis Leary: No Cure for Cancer</t>
  </si>
  <si>
    <t>Franca: Chaos and Creation</t>
  </si>
  <si>
    <t>Freaks â€“ You're One of Us</t>
  </si>
  <si>
    <t>Class Rank</t>
  </si>
  <si>
    <t>Little Big Women</t>
  </si>
  <si>
    <t>Rocco</t>
  </si>
  <si>
    <t>My Big Night</t>
  </si>
  <si>
    <t>My Little Pony: Equestria Girls - Forgotten Friendship</t>
  </si>
  <si>
    <t>The Blue Umbrella</t>
  </si>
  <si>
    <t>Weed the People</t>
  </si>
  <si>
    <t>#realityhigh</t>
  </si>
  <si>
    <t>Jeff Dunham: Unhinged in Hollywood</t>
  </si>
  <si>
    <t>ReMastered: Devil at the Crossroads</t>
  </si>
  <si>
    <t>Oprah Winfrey Presents: When They See Us Now</t>
  </si>
  <si>
    <t>Irul</t>
  </si>
  <si>
    <t>Only</t>
  </si>
  <si>
    <t>Juanita</t>
  </si>
  <si>
    <t>Bluffmaster!</t>
  </si>
  <si>
    <t>Wonder Boy</t>
  </si>
  <si>
    <t>Stereo</t>
  </si>
  <si>
    <t>HÃ©roes. Silencio y Rock &amp; Roll</t>
  </si>
  <si>
    <t>Bwakaw</t>
  </si>
  <si>
    <t>A Grand Night In: The Story of Aardman</t>
  </si>
  <si>
    <t>Sister Cities</t>
  </si>
  <si>
    <t>My Amanda</t>
  </si>
  <si>
    <t>A Second Chance</t>
  </si>
  <si>
    <t>Serious Men</t>
  </si>
  <si>
    <t>The Lovers</t>
  </si>
  <si>
    <t>The Yin-Yang Master: Dream of Eternity</t>
  </si>
  <si>
    <t>Christmas with a View</t>
  </si>
  <si>
    <t>The Lion Woman</t>
  </si>
  <si>
    <t>He Even Has Your Eyes</t>
  </si>
  <si>
    <t>Ghadi</t>
  </si>
  <si>
    <t>53/100</t>
  </si>
  <si>
    <t>It Takes a Man and a Woman</t>
  </si>
  <si>
    <t>Dolly Parton: Here I Am</t>
  </si>
  <si>
    <t>Hamid</t>
  </si>
  <si>
    <t>Russell Peters: Almost Famous</t>
  </si>
  <si>
    <t>Accomplice</t>
  </si>
  <si>
    <t>Dude</t>
  </si>
  <si>
    <t>Saladin the Victorious</t>
  </si>
  <si>
    <t>Homunculus</t>
  </si>
  <si>
    <t>LEGO Marvel Super Heroes: Avengers Reassembled!</t>
  </si>
  <si>
    <t>LEGO Jurassic World: The Indominus Escape</t>
  </si>
  <si>
    <t>Shelby American</t>
  </si>
  <si>
    <t>S.W.A.T.: Under Siege</t>
  </si>
  <si>
    <t>Ten Years</t>
  </si>
  <si>
    <t>Backdraft 2</t>
  </si>
  <si>
    <t>Sahara</t>
  </si>
  <si>
    <t>Taramani</t>
  </si>
  <si>
    <t>Cosmos Laundromat</t>
  </si>
  <si>
    <t>The Witness Who Didn't See Anything</t>
  </si>
  <si>
    <t>Muramba</t>
  </si>
  <si>
    <t>Hum Saath Saath Hain</t>
  </si>
  <si>
    <t>Vivah</t>
  </si>
  <si>
    <t>Yeh Ballet</t>
  </si>
  <si>
    <t>Tony Parker: The Final Shot</t>
  </si>
  <si>
    <t>Cut Throat City</t>
  </si>
  <si>
    <t>Anelka: Misunderstood</t>
  </si>
  <si>
    <t>Everyday I Love You</t>
  </si>
  <si>
    <t>Bulbul Can Sing</t>
  </si>
  <si>
    <t>Sarajevo</t>
  </si>
  <si>
    <t>And Tomorrow the Entire World</t>
  </si>
  <si>
    <t>Funan</t>
  </si>
  <si>
    <t>Rising High</t>
  </si>
  <si>
    <t>The Short Game</t>
  </si>
  <si>
    <t>One Day We'll Talk About Today</t>
  </si>
  <si>
    <t>Chris Tucker Live</t>
  </si>
  <si>
    <t>Nang Nak</t>
  </si>
  <si>
    <t>Mitt</t>
  </si>
  <si>
    <t>Dark Light</t>
  </si>
  <si>
    <t>Lucknow Central</t>
  </si>
  <si>
    <t>Our Godfather</t>
  </si>
  <si>
    <t>93 Days</t>
  </si>
  <si>
    <t>Vince &amp; Kath &amp; James</t>
  </si>
  <si>
    <t>Dharam Sankat Mein</t>
  </si>
  <si>
    <t>Secrets in the Hot Spring</t>
  </si>
  <si>
    <t>Bye Bye London</t>
  </si>
  <si>
    <t>Bheeshma</t>
  </si>
  <si>
    <t>Liberated: The New Sexual Revolution</t>
  </si>
  <si>
    <t>Almost Love</t>
  </si>
  <si>
    <t>Stuck Apart</t>
  </si>
  <si>
    <t>Late Life: The Chien-Ming Wang Story</t>
  </si>
  <si>
    <t>Justice, My Foot!</t>
  </si>
  <si>
    <t>Ginny Weds Sunny</t>
  </si>
  <si>
    <t>You Are My Sunday</t>
  </si>
  <si>
    <t>Grandmaster</t>
  </si>
  <si>
    <t>Just Another Christmas</t>
  </si>
  <si>
    <t>7 Khoon Maaf</t>
  </si>
  <si>
    <t>Class of '83</t>
  </si>
  <si>
    <t>Duck Duck Goose</t>
  </si>
  <si>
    <t>Very Big Shot</t>
  </si>
  <si>
    <t>Dana Carvey: Straight White Male, 60</t>
  </si>
  <si>
    <t>Wild Dog</t>
  </si>
  <si>
    <t>Dolly Parton's Christmas on the Square</t>
  </si>
  <si>
    <t>The Little Vampire 3D</t>
  </si>
  <si>
    <t>John Was Trying to Contact Aliens</t>
  </si>
  <si>
    <t>Dilan 1991</t>
  </si>
  <si>
    <t>Made In China</t>
  </si>
  <si>
    <t>Ronnie Coleman: The King</t>
  </si>
  <si>
    <t>All in My Family</t>
  </si>
  <si>
    <t>Chris D'Elia: Incorrigible</t>
  </si>
  <si>
    <t>Carmen Sandiego: To Steal or Not to Steal</t>
  </si>
  <si>
    <t>Seven Sundays</t>
  </si>
  <si>
    <t>Whitney Cummings: Can I Touch It?</t>
  </si>
  <si>
    <t>Girlfriend's Day</t>
  </si>
  <si>
    <t>Funny Boy</t>
  </si>
  <si>
    <t>Seven in Heaven</t>
  </si>
  <si>
    <t>Cracked Up: The Darrell Hammond Story</t>
  </si>
  <si>
    <t>Father Soldier Son</t>
  </si>
  <si>
    <t>NiNoKuni</t>
  </si>
  <si>
    <t>CIA: Comrade In America</t>
  </si>
  <si>
    <t>Monty Python: Live at Aspen</t>
  </si>
  <si>
    <t>Jo Koy: Cominâ€™ In Hot</t>
  </si>
  <si>
    <t>Varane Avashyamund</t>
  </si>
  <si>
    <t>Every Time I Die</t>
  </si>
  <si>
    <t>Perdida</t>
  </si>
  <si>
    <t>Eeb Allay Ooo!</t>
  </si>
  <si>
    <t>Counterpunch</t>
  </si>
  <si>
    <t>Noblemen</t>
  </si>
  <si>
    <t>Battle Drone</t>
  </si>
  <si>
    <t>Olmo and the Seagull</t>
  </si>
  <si>
    <t>Colin Quinn: Red State, Blue State</t>
  </si>
  <si>
    <t>Liar, Liar, Vampire</t>
  </si>
  <si>
    <t>Hard Kill</t>
  </si>
  <si>
    <t>Boss</t>
  </si>
  <si>
    <t>One-Way to Tomorrow</t>
  </si>
  <si>
    <t>Villain</t>
  </si>
  <si>
    <t>52/100</t>
  </si>
  <si>
    <t>Bethany Hamilton: Unstoppable</t>
  </si>
  <si>
    <t>Axone</t>
  </si>
  <si>
    <t>Bangkok Traffic Love Story</t>
  </si>
  <si>
    <t>Chris D'Elia: No Pain</t>
  </si>
  <si>
    <t>Michael</t>
  </si>
  <si>
    <t>Disciples of the 36th Chamber</t>
  </si>
  <si>
    <t>Midnight at the Magnolia</t>
  </si>
  <si>
    <t>Oh! Baby</t>
  </si>
  <si>
    <t>J.T. LeRoy</t>
  </si>
  <si>
    <t>26 Years</t>
  </si>
  <si>
    <t>A Very Country Christmas</t>
  </si>
  <si>
    <t>Walk. Ride. Rodeo.</t>
  </si>
  <si>
    <t>Under the Bombs</t>
  </si>
  <si>
    <t>In the Shadow of Iris</t>
  </si>
  <si>
    <t>Little Boxes</t>
  </si>
  <si>
    <t>Russell Howard: Recalibrate</t>
  </si>
  <si>
    <t>The Yinyang Master</t>
  </si>
  <si>
    <t>Shine Your Eyes</t>
  </si>
  <si>
    <t>Uppena</t>
  </si>
  <si>
    <t>ABCD 2</t>
  </si>
  <si>
    <t>ReMastered: Tricky Dick &amp; The Man in Black</t>
  </si>
  <si>
    <t>Yol ArkadaÅŸÄ±m</t>
  </si>
  <si>
    <t>Manson Family Vacation</t>
  </si>
  <si>
    <t>Barbie: Dolphin Magic</t>
  </si>
  <si>
    <t>The Boss Baby: Get That Baby!</t>
  </si>
  <si>
    <t>Secret Obsession</t>
  </si>
  <si>
    <t>Naam Shabana</t>
  </si>
  <si>
    <t>Bill Nye: Science Guy</t>
  </si>
  <si>
    <t>Murder to Mercy: The Cyntoia Brown Story</t>
  </si>
  <si>
    <t>Road Trip: Beer Pong</t>
  </si>
  <si>
    <t>Carnaval</t>
  </si>
  <si>
    <t>Everything About Her</t>
  </si>
  <si>
    <t>Rattlesnake</t>
  </si>
  <si>
    <t>The Hard Way</t>
  </si>
  <si>
    <t>Sara's Notebook</t>
  </si>
  <si>
    <t>Jeff Dunham: Relative Disaster</t>
  </si>
  <si>
    <t>Kandasamys The Wedding</t>
  </si>
  <si>
    <t>Day of the Dead: Bloodline</t>
  </si>
  <si>
    <t>The Ryan White Story</t>
  </si>
  <si>
    <t>Thambi</t>
  </si>
  <si>
    <t>You Get Me</t>
  </si>
  <si>
    <t>Carbone</t>
  </si>
  <si>
    <t>Love Wedding Repeat</t>
  </si>
  <si>
    <t>Tom Papa: Live in New York City</t>
  </si>
  <si>
    <t>The Drowning</t>
  </si>
  <si>
    <t>Sturgill Simpson Presents Sound &amp; Fury</t>
  </si>
  <si>
    <t>Zoot Suit</t>
  </si>
  <si>
    <t>Out Of The Clear Blue Sky</t>
  </si>
  <si>
    <t>Norm Macdonald: Hitler's Dog, Gossip &amp; Trickery</t>
  </si>
  <si>
    <t>Rampage: President Down</t>
  </si>
  <si>
    <t>Arlo the Alligator Boy</t>
  </si>
  <si>
    <t>Eerie</t>
  </si>
  <si>
    <t>Woody Woodpecker</t>
  </si>
  <si>
    <t>Clair Obscur</t>
  </si>
  <si>
    <t>Cities of Last Things</t>
  </si>
  <si>
    <t>Vir Das: For India</t>
  </si>
  <si>
    <t>Ride or Die</t>
  </si>
  <si>
    <t>Fitoor</t>
  </si>
  <si>
    <t>The Con Is On</t>
  </si>
  <si>
    <t>I'll Sleep When I'm Dead</t>
  </si>
  <si>
    <t>Super Me</t>
  </si>
  <si>
    <t>How to Be Really Bad</t>
  </si>
  <si>
    <t>Alexandriaâ€¦ Why?</t>
  </si>
  <si>
    <t>Kara Bela</t>
  </si>
  <si>
    <t>The Zoya Factor</t>
  </si>
  <si>
    <t>Generation Iron 2</t>
  </si>
  <si>
    <t>Panipat</t>
  </si>
  <si>
    <t>Abzurdah</t>
  </si>
  <si>
    <t>A New York Christmas Wedding</t>
  </si>
  <si>
    <t>Mosquita y Mari</t>
  </si>
  <si>
    <t>The Beginning of Life</t>
  </si>
  <si>
    <t>We Need to Talk</t>
  </si>
  <si>
    <t>Pizza</t>
  </si>
  <si>
    <t>She Made Me a Criminal</t>
  </si>
  <si>
    <t>The Unknown Saint</t>
  </si>
  <si>
    <t>Pottersville</t>
  </si>
  <si>
    <t>Barcelona: A Love Untold</t>
  </si>
  <si>
    <t>Just The Way You Are</t>
  </si>
  <si>
    <t>Mostly Sunny</t>
  </si>
  <si>
    <t>Ek Main Aur Ekk Tu</t>
  </si>
  <si>
    <t>Toro</t>
  </si>
  <si>
    <t>Russell Brand: Re:Birth</t>
  </si>
  <si>
    <t>Creating an Army of the Dead</t>
  </si>
  <si>
    <t>The Maus</t>
  </si>
  <si>
    <t>Just Say Yes</t>
  </si>
  <si>
    <t>Christmas Wedding Planner</t>
  </si>
  <si>
    <t>The Strange House</t>
  </si>
  <si>
    <t>Temple</t>
  </si>
  <si>
    <t>MILF</t>
  </si>
  <si>
    <t>When Angels Sleep</t>
  </si>
  <si>
    <t>The 2nd</t>
  </si>
  <si>
    <t>Welcome to Sudden Death</t>
  </si>
  <si>
    <t>Kurbaan</t>
  </si>
  <si>
    <t>Fortune Feimster: Sweet &amp; Salty</t>
  </si>
  <si>
    <t>Tracy Morgan: Staying Alive</t>
  </si>
  <si>
    <t>Sam Kinison: Breaking the Rules</t>
  </si>
  <si>
    <t>Zaki Chan</t>
  </si>
  <si>
    <t>Sky High</t>
  </si>
  <si>
    <t>51/100</t>
  </si>
  <si>
    <t>Gad Elmaleh: American Dream</t>
  </si>
  <si>
    <t>Love Beats Rhymes</t>
  </si>
  <si>
    <t>Ram Jaane</t>
  </si>
  <si>
    <t>Wish You</t>
  </si>
  <si>
    <t>A Life of Speed: The Juan Manuel Fangio Story</t>
  </si>
  <si>
    <t>Antoine Griezmann: The Making of a Legend</t>
  </si>
  <si>
    <t>Strange Weather</t>
  </si>
  <si>
    <t>Pa Paandi</t>
  </si>
  <si>
    <t>Darc</t>
  </si>
  <si>
    <t>Mehandi Circus</t>
  </si>
  <si>
    <t>Goyo: The Boy General</t>
  </si>
  <si>
    <t>Escape from Mr. Lemoncello's Library</t>
  </si>
  <si>
    <t>A Love Song for Latasha</t>
  </si>
  <si>
    <t>Samantaral</t>
  </si>
  <si>
    <t>Riot</t>
  </si>
  <si>
    <t>Jungle Beat: The Movie</t>
  </si>
  <si>
    <t>Honeytrap</t>
  </si>
  <si>
    <t>O Vendedor de Sonhos</t>
  </si>
  <si>
    <t>Duplicate</t>
  </si>
  <si>
    <t>What We Wanted</t>
  </si>
  <si>
    <t>Jim Norton: Mouthful of Shame</t>
  </si>
  <si>
    <t>Michael McIntyre: Showman</t>
  </si>
  <si>
    <t>No Other Woman</t>
  </si>
  <si>
    <t>River's Edge</t>
  </si>
  <si>
    <t>Love and Shukla</t>
  </si>
  <si>
    <t>Ali Baba and the 7 Dwarfs</t>
  </si>
  <si>
    <t>Merata: How Mum Decolonised the Screen</t>
  </si>
  <si>
    <t>I Hate Luv Storys</t>
  </si>
  <si>
    <t>FTA</t>
  </si>
  <si>
    <t>Let's Dance</t>
  </si>
  <si>
    <t>Tere Naal Love Ho Gaya</t>
  </si>
  <si>
    <t>Lady Driver</t>
  </si>
  <si>
    <t>Sarah Cooper: Everything's Fine</t>
  </si>
  <si>
    <t>League of Legends Origins</t>
  </si>
  <si>
    <t>The Creative Brain</t>
  </si>
  <si>
    <t>Jacob's Ladder</t>
  </si>
  <si>
    <t>Free Rein: The Twelve Neighs of Christmas</t>
  </si>
  <si>
    <t>Love for Sale</t>
  </si>
  <si>
    <t>Hate by Dani Rovira</t>
  </si>
  <si>
    <t>The Heaven None Missed</t>
  </si>
  <si>
    <t>An American Girl: McKenna Shoots for the Stars</t>
  </si>
  <si>
    <t>Guest House</t>
  </si>
  <si>
    <t>Squared Love</t>
  </si>
  <si>
    <t>The Milk System</t>
  </si>
  <si>
    <t>Tottaa Pataaka Item Maal</t>
  </si>
  <si>
    <t>Whitney Cummings: Money Shot</t>
  </si>
  <si>
    <t>Battlefield Earth</t>
  </si>
  <si>
    <t>Alice JÃºnior</t>
  </si>
  <si>
    <t>Private Network: Who Killed Manuel Buendia</t>
  </si>
  <si>
    <t>Milada</t>
  </si>
  <si>
    <t>Kilometers and Kilometers</t>
  </si>
  <si>
    <t>Tom Papa: You're Doing Great!</t>
  </si>
  <si>
    <t>Prem Ratan Dhan Payo</t>
  </si>
  <si>
    <t>Black Beach</t>
  </si>
  <si>
    <t>Judwaa 2</t>
  </si>
  <si>
    <t>Roped</t>
  </si>
  <si>
    <t>Yol ArkadaÅŸÄ±m 2</t>
  </si>
  <si>
    <t>Ray Romano: Right Here, Around the Corner</t>
  </si>
  <si>
    <t>M8 - When Death Rescues Life</t>
  </si>
  <si>
    <t>Selfie 69</t>
  </si>
  <si>
    <t>Brian Regan: On the Rocks</t>
  </si>
  <si>
    <t>Hulk: Where Monsters Dwell</t>
  </si>
  <si>
    <t>Arctic Dogs</t>
  </si>
  <si>
    <t>The Blazing Sun</t>
  </si>
  <si>
    <t>7 Yards: The Chris Norton Story</t>
  </si>
  <si>
    <t>Shonar Pahar</t>
  </si>
  <si>
    <t>Material</t>
  </si>
  <si>
    <t>Masameer: The Movie</t>
  </si>
  <si>
    <t>DNA</t>
  </si>
  <si>
    <t>Desire</t>
  </si>
  <si>
    <t>The Lost Brother</t>
  </si>
  <si>
    <t>This Earth of Mankind</t>
  </si>
  <si>
    <t>Cuddle Weather</t>
  </si>
  <si>
    <t>Husband Factor: Resurrection</t>
  </si>
  <si>
    <t>Born in Gaza</t>
  </si>
  <si>
    <t>Chameli</t>
  </si>
  <si>
    <t>The Stolen</t>
  </si>
  <si>
    <t>Love Aaj Kal</t>
  </si>
  <si>
    <t>Pyaar Ke Side Effects</t>
  </si>
  <si>
    <t>Eddie: Strongman</t>
  </si>
  <si>
    <t>Sam Jay: 3 in the Morning</t>
  </si>
  <si>
    <t>What About Dick?</t>
  </si>
  <si>
    <t>Main, Meri Patni Aur Woh</t>
  </si>
  <si>
    <t>Audible</t>
  </si>
  <si>
    <t>Bartkowiak</t>
  </si>
  <si>
    <t>Tarek's Situation</t>
  </si>
  <si>
    <t>My FÃ¼hrer</t>
  </si>
  <si>
    <t>Gnome Alone</t>
  </si>
  <si>
    <t>Bride for Rent</t>
  </si>
  <si>
    <t>The Holiday Calendar</t>
  </si>
  <si>
    <t>A Kid from Coney Island</t>
  </si>
  <si>
    <t>Aruna &amp; Her Palate</t>
  </si>
  <si>
    <t>Sabrina</t>
  </si>
  <si>
    <t>OperaÃ§Ãµes Especiais</t>
  </si>
  <si>
    <t>The Main Event</t>
  </si>
  <si>
    <t>Once Again</t>
  </si>
  <si>
    <t>Ken Jeong: You Complete Me, Ho</t>
  </si>
  <si>
    <t>Old Thieves: The Legend of Artegio</t>
  </si>
  <si>
    <t>Chaman Bahar</t>
  </si>
  <si>
    <t>Delhi-6</t>
  </si>
  <si>
    <t>ReMastered: The Miami Showband Massacre</t>
  </si>
  <si>
    <t>Consequences</t>
  </si>
  <si>
    <t>You're My Boss</t>
  </si>
  <si>
    <t>Sen Kiminle Dans Ediyorsun?</t>
  </si>
  <si>
    <t>Miss Virginia</t>
  </si>
  <si>
    <t>Kevin James: Never Don't Give Up</t>
  </si>
  <si>
    <t>Coffee &amp; Kareem</t>
  </si>
  <si>
    <t>Only Mine</t>
  </si>
  <si>
    <t>Lens</t>
  </si>
  <si>
    <t>Back to the 90s</t>
  </si>
  <si>
    <t>50/100</t>
  </si>
  <si>
    <t>Tiffany Haddish: She Ready! From the Hood to Hollywood!</t>
  </si>
  <si>
    <t>Pets United</t>
  </si>
  <si>
    <t>DeRay Davis: How to Act Black</t>
  </si>
  <si>
    <t>The C Word</t>
  </si>
  <si>
    <t>John &amp; Yoko: Above Us Only Sky</t>
  </si>
  <si>
    <t>ReMastered: Massacre at the Stadium</t>
  </si>
  <si>
    <t>Fate/Grand Order: First Order</t>
  </si>
  <si>
    <t>Headspace: Unwind Your Mind</t>
  </si>
  <si>
    <t>Free Rein: Valentine's Day</t>
  </si>
  <si>
    <t>Toll Booth</t>
  </si>
  <si>
    <t>I Will Follow</t>
  </si>
  <si>
    <t>The Mistress</t>
  </si>
  <si>
    <t>Double Dad</t>
  </si>
  <si>
    <t>Expedition Happiness</t>
  </si>
  <si>
    <t>Golmaal Returns</t>
  </si>
  <si>
    <t>Well Done Abba</t>
  </si>
  <si>
    <t>Running Shaadi</t>
  </si>
  <si>
    <t>Hedefim Sensin</t>
  </si>
  <si>
    <t>The Unmarried Wife</t>
  </si>
  <si>
    <t>Trippinâ€™ with the Kandasamys</t>
  </si>
  <si>
    <t>Deuces</t>
  </si>
  <si>
    <t>Chaahat</t>
  </si>
  <si>
    <t>BrenÃ© Brown: The Call to Courage</t>
  </si>
  <si>
    <t>Ryan Hamilton: Happy Face</t>
  </si>
  <si>
    <t>Luv Shuv Tey Chicken Khurana</t>
  </si>
  <si>
    <t>The Bridge Curse</t>
  </si>
  <si>
    <t>My Teacher, My Obsession</t>
  </si>
  <si>
    <t>1000 Rupee Note</t>
  </si>
  <si>
    <t>Break</t>
  </si>
  <si>
    <t>Deadly Illusions</t>
  </si>
  <si>
    <t>For the Birds</t>
  </si>
  <si>
    <t>Duniya</t>
  </si>
  <si>
    <t>Door Ke Darshan</t>
  </si>
  <si>
    <t>Jaoon Kahan Bata Ae Dil</t>
  </si>
  <si>
    <t>Laerte-se</t>
  </si>
  <si>
    <t>Nathicharami</t>
  </si>
  <si>
    <t>Michelle Buteau: Welcome to Buteaupia</t>
  </si>
  <si>
    <t>The Ronda Rousey Story: Through My Father's Eyes</t>
  </si>
  <si>
    <t>Frank and Cindy</t>
  </si>
  <si>
    <t>My Amnesia Girl</t>
  </si>
  <si>
    <t>Jen Kirkman: I'm Gonna Die Alone (And I Feel Fine)</t>
  </si>
  <si>
    <t>The Killer</t>
  </si>
  <si>
    <t>Marlon Wayans: Woke-ish</t>
  </si>
  <si>
    <t>We Are Family</t>
  </si>
  <si>
    <t>Love.com</t>
  </si>
  <si>
    <t>Drive</t>
  </si>
  <si>
    <t>Saaho</t>
  </si>
  <si>
    <t>Rebirth</t>
  </si>
  <si>
    <t>All I Wish</t>
  </si>
  <si>
    <t>Talentime</t>
  </si>
  <si>
    <t>The Twins Effect II</t>
  </si>
  <si>
    <t>Kaal</t>
  </si>
  <si>
    <t>Birth Reborn</t>
  </si>
  <si>
    <t>Angela's Christmas Wish</t>
  </si>
  <si>
    <t>Heroine</t>
  </si>
  <si>
    <t>Tini: The New Life of Violetta</t>
  </si>
  <si>
    <t>Cycle</t>
  </si>
  <si>
    <t>Seriously Single</t>
  </si>
  <si>
    <t>And Then Came Lola</t>
  </si>
  <si>
    <t>Killing Hasselhoff</t>
  </si>
  <si>
    <t>Air Strike</t>
  </si>
  <si>
    <t>The Mansion</t>
  </si>
  <si>
    <t>Children of God</t>
  </si>
  <si>
    <t>The Tambour of Retribution</t>
  </si>
  <si>
    <t>Ferrari Ki Sawaari</t>
  </si>
  <si>
    <t>Doob</t>
  </si>
  <si>
    <t>Exes Baggage</t>
  </si>
  <si>
    <t>God Bless the Broken Road</t>
  </si>
  <si>
    <t>Leal</t>
  </si>
  <si>
    <t>Awara Paagal Deewana</t>
  </si>
  <si>
    <t>Brian Regan: Nunchucks and Flamethrowers</t>
  </si>
  <si>
    <t>Cops and Robbers</t>
  </si>
  <si>
    <t>Sitting in Limbo</t>
  </si>
  <si>
    <t>The Meaning of Monty Python</t>
  </si>
  <si>
    <t>ATM</t>
  </si>
  <si>
    <t>Asphalt Burning</t>
  </si>
  <si>
    <t>Rainbow Time</t>
  </si>
  <si>
    <t>Friendsgiving</t>
  </si>
  <si>
    <t>Christina P: Mother Inferior</t>
  </si>
  <si>
    <t>Sarvam Thaala Mayam</t>
  </si>
  <si>
    <t>Rory Scovel Tries Stand-Up for the First Time</t>
  </si>
  <si>
    <t>Salam - The First ****** Nobel Laureate</t>
  </si>
  <si>
    <t>Aiyaary</t>
  </si>
  <si>
    <t>Clive Davis: The Soundtrack of Our Lives</t>
  </si>
  <si>
    <t>Posesif</t>
  </si>
  <si>
    <t>Puerto Ricans in Paris</t>
  </si>
  <si>
    <t>Chamatkar</t>
  </si>
  <si>
    <t>Poeslief: een ode aan de kat</t>
  </si>
  <si>
    <t>Brave Blue World: Racing to Solve Our Water Crisis</t>
  </si>
  <si>
    <t>Apaharan</t>
  </si>
  <si>
    <t>Off Course</t>
  </si>
  <si>
    <t>Oh, Ramona!</t>
  </si>
  <si>
    <t>Tragic Jungle</t>
  </si>
  <si>
    <t>The Beast</t>
  </si>
  <si>
    <t>House Arrest</t>
  </si>
  <si>
    <t>Jeremiah Tower: The Last Magnificent</t>
  </si>
  <si>
    <t>Wandering Stars</t>
  </si>
  <si>
    <t>Intuition</t>
  </si>
  <si>
    <t>Kevin Hart's Guide to Black History</t>
  </si>
  <si>
    <t>Spanish Affair 2</t>
  </si>
  <si>
    <t>The Stand at Paxton County</t>
  </si>
  <si>
    <t>SuckSeed</t>
  </si>
  <si>
    <t>Back of the Net</t>
  </si>
  <si>
    <t>My Perfect Romance</t>
  </si>
  <si>
    <t>Jen Kirkman: Just Keep Livin'?</t>
  </si>
  <si>
    <t>Paradise Lost</t>
  </si>
  <si>
    <t>Cemara's Family</t>
  </si>
  <si>
    <t>Headwinds</t>
  </si>
  <si>
    <t>Tales from the Hood 2</t>
  </si>
  <si>
    <t>Painted Faces</t>
  </si>
  <si>
    <t>Despite Everything</t>
  </si>
  <si>
    <t>Aapla Manus</t>
  </si>
  <si>
    <t>Isa Pa, with Feelings</t>
  </si>
  <si>
    <t>Romantik Komedi</t>
  </si>
  <si>
    <t>The Doll</t>
  </si>
  <si>
    <t>Beauties of the Night</t>
  </si>
  <si>
    <t>Roohi</t>
  </si>
  <si>
    <t>Grand-Daddy Day Care</t>
  </si>
  <si>
    <t>Born to Play</t>
  </si>
  <si>
    <t>49/100</t>
  </si>
  <si>
    <t>Elliot: The Littlest Reindeer</t>
  </si>
  <si>
    <t>Your Son</t>
  </si>
  <si>
    <t>Family Seductions</t>
  </si>
  <si>
    <t>Sila Samayangalil</t>
  </si>
  <si>
    <t>The B-Side: Elsa Dorfman's Portrait Photography</t>
  </si>
  <si>
    <t>S.M.A.R.T. Chase</t>
  </si>
  <si>
    <t>Ishq Vishk</t>
  </si>
  <si>
    <t>Fred Armisen: Standup for Drummers</t>
  </si>
  <si>
    <t>Milkwater</t>
  </si>
  <si>
    <t>Solo</t>
  </si>
  <si>
    <t>Deadly Switch</t>
  </si>
  <si>
    <t>London Heist</t>
  </si>
  <si>
    <t>Uriyadi 2</t>
  </si>
  <si>
    <t>My Stupid Boss</t>
  </si>
  <si>
    <t>Saheb Biwi Aur Gangster Returns</t>
  </si>
  <si>
    <t>Layla Majnun</t>
  </si>
  <si>
    <t>Unspeakable Acts</t>
  </si>
  <si>
    <t>Zindagi Kitni Haseen Hay</t>
  </si>
  <si>
    <t>Raja Natwarlal</t>
  </si>
  <si>
    <t>The Trap</t>
  </si>
  <si>
    <t>Dead Again in Tombstone</t>
  </si>
  <si>
    <t>Amy Tan: Unintended Memoir</t>
  </si>
  <si>
    <t>Bill Hicks: One Night Stand</t>
  </si>
  <si>
    <t>The Emigrant</t>
  </si>
  <si>
    <t>Picture a Scientist</t>
  </si>
  <si>
    <t>Devil's Mistress</t>
  </si>
  <si>
    <t>Life's Speed Bump</t>
  </si>
  <si>
    <t>Manje Bistre</t>
  </si>
  <si>
    <t>Kartini: Princess of Java</t>
  </si>
  <si>
    <t>Thackeray</t>
  </si>
  <si>
    <t>Hurricane Bianca: From Russia with Hate</t>
  </si>
  <si>
    <t>Kismat Konnection</t>
  </si>
  <si>
    <t>Iron Fists and Kung Fu Kicks</t>
  </si>
  <si>
    <t>Lorena, Light-footed Woman</t>
  </si>
  <si>
    <t>African America</t>
  </si>
  <si>
    <t>Christmas Catch</t>
  </si>
  <si>
    <t>Brent Morin: I'm Brent Morin</t>
  </si>
  <si>
    <t>Dead Kids</t>
  </si>
  <si>
    <t>Bygones Be Bygones</t>
  </si>
  <si>
    <t>The Royal Bengal Tiger</t>
  </si>
  <si>
    <t>Puss in Book: Trapped in an Epic Tale</t>
  </si>
  <si>
    <t>The Next Skin</t>
  </si>
  <si>
    <t>Strip Down, Rise Up</t>
  </si>
  <si>
    <t>Shawn Mendes: In Wonder</t>
  </si>
  <si>
    <t>Lowriders</t>
  </si>
  <si>
    <t>Satyagraha</t>
  </si>
  <si>
    <t>The Brave</t>
  </si>
  <si>
    <t>In Family I Trust</t>
  </si>
  <si>
    <t>The Great Magician</t>
  </si>
  <si>
    <t>Maz Jobrani: Immigrant</t>
  </si>
  <si>
    <t>A Beautiful Life</t>
  </si>
  <si>
    <t>Lang Tong</t>
  </si>
  <si>
    <t>Gori Tere Pyaar Mein</t>
  </si>
  <si>
    <t>Nikki Glaser: Bangin'</t>
  </si>
  <si>
    <t>Growing Up Wild</t>
  </si>
  <si>
    <t>What Would Sophia Loren Do?</t>
  </si>
  <si>
    <t>Wedding Association 2: Circumcision</t>
  </si>
  <si>
    <t>Bhaji in Problem</t>
  </si>
  <si>
    <t>What Did I Mess</t>
  </si>
  <si>
    <t>The Journey Is the Destination</t>
  </si>
  <si>
    <t>Sister In Law</t>
  </si>
  <si>
    <t>Ahaan</t>
  </si>
  <si>
    <t>Dolly Kitty and Those Twinkling Stars</t>
  </si>
  <si>
    <t>Brij Mohan Amar Rahe!</t>
  </si>
  <si>
    <t>Citation</t>
  </si>
  <si>
    <t>Rock my Heart</t>
  </si>
  <si>
    <t>Silent</t>
  </si>
  <si>
    <t>Cristina</t>
  </si>
  <si>
    <t>Bankrolled</t>
  </si>
  <si>
    <t>Adam Devine: Best Time of Our Lives</t>
  </si>
  <si>
    <t>Mann</t>
  </si>
  <si>
    <t>Anjaan</t>
  </si>
  <si>
    <t>Love or Money</t>
  </si>
  <si>
    <t>Lionheart</t>
  </si>
  <si>
    <t>Much Ado About Nothing</t>
  </si>
  <si>
    <t>Todd Glass: Act Happy</t>
  </si>
  <si>
    <t>Ave Maryam</t>
  </si>
  <si>
    <t>Making the Witcher</t>
  </si>
  <si>
    <t>Todd Barry: Spicy Honey</t>
  </si>
  <si>
    <t>Joe Mande's Award-Winning Comedy Special</t>
  </si>
  <si>
    <t>Trailer Park Boys: Drunk, High and Unemployed: Live In Austin</t>
  </si>
  <si>
    <t>Alt-Right: Age of Rage</t>
  </si>
  <si>
    <t>Back to School</t>
  </si>
  <si>
    <t>The Girl from the Song</t>
  </si>
  <si>
    <t>Aelay</t>
  </si>
  <si>
    <t>Care Of Kaadhal</t>
  </si>
  <si>
    <t>HiGH&amp;LOW The Movie</t>
  </si>
  <si>
    <t>Aakhri Adaalat</t>
  </si>
  <si>
    <t>Redemption</t>
  </si>
  <si>
    <t>Alien Xmas</t>
  </si>
  <si>
    <t>Neevevaro</t>
  </si>
  <si>
    <t>World Famous Lover</t>
  </si>
  <si>
    <t>Under the Riccione Sun</t>
  </si>
  <si>
    <t>Norman Lear: Just Another Version of You</t>
  </si>
  <si>
    <t>Motichoor Chaknachoor</t>
  </si>
  <si>
    <t>NeÅŸeli Hayat</t>
  </si>
  <si>
    <t>The Jews</t>
  </si>
  <si>
    <t>Bon Bini Holland</t>
  </si>
  <si>
    <t>Surviving Christmas with the Relatives</t>
  </si>
  <si>
    <t>One 2 Ka 4</t>
  </si>
  <si>
    <t>ReMastered: Who Shot the Sheriff</t>
  </si>
  <si>
    <t>Dolly Parton: A MusiCares Tribute</t>
  </si>
  <si>
    <t>Invisible</t>
  </si>
  <si>
    <t>Maska</t>
  </si>
  <si>
    <t>Theo Von: No Offense</t>
  </si>
  <si>
    <t>Maria Bamford: Old Baby</t>
  </si>
  <si>
    <t>Overnight Republic</t>
  </si>
  <si>
    <t>Christmas with a Prince</t>
  </si>
  <si>
    <t>Barbie: Princess Adventure</t>
  </si>
  <si>
    <t>Guddiyan Patole</t>
  </si>
  <si>
    <t>48/100</t>
  </si>
  <si>
    <t>El testigo: CaÃ­n y Abel</t>
  </si>
  <si>
    <t>The Suit</t>
  </si>
  <si>
    <t>The Love Affair</t>
  </si>
  <si>
    <t>Sam Smith: Love Goes - Live at Abbey Road Studios</t>
  </si>
  <si>
    <t>Colin Quinn: The New York Story</t>
  </si>
  <si>
    <t>Swiped</t>
  </si>
  <si>
    <t>Pinky Memsaab</t>
  </si>
  <si>
    <t>Thi Mai</t>
  </si>
  <si>
    <t>Verses of Love</t>
  </si>
  <si>
    <t>Joan Rivers: Don't Start with Me</t>
  </si>
  <si>
    <t>Get the Grift</t>
  </si>
  <si>
    <t>The F**k-It List</t>
  </si>
  <si>
    <t>The Last Paradiso</t>
  </si>
  <si>
    <t>LEGO Marvel Super Heroes: Black Panther - Trouble in Wakanda</t>
  </si>
  <si>
    <t>Namaste Wahala</t>
  </si>
  <si>
    <t>Hantu Kak Limah</t>
  </si>
  <si>
    <t>Yours Sincerely, Kanan Gill</t>
  </si>
  <si>
    <t>Tribhanga</t>
  </si>
  <si>
    <t>A Love Story</t>
  </si>
  <si>
    <t>The Mad Monk</t>
  </si>
  <si>
    <t>Mrs. Serial Killer</t>
  </si>
  <si>
    <t>John Henry</t>
  </si>
  <si>
    <t>HiGH&amp;LOW The Movie 3: Final Mission</t>
  </si>
  <si>
    <t>Tiffany Haddish: Black Mitzvah</t>
  </si>
  <si>
    <t>Helios</t>
  </si>
  <si>
    <t>Jeff Foxworthy &amp; Larry the Cable Guy: We've Been Thinking</t>
  </si>
  <si>
    <t>Milestone</t>
  </si>
  <si>
    <t>Chronically Metropolitan</t>
  </si>
  <si>
    <t>Spivak</t>
  </si>
  <si>
    <t>Reggie Watts: Spatial</t>
  </si>
  <si>
    <t>Fiza</t>
  </si>
  <si>
    <t>Sincerely Yours, Dhaka</t>
  </si>
  <si>
    <t>Roll with Me</t>
  </si>
  <si>
    <t>Kalakalappu</t>
  </si>
  <si>
    <t>Chhota Bheem And The Curse of Damyaan</t>
  </si>
  <si>
    <t>The Last Thing He Wanted</t>
  </si>
  <si>
    <t>Barbie &amp; Chelsea the Lost Birthday</t>
  </si>
  <si>
    <t>Dying to Tell</t>
  </si>
  <si>
    <t>Calum Von Moger: Unbroken</t>
  </si>
  <si>
    <t>Welcome to Sajjanpur</t>
  </si>
  <si>
    <t>Hero</t>
  </si>
  <si>
    <t>Until Midnight</t>
  </si>
  <si>
    <t>Pretty Guardians Sailor Moon Eternal The MOVIE - Part 2</t>
  </si>
  <si>
    <t>Sisters on Track</t>
  </si>
  <si>
    <t>HiGH&amp;LOW THE WORST</t>
  </si>
  <si>
    <t>Slam</t>
  </si>
  <si>
    <t>All the Reasons to Forget</t>
  </si>
  <si>
    <t>Cedric the Entertainer: Live from the Ville</t>
  </si>
  <si>
    <t>Jo Koy: Live from Seattle</t>
  </si>
  <si>
    <t>Ghosts of Sugar Land</t>
  </si>
  <si>
    <t>Kathleen Madigan: Bothering Jesus</t>
  </si>
  <si>
    <t>Professor</t>
  </si>
  <si>
    <t>Jhankaar Beats</t>
  </si>
  <si>
    <t>Qila</t>
  </si>
  <si>
    <t>Disco Dancer</t>
  </si>
  <si>
    <t>The Girl Allergic to Wi-Fi</t>
  </si>
  <si>
    <t>A Heavy Heart</t>
  </si>
  <si>
    <t>Paradise Beach</t>
  </si>
  <si>
    <t>Chelsea Handler: Uganda Be Kidding Me Live</t>
  </si>
  <si>
    <t>Chris D'Elia: Man on Fire</t>
  </si>
  <si>
    <t>Quiet</t>
  </si>
  <si>
    <t>Mama's Boy</t>
  </si>
  <si>
    <t>Mayday Life</t>
  </si>
  <si>
    <t>Coin Heist</t>
  </si>
  <si>
    <t>Dance Dreams: Hot Chocolate Nutcracker</t>
  </si>
  <si>
    <t>Belmonte</t>
  </si>
  <si>
    <t>ReMastered: The Lion's Share</t>
  </si>
  <si>
    <t>Holiday Rush</t>
  </si>
  <si>
    <t>Searching for Sheela</t>
  </si>
  <si>
    <t>The Last Hour</t>
  </si>
  <si>
    <t>Under the Eiffel Tower</t>
  </si>
  <si>
    <t>A Truthful Mother</t>
  </si>
  <si>
    <t>Lynne Koplitz: Hormonal Beast</t>
  </si>
  <si>
    <t>40 Sticks</t>
  </si>
  <si>
    <t>Pulang</t>
  </si>
  <si>
    <t>Road To High &amp; Low</t>
  </si>
  <si>
    <t>From A to B</t>
  </si>
  <si>
    <t>Gardeners of Eden</t>
  </si>
  <si>
    <t>Jessica Darling's It List</t>
  </si>
  <si>
    <t>Woodshock</t>
  </si>
  <si>
    <t>Pants on Fire</t>
  </si>
  <si>
    <t>F.R.E.D.I.</t>
  </si>
  <si>
    <t>Opium and the Kung Fu Master</t>
  </si>
  <si>
    <t>Dad Wanted</t>
  </si>
  <si>
    <t>Husband Factor</t>
  </si>
  <si>
    <t>A Second Chance: Rivals!</t>
  </si>
  <si>
    <t>Latte and the Magic Waterstone</t>
  </si>
  <si>
    <t>A Sort of Family</t>
  </si>
  <si>
    <t>Rajma Chawal</t>
  </si>
  <si>
    <t>Pegasus</t>
  </si>
  <si>
    <t>Unchained: The Untold Story of Freestyle Motocross</t>
  </si>
  <si>
    <t>Airplane Mode</t>
  </si>
  <si>
    <t>Getaway Plan</t>
  </si>
  <si>
    <t>Paris Is Us</t>
  </si>
  <si>
    <t>Unexpectedly Yours</t>
  </si>
  <si>
    <t>Qlimax - The Source</t>
  </si>
  <si>
    <t>Game</t>
  </si>
  <si>
    <t>Eeda</t>
  </si>
  <si>
    <t>The George McKenna Story</t>
  </si>
  <si>
    <t>Bhai - Vyakti ki Valli</t>
  </si>
  <si>
    <t>Too Handsome To Handle</t>
  </si>
  <si>
    <t>What the F* Is Going On?</t>
  </si>
  <si>
    <t>Budapest</t>
  </si>
  <si>
    <t>The Married Couples</t>
  </si>
  <si>
    <t>Jatt James Bond</t>
  </si>
  <si>
    <t>One Last Shot</t>
  </si>
  <si>
    <t>HiGH&amp;LOW The Movie 2: End of Sky</t>
  </si>
  <si>
    <t>Liar's Dice</t>
  </si>
  <si>
    <t>Maria Bamford: The Special Special Special!</t>
  </si>
  <si>
    <t>LEGO Marvel Super Heroes - Guardians of the Galaxy: The Thanos Threat</t>
  </si>
  <si>
    <t>Brahman Naman</t>
  </si>
  <si>
    <t>Anjelah Johnson: Not Fancy</t>
  </si>
  <si>
    <t>Locksmithâ€™s Debt</t>
  </si>
  <si>
    <t>47/100</t>
  </si>
  <si>
    <t>Xico's Journey</t>
  </si>
  <si>
    <t>Look Out, Officer!</t>
  </si>
  <si>
    <t>Girls with Balls</t>
  </si>
  <si>
    <t>SofÃ­a NiÃ±o de Rivera: Exposed</t>
  </si>
  <si>
    <t>Love, Surreal and Odd</t>
  </si>
  <si>
    <t>The 3rd Eye 2</t>
  </si>
  <si>
    <t>Ron White: If You Quit Listening, I'll Shut Up</t>
  </si>
  <si>
    <t>CamarÃ³n: The Film</t>
  </si>
  <si>
    <t>Party Monster: Scratching the Surface</t>
  </si>
  <si>
    <t>Shawn Mendes: Live in Concert</t>
  </si>
  <si>
    <t>Metro</t>
  </si>
  <si>
    <t>Little Door Gods</t>
  </si>
  <si>
    <t>#FriendButMarried 2</t>
  </si>
  <si>
    <t>Marvel Super Hero Adventures: Frost Fight!</t>
  </si>
  <si>
    <t>My Way: The Rise and Fall of Silvio Berlusconi</t>
  </si>
  <si>
    <t>Evvarikee Cheppoddu</t>
  </si>
  <si>
    <t>Rhys Nicholson: Live at the Athenaeum</t>
  </si>
  <si>
    <t>Simon Amstell: Set Free</t>
  </si>
  <si>
    <t>Action Replayy</t>
  </si>
  <si>
    <t>Interview with a Serial Killer</t>
  </si>
  <si>
    <t>Christmas Break-In</t>
  </si>
  <si>
    <t>The Return of the Prodigal Son</t>
  </si>
  <si>
    <t>Saawan</t>
  </si>
  <si>
    <t>Nasha Natasha</t>
  </si>
  <si>
    <t>Zip &amp; Zap and the Captain's Island</t>
  </si>
  <si>
    <t>Love Is a Story</t>
  </si>
  <si>
    <t>Haani</t>
  </si>
  <si>
    <t>Alibaba Aur 40 Chor</t>
  </si>
  <si>
    <t>Carlos Ballarta: Furia Ã‘era</t>
  </si>
  <si>
    <t>Casablancas: The Man Who Loved Women</t>
  </si>
  <si>
    <t>Chance Pe Dance</t>
  </si>
  <si>
    <t>Bulletproof 2</t>
  </si>
  <si>
    <t>Meghnadbodh Rohoshyo</t>
  </si>
  <si>
    <t>Jatts in Golmaal</t>
  </si>
  <si>
    <t>Seven</t>
  </si>
  <si>
    <t>Jonaki</t>
  </si>
  <si>
    <t>Colin Quinn: Unconstitutional</t>
  </si>
  <si>
    <t>Gold Statue</t>
  </si>
  <si>
    <t>Belief: The Possession of Janet Moses</t>
  </si>
  <si>
    <t>Kenny Sebastian: The Most Interesting Person in the Room</t>
  </si>
  <si>
    <t>Ghost of the Mountains</t>
  </si>
  <si>
    <t>Vir Das: Losing It</t>
  </si>
  <si>
    <t>So Much Love to Give</t>
  </si>
  <si>
    <t>Wish Upon a Unicorn</t>
  </si>
  <si>
    <t>Nightmare in Columbia County</t>
  </si>
  <si>
    <t>Lucid Dream</t>
  </si>
  <si>
    <t>Dhan Dhana Dhan Goal</t>
  </si>
  <si>
    <t>Blood Money</t>
  </si>
  <si>
    <t>Moshe Kasher: Live in Oakland</t>
  </si>
  <si>
    <t>Bobby Jasoos</t>
  </si>
  <si>
    <t>9to5: The Story of a Movement</t>
  </si>
  <si>
    <t>Kuntilanak</t>
  </si>
  <si>
    <t>Lift Like a Girl</t>
  </si>
  <si>
    <t>The Car: Road to Revenge</t>
  </si>
  <si>
    <t>Vaya</t>
  </si>
  <si>
    <t>Kath &amp; Kimderella</t>
  </si>
  <si>
    <t>The Open House</t>
  </si>
  <si>
    <t>Blessed Benefit</t>
  </si>
  <si>
    <t>Katt Williams: Kattpacalypse</t>
  </si>
  <si>
    <t>Rangreza</t>
  </si>
  <si>
    <t>Danur</t>
  </si>
  <si>
    <t>Naan Sigappu Manithan</t>
  </si>
  <si>
    <t>Hikaru Utada Laughter in the Dark Tour 2018</t>
  </si>
  <si>
    <t>Dogwashers</t>
  </si>
  <si>
    <t>A Remarkable Tale</t>
  </si>
  <si>
    <t>#FriendButMarried</t>
  </si>
  <si>
    <t>Players</t>
  </si>
  <si>
    <t>Unbridled</t>
  </si>
  <si>
    <t>Jo Pil-ho: The Dawning Rage</t>
  </si>
  <si>
    <t>The Reconquest</t>
  </si>
  <si>
    <t>Stars in the Sky: A Hunting Story</t>
  </si>
  <si>
    <t>Before the Flying Circus</t>
  </si>
  <si>
    <t>Forever Chape</t>
  </si>
  <si>
    <t>Blanche Gardin: I Talk to Myself</t>
  </si>
  <si>
    <t>Malibu Rescue</t>
  </si>
  <si>
    <t>Malibu Rescue: The Next Wave</t>
  </si>
  <si>
    <t>The Binding</t>
  </si>
  <si>
    <t>Justine</t>
  </si>
  <si>
    <t>Brother</t>
  </si>
  <si>
    <t>Notes from Dunblane: Lessons from a School Shooting</t>
  </si>
  <si>
    <t>Walk Away from Love</t>
  </si>
  <si>
    <t>Elizabeth and Margaret: Love and Loyalty</t>
  </si>
  <si>
    <t>Lavell Crawford: Can a Brother Get Some Love?</t>
  </si>
  <si>
    <t>Animals on the Loose: A You vs. Wild Movie</t>
  </si>
  <si>
    <t>Sparring</t>
  </si>
  <si>
    <t>Journey To Greenland</t>
  </si>
  <si>
    <t>The Heaven None Missed 2</t>
  </si>
  <si>
    <t>LEGO Marvel Super Heroes: Maximum Overload</t>
  </si>
  <si>
    <t>Four Sisters Before the Wedding</t>
  </si>
  <si>
    <t>The Larva Island Movie</t>
  </si>
  <si>
    <t>Whindersson Nunes: Adult</t>
  </si>
  <si>
    <t>The Fisherman's Diary</t>
  </si>
  <si>
    <t>46/100</t>
  </si>
  <si>
    <t>Best of Stand-up 2020</t>
  </si>
  <si>
    <t>Tell Me When</t>
  </si>
  <si>
    <t>SofÃ­a NiÃ±o de Rivera: Natural Selection</t>
  </si>
  <si>
    <t>Not a Game</t>
  </si>
  <si>
    <t>Maya Memsaab</t>
  </si>
  <si>
    <t>Buddies</t>
  </si>
  <si>
    <t>Crossroads: One Two Jaga</t>
  </si>
  <si>
    <t>Goli Soda 2</t>
  </si>
  <si>
    <t>Santa Girl</t>
  </si>
  <si>
    <t>The Kite</t>
  </si>
  <si>
    <t>Alexandria, Again and Forever</t>
  </si>
  <si>
    <t>So My Grandma's a Lesbian!</t>
  </si>
  <si>
    <t>Mercenary</t>
  </si>
  <si>
    <t>Ascharya Fuck It</t>
  </si>
  <si>
    <t>Komola Rocket</t>
  </si>
  <si>
    <t>Manusangada</t>
  </si>
  <si>
    <t>Benchwarmers 2: Breaking Balls</t>
  </si>
  <si>
    <t>Breaking the Bank</t>
  </si>
  <si>
    <t>Love for Sale 2</t>
  </si>
  <si>
    <t>The Tenth Man</t>
  </si>
  <si>
    <t>Ram Dass, Going Home</t>
  </si>
  <si>
    <t>Bomb Scared</t>
  </si>
  <si>
    <t>Dedemin FiÅŸi</t>
  </si>
  <si>
    <t>Romance Doll</t>
  </si>
  <si>
    <t>Frank &amp; Cindy</t>
  </si>
  <si>
    <t>Lifeline</t>
  </si>
  <si>
    <t>Bombay Rose</t>
  </si>
  <si>
    <t>One More Try</t>
  </si>
  <si>
    <t>Uncertain Glory</t>
  </si>
  <si>
    <t>Cinderella Pop</t>
  </si>
  <si>
    <t>Vikruthi</t>
  </si>
  <si>
    <t>The Influence</t>
  </si>
  <si>
    <t>LEGO Marvel Spider-Man: Vexed By Venom</t>
  </si>
  <si>
    <t>Bill Hicks: Reflections</t>
  </si>
  <si>
    <t>Fida</t>
  </si>
  <si>
    <t>The Plane Tree</t>
  </si>
  <si>
    <t>The World We Make</t>
  </si>
  <si>
    <t>Octonauts: The Ring of Fire</t>
  </si>
  <si>
    <t>Sigaram Thodu</t>
  </si>
  <si>
    <t>Break Ke Baad</t>
  </si>
  <si>
    <t>Lucas Brothers: On Drugs</t>
  </si>
  <si>
    <t>Going for Gold</t>
  </si>
  <si>
    <t>Sardar Ka Grandson</t>
  </si>
  <si>
    <t>Light of My Eyes</t>
  </si>
  <si>
    <t>Honeymoon Travels Pvt. Ltd.</t>
  </si>
  <si>
    <t>The Day of the Lord</t>
  </si>
  <si>
    <t>Kiss of Life</t>
  </si>
  <si>
    <t>Cristela Alonzo: Lower Classy</t>
  </si>
  <si>
    <t>The Other</t>
  </si>
  <si>
    <t>Shimla Mirchi</t>
  </si>
  <si>
    <t>June &amp; Kopi</t>
  </si>
  <si>
    <t>Puriyaatha Puthir</t>
  </si>
  <si>
    <t>A 3 Minute Hug</t>
  </si>
  <si>
    <t>Mo Gilligan: Momentum</t>
  </si>
  <si>
    <t>Deliha</t>
  </si>
  <si>
    <t>Full Count</t>
  </si>
  <si>
    <t>The Bare-Footed Kid</t>
  </si>
  <si>
    <t>Strange Voices</t>
  </si>
  <si>
    <t>Dragons: Rescue Riders: Secrets of the Songwing</t>
  </si>
  <si>
    <t>Gun City</t>
  </si>
  <si>
    <t>Patria</t>
  </si>
  <si>
    <t>The 3rd Eye</t>
  </si>
  <si>
    <t>Fatal Affair</t>
  </si>
  <si>
    <t>Born Beautiful</t>
  </si>
  <si>
    <t>One in a Billion</t>
  </si>
  <si>
    <t>Earth and Blood</t>
  </si>
  <si>
    <t>BNK48: Girls Don't Cry</t>
  </si>
  <si>
    <t>Strain</t>
  </si>
  <si>
    <t>Gatao 2: Rise of the King</t>
  </si>
  <si>
    <t>The Student Cop</t>
  </si>
  <si>
    <t>Emicida: AmarElo â€“ Live in SÃ£o Paulo</t>
  </si>
  <si>
    <t>The Letter Reader</t>
  </si>
  <si>
    <t>Hello Brother</t>
  </si>
  <si>
    <t>Mustang Island</t>
  </si>
  <si>
    <t>Loving You</t>
  </si>
  <si>
    <t>Weeds on Fire</t>
  </si>
  <si>
    <t>PerÃº: Tesoro Escondido</t>
  </si>
  <si>
    <t>Seth Rogen's Hilarity for Charity</t>
  </si>
  <si>
    <t>AlelÃ­</t>
  </si>
  <si>
    <t>Manoranjan</t>
  </si>
  <si>
    <t>Abdullah : The Final Witness</t>
  </si>
  <si>
    <t>The Panti Sisters</t>
  </si>
  <si>
    <t>Forgive Us Our Debts</t>
  </si>
  <si>
    <t>Mukhsin</t>
  </si>
  <si>
    <t>How High 2</t>
  </si>
  <si>
    <t>True: Grabbleapple Harvest</t>
  </si>
  <si>
    <t>My Own Man</t>
  </si>
  <si>
    <t>God Calling</t>
  </si>
  <si>
    <t>Sol Levante</t>
  </si>
  <si>
    <t>A Very Special Love</t>
  </si>
  <si>
    <t>Good Sam</t>
  </si>
  <si>
    <t>#cats_the_mewvie</t>
  </si>
  <si>
    <t>Offline: Are You Ready for the Next Level?</t>
  </si>
  <si>
    <t>The Violin Player</t>
  </si>
  <si>
    <t>Tim Allen: Men Are Pigs</t>
  </si>
  <si>
    <t>My Little Pony: Equestria Girls - Rollercoaster of Friendship</t>
  </si>
  <si>
    <t>LÃ©a &amp; I</t>
  </si>
  <si>
    <t>You Are My Home</t>
  </si>
  <si>
    <t>The Knight &amp; The Princess</t>
  </si>
  <si>
    <t>A Chaster Marriage</t>
  </si>
  <si>
    <t>Munafik 2</t>
  </si>
  <si>
    <t>ParchÃ­s: The Documentary</t>
  </si>
  <si>
    <t>The Last Days of American Crime</t>
  </si>
  <si>
    <t>Hawaizaada</t>
  </si>
  <si>
    <t>The Doll 2</t>
  </si>
  <si>
    <t>JFK: The Making of a President</t>
  </si>
  <si>
    <t>All the Freckles in the World</t>
  </si>
  <si>
    <t>Jagat</t>
  </si>
  <si>
    <t>3 TÃ¼rken und ein Baby</t>
  </si>
  <si>
    <t>I'm Leaving Now</t>
  </si>
  <si>
    <t>Fuga</t>
  </si>
  <si>
    <t>Mike Epps: Only One Mike</t>
  </si>
  <si>
    <t>Heroes Wanted</t>
  </si>
  <si>
    <t>Kambili: The Whole 30 Yards</t>
  </si>
  <si>
    <t>D.L. Hughley: Contrarian</t>
  </si>
  <si>
    <t>Two Champions of Shaolin</t>
  </si>
  <si>
    <t>Def Comedy Jam 25</t>
  </si>
  <si>
    <t>A Tale of Two Kitchens</t>
  </si>
  <si>
    <t>Tarung Sarung</t>
  </si>
  <si>
    <t>All About Asado</t>
  </si>
  <si>
    <t>The Russian Revloution</t>
  </si>
  <si>
    <t>45/100</t>
  </si>
  <si>
    <t>Bbuddah Hoga Terra Baap</t>
  </si>
  <si>
    <t>Pickpockets</t>
  </si>
  <si>
    <t>Michael Lost and Found</t>
  </si>
  <si>
    <t>Adam: His Song Continues</t>
  </si>
  <si>
    <t>A Fairly Odd Summer</t>
  </si>
  <si>
    <t>Wheels of Fortune</t>
  </si>
  <si>
    <t>Boi</t>
  </si>
  <si>
    <t>The Girl and The Gun</t>
  </si>
  <si>
    <t>ReMastered: Who Killed Jam Master Jay?</t>
  </si>
  <si>
    <t>Casino Tycoon</t>
  </si>
  <si>
    <t>Born Racer</t>
  </si>
  <si>
    <t>Out of Life</t>
  </si>
  <si>
    <t>Finally Found Someone</t>
  </si>
  <si>
    <t>Resurface</t>
  </si>
  <si>
    <t>14 Minutes from Earth</t>
  </si>
  <si>
    <t>I Am Vengeance: Retaliation</t>
  </si>
  <si>
    <t>Halkaa</t>
  </si>
  <si>
    <t>Ungli</t>
  </si>
  <si>
    <t>MindGamers</t>
  </si>
  <si>
    <t>Thiago Ventura: POKAS</t>
  </si>
  <si>
    <t>Catching Feelings</t>
  </si>
  <si>
    <t>Minnaminungu The Firefly</t>
  </si>
  <si>
    <t>American Woman</t>
  </si>
  <si>
    <t>Aashik Aawara</t>
  </si>
  <si>
    <t>Therapy</t>
  </si>
  <si>
    <t>Time Out</t>
  </si>
  <si>
    <t>Madam Chief Minister</t>
  </si>
  <si>
    <t>A Trash Truck Christmas</t>
  </si>
  <si>
    <t>Fasel Wa Naoud</t>
  </si>
  <si>
    <t>Handsome: A Netflix Mystery Movie</t>
  </si>
  <si>
    <t>Hope Frozen: A Quest to Live Twice</t>
  </si>
  <si>
    <t>48 Christmas Wishes</t>
  </si>
  <si>
    <t>It Takes a Lunatic</t>
  </si>
  <si>
    <t>Tersanjung the Movie</t>
  </si>
  <si>
    <t>Sakaling Maging Tayo</t>
  </si>
  <si>
    <t>SDU: Sex Duties Unit</t>
  </si>
  <si>
    <t>Leyla Everlasting</t>
  </si>
  <si>
    <t>Eggnoid</t>
  </si>
  <si>
    <t>Amy Schumer: The Leather Special</t>
  </si>
  <si>
    <t>A Mighty Team</t>
  </si>
  <si>
    <t>Thank You</t>
  </si>
  <si>
    <t>Hostage House</t>
  </si>
  <si>
    <t>Up Among the Stars</t>
  </si>
  <si>
    <t>Shaandaar</t>
  </si>
  <si>
    <t>The Little Switzerland</t>
  </si>
  <si>
    <t>Misfit</t>
  </si>
  <si>
    <t>Afonso Padilha: Classless</t>
  </si>
  <si>
    <t>Suzzanna: Buried Alive</t>
  </si>
  <si>
    <t>Si Doel the Movie</t>
  </si>
  <si>
    <t>Across Grace Alley</t>
  </si>
  <si>
    <t>Lola Igna</t>
  </si>
  <si>
    <t>Fierce</t>
  </si>
  <si>
    <t>Dragons: Rescue Riders: Hunt for the Golden Dragon</t>
  </si>
  <si>
    <t>The Last Kids on Earth: Happy Apocalypse to You</t>
  </si>
  <si>
    <t>Beauty and the Bestie</t>
  </si>
  <si>
    <t>Milea</t>
  </si>
  <si>
    <t>Scarecrow</t>
  </si>
  <si>
    <t>Geez &amp; Ann</t>
  </si>
  <si>
    <t>Whispers</t>
  </si>
  <si>
    <t>Ghanchakkar</t>
  </si>
  <si>
    <t>Listen</t>
  </si>
  <si>
    <t>Aagey Se Right</t>
  </si>
  <si>
    <t>Dr Jason Leong: Hashtag Blessed</t>
  </si>
  <si>
    <t>Between Maybes</t>
  </si>
  <si>
    <t>Naughty Jatts</t>
  </si>
  <si>
    <t>Five Nights in Maine</t>
  </si>
  <si>
    <t>To Each, Her Own</t>
  </si>
  <si>
    <t>Two Catalonias</t>
  </si>
  <si>
    <t>Felix Lobrecht: Hype</t>
  </si>
  <si>
    <t>Nacido en Siria</t>
  </si>
  <si>
    <t>Question Mark</t>
  </si>
  <si>
    <t>Malaal</t>
  </si>
  <si>
    <t>Countdown to Death: Pablo Escobar</t>
  </si>
  <si>
    <t>Women of Mafia 2</t>
  </si>
  <si>
    <t>DÃ¼ÄŸÃ¼m Salonu</t>
  </si>
  <si>
    <t>Love Like the Falling Rain</t>
  </si>
  <si>
    <t>Amrapali</t>
  </si>
  <si>
    <t>44/100</t>
  </si>
  <si>
    <t>Judge Singh LLB</t>
  </si>
  <si>
    <t>BlackRose</t>
  </si>
  <si>
    <t>The (Silent) War</t>
  </si>
  <si>
    <t>Paranormal Investigation</t>
  </si>
  <si>
    <t>Theeya Velai Seiyyanum Kumaru</t>
  </si>
  <si>
    <t>Garfield's Fun Fest</t>
  </si>
  <si>
    <t>Bhangra Paa Le</t>
  </si>
  <si>
    <t>Asees</t>
  </si>
  <si>
    <t>Christmas Crossfire</t>
  </si>
  <si>
    <t>Cook Off</t>
  </si>
  <si>
    <t>Upstarts</t>
  </si>
  <si>
    <t>Wannabe Courageous</t>
  </si>
  <si>
    <t>My Stupid Boss 2</t>
  </si>
  <si>
    <t>Poster Boys</t>
  </si>
  <si>
    <t>Madness in the Desert: The Paris to Dakar Story</t>
  </si>
  <si>
    <t>Ã–ldÃ¼r Beni Sevgilim</t>
  </si>
  <si>
    <t>The Heartbreak Club</t>
  </si>
  <si>
    <t>Verses of Love 2</t>
  </si>
  <si>
    <t>Take the 10</t>
  </si>
  <si>
    <t>Manmadhudu 2</t>
  </si>
  <si>
    <t>Rainbow Jelly</t>
  </si>
  <si>
    <t>Wyatt Cenac: Brooklyn</t>
  </si>
  <si>
    <t>Into the Beat</t>
  </si>
  <si>
    <t>The Bros</t>
  </si>
  <si>
    <t>Lembi 8 Giga</t>
  </si>
  <si>
    <t>Santana</t>
  </si>
  <si>
    <t>The Road to El Camino: Behind the Scenes of El Camino: A Breaking Bad Movie</t>
  </si>
  <si>
    <t>El Dealer</t>
  </si>
  <si>
    <t>Jezebel</t>
  </si>
  <si>
    <t>Tootsies &amp; The Fake</t>
  </si>
  <si>
    <t>True: Tricky Treat Day</t>
  </si>
  <si>
    <t>A StoryBots Christmas</t>
  </si>
  <si>
    <t>Lee Su-geun: The Sense Coach</t>
  </si>
  <si>
    <t>Thottappan</t>
  </si>
  <si>
    <t>Heirs</t>
  </si>
  <si>
    <t>Urzila Carlson: Overqualified Loser</t>
  </si>
  <si>
    <t>Sam Kinison: Family Entertainment Hour</t>
  </si>
  <si>
    <t>Too Young The Hero</t>
  </si>
  <si>
    <t>Chashme Baddoor</t>
  </si>
  <si>
    <t>Soy Rada: Serendipia</t>
  </si>
  <si>
    <t>Shanghai Fortress</t>
  </si>
  <si>
    <t>Andaleeb El Dokki</t>
  </si>
  <si>
    <t>Vettai</t>
  </si>
  <si>
    <t>The Claudia Kishi Club</t>
  </si>
  <si>
    <t>Welcome Mr. President!</t>
  </si>
  <si>
    <t>Chris Rock Total Blackout: The Tamborine Extended Cut</t>
  </si>
  <si>
    <t>Bibi &amp; Tina: Bewildered and Bewitched</t>
  </si>
  <si>
    <t>Sugar High</t>
  </si>
  <si>
    <t>Los Tigres del Norte at Folsom Prison</t>
  </si>
  <si>
    <t>A Family Reunion Christmas</t>
  </si>
  <si>
    <t>Franco Escamilla: bienvenido al mundo</t>
  </si>
  <si>
    <t>Resort to Love</t>
  </si>
  <si>
    <t>Larry The Cable Guy: Remain Seated</t>
  </si>
  <si>
    <t>Rooting for Roona</t>
  </si>
  <si>
    <t>My Step Dad: The Hippie</t>
  </si>
  <si>
    <t>Gatao: The Last Stray</t>
  </si>
  <si>
    <t>Mugamoodi</t>
  </si>
  <si>
    <t>Clash</t>
  </si>
  <si>
    <t>You've Got This</t>
  </si>
  <si>
    <t>I Love You - A Divorce Comedy</t>
  </si>
  <si>
    <t>Todo lo que serÃ­a Lucas Lauriente</t>
  </si>
  <si>
    <t>The Day I Lost My Shadow</t>
  </si>
  <si>
    <t>Rafinha Bastos: Ultimatum</t>
  </si>
  <si>
    <t>Kalushi</t>
  </si>
  <si>
    <t>Mutiny of the Worker Bees</t>
  </si>
  <si>
    <t>Krishna and His Leela</t>
  </si>
  <si>
    <t>Evening Shadows</t>
  </si>
  <si>
    <t>Fantastica</t>
  </si>
  <si>
    <t>Vir Das: Abroad Understanding</t>
  </si>
  <si>
    <t>Mere Pyare Prime Minister</t>
  </si>
  <si>
    <t>Deliha 2</t>
  </si>
  <si>
    <t>Chupan Chupai</t>
  </si>
  <si>
    <t>Main Aurr Mrs Khanna</t>
  </si>
  <si>
    <t>SunGanges</t>
  </si>
  <si>
    <t>Vir Das: Outside in - The Lockdown Special</t>
  </si>
  <si>
    <t>One Lagos Night</t>
  </si>
  <si>
    <t>Stretch Armstrong: The Breakout</t>
  </si>
  <si>
    <t>Bibi &amp; Tina: Girls vs. Boys</t>
  </si>
  <si>
    <t>Hazel Brugger: Tropical</t>
  </si>
  <si>
    <t>Kiss and Cry</t>
  </si>
  <si>
    <t>The Rope Curse 2</t>
  </si>
  <si>
    <t>Amandla! A Revolution in Four-Part Harmony</t>
  </si>
  <si>
    <t>Elaan</t>
  </si>
  <si>
    <t>Coffee for All</t>
  </si>
  <si>
    <t>Hometown Holiday</t>
  </si>
  <si>
    <t>The Massively Mixed-Up Middle School Mystery</t>
  </si>
  <si>
    <t>Salaakhen</t>
  </si>
  <si>
    <t>Bypass Road</t>
  </si>
  <si>
    <t>Sisterakas</t>
  </si>
  <si>
    <t>Un + une</t>
  </si>
  <si>
    <t>Rogue Warfare</t>
  </si>
  <si>
    <t>From Stress To Happiness</t>
  </si>
  <si>
    <t>Spookley the Square Pumpkin</t>
  </si>
  <si>
    <t>Nila</t>
  </si>
  <si>
    <t>Story of Kale: When Someone's in Love</t>
  </si>
  <si>
    <t>Dark Waters</t>
  </si>
  <si>
    <t>Holly Star</t>
  </si>
  <si>
    <t>West Coast</t>
  </si>
  <si>
    <t>The Insomnia Club</t>
  </si>
  <si>
    <t>First Love</t>
  </si>
  <si>
    <t>Saudi Arabia Uncovered</t>
  </si>
  <si>
    <t>Willy and the Guardians of the Lake</t>
  </si>
  <si>
    <t>Prince</t>
  </si>
  <si>
    <t>Girl's Revenge</t>
  </si>
  <si>
    <t>Arctic Heart</t>
  </si>
  <si>
    <t>Garfield Gets Real</t>
  </si>
  <si>
    <t>El club de los buenos infieles</t>
  </si>
  <si>
    <t>43/100</t>
  </si>
  <si>
    <t>Felipe Esparza: They're Not Gonna Laugh At You</t>
  </si>
  <si>
    <t>This Is the Life</t>
  </si>
  <si>
    <t>Omar &amp; Salma 2</t>
  </si>
  <si>
    <t>Oversize Cops</t>
  </si>
  <si>
    <t>French Toast</t>
  </si>
  <si>
    <t>Mohamed Hussein</t>
  </si>
  <si>
    <t>Little Miss Sumo</t>
  </si>
  <si>
    <t>Ma Rainey's Black Bottom: A Legacy Brought to Screen</t>
  </si>
  <si>
    <t>Pedal the World</t>
  </si>
  <si>
    <t>Pretty Little Stalker</t>
  </si>
  <si>
    <t>Tum Milo Toh Sahi</t>
  </si>
  <si>
    <t>Andre and His Olive Tree</t>
  </si>
  <si>
    <t>A Triumph of the Heart: The Ricky Bell Story</t>
  </si>
  <si>
    <t>D.L. Hughley: Clear</t>
  </si>
  <si>
    <t>Mundina Nildana</t>
  </si>
  <si>
    <t>Katti Batti</t>
  </si>
  <si>
    <t>Souk Bazaar</t>
  </si>
  <si>
    <t>Wira</t>
  </si>
  <si>
    <t>Deadcon</t>
  </si>
  <si>
    <t>Edge of Fear</t>
  </si>
  <si>
    <t>The Spooky Tale of Captain Underpants Hack-a-ween</t>
  </si>
  <si>
    <t>Living in Bondage: Breaking Free</t>
  </si>
  <si>
    <t>Saye Bahr</t>
  </si>
  <si>
    <t>Jai Mummy Di</t>
  </si>
  <si>
    <t>Monster Run</t>
  </si>
  <si>
    <t>Malena Pichot: Estupidez compleja</t>
  </si>
  <si>
    <t>Adel Karam: Live from Beirut</t>
  </si>
  <si>
    <t>Bigflo &amp; Oli: Hip Hop Frenzy</t>
  </si>
  <si>
    <t>X: Past Is Present</t>
  </si>
  <si>
    <t>U-Turn</t>
  </si>
  <si>
    <t>Fanatyk</t>
  </si>
  <si>
    <t>Sethum Aayiram Pon</t>
  </si>
  <si>
    <t>Alejandro Sanz: What I Was Is What I Am</t>
  </si>
  <si>
    <t>Pandigai</t>
  </si>
  <si>
    <t>Rabun</t>
  </si>
  <si>
    <t>Super Monsters: Once Upon a Rhyme</t>
  </si>
  <si>
    <t>Alien Warfare</t>
  </si>
  <si>
    <t>Spirit Riding Free: Spirit of Christmas</t>
  </si>
  <si>
    <t>Mayurakshi</t>
  </si>
  <si>
    <t>A Choo</t>
  </si>
  <si>
    <t>The Lost Okoroshi</t>
  </si>
  <si>
    <t>No Place Like Home</t>
  </si>
  <si>
    <t>KL Zombie</t>
  </si>
  <si>
    <t>Alaska Is a Drag</t>
  </si>
  <si>
    <t>Chhota Bheem - Neeli Pahaadi</t>
  </si>
  <si>
    <t>Camellia Sisters</t>
  </si>
  <si>
    <t>Casino Tycoon II</t>
  </si>
  <si>
    <t>Rob Schneider: Asian Momma, Mexican Kids</t>
  </si>
  <si>
    <t>Zulu Man in Japan</t>
  </si>
  <si>
    <t>The Match</t>
  </si>
  <si>
    <t>Miranda Sings Live... Your Welcome.</t>
  </si>
  <si>
    <t>The Third Party</t>
  </si>
  <si>
    <t>Monster Island</t>
  </si>
  <si>
    <t>Yaar Gaddar</t>
  </si>
  <si>
    <t>Fary Is the New Black</t>
  </si>
  <si>
    <t>Autumn</t>
  </si>
  <si>
    <t>Shubh Aarambh</t>
  </si>
  <si>
    <t>The Misadventures of Hedi and Cokeman</t>
  </si>
  <si>
    <t>Tuesdays And Fridays</t>
  </si>
  <si>
    <t>Ralphie May: Unruly</t>
  </si>
  <si>
    <t>Indoo Ki Jawani</t>
  </si>
  <si>
    <t>The Truth About Alcohol</t>
  </si>
  <si>
    <t>Chhota Bheem Aur Krishna</t>
  </si>
  <si>
    <t>Katherine Ryan: Glitter Room</t>
  </si>
  <si>
    <t>Mo Amer: The Vagabond</t>
  </si>
  <si>
    <t>Revenge of the Pontianak</t>
  </si>
  <si>
    <t>Me or My Aunt</t>
  </si>
  <si>
    <t>Hospital</t>
  </si>
  <si>
    <t>A Home with a View</t>
  </si>
  <si>
    <t>A Stoning in Fulham County</t>
  </si>
  <si>
    <t>Holiday on Mars</t>
  </si>
  <si>
    <t>Undercover Brother 2</t>
  </si>
  <si>
    <t>My Wife &amp; I</t>
  </si>
  <si>
    <t>Brad Paisley's Comedy Rodeo</t>
  </si>
  <si>
    <t>Deviant Love</t>
  </si>
  <si>
    <t>Couples Counseling</t>
  </si>
  <si>
    <t>Illegal Woman</t>
  </si>
  <si>
    <t>Generation Iron 3</t>
  </si>
  <si>
    <t>The Royal Hibiscus Hotel</t>
  </si>
  <si>
    <t>For the Broken Hearted</t>
  </si>
  <si>
    <t>Poshter Girl</t>
  </si>
  <si>
    <t>Mommy Issues</t>
  </si>
  <si>
    <t>Bridget Christie: Stand Up For Her</t>
  </si>
  <si>
    <t>Enter the Anime</t>
  </si>
  <si>
    <t>Out of Many, One</t>
  </si>
  <si>
    <t>Set Off</t>
  </si>
  <si>
    <t>Octonauts and the Caves of Sac Actun</t>
  </si>
  <si>
    <t>Mission Kathmandu: The Adventures of Nelly &amp; Simon</t>
  </si>
  <si>
    <t>Sayed The Servant</t>
  </si>
  <si>
    <t>Rogue Warfare: Death of a Nation</t>
  </si>
  <si>
    <t>Shabd</t>
  </si>
  <si>
    <t>Break Up 100</t>
  </si>
  <si>
    <t>Liefling Die Movie</t>
  </si>
  <si>
    <t>Loyiso Gola: Unlearning</t>
  </si>
  <si>
    <t>Tita Rahiba</t>
  </si>
  <si>
    <t>The Body</t>
  </si>
  <si>
    <t>42/100</t>
  </si>
  <si>
    <t>III Smoking Barrels</t>
  </si>
  <si>
    <t>Music Teacher</t>
  </si>
  <si>
    <t>Firebrand</t>
  </si>
  <si>
    <t>Stray Bullet</t>
  </si>
  <si>
    <t>Ã’lÃ²tÅ«rÃ©</t>
  </si>
  <si>
    <t>Sylvia</t>
  </si>
  <si>
    <t>Dhh</t>
  </si>
  <si>
    <t>True: Happy Hearts Day</t>
  </si>
  <si>
    <t>Bibi &amp; Tina</t>
  </si>
  <si>
    <t>Guna 369</t>
  </si>
  <si>
    <t>Fear Bay</t>
  </si>
  <si>
    <t>Autohead</t>
  </si>
  <si>
    <t>Street Flow</t>
  </si>
  <si>
    <t>Boshkash</t>
  </si>
  <si>
    <t>Islands of Faith</t>
  </si>
  <si>
    <t>Gad Gone Wild</t>
  </si>
  <si>
    <t>Isoken</t>
  </si>
  <si>
    <t>Being Napoleon</t>
  </si>
  <si>
    <t>Si Doel the Movie 2</t>
  </si>
  <si>
    <t>Notes for My Son</t>
  </si>
  <si>
    <t>Amelia: A Tale of Two Sisters</t>
  </si>
  <si>
    <t>B. A. Pass 2</t>
  </si>
  <si>
    <t>Ãnima</t>
  </si>
  <si>
    <t>All of You</t>
  </si>
  <si>
    <t>Niyazi GÃ¼l DÃ¶rtnala</t>
  </si>
  <si>
    <t>#Selfie</t>
  </si>
  <si>
    <t>Horrid Henry's Gross Day Out</t>
  </si>
  <si>
    <t>Albert Pinto Ko Gussa Kyun Aata Hai?</t>
  </si>
  <si>
    <t>Jeff Garlin: Our Man in Chicago</t>
  </si>
  <si>
    <t>El Potro, lo mejor del amor</t>
  </si>
  <si>
    <t>Whipped</t>
  </si>
  <si>
    <t>The Wedding Shaman</t>
  </si>
  <si>
    <t>Sur</t>
  </si>
  <si>
    <t>Fatso!</t>
  </si>
  <si>
    <t>Soul Thieves</t>
  </si>
  <si>
    <t>Just in Time</t>
  </si>
  <si>
    <t>In Defense of a Married Man</t>
  </si>
  <si>
    <t>The Figurine</t>
  </si>
  <si>
    <t>The Young Vagabond</t>
  </si>
  <si>
    <t>The Super Parental Guardians</t>
  </si>
  <si>
    <t>Mumbai Delhi Mumbai</t>
  </si>
  <si>
    <t>Pyar Ke Do Pal</t>
  </si>
  <si>
    <t>5 Star Christmas</t>
  </si>
  <si>
    <t>My Schoolmate, the Barbarian</t>
  </si>
  <si>
    <t>SebastiÃ¡n Marcelo Wainraich</t>
  </si>
  <si>
    <t>Muzaffarnagar Baaqi Hai</t>
  </si>
  <si>
    <t>Chippa</t>
  </si>
  <si>
    <t>AgustÃ­n AristarÃ¡n: Soy Rada</t>
  </si>
  <si>
    <t>Carlos Almaraz: Playing With Fire</t>
  </si>
  <si>
    <t>Good Game: The Beginning</t>
  </si>
  <si>
    <t>Kill Me Twice</t>
  </si>
  <si>
    <t>Crazy Awesome Teachers</t>
  </si>
  <si>
    <t>George Lopez: We'll Do It for Half</t>
  </si>
  <si>
    <t>Octonauts and the Great Barrier Reef</t>
  </si>
  <si>
    <t>Keeping the Bees</t>
  </si>
  <si>
    <t>Ghost Patrol</t>
  </si>
  <si>
    <t>Dany de Boon - Des Hauts-De-France</t>
  </si>
  <si>
    <t>Zokkomon</t>
  </si>
  <si>
    <t>Birders</t>
  </si>
  <si>
    <t>The Bittersweet</t>
  </si>
  <si>
    <t>The Reliant</t>
  </si>
  <si>
    <t>Holy Goalie</t>
  </si>
  <si>
    <t>Rakkhosh</t>
  </si>
  <si>
    <t>Jack Whitehall: I'm Only Joking</t>
  </si>
  <si>
    <t>Prince Charming</t>
  </si>
  <si>
    <t>Voiceless</t>
  </si>
  <si>
    <t>Son Of Adam</t>
  </si>
  <si>
    <t>Three Words to Forever</t>
  </si>
  <si>
    <t>Gina Yashere: Skinny B*tch</t>
  </si>
  <si>
    <t>Black Is Beltza</t>
  </si>
  <si>
    <t>Sommore: Chandelier Status</t>
  </si>
  <si>
    <t>Before the Summer Crowds</t>
  </si>
  <si>
    <t>The Wedding Party 2: Destination Dubai</t>
  </si>
  <si>
    <t>Aalorukkam</t>
  </si>
  <si>
    <t>Pup Star</t>
  </si>
  <si>
    <t>The School of Mischief</t>
  </si>
  <si>
    <t>The Arbitration</t>
  </si>
  <si>
    <t>Inkaar</t>
  </si>
  <si>
    <t>Motor Mitraan Di</t>
  </si>
  <si>
    <t>Echcharikkai</t>
  </si>
  <si>
    <t>HiGH&amp;LOW: The Red Rain</t>
  </si>
  <si>
    <t>Potato Potahto</t>
  </si>
  <si>
    <t>Ayotzinapa: The Turtle's Pace</t>
  </si>
  <si>
    <t>Dragons: Rescue Riders: Huttsgalor Holiday</t>
  </si>
  <si>
    <t>100% Halal</t>
  </si>
  <si>
    <t>Still Laugh-In: The Stars Celebrate</t>
  </si>
  <si>
    <t>Spirit Riding Free: Ride Along Adventure</t>
  </si>
  <si>
    <t>Osuofia in London</t>
  </si>
  <si>
    <t>Lilli</t>
  </si>
  <si>
    <t>Fishtronaut: The Movie</t>
  </si>
  <si>
    <t>41/100</t>
  </si>
  <si>
    <t>Alan SaldaÃ±a: Mi vida de pobre</t>
  </si>
  <si>
    <t>Taxi Driver</t>
  </si>
  <si>
    <t>Pettson and Findus: The Best Christmas Ever</t>
  </si>
  <si>
    <t>What are the Odds?</t>
  </si>
  <si>
    <t>Arrest Letter</t>
  </si>
  <si>
    <t>Generasi 90an: Melankolia</t>
  </si>
  <si>
    <t>Super Monsters Save Halloween</t>
  </si>
  <si>
    <t>Khido Khundi</t>
  </si>
  <si>
    <t>Dark City Beneath the Beat</t>
  </si>
  <si>
    <t>Beirut oh Beirut</t>
  </si>
  <si>
    <t>Family Blood</t>
  </si>
  <si>
    <t>The War Against Women</t>
  </si>
  <si>
    <t>She's The One</t>
  </si>
  <si>
    <t>Vanjagar Ulagam</t>
  </si>
  <si>
    <t>King of Boys</t>
  </si>
  <si>
    <t>Jaal</t>
  </si>
  <si>
    <t>Bibi &amp; Tina: Perfect Pandemonium</t>
  </si>
  <si>
    <t>Target</t>
  </si>
  <si>
    <t>One Day: Justice Delivered</t>
  </si>
  <si>
    <t>Do Paise Ki Dhoop, Chaar Aane Ki Baarish</t>
  </si>
  <si>
    <t>River, el MÃ¡s Grande Siempre</t>
  </si>
  <si>
    <t>Heritages</t>
  </si>
  <si>
    <t>Agyaat</t>
  </si>
  <si>
    <t>Hope Aur Hum</t>
  </si>
  <si>
    <t>Sarbath</t>
  </si>
  <si>
    <t>Daniel Sosa: Maleducado</t>
  </si>
  <si>
    <t>Rogue Warfare: The Hunt</t>
  </si>
  <si>
    <t>David Batra: Elephant in The Room</t>
  </si>
  <si>
    <t>Settai</t>
  </si>
  <si>
    <t>Department</t>
  </si>
  <si>
    <t>Ralphie May: Imperfectly Yours</t>
  </si>
  <si>
    <t>Happy Go Lucky</t>
  </si>
  <si>
    <t>Disconnect</t>
  </si>
  <si>
    <t>The App</t>
  </si>
  <si>
    <t>Maniyarayile Ashokan</t>
  </si>
  <si>
    <t>Little Singham: Kaal Ki Tabaahi</t>
  </si>
  <si>
    <t>Savita Damodar Paranjpe</t>
  </si>
  <si>
    <t>Baxu and the Giants</t>
  </si>
  <si>
    <t>Merry Men: The Real Yoruba Demons</t>
  </si>
  <si>
    <t>Franco Escamilla: For the Anecdote</t>
  </si>
  <si>
    <t>Jack Whitehall: Christmas with my Father</t>
  </si>
  <si>
    <t>A Place in the Stars</t>
  </si>
  <si>
    <t>Gang of the Caribbean</t>
  </si>
  <si>
    <t>The Memory of Water</t>
  </si>
  <si>
    <t>All Because of You</t>
  </si>
  <si>
    <t>Melle</t>
  </si>
  <si>
    <t>Quiet Victory: The Charlie Wedemeyer Story</t>
  </si>
  <si>
    <t>Blue, Painful, and Brittle</t>
  </si>
  <si>
    <t>Rodney Carrington: Here Comes The Truth</t>
  </si>
  <si>
    <t>A Go Go Cory Carson Halloween</t>
  </si>
  <si>
    <t>Poacher</t>
  </si>
  <si>
    <t>Phone Swap</t>
  </si>
  <si>
    <t>The 9th Precinct</t>
  </si>
  <si>
    <t>Norm of the North: King Sized Adventure</t>
  </si>
  <si>
    <t>PNL - Dans la lÃ©gende tour</t>
  </si>
  <si>
    <t>Frat Star</t>
  </si>
  <si>
    <t>Pup Star: Better 2Gether</t>
  </si>
  <si>
    <t>Na Bangaaru Talli</t>
  </si>
  <si>
    <t>Panoptic</t>
  </si>
  <si>
    <t>Stunt School</t>
  </si>
  <si>
    <t>Ojukokoro (Greed)</t>
  </si>
  <si>
    <t>Feo pero Sabroso</t>
  </si>
  <si>
    <t>Rattlesnake: The Ahanna Story</t>
  </si>
  <si>
    <t>Full Out 2: You Got This!</t>
  </si>
  <si>
    <t>Aziza</t>
  </si>
  <si>
    <t>Baby Mamas</t>
  </si>
  <si>
    <t>Carlos Ballarta: El Amor es de Putos</t>
  </si>
  <si>
    <t>Todd Glass Stand-Up Special</t>
  </si>
  <si>
    <t>Blind Intersections</t>
  </si>
  <si>
    <t>Gumrah</t>
  </si>
  <si>
    <t>Tuna Girl</t>
  </si>
  <si>
    <t>Enissa Amani: Ehrenwort</t>
  </si>
  <si>
    <t>4th Republic</t>
  </si>
  <si>
    <t>Furtive</t>
  </si>
  <si>
    <t>The Remix: Hip Hop x Fashion</t>
  </si>
  <si>
    <t>Little Dragon Maiden</t>
  </si>
  <si>
    <t>Limitless</t>
  </si>
  <si>
    <t>Kids on the Block</t>
  </si>
  <si>
    <t>El Sendero de la Anaconda</t>
  </si>
  <si>
    <t>GIMS: On the Record</t>
  </si>
  <si>
    <t>Gadaar: The Traitor</t>
  </si>
  <si>
    <t>Growing Up</t>
  </si>
  <si>
    <t>After the Raid</t>
  </si>
  <si>
    <t>Â¡Ay, mi madre!</t>
  </si>
  <si>
    <t>Alan SaldaÃ±a: Locked Up</t>
  </si>
  <si>
    <t>English Babu Desi Mem</t>
  </si>
  <si>
    <t>PacÃ­ficum</t>
  </si>
  <si>
    <t>Taxi Ballad</t>
  </si>
  <si>
    <t>Swearnet Live</t>
  </si>
  <si>
    <t>Â¡Asu Mare! 2</t>
  </si>
  <si>
    <t>25 Kille</t>
  </si>
  <si>
    <t>One by Two</t>
  </si>
  <si>
    <t>Garbage</t>
  </si>
  <si>
    <t>Jonah</t>
  </si>
  <si>
    <t>Singapore</t>
  </si>
  <si>
    <t>Martin Matte : La vie, la mort... eh la la..!</t>
  </si>
  <si>
    <t>40/100</t>
  </si>
  <si>
    <t>Paharganj</t>
  </si>
  <si>
    <t>Teen Aur Aadha</t>
  </si>
  <si>
    <t>Buddy Thunderstruck: The Maybe Pile</t>
  </si>
  <si>
    <t>Luccas Neto em: Uma BabÃ¡ Muito Esquisita</t>
  </si>
  <si>
    <t>Mundeyan Ton Bachke Rahin</t>
  </si>
  <si>
    <t>Expedition China</t>
  </si>
  <si>
    <t>The Trader</t>
  </si>
  <si>
    <t>Berlin Berlin</t>
  </si>
  <si>
    <t>Bollywood Calling</t>
  </si>
  <si>
    <t>Ujala</t>
  </si>
  <si>
    <t>BabamÄ±n Ceketi</t>
  </si>
  <si>
    <t>The Amazing Praybeyt Benjamin</t>
  </si>
  <si>
    <t>Bosta</t>
  </si>
  <si>
    <t>Merry Men 2: Another Mission</t>
  </si>
  <si>
    <t>Joker</t>
  </si>
  <si>
    <t>Ser TÃ£o Velho Cerrado</t>
  </si>
  <si>
    <t>Palermo Hollywood</t>
  </si>
  <si>
    <t>Chhota Bheem Kung Fu Dhamaka</t>
  </si>
  <si>
    <t>Captain Underpants: Epic Choice-o-rama</t>
  </si>
  <si>
    <t>Up North</t>
  </si>
  <si>
    <t>King of Peking</t>
  </si>
  <si>
    <t>Lal Pathar</t>
  </si>
  <si>
    <t>A Witches' Ball</t>
  </si>
  <si>
    <t>Jada</t>
  </si>
  <si>
    <t>Norm of the North: Keys to the Kingdom</t>
  </si>
  <si>
    <t>When Love Happens</t>
  </si>
  <si>
    <t>Mau Nieto: viviendo sobrioâ€¦ desde el bar</t>
  </si>
  <si>
    <t>Bhai - Vyakti Ki Valli 2 Uttarardha</t>
  </si>
  <si>
    <t>Bucket List</t>
  </si>
  <si>
    <t>All's Well, Ends Well 2009</t>
  </si>
  <si>
    <t>My Friend Pinto</t>
  </si>
  <si>
    <t>Jackie: A Tale of Two Sisters</t>
  </si>
  <si>
    <t>SÃ­, Mi Amor</t>
  </si>
  <si>
    <t>How to Stage a Coup</t>
  </si>
  <si>
    <t>Mumbai's King</t>
  </si>
  <si>
    <t>Ricardo Quevedo: Hay gente asÃ­</t>
  </si>
  <si>
    <t>Thaandavam</t>
  </si>
  <si>
    <t>Alexis Viera: A Story of Surviving</t>
  </si>
  <si>
    <t>Red Snow</t>
  </si>
  <si>
    <t>Something Huge</t>
  </si>
  <si>
    <t>The Visit</t>
  </si>
  <si>
    <t>Kaaliyan</t>
  </si>
  <si>
    <t>Three Thieves</t>
  </si>
  <si>
    <t>The Magic School Bus Rides Again: Kids in Space</t>
  </si>
  <si>
    <t>Doctor Bello</t>
  </si>
  <si>
    <t>2 Weeks in Lagos</t>
  </si>
  <si>
    <t>Doubles Cause Troubles</t>
  </si>
  <si>
    <t>Aiyyaa</t>
  </si>
  <si>
    <t>Marriage Palace</t>
  </si>
  <si>
    <t>Schubert in Love</t>
  </si>
  <si>
    <t>Tim Allen: Rewires America</t>
  </si>
  <si>
    <t>What's Your Raashee?</t>
  </si>
  <si>
    <t>Mike Epps: Don't Take It Personal</t>
  </si>
  <si>
    <t>Ricardo Quevedo: Los amargados somos mÃ¡s</t>
  </si>
  <si>
    <t>Look for a Star</t>
  </si>
  <si>
    <t>Tee Shot: Ariya Jutanugarn</t>
  </si>
  <si>
    <t>Right Here Right Now</t>
  </si>
  <si>
    <t>Pomegranates and Myrrh</t>
  </si>
  <si>
    <t>Ricardo O'Farrill: Abrazo Genial</t>
  </si>
  <si>
    <t>Grandmother's Farm Part 2</t>
  </si>
  <si>
    <t>Lock</t>
  </si>
  <si>
    <t>Shikari</t>
  </si>
  <si>
    <t>Once In A Lifetime Sessions with TLC</t>
  </si>
  <si>
    <t>Thomas &amp; Friends: Full Steam To The Rescue!</t>
  </si>
  <si>
    <t>Reframe THEATER EXPERIENCE with you</t>
  </si>
  <si>
    <t>Perfume Imaginary Museum â€œTime Warpâ€</t>
  </si>
  <si>
    <t>This Lady Called Life</t>
  </si>
  <si>
    <t>Skin</t>
  </si>
  <si>
    <t>W/O Ram</t>
  </si>
  <si>
    <t>Food on the Go</t>
  </si>
  <si>
    <t>Go! The Unforgettable Party</t>
  </si>
  <si>
    <t>The American Game</t>
  </si>
  <si>
    <t>Mauricio Meirelles: Generating Chaos</t>
  </si>
  <si>
    <t>Myriam Fares: The Journey</t>
  </si>
  <si>
    <t>Virgen de San Juan</t>
  </si>
  <si>
    <t>Aditi Mittal: Things They Wouldn't Let Me Say</t>
  </si>
  <si>
    <t>Fukrey Boyzzz: Space Mein Fukrapanti</t>
  </si>
  <si>
    <t>Misfit 2</t>
  </si>
  <si>
    <t>The End of Doel's Love Story</t>
  </si>
  <si>
    <t>Ainu Mosir</t>
  </si>
  <si>
    <t>Romantik Komedi 2: BekarlÄ±ÄŸa Veda</t>
  </si>
  <si>
    <t>Candyflip</t>
  </si>
  <si>
    <t>Captain Underpants: Mega Blissmas</t>
  </si>
  <si>
    <t>No One Will Ever Know</t>
  </si>
  <si>
    <t>The Blind Christ</t>
  </si>
  <si>
    <t>Dhoondte Reh Jaaoge</t>
  </si>
  <si>
    <t>39/100</t>
  </si>
  <si>
    <t>Garfield's Pet Force</t>
  </si>
  <si>
    <t>Go! Go! Cory Carson: The Chrissy</t>
  </si>
  <si>
    <t>Super Monsters Furever Friends</t>
  </si>
  <si>
    <t>The Mirror Boy</t>
  </si>
  <si>
    <t>Odu Raja Odu</t>
  </si>
  <si>
    <t>DTC -Yukemuri Junjou Hen- from HiGH &amp; LOW</t>
  </si>
  <si>
    <t>The Magic School Bus Rides Again in the Zone</t>
  </si>
  <si>
    <t>Aliens Stole My Body</t>
  </si>
  <si>
    <t>Back to Q82</t>
  </si>
  <si>
    <t>Splatter</t>
  </si>
  <si>
    <t>Sat Shri Akaal England</t>
  </si>
  <si>
    <t>Menahi</t>
  </si>
  <si>
    <t>Twins Mission</t>
  </si>
  <si>
    <t>Mr. Virgin</t>
  </si>
  <si>
    <t>Baadshaho</t>
  </si>
  <si>
    <t>Once a Gangster</t>
  </si>
  <si>
    <t>The App That Stole Christmas</t>
  </si>
  <si>
    <t>Saavat</t>
  </si>
  <si>
    <t>Awon Boyz</t>
  </si>
  <si>
    <t>Mama Drama</t>
  </si>
  <si>
    <t>The First Lady</t>
  </si>
  <si>
    <t>Jo Koy: In His Elements</t>
  </si>
  <si>
    <t>Azali</t>
  </si>
  <si>
    <t>The Wishing Tree</t>
  </si>
  <si>
    <t>Muqaddar Ka Faisla</t>
  </si>
  <si>
    <t>Si saben cÃ³mo me pongo Â¿pa' quÃ© me invitan?</t>
  </si>
  <si>
    <t>Mexicanos de bronce</t>
  </si>
  <si>
    <t>Kisaan</t>
  </si>
  <si>
    <t>Elevator Baby</t>
  </si>
  <si>
    <t>The Christmas Trap</t>
  </si>
  <si>
    <t>Hope Ranch</t>
  </si>
  <si>
    <t>Fate of Alakada</t>
  </si>
  <si>
    <t>Uncovered</t>
  </si>
  <si>
    <t>Imago</t>
  </si>
  <si>
    <t>El Especial de Alex FernÃ¡ndez, el Especial</t>
  </si>
  <si>
    <t>What Happened to Mr. Cha?</t>
  </si>
  <si>
    <t>Peace Haven</t>
  </si>
  <si>
    <t>Kaali Khuhi</t>
  </si>
  <si>
    <t>Sam Kinison: The Scream Continues</t>
  </si>
  <si>
    <t>Jani DueÃ±as: Grandes fracasos de ayer y hoy</t>
  </si>
  <si>
    <t>Hakkunde</t>
  </si>
  <si>
    <t>The Breakup Playlist</t>
  </si>
  <si>
    <t>Romina</t>
  </si>
  <si>
    <t>Any Crybabies Around?</t>
  </si>
  <si>
    <t>Natalia Valdebenito: El especial</t>
  </si>
  <si>
    <t>Bangistan</t>
  </si>
  <si>
    <t>Ek Khiladi Ek Haseena</t>
  </si>
  <si>
    <t>Project Papa</t>
  </si>
  <si>
    <t>Weapon of Choice</t>
  </si>
  <si>
    <t>Pekak</t>
  </si>
  <si>
    <t>Tango with Me</t>
  </si>
  <si>
    <t>XV Beyond the Tryline</t>
  </si>
  <si>
    <t>The Little Wars</t>
  </si>
  <si>
    <t>Beat Bugs: All Together Now</t>
  </si>
  <si>
    <t>My Birthday Song</t>
  </si>
  <si>
    <t>Bombairiya</t>
  </si>
  <si>
    <t>Still</t>
  </si>
  <si>
    <t>10 Days In Sun City</t>
  </si>
  <si>
    <t>10 jours en or</t>
  </si>
  <si>
    <t>Bonne nuit Blanche</t>
  </si>
  <si>
    <t>Alex FernÃ¡ndez: The Best Comedian in the World</t>
  </si>
  <si>
    <t>Loudon Wainwright III: Surviving Twin</t>
  </si>
  <si>
    <t>Luccas Neto in: The End of Christmas</t>
  </si>
  <si>
    <t>Shark Busters</t>
  </si>
  <si>
    <t>Project Marathwada</t>
  </si>
  <si>
    <t>The Worthy</t>
  </si>
  <si>
    <t>Dorasaani</t>
  </si>
  <si>
    <t>Jindua</t>
  </si>
  <si>
    <t>Tiger</t>
  </si>
  <si>
    <t>Mission: Destroy Love</t>
  </si>
  <si>
    <t>Husbands in Goa</t>
  </si>
  <si>
    <t>Miss India</t>
  </si>
  <si>
    <t>Laatu</t>
  </si>
  <si>
    <t>Penalty</t>
  </si>
  <si>
    <t>Tattoo of Revenge</t>
  </si>
  <si>
    <t>Mauli</t>
  </si>
  <si>
    <t>Once in a Lifetime Sessions with Moby</t>
  </si>
  <si>
    <t>Mujeres arriba</t>
  </si>
  <si>
    <t>A Go! Go! Cory Carson Christmas</t>
  </si>
  <si>
    <t>Eve's Apple</t>
  </si>
  <si>
    <t>SPF-18</t>
  </si>
  <si>
    <t>Needhi Singh</t>
  </si>
  <si>
    <t>Luccas Neto in: Children's Day</t>
  </si>
  <si>
    <t>Are We Done</t>
  </si>
  <si>
    <t>Life Ki Toh Lag Gayi</t>
  </si>
  <si>
    <t>Bekia</t>
  </si>
  <si>
    <t>Light in the Dark</t>
  </si>
  <si>
    <t>Little Singham: Kaal Ka Badla</t>
  </si>
  <si>
    <t>New Money</t>
  </si>
  <si>
    <t>Here Comes the Rain</t>
  </si>
  <si>
    <t>38/100</t>
  </si>
  <si>
    <t>Chhota Bheem &amp; Krishna in Mayanagari</t>
  </si>
  <si>
    <t>Karkar</t>
  </si>
  <si>
    <t>Pup Star: World Tour</t>
  </si>
  <si>
    <t>Kasanova</t>
  </si>
  <si>
    <t>Bobbleheads: The Movie</t>
  </si>
  <si>
    <t>Pop, Lock 'n Roll</t>
  </si>
  <si>
    <t>Chief Daddy</t>
  </si>
  <si>
    <t>Felipe Neto: My Life Makes No Sense</t>
  </si>
  <si>
    <t>BNK48: One Take</t>
  </si>
  <si>
    <t>A Yellow Bird</t>
  </si>
  <si>
    <t>A Trip to Jamaica</t>
  </si>
  <si>
    <t>Cross: Rise of the Villains</t>
  </si>
  <si>
    <t>Nothing to Lose - Part 2</t>
  </si>
  <si>
    <t>Calico Critters: Everyone's Big Dream Flying in the Sky</t>
  </si>
  <si>
    <t>Mumbai Matinee</t>
  </si>
  <si>
    <t>PhotoCopy</t>
  </si>
  <si>
    <t>Silence Is Welcome</t>
  </si>
  <si>
    <t>The Birth Reborn 3</t>
  </si>
  <si>
    <t>Chocolate City: Vegas Strip</t>
  </si>
  <si>
    <t>Arsenio Hall: Smart and Classy</t>
  </si>
  <si>
    <t>What's Up?</t>
  </si>
  <si>
    <t>Mariah Carey's Merriest Christmas</t>
  </si>
  <si>
    <t>Sam Kinison: Live in Vegas</t>
  </si>
  <si>
    <t>We Are All for the Fatherland</t>
  </si>
  <si>
    <t>90 ML</t>
  </si>
  <si>
    <t>The Midas Touch</t>
  </si>
  <si>
    <t>Ni de coÃ±a</t>
  </si>
  <si>
    <t>Faraar</t>
  </si>
  <si>
    <t>Without Gorky</t>
  </si>
  <si>
    <t>Mr. Chandramouli</t>
  </si>
  <si>
    <t>#Rucker50</t>
  </si>
  <si>
    <t>Blitz Patrollie</t>
  </si>
  <si>
    <t>Muran</t>
  </si>
  <si>
    <t>Dismissal</t>
  </si>
  <si>
    <t>Maj Rati Keteki</t>
  </si>
  <si>
    <t>Hans Teeuwen: Real Rancour</t>
  </si>
  <si>
    <t>Anthony Kaun Hai?</t>
  </si>
  <si>
    <t>True: Friendship Day</t>
  </si>
  <si>
    <t>Seven Souls in the Skull Castle</t>
  </si>
  <si>
    <t>Freshman Year</t>
  </si>
  <si>
    <t>The Accidental Spy</t>
  </si>
  <si>
    <t>Chhota Bheem in the Incan Adventure</t>
  </si>
  <si>
    <t>A Go! Go! Cory Carson Summer Camp</t>
  </si>
  <si>
    <t>Zero Hour</t>
  </si>
  <si>
    <t>Bir Baba Hindu</t>
  </si>
  <si>
    <t>Lechmi</t>
  </si>
  <si>
    <t>We Are Legends</t>
  </si>
  <si>
    <t>Mokalik (Mechanic)</t>
  </si>
  <si>
    <t>Anchor Baby</t>
  </si>
  <si>
    <t>Ayana</t>
  </si>
  <si>
    <t>Voulez-vous rire avec moi ce soir?</t>
  </si>
  <si>
    <t>David A. Arnold: Fat Ballerina</t>
  </si>
  <si>
    <t>High End Yaariyaan</t>
  </si>
  <si>
    <t>Park Na-rae: Glamour Warning</t>
  </si>
  <si>
    <t>Uncle Naji in UAE</t>
  </si>
  <si>
    <t>Kanavu Variyam</t>
  </si>
  <si>
    <t>An Imperfect Murder</t>
  </si>
  <si>
    <t>Jefe</t>
  </si>
  <si>
    <t>Shortcut Safari</t>
  </si>
  <si>
    <t>Nimbe</t>
  </si>
  <si>
    <t>ZoÃ© Panoramas</t>
  </si>
  <si>
    <t>Ugly Aur Pagli</t>
  </si>
  <si>
    <t>The Perfect Picture: Ten Years Later</t>
  </si>
  <si>
    <t>Last Night</t>
  </si>
  <si>
    <t>37/100</t>
  </si>
  <si>
    <t>Iâ€™m No Longer Here: A Conversation with Guillermo Del Toro &amp; Alfonso CuarÃ³n</t>
  </si>
  <si>
    <t>Super Monsters Save Christmas</t>
  </si>
  <si>
    <t>Aaviri</t>
  </si>
  <si>
    <t>The Set Up</t>
  </si>
  <si>
    <t>Soldier</t>
  </si>
  <si>
    <t>Guatemala: CorazÃ³n del Mundo Maya</t>
  </si>
  <si>
    <t>Dark Forces</t>
  </si>
  <si>
    <t>Mercy</t>
  </si>
  <si>
    <t>Confusion Na Wa</t>
  </si>
  <si>
    <t>Pretville</t>
  </si>
  <si>
    <t>Alejandro RiaÃ±o: Especial de stand up</t>
  </si>
  <si>
    <t>Krutant</t>
  </si>
  <si>
    <t>Kalek Shanab</t>
  </si>
  <si>
    <t>Finding Agnes</t>
  </si>
  <si>
    <t>Pranaam</t>
  </si>
  <si>
    <t>First Kiss</t>
  </si>
  <si>
    <t>Bhasmasur</t>
  </si>
  <si>
    <t>The CEO</t>
  </si>
  <si>
    <t>Adhugo</t>
  </si>
  <si>
    <t>The Reservoir Game</t>
  </si>
  <si>
    <t>Virunga: Gorillas in Peril</t>
  </si>
  <si>
    <t>Kaake Da Viyah</t>
  </si>
  <si>
    <t>The Delivery Boy</t>
  </si>
  <si>
    <t>Coco y Raulito: Carrusel de ternura</t>
  </si>
  <si>
    <t>Hoshino Gen Dome Tour "POP VIRUS" at Tokyo Dome</t>
  </si>
  <si>
    <t>Cultivating the Seas: History and Future of the Full-Cycle Cultured Kindai Tuna</t>
  </si>
  <si>
    <t>Elf Pets: A Fox Cub's Christmas Tale</t>
  </si>
  <si>
    <t>Anaamika</t>
  </si>
  <si>
    <t>American Factory: A Short Conversation with the Obamas</t>
  </si>
  <si>
    <t>The First Line</t>
  </si>
  <si>
    <t>The Netflix Afterparty: The Best Shows of The Worst Year</t>
  </si>
  <si>
    <t>In Line</t>
  </si>
  <si>
    <t>To Be of Service</t>
  </si>
  <si>
    <t>In My Country</t>
  </si>
  <si>
    <t>Super Monsters: Dia de los Monsters</t>
  </si>
  <si>
    <t>Super Monsters: The New Class</t>
  </si>
  <si>
    <t>Wives on Strike</t>
  </si>
  <si>
    <t>The Millions</t>
  </si>
  <si>
    <t>Don't Go Breaking My Heart 2</t>
  </si>
  <si>
    <t>Uqdat el-Khawagah</t>
  </si>
  <si>
    <t>Kolaiyuthir Kaalam</t>
  </si>
  <si>
    <t>Super Monsters: Vida's First Halloween</t>
  </si>
  <si>
    <t>Bangkok Hell: Nor Chor - The Prisoners</t>
  </si>
  <si>
    <t>Saadey CM Saab</t>
  </si>
  <si>
    <t>The Women Who Kill Lions</t>
  </si>
  <si>
    <t>Fadily Camara: La plus drÃ´le de tes copines</t>
  </si>
  <si>
    <t>Grandmother's Farm</t>
  </si>
  <si>
    <t>Edoardo Ferrario: Temi Caldi</t>
  </si>
  <si>
    <t>La Leyenda del Diamante</t>
  </si>
  <si>
    <t>Fronteras</t>
  </si>
  <si>
    <t>Nasha</t>
  </si>
  <si>
    <t>Oru Visheshapetta Biriyani Kissa</t>
  </si>
  <si>
    <t>To and From New York</t>
  </si>
  <si>
    <t>36/100</t>
  </si>
  <si>
    <t>Osuofia in London 2</t>
  </si>
  <si>
    <t>Iyore</t>
  </si>
  <si>
    <t>Mi amigo Alexis</t>
  </si>
  <si>
    <t>Penalty Kick</t>
  </si>
  <si>
    <t>We Are One</t>
  </si>
  <si>
    <t>Oloibiri</t>
  </si>
  <si>
    <t>Bombshell - The Sinking Of The Rainbow Warrior</t>
  </si>
  <si>
    <t>Beyond the Boundary: ICC Women's T20 World Cup Australia 2020</t>
  </si>
  <si>
    <t>Loving is Losing</t>
  </si>
  <si>
    <t>RebellComedy: Straight Outta the Zoo</t>
  </si>
  <si>
    <t>Luccas Neto in: Summer Camp</t>
  </si>
  <si>
    <t>Kavin Jay : Everybody Calm Down!</t>
  </si>
  <si>
    <t>Ali and Alia</t>
  </si>
  <si>
    <t>Bridezilla</t>
  </si>
  <si>
    <t>Macho</t>
  </si>
  <si>
    <t>Slow Country</t>
  </si>
  <si>
    <t>Lara and the Beat</t>
  </si>
  <si>
    <t>Bogda</t>
  </si>
  <si>
    <t>True: Winter Wishes</t>
  </si>
  <si>
    <t>Jugaad</t>
  </si>
  <si>
    <t>Prince of Peoria A Christmas Moose Miracle</t>
  </si>
  <si>
    <t>Aerials</t>
  </si>
  <si>
    <t>Fan of Amoory</t>
  </si>
  <si>
    <t>Your Excellency</t>
  </si>
  <si>
    <t>Love Is War</t>
  </si>
  <si>
    <t>Solo el amor</t>
  </si>
  <si>
    <t>Chhota Bheem Aur Hanuman</t>
  </si>
  <si>
    <t>Marco Luque - We are together</t>
  </si>
  <si>
    <t>The Birth Reborn 2</t>
  </si>
  <si>
    <t>Chico Bon Bon and the Very Berry Holiday</t>
  </si>
  <si>
    <t>R. K. Nagar</t>
  </si>
  <si>
    <t>Sur Sapata</t>
  </si>
  <si>
    <t>The Magic School Bus Rides Again: The Frizz Connection</t>
  </si>
  <si>
    <t>5Gang: A Different Kind of Christmas</t>
  </si>
  <si>
    <t>Natalie Palamides: Nate - A One Man Show</t>
  </si>
  <si>
    <t>Fabrizio Copano: solo pienso en mÃ­</t>
  </si>
  <si>
    <t>Sommore: The Reign Continues</t>
  </si>
  <si>
    <t>Daniel Sosa: Sosafado</t>
  </si>
  <si>
    <t>Khoon Khoon</t>
  </si>
  <si>
    <t>Wives on Strike: The Revolution</t>
  </si>
  <si>
    <t>It's Her Day</t>
  </si>
  <si>
    <t>Chhota Bheem Aur Ganesh in The Amazing Odyssey</t>
  </si>
  <si>
    <t>Brother's Shadow</t>
  </si>
  <si>
    <t>Saverio Raimondo: Il Satiro Parlante</t>
  </si>
  <si>
    <t>History of Joy</t>
  </si>
  <si>
    <t>Hello, Privilege. It's Me, Chelsea</t>
  </si>
  <si>
    <t>Into the Wind</t>
  </si>
  <si>
    <t>Super Monsters and the Wish Star</t>
  </si>
  <si>
    <t>Lagos Real Fake Life</t>
  </si>
  <si>
    <t>Rise: Ini Kalilah</t>
  </si>
  <si>
    <t>Finding Hubby</t>
  </si>
  <si>
    <t>Elf Pets: Santas Reindeer Rescue</t>
  </si>
  <si>
    <t>Imperfect</t>
  </si>
  <si>
    <t>Fernando Sanjiao: Hombre</t>
  </si>
  <si>
    <t>Pagpag: Nine Lives</t>
  </si>
  <si>
    <t>35/100</t>
  </si>
  <si>
    <t>Super Monsters: Santa's Super Monster Helpers</t>
  </si>
  <si>
    <t>Miniforce: New Heroes Rise</t>
  </si>
  <si>
    <t>Chhota Bheem In Dholakpur to Kathmandu</t>
  </si>
  <si>
    <t>The Bling Lagosians</t>
  </si>
  <si>
    <t>Thug Life</t>
  </si>
  <si>
    <t>In Paradox</t>
  </si>
  <si>
    <t>Gollu Aur Pappu</t>
  </si>
  <si>
    <t>Harith Iskander: I Told You So</t>
  </si>
  <si>
    <t>Dieter Nuhr: Nuhr in Berlin</t>
  </si>
  <si>
    <t>Table Manners</t>
  </si>
  <si>
    <t>Puppy Star Christmas</t>
  </si>
  <si>
    <t>Go Buster!</t>
  </si>
  <si>
    <t>Santa Banta Pvt Ltd</t>
  </si>
  <si>
    <t>Habibi Na'eman</t>
  </si>
  <si>
    <t>Yeh Hai Bakrapur</t>
  </si>
  <si>
    <t>Hunter in the Blue Side of Manchester</t>
  </si>
  <si>
    <t>Mighty Express: A Mighty Christmas</t>
  </si>
  <si>
    <t>Bandie</t>
  </si>
  <si>
    <t>Francesco De Carlo: Cose di Questo Mondo</t>
  </si>
  <si>
    <t>Super Monsters Back to School</t>
  </si>
  <si>
    <t>What the Fish</t>
  </si>
  <si>
    <t>Gina Yashere: Laughing To America</t>
  </si>
  <si>
    <t>Mujrim</t>
  </si>
  <si>
    <t>Next Enti?</t>
  </si>
  <si>
    <t>Satria Heroes: Revenge of Darkness</t>
  </si>
  <si>
    <t>Meet The in-Laws</t>
  </si>
  <si>
    <t>StarBeam: Halloween Hero</t>
  </si>
  <si>
    <t>DreamWorks Home: For the Holidays</t>
  </si>
  <si>
    <t>Lakeeran</t>
  </si>
  <si>
    <t>Gbomo Gbomo Express</t>
  </si>
  <si>
    <t>Okafor's Law</t>
  </si>
  <si>
    <t>Virsa</t>
  </si>
  <si>
    <t>La gran ilÂ·lusiÃ³ amb el Mago Pop</t>
  </si>
  <si>
    <t>Life of An Outcast</t>
  </si>
  <si>
    <t>Being Mrs Elliot</t>
  </si>
  <si>
    <t>Ek Jaan Hain Hum</t>
  </si>
  <si>
    <t>Hot Gimmick: Girl Meets Boy</t>
  </si>
  <si>
    <t>Ricardo O'Farrill: Abrazo NavideÃ±o</t>
  </si>
  <si>
    <t>Ibrahim: A Fate to Define</t>
  </si>
  <si>
    <t>34/100</t>
  </si>
  <si>
    <t>Mahi NRI</t>
  </si>
  <si>
    <t>The End</t>
  </si>
  <si>
    <t>Ban'yuuki</t>
  </si>
  <si>
    <t>Surviving R. Kelly: The Impact</t>
  </si>
  <si>
    <t>Besieged Bread</t>
  </si>
  <si>
    <t>Ms J Contemplates Her Choice</t>
  </si>
  <si>
    <t>Mythily Veendum Varunnu...</t>
  </si>
  <si>
    <t>El lÃ­mite infinito</t>
  </si>
  <si>
    <t>The Price of Success</t>
  </si>
  <si>
    <t>Bathinda Express</t>
  </si>
  <si>
    <t>Alexis de Anda: Mea Culpa</t>
  </si>
  <si>
    <t>Oh Darling! Yeh Hai India!</t>
  </si>
  <si>
    <t>Geezas</t>
  </si>
  <si>
    <t>Banana Island Ghost</t>
  </si>
  <si>
    <t>Good and Prosperous</t>
  </si>
  <si>
    <t>Who's the Boss</t>
  </si>
  <si>
    <t>Hajwala 2: Mysterious Mission</t>
  </si>
  <si>
    <t>Rembat</t>
  </si>
  <si>
    <t>Couple Of Days</t>
  </si>
  <si>
    <t>London Hughes: To Catch A D*ck</t>
  </si>
  <si>
    <t>Fakkah Fuzz: Almost Banned</t>
  </si>
  <si>
    <t>Sanitation Day</t>
  </si>
  <si>
    <t>Himmatwala</t>
  </si>
  <si>
    <t>The Island</t>
  </si>
  <si>
    <t>Kaagar</t>
  </si>
  <si>
    <t>Payday</t>
  </si>
  <si>
    <t>Spookley and the Christmas Kittens</t>
  </si>
  <si>
    <t>Simplemente Manu NNa</t>
  </si>
  <si>
    <t>True: Rainbow Rescue</t>
  </si>
  <si>
    <t>Yoo Byung Jae: Too Much Information</t>
  </si>
  <si>
    <t>Mighty Raju Rio Calling</t>
  </si>
  <si>
    <t>Moms at War</t>
  </si>
  <si>
    <t>33/100</t>
  </si>
  <si>
    <t>Grillo vs Grillo</t>
  </si>
  <si>
    <t>Mahjong Heroes</t>
  </si>
  <si>
    <t>The Land of Cards</t>
  </si>
  <si>
    <t>Drink Drank Drunk</t>
  </si>
  <si>
    <t>Cold Harbour</t>
  </si>
  <si>
    <t>True: Wuzzle Wegg Day</t>
  </si>
  <si>
    <t>Lo mÃ¡s sencillo es complicarlo todo</t>
  </si>
  <si>
    <t>Chhota Bheem &amp; Krishna vs Zimbara</t>
  </si>
  <si>
    <t>An Unremarkable Christmas</t>
  </si>
  <si>
    <t>Chadi Jawani Budhe Nu</t>
  </si>
  <si>
    <t>Die Ontwaking</t>
  </si>
  <si>
    <t>Wedy Atkalam</t>
  </si>
  <si>
    <t>Luckee</t>
  </si>
  <si>
    <t>Truckbhar Sapne</t>
  </si>
  <si>
    <t>Liss Pereira: Renteniendo Liquidos</t>
  </si>
  <si>
    <t>ChatÃ´, The King of Brazil</t>
  </si>
  <si>
    <t>Thomas e Seus Amigos - A Locomotiva Real</t>
  </si>
  <si>
    <t>Asuraguru</t>
  </si>
  <si>
    <t>32/100</t>
  </si>
  <si>
    <t>Santo CachÃ³n</t>
  </si>
  <si>
    <t>Hajwala: The Missing Engine</t>
  </si>
  <si>
    <t>Arango y Sanint: RÃ­ase el show</t>
  </si>
  <si>
    <t>Match</t>
  </si>
  <si>
    <t>One Like It</t>
  </si>
  <si>
    <t>What the Jatt!!</t>
  </si>
  <si>
    <t>Deewana Main Deewana</t>
  </si>
  <si>
    <t>Pooja Kiven Aa</t>
  </si>
  <si>
    <t>Sin City</t>
  </si>
  <si>
    <t>Freej Al Taibeen</t>
  </si>
  <si>
    <t>Sei</t>
  </si>
  <si>
    <t>31/100</t>
  </si>
  <si>
    <t>The Ghost and the Tout</t>
  </si>
  <si>
    <t>Dushman</t>
  </si>
  <si>
    <t>Dil Vil Pyaar Vyaar</t>
  </si>
  <si>
    <t>Small Chops</t>
  </si>
  <si>
    <t>After Maria</t>
  </si>
  <si>
    <t>Yoo Byung Jae: Discomfort Zone</t>
  </si>
  <si>
    <t>Chal Bhaag</t>
  </si>
  <si>
    <t>Crazy People</t>
  </si>
  <si>
    <t>30/100</t>
  </si>
  <si>
    <t>Holy Expectations</t>
  </si>
  <si>
    <t>Edmilson Filho: Notas, Comedy about Relationships</t>
  </si>
  <si>
    <t>Grego Rossello: disculpe las molestias</t>
  </si>
  <si>
    <t>29/100</t>
  </si>
  <si>
    <t>Last Flight to Abuja</t>
  </si>
  <si>
    <t>Catch.er</t>
  </si>
  <si>
    <t>Tatu</t>
  </si>
  <si>
    <t>Hattrick</t>
  </si>
  <si>
    <t>S Storm</t>
  </si>
  <si>
    <t>Thomas E Seus Amigos Minas do MistÃ©rio</t>
  </si>
  <si>
    <t>28/100</t>
  </si>
  <si>
    <t>Thomas E Seus Amigos Todos os trilhos levam a Roma</t>
  </si>
  <si>
    <t>27/100</t>
  </si>
  <si>
    <t>Trese After Dark</t>
  </si>
  <si>
    <t>24/100</t>
  </si>
  <si>
    <t>The Last Mercenary</t>
  </si>
  <si>
    <t>23/100</t>
  </si>
  <si>
    <t>The Circle: The Afterparty</t>
  </si>
  <si>
    <t>21/100</t>
  </si>
  <si>
    <t>The Upshaws - The Afterparty</t>
  </si>
  <si>
    <t>20/100</t>
  </si>
  <si>
    <t>Angu Vaikuntapurathu (Malayalam)</t>
  </si>
  <si>
    <t>17/100</t>
  </si>
  <si>
    <t>The Boys in the Band: Something Personal</t>
  </si>
  <si>
    <t>D.O.D.: Day of Destiny</t>
  </si>
  <si>
    <t>16/100</t>
  </si>
  <si>
    <t>Time To Dance</t>
  </si>
  <si>
    <t>15/100</t>
  </si>
  <si>
    <t>The Mitfords: A Tale of Two Sisters</t>
  </si>
  <si>
    <t>Death Can Wait</t>
  </si>
  <si>
    <t>The Last Shaman</t>
  </si>
  <si>
    <t>Sohni Mahiwal</t>
  </si>
  <si>
    <t>Har Kisse Ke Hisse Kaamyaab</t>
  </si>
  <si>
    <t>ReFrame</t>
  </si>
  <si>
    <t>14/100</t>
  </si>
  <si>
    <t>Once In A Lifetime Sessions with Nile Rodgers</t>
  </si>
  <si>
    <t>Once in a Lifetime Sessions with Snow Patrol</t>
  </si>
  <si>
    <t>Seven Souls in the Skull Castle: Season Flower</t>
  </si>
  <si>
    <t>Once in a Lifetime Sessions with OneRepublic</t>
  </si>
  <si>
    <t>13/100</t>
  </si>
  <si>
    <t>Once In A Lifetime Sessions with Noel Gallagher</t>
  </si>
  <si>
    <t>Wave of Cinema: Surat Dari Timur</t>
  </si>
  <si>
    <t>Mr. Romantic</t>
  </si>
  <si>
    <t>Alarmoty in the Land of Fire</t>
  </si>
  <si>
    <t>Seven Souls in the Skull Castle: Season Bird</t>
  </si>
  <si>
    <t>Tomasz Jachimek, Jacek Stramik Laugh at Live</t>
  </si>
  <si>
    <t>12/100</t>
  </si>
  <si>
    <t>Chhota Bheem Ka Roosi Romanch</t>
  </si>
  <si>
    <t>Once in a Lifetime Sessions with George Ezra</t>
  </si>
  <si>
    <t>Diamonds In The Sky</t>
  </si>
  <si>
    <t>Karol Modzelewski, Åukasz â€žLotek" Lodkowski No Offense</t>
  </si>
  <si>
    <t>Ratones Paranoicos: The Band that Rocked Argentina</t>
  </si>
  <si>
    <t>Guillermo Vilas: Settling the Score</t>
  </si>
  <si>
    <t>Rehmataan</t>
  </si>
  <si>
    <t>RafaÅ‚ BanaÅ›, MichaÅ‚ Leja Laugh out Loud</t>
  </si>
  <si>
    <t>JoaquÃ­n Reyes: Una y no mÃ¡s</t>
  </si>
  <si>
    <t>Little Singham: Mahabali</t>
  </si>
  <si>
    <t>ChuChuTV Surprise Eggs Learning Videos (Hindi)</t>
  </si>
  <si>
    <t>Kuppivala</t>
  </si>
  <si>
    <t>Raya and Sakina</t>
  </si>
  <si>
    <t>Seven Souls in the Skull Castle: Season Wind</t>
  </si>
  <si>
    <t>Little Singham: Legend of Dugabakka</t>
  </si>
  <si>
    <t>Pinkfong and Baby Shark's Space Adventure</t>
  </si>
  <si>
    <t>Real Crime: Supermarket Heist (Tesco Bomber)</t>
  </si>
  <si>
    <t>Velvet ColecciÃ³n: Grand Finale</t>
  </si>
  <si>
    <t>Once in a Lifetime Sessions with Kasabian</t>
  </si>
  <si>
    <t>She Is</t>
  </si>
  <si>
    <t>Monty Python Conquers America</t>
  </si>
  <si>
    <t>10/100</t>
  </si>
  <si>
    <t>The Last Bomb of the Second World War</t>
  </si>
  <si>
    <t>You're Everything To Me</t>
  </si>
  <si>
    <t>Falz Experience</t>
  </si>
  <si>
    <t>Mariusz KaÅ‚amaga, Karol Kopiec, Wiolka Walaszczyk Hilarious Trio</t>
  </si>
  <si>
    <t>Thomas &amp; Friends: Marvelous Machinery: A New Arrival</t>
  </si>
  <si>
    <t>Alakada Reloaded</t>
  </si>
  <si>
    <t>Cop Watchers</t>
  </si>
  <si>
    <t>Jandino: Whatever it Takes</t>
  </si>
  <si>
    <t>ChuChuTV Surprise Eggs Learning Videos (English)</t>
  </si>
  <si>
    <t>Lock Your Girls In</t>
  </si>
  <si>
    <t>ChuChuTV Bedtime Stories &amp; Moral Stories for Kids (Hindi)</t>
  </si>
  <si>
    <t>Dear Affy</t>
  </si>
  <si>
    <t>Amit Tandon: Family Tandoncies</t>
  </si>
  <si>
    <t>Wave of Cinema: Filosofi Kopi</t>
  </si>
  <si>
    <t>Thomas &amp; Friends: Marvelous Machinery: World of Tomorrow</t>
  </si>
  <si>
    <t>ChuChuTV Bedtime Stories &amp; Moral Stories for Kids (English)</t>
  </si>
  <si>
    <t>Fifty Year Old Teenager</t>
  </si>
  <si>
    <t>Alias JJ, la celebridad del mal</t>
  </si>
  <si>
    <t>The Vendor</t>
  </si>
  <si>
    <t>The Dark Knight</t>
  </si>
  <si>
    <t>Minding the Gap</t>
  </si>
  <si>
    <t>Parasite</t>
  </si>
  <si>
    <t>Batman Begins</t>
  </si>
  <si>
    <t>Gone Girl</t>
  </si>
  <si>
    <t>Catch Me If You Can</t>
  </si>
  <si>
    <t>The Terminator</t>
  </si>
  <si>
    <t>Arrival</t>
  </si>
  <si>
    <t>Prisoners</t>
  </si>
  <si>
    <t>Bohemian Rhapsody</t>
  </si>
  <si>
    <t>Shrek</t>
  </si>
  <si>
    <t>12 Years a Slave</t>
  </si>
  <si>
    <t>Slumdog Millionaire</t>
  </si>
  <si>
    <t>Skyfall</t>
  </si>
  <si>
    <t>Stand by Me</t>
  </si>
  <si>
    <t>The Girl with the Dragon Tattoo</t>
  </si>
  <si>
    <t>Big Fish</t>
  </si>
  <si>
    <t>Happiest Season</t>
  </si>
  <si>
    <t>Kick-Ass</t>
  </si>
  <si>
    <t>(500) Days of Summer</t>
  </si>
  <si>
    <t>28 Days Later</t>
  </si>
  <si>
    <t>Once Upon a Time in the West</t>
  </si>
  <si>
    <t>Predator</t>
  </si>
  <si>
    <t>Big Time Adolescence</t>
  </si>
  <si>
    <t>Ice Age</t>
  </si>
  <si>
    <t>The Shape of Water</t>
  </si>
  <si>
    <t>The Iron Giant</t>
  </si>
  <si>
    <t>50/50</t>
  </si>
  <si>
    <t>Memories of Murder</t>
  </si>
  <si>
    <t>Beetlejuice</t>
  </si>
  <si>
    <t>Train to Busan</t>
  </si>
  <si>
    <t>Lucky Number Slevin</t>
  </si>
  <si>
    <t>127 Hours</t>
  </si>
  <si>
    <t>Mission: Impossible - Ghost Protocol</t>
  </si>
  <si>
    <t>Akira</t>
  </si>
  <si>
    <t>Shrek 2</t>
  </si>
  <si>
    <t>Let the Right One In</t>
  </si>
  <si>
    <t>Hell or High Water</t>
  </si>
  <si>
    <t>The Nice Guys</t>
  </si>
  <si>
    <t>RoboCop</t>
  </si>
  <si>
    <t>Star Trek Beyond</t>
  </si>
  <si>
    <t>Jack Reacher</t>
  </si>
  <si>
    <t>Another Round</t>
  </si>
  <si>
    <t>Portrait of a Lady on Fire</t>
  </si>
  <si>
    <t>The Secret Life of Walter Mitty</t>
  </si>
  <si>
    <t>Dumb and Dumber</t>
  </si>
  <si>
    <t>Palm Springs</t>
  </si>
  <si>
    <t>Flight</t>
  </si>
  <si>
    <t>I Saw the Devil</t>
  </si>
  <si>
    <t>The Mask</t>
  </si>
  <si>
    <t>Collective</t>
  </si>
  <si>
    <t>Rocketman</t>
  </si>
  <si>
    <t>Sweeney Todd: The Demon Barber of Fleet Street</t>
  </si>
  <si>
    <t>Coherence</t>
  </si>
  <si>
    <t>Nomadland</t>
  </si>
  <si>
    <t>Enemy at the Gates</t>
  </si>
  <si>
    <t>Space Jam</t>
  </si>
  <si>
    <t>Sunshine</t>
  </si>
  <si>
    <t>Becoming Bond</t>
  </si>
  <si>
    <t>Galaxy Quest</t>
  </si>
  <si>
    <t>Dredd</t>
  </si>
  <si>
    <t>28 Weeks Later</t>
  </si>
  <si>
    <t>Booksmart</t>
  </si>
  <si>
    <t>We Need to Talk About Kevin</t>
  </si>
  <si>
    <t>Ghostbusters</t>
  </si>
  <si>
    <t>The Peanut Butter Falcon</t>
  </si>
  <si>
    <t>Silence</t>
  </si>
  <si>
    <t>Take Shelter</t>
  </si>
  <si>
    <t>Cashback</t>
  </si>
  <si>
    <t>The Age of Adaline</t>
  </si>
  <si>
    <t>Crime + Punishment</t>
  </si>
  <si>
    <t>The Judge</t>
  </si>
  <si>
    <t>Logan Lucky</t>
  </si>
  <si>
    <t>Star Trek II: The Wrath of Khan</t>
  </si>
  <si>
    <t>The Adventures of Tintin</t>
  </si>
  <si>
    <t>Star Trek: First Contact</t>
  </si>
  <si>
    <t>Hancock</t>
  </si>
  <si>
    <t>Revolutionary Road</t>
  </si>
  <si>
    <t>Fighting With My Family</t>
  </si>
  <si>
    <t>The Conversation</t>
  </si>
  <si>
    <t>The Host</t>
  </si>
  <si>
    <t>Caddyshack</t>
  </si>
  <si>
    <t>Melancholia</t>
  </si>
  <si>
    <t>Vice</t>
  </si>
  <si>
    <t>Hostiles</t>
  </si>
  <si>
    <t>Shoplifters</t>
  </si>
  <si>
    <t>Leave No Trace</t>
  </si>
  <si>
    <t>The Man from Nowhere</t>
  </si>
  <si>
    <t>Underworld: Evolution</t>
  </si>
  <si>
    <t>The Virgin Suicides</t>
  </si>
  <si>
    <t>Terminator: Dark Fate</t>
  </si>
  <si>
    <t>Harold &amp; Kumar Go to White Castle</t>
  </si>
  <si>
    <t>Across the Universe</t>
  </si>
  <si>
    <t>Romeo + Juliet</t>
  </si>
  <si>
    <t>Bombshell</t>
  </si>
  <si>
    <t>The Act of Killing</t>
  </si>
  <si>
    <t>Hotel Mumbai</t>
  </si>
  <si>
    <t>The Grapes of Wrath</t>
  </si>
  <si>
    <t>The Way Back</t>
  </si>
  <si>
    <t>Heathers</t>
  </si>
  <si>
    <t>The Polar Express</t>
  </si>
  <si>
    <t>The A-Team</t>
  </si>
  <si>
    <t>Boss Level</t>
  </si>
  <si>
    <t>We Were Soldiers</t>
  </si>
  <si>
    <t>The Expendables</t>
  </si>
  <si>
    <t>The Wailing</t>
  </si>
  <si>
    <t>Super Troopers</t>
  </si>
  <si>
    <t>Eye in the Sky</t>
  </si>
  <si>
    <t>The Upside</t>
  </si>
  <si>
    <t>Burning</t>
  </si>
  <si>
    <t>The Blair Witch Project</t>
  </si>
  <si>
    <t>Papillon</t>
  </si>
  <si>
    <t>Star Trek IV: The Voyage Home</t>
  </si>
  <si>
    <t>Run</t>
  </si>
  <si>
    <t>This Means War</t>
  </si>
  <si>
    <t>Dumb: The Story of Big Brother Magazine</t>
  </si>
  <si>
    <t>Sympathy for Lady Vengeance</t>
  </si>
  <si>
    <t>Fyre Fraud</t>
  </si>
  <si>
    <t>The Mole Agent</t>
  </si>
  <si>
    <t>Knowing</t>
  </si>
  <si>
    <t>Open Range</t>
  </si>
  <si>
    <t>Hansel &amp; Gretel: Witch Hunters</t>
  </si>
  <si>
    <t>Machete</t>
  </si>
  <si>
    <t>Lights Out</t>
  </si>
  <si>
    <t>Predators</t>
  </si>
  <si>
    <t>Resident Evil: Apocalypse</t>
  </si>
  <si>
    <t>13 Assassins</t>
  </si>
  <si>
    <t>The Crazies</t>
  </si>
  <si>
    <t>The Croods 2</t>
  </si>
  <si>
    <t>The Chaser</t>
  </si>
  <si>
    <t>Scrooged</t>
  </si>
  <si>
    <t>The Dictator</t>
  </si>
  <si>
    <t>Sorry to Bother You</t>
  </si>
  <si>
    <t>Star Trek VI: The Undiscovered Country</t>
  </si>
  <si>
    <t>Sympathy for Mr. Vengeance</t>
  </si>
  <si>
    <t>The House That Jack Built</t>
  </si>
  <si>
    <t>The Natural</t>
  </si>
  <si>
    <t>The Guilty</t>
  </si>
  <si>
    <t>Broken Flowers</t>
  </si>
  <si>
    <t>Alive</t>
  </si>
  <si>
    <t>Barb &amp; Star Go to Vista Del Mar</t>
  </si>
  <si>
    <t>Storks</t>
  </si>
  <si>
    <t>Robot &amp; Frank</t>
  </si>
  <si>
    <t>God's Own Country</t>
  </si>
  <si>
    <t>Billy Madison</t>
  </si>
  <si>
    <t>Gemini Man</t>
  </si>
  <si>
    <t>Predator 2</t>
  </si>
  <si>
    <t>Abominable</t>
  </si>
  <si>
    <t>Chaplin</t>
  </si>
  <si>
    <t>Seabiscuit</t>
  </si>
  <si>
    <t>Something's Gotta Give</t>
  </si>
  <si>
    <t>Crawl</t>
  </si>
  <si>
    <t>American Animals</t>
  </si>
  <si>
    <t>The Dead Zone</t>
  </si>
  <si>
    <t>Bill &amp; Ted Face the Music</t>
  </si>
  <si>
    <t>The Sisters Brothers</t>
  </si>
  <si>
    <t>Waiting...</t>
  </si>
  <si>
    <t>The One I Love</t>
  </si>
  <si>
    <t>You're Next</t>
  </si>
  <si>
    <t>Date Night</t>
  </si>
  <si>
    <t>Red Cliff</t>
  </si>
  <si>
    <t>The Skeleton Key</t>
  </si>
  <si>
    <t>The Mountain Between Us</t>
  </si>
  <si>
    <t>Summer of Soul (...or, When the Revolution Could Not Be Televised)</t>
  </si>
  <si>
    <t>March of the Penguins 2</t>
  </si>
  <si>
    <t>Breach</t>
  </si>
  <si>
    <t>Footloose</t>
  </si>
  <si>
    <t>Bound</t>
  </si>
  <si>
    <t>A Most Wanted Man</t>
  </si>
  <si>
    <t>Graduation</t>
  </si>
  <si>
    <t>Whip It</t>
  </si>
  <si>
    <t>National Lampoon's Van Wilder</t>
  </si>
  <si>
    <t>The Expendables 3</t>
  </si>
  <si>
    <t>Goodnight Mommy</t>
  </si>
  <si>
    <t>Thelma</t>
  </si>
  <si>
    <t>Star Trek: Generations</t>
  </si>
  <si>
    <t>Love &amp; Mercy</t>
  </si>
  <si>
    <t>I Love You Phillip Morris</t>
  </si>
  <si>
    <t>Before We Go</t>
  </si>
  <si>
    <t>The Big Chill</t>
  </si>
  <si>
    <t>The Nightingale</t>
  </si>
  <si>
    <t>Quo vadis, Aida?</t>
  </si>
  <si>
    <t>Harold &amp; Kumar Escape from Guantanamo Bay</t>
  </si>
  <si>
    <t>'71</t>
  </si>
  <si>
    <t>If Beale Street Could Talk</t>
  </si>
  <si>
    <t>Weekend at Bernie's</t>
  </si>
  <si>
    <t>Saint Maud</t>
  </si>
  <si>
    <t>Bloody Sunday</t>
  </si>
  <si>
    <t>Jennifer's Body</t>
  </si>
  <si>
    <t>Cliffhanger</t>
  </si>
  <si>
    <t>Judy</t>
  </si>
  <si>
    <t>DragonHeart</t>
  </si>
  <si>
    <t>The Good, the Bad, the Weird</t>
  </si>
  <si>
    <t>Free Fall</t>
  </si>
  <si>
    <t>Hannibal Rising</t>
  </si>
  <si>
    <t>Colossal</t>
  </si>
  <si>
    <t>Odd Thomas</t>
  </si>
  <si>
    <t>Australia</t>
  </si>
  <si>
    <t>To Die For</t>
  </si>
  <si>
    <t>Sputnik</t>
  </si>
  <si>
    <t>Gamer</t>
  </si>
  <si>
    <t>Johnny English</t>
  </si>
  <si>
    <t>Bad Teacher</t>
  </si>
  <si>
    <t>The Iron Lady</t>
  </si>
  <si>
    <t>From Paris with Love</t>
  </si>
  <si>
    <t>Arachnophobia</t>
  </si>
  <si>
    <t>Hud</t>
  </si>
  <si>
    <t>The Time Machine</t>
  </si>
  <si>
    <t>The Last Stand</t>
  </si>
  <si>
    <t>Boy</t>
  </si>
  <si>
    <t>Plan B</t>
  </si>
  <si>
    <t>Honeyland</t>
  </si>
  <si>
    <t>A Perfect Getaway</t>
  </si>
  <si>
    <t>Blast from the Past</t>
  </si>
  <si>
    <t>Killer Joe</t>
  </si>
  <si>
    <t>Coyote Ugly</t>
  </si>
  <si>
    <t>El Dorado</t>
  </si>
  <si>
    <t>Ingrid Goes West</t>
  </si>
  <si>
    <t>Wall Street: Money Never Sleeps</t>
  </si>
  <si>
    <t>Possessor Uncut</t>
  </si>
  <si>
    <t>Wayne's World 2</t>
  </si>
  <si>
    <t>47 Meters Down</t>
  </si>
  <si>
    <t>Florence Foster Jenkins</t>
  </si>
  <si>
    <t>The Forbidden Kingdom</t>
  </si>
  <si>
    <t>Like Crazy</t>
  </si>
  <si>
    <t>Dangerous Minds</t>
  </si>
  <si>
    <t>What's Love Got To Do With It</t>
  </si>
  <si>
    <t>The November Man</t>
  </si>
  <si>
    <t>The 33</t>
  </si>
  <si>
    <t>Force Majeure</t>
  </si>
  <si>
    <t>The Beatles: Eight Days a Week - The Touring Years</t>
  </si>
  <si>
    <t>In a World...</t>
  </si>
  <si>
    <t>Step Up 2: The Streets</t>
  </si>
  <si>
    <t>Willy's Wonderland</t>
  </si>
  <si>
    <t>Trolls World Tour</t>
  </si>
  <si>
    <t>Young Adult</t>
  </si>
  <si>
    <t>The Biggest Little Farm</t>
  </si>
  <si>
    <t>How Green Was My Valley</t>
  </si>
  <si>
    <t>Cartel Land</t>
  </si>
  <si>
    <t>Mercury Rising</t>
  </si>
  <si>
    <t>Pet Sematary</t>
  </si>
  <si>
    <t>Border</t>
  </si>
  <si>
    <t>The Art of Self-Defense</t>
  </si>
  <si>
    <t>The Soloist</t>
  </si>
  <si>
    <t>Zappa</t>
  </si>
  <si>
    <t>A Hard Day</t>
  </si>
  <si>
    <t>Sinbad: Legend of the Seven Seas</t>
  </si>
  <si>
    <t>Some Kind of Heaven</t>
  </si>
  <si>
    <t>Missing Link</t>
  </si>
  <si>
    <t>The Amazing Johnathan Documentary</t>
  </si>
  <si>
    <t>Dora and the Lost City of Gold</t>
  </si>
  <si>
    <t>Marrowbone</t>
  </si>
  <si>
    <t>Confessions of a Shopaholic</t>
  </si>
  <si>
    <t>The Company You Keep</t>
  </si>
  <si>
    <t>Universal Soldier</t>
  </si>
  <si>
    <t>The Addams Family</t>
  </si>
  <si>
    <t>The Boondock Saints II: All Saints Day</t>
  </si>
  <si>
    <t>Hollow Man</t>
  </si>
  <si>
    <t>The Messenger</t>
  </si>
  <si>
    <t>20,000 Days on Earth</t>
  </si>
  <si>
    <t>Sightseers</t>
  </si>
  <si>
    <t>Rules of Engagement</t>
  </si>
  <si>
    <t>Diary of a Wimpy Kid</t>
  </si>
  <si>
    <t>Antebellum</t>
  </si>
  <si>
    <t>Hellbound: Hellraiser II</t>
  </si>
  <si>
    <t>I Feel Pretty</t>
  </si>
  <si>
    <t>Child's Play</t>
  </si>
  <si>
    <t>The Hustle</t>
  </si>
  <si>
    <t>Timeline</t>
  </si>
  <si>
    <t>Super Dark Times</t>
  </si>
  <si>
    <t>Dogman</t>
  </si>
  <si>
    <t>Ammonite</t>
  </si>
  <si>
    <t>Derek DelGaudio's In &amp; of Itself</t>
  </si>
  <si>
    <t>High-Rise</t>
  </si>
  <si>
    <t>Somewhere</t>
  </si>
  <si>
    <t>Dragonfly</t>
  </si>
  <si>
    <t>Red Dawn</t>
  </si>
  <si>
    <t>Where'd You Go, Bernadette</t>
  </si>
  <si>
    <t>Borg vs McEnroe</t>
  </si>
  <si>
    <t>BrÃ¼no</t>
  </si>
  <si>
    <t>Babyteeth</t>
  </si>
  <si>
    <t>Kung Pow: Enter the Fist</t>
  </si>
  <si>
    <t>The United States vs. Billie Holiday</t>
  </si>
  <si>
    <t>The Congress</t>
  </si>
  <si>
    <t>Jesus Camp</t>
  </si>
  <si>
    <t>A Hologram for the King</t>
  </si>
  <si>
    <t>The Connection</t>
  </si>
  <si>
    <t>The Haunting in Connecticut</t>
  </si>
  <si>
    <t>Destroyer</t>
  </si>
  <si>
    <t>McLintock!</t>
  </si>
  <si>
    <t>The Assistant</t>
  </si>
  <si>
    <t>Rookie of the Year</t>
  </si>
  <si>
    <t>The Condemned</t>
  </si>
  <si>
    <t>Grudge Match</t>
  </si>
  <si>
    <t>Spare Parts</t>
  </si>
  <si>
    <t>Spontaneous</t>
  </si>
  <si>
    <t>My Friend Dahmer</t>
  </si>
  <si>
    <t>AKA Jane Roe</t>
  </si>
  <si>
    <t>PietÃ </t>
  </si>
  <si>
    <t>Charlotte's Web</t>
  </si>
  <si>
    <t>Grandma</t>
  </si>
  <si>
    <t>Rebel in the Rye</t>
  </si>
  <si>
    <t>Cyrus</t>
  </si>
  <si>
    <t>The Pawnbroker</t>
  </si>
  <si>
    <t>Places in the Heart</t>
  </si>
  <si>
    <t>Unacknowledged</t>
  </si>
  <si>
    <t>Beirut</t>
  </si>
  <si>
    <t>Sword Art Online: The Movie - Ordinal Scale</t>
  </si>
  <si>
    <t>Wild Rose</t>
  </si>
  <si>
    <t>Trial by Fire</t>
  </si>
  <si>
    <t>Pan</t>
  </si>
  <si>
    <t>McQueen</t>
  </si>
  <si>
    <t>The Man Who Killed Don Quixote</t>
  </si>
  <si>
    <t>The Last House on the Left</t>
  </si>
  <si>
    <t>The Sitter</t>
  </si>
  <si>
    <t>Children of the Corn</t>
  </si>
  <si>
    <t>Family Law</t>
  </si>
  <si>
    <t>Borgman</t>
  </si>
  <si>
    <t>Don't Think Twice</t>
  </si>
  <si>
    <t>Fired Up!</t>
  </si>
  <si>
    <t>Active Measures</t>
  </si>
  <si>
    <t>Second Act</t>
  </si>
  <si>
    <t>Step Up 3D</t>
  </si>
  <si>
    <t>The Painted Bird</t>
  </si>
  <si>
    <t>How to Train Your Dragon: Homecoming</t>
  </si>
  <si>
    <t>Sweet Bean</t>
  </si>
  <si>
    <t>The Guilt Trip</t>
  </si>
  <si>
    <t>The Colony</t>
  </si>
  <si>
    <t>Thunderheart</t>
  </si>
  <si>
    <t>The World to Come</t>
  </si>
  <si>
    <t>Hello, My Name Is Doris</t>
  </si>
  <si>
    <t>Ben Is Back</t>
  </si>
  <si>
    <t>Elvira, Mistress of the Dark</t>
  </si>
  <si>
    <t>2 Days in Paris</t>
  </si>
  <si>
    <t>Like Someone in Love</t>
  </si>
  <si>
    <t>Jawline</t>
  </si>
  <si>
    <t>Rare Exports: A Christmas Tale</t>
  </si>
  <si>
    <t>Gretel &amp; Hansel</t>
  </si>
  <si>
    <t>Mr. Jones</t>
  </si>
  <si>
    <t>The Limehouse Golem</t>
  </si>
  <si>
    <t>Wilde</t>
  </si>
  <si>
    <t>Open Water</t>
  </si>
  <si>
    <t>Monster Trucks</t>
  </si>
  <si>
    <t>RiÂ¢hie RiÂ¢h</t>
  </si>
  <si>
    <t>Enforcement</t>
  </si>
  <si>
    <t>The Escort</t>
  </si>
  <si>
    <t>Silk Road</t>
  </si>
  <si>
    <t>The Quake</t>
  </si>
  <si>
    <t>Shadow in the Cloud</t>
  </si>
  <si>
    <t>Young Sherlock Holmes</t>
  </si>
  <si>
    <t>The Man Who Invented Christmas</t>
  </si>
  <si>
    <t>Devil's Knot</t>
  </si>
  <si>
    <t>Monos</t>
  </si>
  <si>
    <t>Hearts Beat Loud</t>
  </si>
  <si>
    <t>Dinosaur 13</t>
  </si>
  <si>
    <t>78/52</t>
  </si>
  <si>
    <t>We Are Freestyle Love Supreme</t>
  </si>
  <si>
    <t>Blair Witch</t>
  </si>
  <si>
    <t>The Rhythm Section</t>
  </si>
  <si>
    <t>A Field in England</t>
  </si>
  <si>
    <t>A Beautiful Planet</t>
  </si>
  <si>
    <t>Manic</t>
  </si>
  <si>
    <t>The Indian in the Cupboard</t>
  </si>
  <si>
    <t>The Chumscrubber</t>
  </si>
  <si>
    <t>Amazing Grace</t>
  </si>
  <si>
    <t>Beats Rhymes &amp; Life: The Travels of A Tribe Called Quest</t>
  </si>
  <si>
    <t>Plus One</t>
  </si>
  <si>
    <t>Luce</t>
  </si>
  <si>
    <t>I Still Believe</t>
  </si>
  <si>
    <t>Last Chance Harvey</t>
  </si>
  <si>
    <t>The Tuxedo</t>
  </si>
  <si>
    <t>Fear of Rain</t>
  </si>
  <si>
    <t>Southbound</t>
  </si>
  <si>
    <t>The Best Man</t>
  </si>
  <si>
    <t>Lo and Behold: Reveries of the Connected World</t>
  </si>
  <si>
    <t>The Queen of Versailles</t>
  </si>
  <si>
    <t>Intermission</t>
  </si>
  <si>
    <t>Lords of Chaos</t>
  </si>
  <si>
    <t>Playing It Cool</t>
  </si>
  <si>
    <t>Poetic Justice</t>
  </si>
  <si>
    <t>Sweet Virginia</t>
  </si>
  <si>
    <t>Framing Britney Spears</t>
  </si>
  <si>
    <t>Shirley</t>
  </si>
  <si>
    <t>Reno 911!: Miami</t>
  </si>
  <si>
    <t>The Little Hours</t>
  </si>
  <si>
    <t>The Relic</t>
  </si>
  <si>
    <t>Assassination Nation</t>
  </si>
  <si>
    <t>Terminal</t>
  </si>
  <si>
    <t>They Came Together</t>
  </si>
  <si>
    <t>Totally Under Control</t>
  </si>
  <si>
    <t>Once Upon a Time in Venice</t>
  </si>
  <si>
    <t>The Spy Next Door</t>
  </si>
  <si>
    <t>The Rewrite</t>
  </si>
  <si>
    <t>Brian Banks</t>
  </si>
  <si>
    <t>Soul Food</t>
  </si>
  <si>
    <t>My Scientology Movie</t>
  </si>
  <si>
    <t>Hail Satan?</t>
  </si>
  <si>
    <t>Tiny Toon Adventures: How I Spent My Vacation</t>
  </si>
  <si>
    <t>Little Fish</t>
  </si>
  <si>
    <t>Aniara</t>
  </si>
  <si>
    <t>Woman at War</t>
  </si>
  <si>
    <t>Beach Rats</t>
  </si>
  <si>
    <t>The Hero</t>
  </si>
  <si>
    <t>The Trip to Greece</t>
  </si>
  <si>
    <t>Mad Detective</t>
  </si>
  <si>
    <t>The Wrecking Crew</t>
  </si>
  <si>
    <t>Two of Us</t>
  </si>
  <si>
    <t>Hounds of Love</t>
  </si>
  <si>
    <t>Walking Tall</t>
  </si>
  <si>
    <t>The Postcard Killings</t>
  </si>
  <si>
    <t>Barking Dogs Never Bite</t>
  </si>
  <si>
    <t>High Strung</t>
  </si>
  <si>
    <t>Tooth Fairy</t>
  </si>
  <si>
    <t>Chappaquiddick</t>
  </si>
  <si>
    <t>Angel of Mine</t>
  </si>
  <si>
    <t>The Assassin</t>
  </si>
  <si>
    <t>Trigun: Badlands Rumble</t>
  </si>
  <si>
    <t>4th Man Out</t>
  </si>
  <si>
    <t>Southside with You</t>
  </si>
  <si>
    <t>Band Aid</t>
  </si>
  <si>
    <t>Virtuosity</t>
  </si>
  <si>
    <t>It's a Disaster</t>
  </si>
  <si>
    <t>Moffie</t>
  </si>
  <si>
    <t>I Am Greta</t>
  </si>
  <si>
    <t>Dealt</t>
  </si>
  <si>
    <t>The Unknown Girl</t>
  </si>
  <si>
    <t>Sleepwalkers</t>
  </si>
  <si>
    <t>Meek's Cutoff</t>
  </si>
  <si>
    <t>The Painter and the Thief</t>
  </si>
  <si>
    <t>The Keeping Room</t>
  </si>
  <si>
    <t>Buffaloed</t>
  </si>
  <si>
    <t>Flower</t>
  </si>
  <si>
    <t>Villains</t>
  </si>
  <si>
    <t>Miss Stevens</t>
  </si>
  <si>
    <t>The Kid</t>
  </si>
  <si>
    <t>The Scent of Green Papaya</t>
  </si>
  <si>
    <t>The Beach Bum</t>
  </si>
  <si>
    <t>Teen Titans Go! vs. Teen Titans</t>
  </si>
  <si>
    <t>Daphne</t>
  </si>
  <si>
    <t>Cowboys</t>
  </si>
  <si>
    <t>Tragedy Girls</t>
  </si>
  <si>
    <t>The Man Who Killed Hitler and Then the Bigfoot</t>
  </si>
  <si>
    <t>Vox Lux</t>
  </si>
  <si>
    <t>Just Wright</t>
  </si>
  <si>
    <t>The Binge</t>
  </si>
  <si>
    <t>Shine a Light</t>
  </si>
  <si>
    <t>MLK/FBI</t>
  </si>
  <si>
    <t>New in Town</t>
  </si>
  <si>
    <t>Support the Girls</t>
  </si>
  <si>
    <t>Proxima</t>
  </si>
  <si>
    <t>Blue Chips</t>
  </si>
  <si>
    <t>Middle School: The Worst Years of My Life</t>
  </si>
  <si>
    <t>In the Cut</t>
  </si>
  <si>
    <t>For Richer or Poorer</t>
  </si>
  <si>
    <t>One for the Money</t>
  </si>
  <si>
    <t>kid 90</t>
  </si>
  <si>
    <t>Evening</t>
  </si>
  <si>
    <t>The Courier</t>
  </si>
  <si>
    <t>The Festival</t>
  </si>
  <si>
    <t>Here to be Heard: The Story of The Slits</t>
  </si>
  <si>
    <t>68 Kill</t>
  </si>
  <si>
    <t>Factotum</t>
  </si>
  <si>
    <t>The Ramen Girl</t>
  </si>
  <si>
    <t>And So It Goes</t>
  </si>
  <si>
    <t>Were the World Mine</t>
  </si>
  <si>
    <t>Batman &amp; Bill</t>
  </si>
  <si>
    <t>The Tax Collector</t>
  </si>
  <si>
    <t>Blue Sky</t>
  </si>
  <si>
    <t>Dismissed</t>
  </si>
  <si>
    <t>The Outside Story</t>
  </si>
  <si>
    <t>Spree</t>
  </si>
  <si>
    <t>Dear Comrades!</t>
  </si>
  <si>
    <t>WeWork: or The Making and Breaking of a $47 Billion Unicorn</t>
  </si>
  <si>
    <t>Princess Cyd</t>
  </si>
  <si>
    <t>Ode to Joy</t>
  </si>
  <si>
    <t>The China Hustle</t>
  </si>
  <si>
    <t>Those People</t>
  </si>
  <si>
    <t>Girls Just Want to Have Fun</t>
  </si>
  <si>
    <t>Black Gold</t>
  </si>
  <si>
    <t>Race for Your Life, Charlie Brown</t>
  </si>
  <si>
    <t>The Cave</t>
  </si>
  <si>
    <t>Time Freak</t>
  </si>
  <si>
    <t>Eliminators</t>
  </si>
  <si>
    <t>Wild Mountain Thyme</t>
  </si>
  <si>
    <t>Save Yourselves!</t>
  </si>
  <si>
    <t>Spinning Man</t>
  </si>
  <si>
    <t>12 Hour Shift</t>
  </si>
  <si>
    <t>Skate Kitchen</t>
  </si>
  <si>
    <t>The Hunchback of Notre Dame</t>
  </si>
  <si>
    <t>Margarita with a Straw</t>
  </si>
  <si>
    <t>Beasts Clawing at Straws</t>
  </si>
  <si>
    <t>Elena Undone</t>
  </si>
  <si>
    <t>Anacondas: The Hunt for the Blood Orchid</t>
  </si>
  <si>
    <t>An American Haunting</t>
  </si>
  <si>
    <t>Last Days Here</t>
  </si>
  <si>
    <t>Back in Time</t>
  </si>
  <si>
    <t>Flesh and Blood</t>
  </si>
  <si>
    <t>Clemency</t>
  </si>
  <si>
    <t>Foxfire</t>
  </si>
  <si>
    <t>The Haunting in Connecticut 2: Ghosts of Georgia</t>
  </si>
  <si>
    <t>Books of Blood</t>
  </si>
  <si>
    <t>The Secret Garden</t>
  </si>
  <si>
    <t>Rent-A-Pal</t>
  </si>
  <si>
    <t>Waiting for the Barbarians</t>
  </si>
  <si>
    <t>Caveman</t>
  </si>
  <si>
    <t>Teen Spirit</t>
  </si>
  <si>
    <t>Ordinary Love</t>
  </si>
  <si>
    <t>Dog Days</t>
  </si>
  <si>
    <t>The Miracle Season</t>
  </si>
  <si>
    <t>A Boy Named Charlie Brown</t>
  </si>
  <si>
    <t>Too Funny to Fail: The Life &amp; Death of The Dana Carvey Show</t>
  </si>
  <si>
    <t>Already Tomorrow in Hong Kong</t>
  </si>
  <si>
    <t>Rams</t>
  </si>
  <si>
    <t>RoboCop 3</t>
  </si>
  <si>
    <t>Losing Isaiah</t>
  </si>
  <si>
    <t>Dark Was the Night</t>
  </si>
  <si>
    <t>Primal</t>
  </si>
  <si>
    <t>Pyewacket</t>
  </si>
  <si>
    <t>R100</t>
  </si>
  <si>
    <t>Grand Isle</t>
  </si>
  <si>
    <t>The Donut King</t>
  </si>
  <si>
    <t>The Furies</t>
  </si>
  <si>
    <t>Little Woods</t>
  </si>
  <si>
    <t>The Layover</t>
  </si>
  <si>
    <t>Hannie Caulder</t>
  </si>
  <si>
    <t>Tesla</t>
  </si>
  <si>
    <t>Running with the Devil</t>
  </si>
  <si>
    <t>You Cannot Kill David Arquette</t>
  </si>
  <si>
    <t>100% Wolf</t>
  </si>
  <si>
    <t>Bad Company</t>
  </si>
  <si>
    <t>Pilgrimage</t>
  </si>
  <si>
    <t>Reaching for the Moon</t>
  </si>
  <si>
    <t>Night of the Kings</t>
  </si>
  <si>
    <t>Overdrive</t>
  </si>
  <si>
    <t>Stray</t>
  </si>
  <si>
    <t>Open Water 2: Adrift</t>
  </si>
  <si>
    <t>Priceless</t>
  </si>
  <si>
    <t>False Positive</t>
  </si>
  <si>
    <t>The Osiris Child</t>
  </si>
  <si>
    <t>Loro 1</t>
  </si>
  <si>
    <t>The Doorman</t>
  </si>
  <si>
    <t>Almost Adults</t>
  </si>
  <si>
    <t>The Final Member</t>
  </si>
  <si>
    <t>Neil Young: Heart of Gold</t>
  </si>
  <si>
    <t>Getting Go: The Go Doc Project</t>
  </si>
  <si>
    <t>Four Lovers</t>
  </si>
  <si>
    <t>28 Hotel Rooms</t>
  </si>
  <si>
    <t>Graveyard Shift</t>
  </si>
  <si>
    <t>Snoopy, Come Home</t>
  </si>
  <si>
    <t>Maze</t>
  </si>
  <si>
    <t>Bull</t>
  </si>
  <si>
    <t>Bad Hair</t>
  </si>
  <si>
    <t>Little Joe</t>
  </si>
  <si>
    <t>The Orange Years: The Nickelodeon Story</t>
  </si>
  <si>
    <t>The Monkey King 3</t>
  </si>
  <si>
    <t>The Fight</t>
  </si>
  <si>
    <t>The Mandela Effect</t>
  </si>
  <si>
    <t>L!fe Happens</t>
  </si>
  <si>
    <t>The Ladies Man</t>
  </si>
  <si>
    <t>Sold</t>
  </si>
  <si>
    <t>Oh Lucy!</t>
  </si>
  <si>
    <t>Fairy Tail: Phoenix Priestess</t>
  </si>
  <si>
    <t>Crypto</t>
  </si>
  <si>
    <t>A Score to Settle</t>
  </si>
  <si>
    <t>WolfCop</t>
  </si>
  <si>
    <t>The Owners</t>
  </si>
  <si>
    <t>The Sweet Life</t>
  </si>
  <si>
    <t>The Panama Papers</t>
  </si>
  <si>
    <t>Casa de los Babys</t>
  </si>
  <si>
    <t>Vita &amp; Virginia</t>
  </si>
  <si>
    <t>The 10 Year Plan</t>
  </si>
  <si>
    <t>A Kind of Murder</t>
  </si>
  <si>
    <t>Suburban Gothic</t>
  </si>
  <si>
    <t>The Hornet's Nest</t>
  </si>
  <si>
    <t>Welcome Home Roscoe Jenkins</t>
  </si>
  <si>
    <t>The Other Man</t>
  </si>
  <si>
    <t>The Other Lamb</t>
  </si>
  <si>
    <t>The Houses October Built</t>
  </si>
  <si>
    <t>Ozzy</t>
  </si>
  <si>
    <t>Once Were Brothers: Robbie Robertson and The Band</t>
  </si>
  <si>
    <t>The Bellboy</t>
  </si>
  <si>
    <t>Himalaya</t>
  </si>
  <si>
    <t>Digging for Fire</t>
  </si>
  <si>
    <t>A Glitch in the Matrix</t>
  </si>
  <si>
    <t>Crock of Gold: A Few Rounds with Shane MacGowan</t>
  </si>
  <si>
    <t>Good Deeds</t>
  </si>
  <si>
    <t>The Face of Love</t>
  </si>
  <si>
    <t>Stonewall</t>
  </si>
  <si>
    <t>Nurse 3-D</t>
  </si>
  <si>
    <t>Hello I Must Be Going</t>
  </si>
  <si>
    <t>Ma Ma</t>
  </si>
  <si>
    <t>Racer and the Jailbird</t>
  </si>
  <si>
    <t>Henry Gamble's Birthday Party</t>
  </si>
  <si>
    <t>First Girl I Loved</t>
  </si>
  <si>
    <t>Non-Fiction</t>
  </si>
  <si>
    <t>100 Streets</t>
  </si>
  <si>
    <t>Zoom</t>
  </si>
  <si>
    <t>Body Cam</t>
  </si>
  <si>
    <t>Above the Shadows</t>
  </si>
  <si>
    <t>Where Hope Grows</t>
  </si>
  <si>
    <t>Lady in a Cage</t>
  </si>
  <si>
    <t>Buddy Games</t>
  </si>
  <si>
    <t>Gundala</t>
  </si>
  <si>
    <t>XX</t>
  </si>
  <si>
    <t>Rebuilding Paradise</t>
  </si>
  <si>
    <t>Let the Sunshine In</t>
  </si>
  <si>
    <t>Above and Beyond</t>
  </si>
  <si>
    <t>Swimming with Men</t>
  </si>
  <si>
    <t>Book of Blood</t>
  </si>
  <si>
    <t>Valley Girl</t>
  </si>
  <si>
    <t>The Feels</t>
  </si>
  <si>
    <t>My Little Pony: The Princess Promenade</t>
  </si>
  <si>
    <t>Someone Marry Barry</t>
  </si>
  <si>
    <t>IMAX: Galapagos 3D</t>
  </si>
  <si>
    <t>Rogue</t>
  </si>
  <si>
    <t>The Dream Is Alive</t>
  </si>
  <si>
    <t>Hideaway</t>
  </si>
  <si>
    <t>Sword Art Online: Extra Edition</t>
  </si>
  <si>
    <t>Damsel</t>
  </si>
  <si>
    <t>I Declare War</t>
  </si>
  <si>
    <t>Shelley</t>
  </si>
  <si>
    <t>Astro Kid</t>
  </si>
  <si>
    <t>Superpower Dogs</t>
  </si>
  <si>
    <t>Diane</t>
  </si>
  <si>
    <t>Gimme the Loot</t>
  </si>
  <si>
    <t>The First Monday in May</t>
  </si>
  <si>
    <t>The Skull</t>
  </si>
  <si>
    <t>The World of Kanako</t>
  </si>
  <si>
    <t>Ben 10: Secret of the Omnitrix</t>
  </si>
  <si>
    <t>Judy &amp; Punch</t>
  </si>
  <si>
    <t>Frankenstein and the Monster from Hell</t>
  </si>
  <si>
    <t>You Instead</t>
  </si>
  <si>
    <t>Digging Up the Marrow</t>
  </si>
  <si>
    <t>Book of Shadows: Blair Witch 2</t>
  </si>
  <si>
    <t>Knuckleball!</t>
  </si>
  <si>
    <t>Sordid Lives</t>
  </si>
  <si>
    <t>Monsters and Men</t>
  </si>
  <si>
    <t>Sea of Shadows</t>
  </si>
  <si>
    <t>Bad Reputation</t>
  </si>
  <si>
    <t>Carnage Park</t>
  </si>
  <si>
    <t>Sex Ed</t>
  </si>
  <si>
    <t>Skin: A History of Nudity in the Movies</t>
  </si>
  <si>
    <t>Getaway</t>
  </si>
  <si>
    <t>A Nice Girl Like You</t>
  </si>
  <si>
    <t>Vault</t>
  </si>
  <si>
    <t>Obey Giant</t>
  </si>
  <si>
    <t>Still Waiting...</t>
  </si>
  <si>
    <t>Nina</t>
  </si>
  <si>
    <t>Turbulence</t>
  </si>
  <si>
    <t>Wakko's Wish</t>
  </si>
  <si>
    <t>Just Charlie</t>
  </si>
  <si>
    <t>Dark Web: Cicada 3301</t>
  </si>
  <si>
    <t>Trevor Noah: You Laugh But It's True</t>
  </si>
  <si>
    <t>Caddyshack II</t>
  </si>
  <si>
    <t>Gemini</t>
  </si>
  <si>
    <t>Robert the Bruce</t>
  </si>
  <si>
    <t>Breaking Fast</t>
  </si>
  <si>
    <t>Detective Dee: The Four Heavenly Kings</t>
  </si>
  <si>
    <t>Amira &amp; Sam</t>
  </si>
  <si>
    <t>Amulet</t>
  </si>
  <si>
    <t>Out Stealing Horses</t>
  </si>
  <si>
    <t>Space Station 3D</t>
  </si>
  <si>
    <t>Liz in September</t>
  </si>
  <si>
    <t>Lowlife</t>
  </si>
  <si>
    <t>Kindergarten Cop 2</t>
  </si>
  <si>
    <t>Donnybrook</t>
  </si>
  <si>
    <t>The Devil's Doorway</t>
  </si>
  <si>
    <t>An Acceptable Loss</t>
  </si>
  <si>
    <t>Take Every Wave: The Life of Laird Hamilton</t>
  </si>
  <si>
    <t>Notturno</t>
  </si>
  <si>
    <t>PokÃ©mon the Movie: Hoopa and the Clash of Ages</t>
  </si>
  <si>
    <t>The Female Brain</t>
  </si>
  <si>
    <t>Fun in Acapulco</t>
  </si>
  <si>
    <t>Pledge</t>
  </si>
  <si>
    <t>Exit Plan</t>
  </si>
  <si>
    <t>Sheep &amp; Wolves</t>
  </si>
  <si>
    <t>Centigrade</t>
  </si>
  <si>
    <t>A Nasty Piece of Work</t>
  </si>
  <si>
    <t>Legion of Brothers</t>
  </si>
  <si>
    <t>K: Missing Kings</t>
  </si>
  <si>
    <t>Our Family Wedding</t>
  </si>
  <si>
    <t>Wander Darkly</t>
  </si>
  <si>
    <t>Wounds</t>
  </si>
  <si>
    <t>Hooking Up</t>
  </si>
  <si>
    <t>Wolves</t>
  </si>
  <si>
    <t>Nico, 1988</t>
  </si>
  <si>
    <t>Star Kid</t>
  </si>
  <si>
    <t>Follow Me</t>
  </si>
  <si>
    <t>American Gun</t>
  </si>
  <si>
    <t>The Tomorrow Man</t>
  </si>
  <si>
    <t>Almost Human</t>
  </si>
  <si>
    <t>Premature</t>
  </si>
  <si>
    <t>Wild Nights with Emily</t>
  </si>
  <si>
    <t>Let's Be Evil</t>
  </si>
  <si>
    <t>R.L. Stine's Monsterville: The Cabinet of Souls</t>
  </si>
  <si>
    <t>Big Men</t>
  </si>
  <si>
    <t>The Midnight Man</t>
  </si>
  <si>
    <t>Black and White</t>
  </si>
  <si>
    <t>Journey to the South Pacific</t>
  </si>
  <si>
    <t>The Dinner</t>
  </si>
  <si>
    <t>Before We Vanish</t>
  </si>
  <si>
    <t>PokÃ©mon the Movie: Volcanion and the Mechanical Marvel</t>
  </si>
  <si>
    <t>The Ultimate Playlist of Noise</t>
  </si>
  <si>
    <t>Eating Animals</t>
  </si>
  <si>
    <t>Into the Ashes</t>
  </si>
  <si>
    <t>This Is Not Berlin</t>
  </si>
  <si>
    <t>Just Eat It: A Food Waste Story</t>
  </si>
  <si>
    <t>Chasing Trane</t>
  </si>
  <si>
    <t>Rabid Dogs</t>
  </si>
  <si>
    <t>AWOL</t>
  </si>
  <si>
    <t>The Night Watchmen</t>
  </si>
  <si>
    <t>Cabin Fever: Patient Zero</t>
  </si>
  <si>
    <t>The Year of Spectacular Men</t>
  </si>
  <si>
    <t>Pit Stop</t>
  </si>
  <si>
    <t>Meeting Gorbachev</t>
  </si>
  <si>
    <t>We Die Young</t>
  </si>
  <si>
    <t>Killers Anonymous</t>
  </si>
  <si>
    <t>Ask Dr. Ruth</t>
  </si>
  <si>
    <t>Intersect</t>
  </si>
  <si>
    <t>Depraved</t>
  </si>
  <si>
    <t>Legends of Oz: Dorothy's Return</t>
  </si>
  <si>
    <t>Mary</t>
  </si>
  <si>
    <t>Trick</t>
  </si>
  <si>
    <t>Bratz</t>
  </si>
  <si>
    <t>Taffin</t>
  </si>
  <si>
    <t>Passage to Mars</t>
  </si>
  <si>
    <t>Soul Survivors</t>
  </si>
  <si>
    <t>Lucky Day</t>
  </si>
  <si>
    <t>Radioflash</t>
  </si>
  <si>
    <t>The Boy Downstairs</t>
  </si>
  <si>
    <t>Disappearance at Clifton Hill</t>
  </si>
  <si>
    <t>Margaret Atwood: A Word After a Word After a Word Is Power</t>
  </si>
  <si>
    <t>The Big Ugly</t>
  </si>
  <si>
    <t>The Roads Not Taken</t>
  </si>
  <si>
    <t>I Met a Girl</t>
  </si>
  <si>
    <t>Mapplethorpe</t>
  </si>
  <si>
    <t>Dragonheart: Battle for the Heartfire</t>
  </si>
  <si>
    <t>35 and Ticking</t>
  </si>
  <si>
    <t>Billie</t>
  </si>
  <si>
    <t>69: The Saga of Danny Hernandez</t>
  </si>
  <si>
    <t>I Trapped the Devil</t>
  </si>
  <si>
    <t>The Escape</t>
  </si>
  <si>
    <t>Anchor and Hope</t>
  </si>
  <si>
    <t>VHYes</t>
  </si>
  <si>
    <t>It Had to Be You</t>
  </si>
  <si>
    <t>Ismael's Ghosts</t>
  </si>
  <si>
    <t>Ron White: A Little Unprofessional</t>
  </si>
  <si>
    <t>Mister America</t>
  </si>
  <si>
    <t>I Wish I Knew</t>
  </si>
  <si>
    <t>The Housemaid</t>
  </si>
  <si>
    <t>Infamous</t>
  </si>
  <si>
    <t>Mass Effect: Paragon Lost</t>
  </si>
  <si>
    <t>Hellions</t>
  </si>
  <si>
    <t>Farewell Amor</t>
  </si>
  <si>
    <t>The Evil in Us</t>
  </si>
  <si>
    <t>This Mountain Life</t>
  </si>
  <si>
    <t>Good Boy</t>
  </si>
  <si>
    <t>The Obituary of Tunde Johnson</t>
  </si>
  <si>
    <t>James vs. His Future Self</t>
  </si>
  <si>
    <t>The Mountain</t>
  </si>
  <si>
    <t>The Sound of Silence</t>
  </si>
  <si>
    <t>The Hug</t>
  </si>
  <si>
    <t>A Crooked Somebody</t>
  </si>
  <si>
    <t>I Do... Until I Don't</t>
  </si>
  <si>
    <t>Beneath the Darkness</t>
  </si>
  <si>
    <t>Gayby</t>
  </si>
  <si>
    <t>Toni Morrison: The Pieces I Am</t>
  </si>
  <si>
    <t>Backtrace</t>
  </si>
  <si>
    <t>Dragon Age: Dawn of the Seeker</t>
  </si>
  <si>
    <t>Bucky Larson: Born to Be a Star</t>
  </si>
  <si>
    <t>Kusama : Infinity</t>
  </si>
  <si>
    <t>Behind You</t>
  </si>
  <si>
    <t>Cruise</t>
  </si>
  <si>
    <t>Run the Race</t>
  </si>
  <si>
    <t>The Resort</t>
  </si>
  <si>
    <t>Daphne &amp; Velma</t>
  </si>
  <si>
    <t>Trespassers</t>
  </si>
  <si>
    <t>Frank Serpico</t>
  </si>
  <si>
    <t>Dr. Bird's Advice for Sad Poets</t>
  </si>
  <si>
    <t>Raise Hell: The Life &amp; Times of Molly Ivins</t>
  </si>
  <si>
    <t>PokÃ©mon the Movie: Diancie and the Cocoon of Destruction</t>
  </si>
  <si>
    <t>In Search of Greatness</t>
  </si>
  <si>
    <t>Wrinkles the Clown</t>
  </si>
  <si>
    <t>Mostly Ghostly</t>
  </si>
  <si>
    <t>Bad Roomies</t>
  </si>
  <si>
    <t>Pooka Lives!</t>
  </si>
  <si>
    <t>A Guide to Second Date Sex</t>
  </si>
  <si>
    <t>Phobias</t>
  </si>
  <si>
    <t>Uncanny Annie</t>
  </si>
  <si>
    <t>Feral</t>
  </si>
  <si>
    <t>Pandas: The Journey Home</t>
  </si>
  <si>
    <t>The Brink</t>
  </si>
  <si>
    <t>Stars Fell on Alabama</t>
  </si>
  <si>
    <t>Nostalgia</t>
  </si>
  <si>
    <t>Ms. Purple</t>
  </si>
  <si>
    <t>Love After Love</t>
  </si>
  <si>
    <t>Red Dog</t>
  </si>
  <si>
    <t>The Time of Their Lives</t>
  </si>
  <si>
    <t>RoboGeisha</t>
  </si>
  <si>
    <t>Citizen Soldier</t>
  </si>
  <si>
    <t>Don't Go</t>
  </si>
  <si>
    <t>Grace Jones: Bloodlight and Bami</t>
  </si>
  <si>
    <t>Crawlers</t>
  </si>
  <si>
    <t>Soldiers of Fortune</t>
  </si>
  <si>
    <t>Body at Brighton Rock</t>
  </si>
  <si>
    <t>The Alchemist Cookbook</t>
  </si>
  <si>
    <t>Blurt!</t>
  </si>
  <si>
    <t>Ballet Now</t>
  </si>
  <si>
    <t>Euphoria</t>
  </si>
  <si>
    <t>Tru Love</t>
  </si>
  <si>
    <t>Pop Aye</t>
  </si>
  <si>
    <t>Joyride</t>
  </si>
  <si>
    <t>A Christmas Movie Christmas</t>
  </si>
  <si>
    <t>Ghost Team</t>
  </si>
  <si>
    <t>The Flood</t>
  </si>
  <si>
    <t>Mostly Ghostly: Have You Met My Ghoulfriend?</t>
  </si>
  <si>
    <t>Divide and Conquer: The Story of Roger Ailes</t>
  </si>
  <si>
    <t>The Rape of Recy Taylor</t>
  </si>
  <si>
    <t>Good Kisser</t>
  </si>
  <si>
    <t>Attack of the 50 Foot Cheerleader</t>
  </si>
  <si>
    <t>Treading Water</t>
  </si>
  <si>
    <t>The Sunlit Night</t>
  </si>
  <si>
    <t>Knives and Skin</t>
  </si>
  <si>
    <t>Curious George: A Very Monkey Christmas</t>
  </si>
  <si>
    <t>The Gospel According to AndrÃ©</t>
  </si>
  <si>
    <t>Shared Rooms</t>
  </si>
  <si>
    <t>Most Likely to Murder</t>
  </si>
  <si>
    <t>Bayou Caviar</t>
  </si>
  <si>
    <t>T-Rex: Back to the Cretaceous</t>
  </si>
  <si>
    <t>Locating Silver Lake</t>
  </si>
  <si>
    <t>10.0 Earthquake</t>
  </si>
  <si>
    <t>Tyrel</t>
  </si>
  <si>
    <t>Madonna and the Breakfast Club</t>
  </si>
  <si>
    <t>Lost in Hong Kong</t>
  </si>
  <si>
    <t>All About E</t>
  </si>
  <si>
    <t>Boom for Real: The Late Teenage Years of Jean-Michel Basquiat</t>
  </si>
  <si>
    <t>Gigli</t>
  </si>
  <si>
    <t>The Current Occupant</t>
  </si>
  <si>
    <t>Bad Therapy</t>
  </si>
  <si>
    <t>Ramen Heads</t>
  </si>
  <si>
    <t>Hot Air</t>
  </si>
  <si>
    <t>Anaconda 3: Offspring</t>
  </si>
  <si>
    <t>Cherry Pop</t>
  </si>
  <si>
    <t>Savage State</t>
  </si>
  <si>
    <t>Shangri-La Suite</t>
  </si>
  <si>
    <t>Wings of Courage</t>
  </si>
  <si>
    <t>Hillbilly</t>
  </si>
  <si>
    <t>Pony Express</t>
  </si>
  <si>
    <t>Christmas on Holly Lane</t>
  </si>
  <si>
    <t>Anacondas: Trail of Blood</t>
  </si>
  <si>
    <t>Slay the Dragon</t>
  </si>
  <si>
    <t>After Darkness</t>
  </si>
  <si>
    <t>Stairs</t>
  </si>
  <si>
    <t>Rag Doll</t>
  </si>
  <si>
    <t>Supervized</t>
  </si>
  <si>
    <t>The Dustwalker</t>
  </si>
  <si>
    <t>The Turkey Bowl</t>
  </si>
  <si>
    <t>Old Stone</t>
  </si>
  <si>
    <t>Dirt Music</t>
  </si>
  <si>
    <t>Olympic Dreams Featuring Jonas Brothers</t>
  </si>
  <si>
    <t>Another Time</t>
  </si>
  <si>
    <t>Racetime</t>
  </si>
  <si>
    <t>House of the Dead</t>
  </si>
  <si>
    <t>Sex Guaranteed</t>
  </si>
  <si>
    <t>Get Big</t>
  </si>
  <si>
    <t>The Adventures of Hercules</t>
  </si>
  <si>
    <t>Alive and Kicking</t>
  </si>
  <si>
    <t>Harvie and the Magic Museum</t>
  </si>
  <si>
    <t>Hurley</t>
  </si>
  <si>
    <t>Alpha and Omega: The Legend of the Saw Tooth Cave</t>
  </si>
  <si>
    <t>Hot Guys with Guns</t>
  </si>
  <si>
    <t>The Cookout</t>
  </si>
  <si>
    <t>The State of Texas vs. Melissa</t>
  </si>
  <si>
    <t>In The Mix</t>
  </si>
  <si>
    <t>Swimming for Gold</t>
  </si>
  <si>
    <t>Across the Line</t>
  </si>
  <si>
    <t>Christmas Perfection</t>
  </si>
  <si>
    <t>Her Name Is Chef</t>
  </si>
  <si>
    <t>Soldier Boyz</t>
  </si>
  <si>
    <t>Naz &amp; Maalik</t>
  </si>
  <si>
    <t>Into the Dark: I'm Just F*cking With You</t>
  </si>
  <si>
    <t>Dreamcatcher</t>
  </si>
  <si>
    <t>Monogamy</t>
  </si>
  <si>
    <t>Gorp</t>
  </si>
  <si>
    <t>DriverX</t>
  </si>
  <si>
    <t>The Complex: Lockdown</t>
  </si>
  <si>
    <t>The Standard</t>
  </si>
  <si>
    <t>Mostly Ghostly 3: One Night in Doom House</t>
  </si>
  <si>
    <t>Telescope</t>
  </si>
  <si>
    <t>Pretenders</t>
  </si>
  <si>
    <t>Delivered</t>
  </si>
  <si>
    <t>Into the Deep</t>
  </si>
  <si>
    <t>Rattlesnakes</t>
  </si>
  <si>
    <t>The Legend of Baron To'a</t>
  </si>
  <si>
    <t>The Relationtrip</t>
  </si>
  <si>
    <t>The Tall Stranger</t>
  </si>
  <si>
    <t>A Man Alone</t>
  </si>
  <si>
    <t>Baby Steps</t>
  </si>
  <si>
    <t>Awoken</t>
  </si>
  <si>
    <t>General Commander</t>
  </si>
  <si>
    <t>The Warrior Queen of Jhansi</t>
  </si>
  <si>
    <t>Phat Girlz</t>
  </si>
  <si>
    <t>Autonomy</t>
  </si>
  <si>
    <t>The Quiet One</t>
  </si>
  <si>
    <t>The Box</t>
  </si>
  <si>
    <t>Modern Persuasion</t>
  </si>
  <si>
    <t>Chef Flynn</t>
  </si>
  <si>
    <t>Ip Man: Kung Fu Master</t>
  </si>
  <si>
    <t>Unbanned: The Legend of AJ1</t>
  </si>
  <si>
    <t>Hail Columbia!</t>
  </si>
  <si>
    <t>2099: The Soldier Protocol</t>
  </si>
  <si>
    <t>Cunningham</t>
  </si>
  <si>
    <t>My Valentine</t>
  </si>
  <si>
    <t>Wetlands</t>
  </si>
  <si>
    <t>The Place of No Words</t>
  </si>
  <si>
    <t>Bayala: A Magical Adventure</t>
  </si>
  <si>
    <t>In the Radiant City</t>
  </si>
  <si>
    <t>More Barney songs</t>
  </si>
  <si>
    <t>The Cage Fighter</t>
  </si>
  <si>
    <t>The Blood Is at the Doorstep</t>
  </si>
  <si>
    <t>Sharp Edges</t>
  </si>
  <si>
    <t>Changing the Game</t>
  </si>
  <si>
    <t>Avenues</t>
  </si>
  <si>
    <t>Who Let the Dogs Out</t>
  </si>
  <si>
    <t>Get Squirrely</t>
  </si>
  <si>
    <t>Bratz: Babyz - The Movie</t>
  </si>
  <si>
    <t>1 Night In San Diego</t>
  </si>
  <si>
    <t>North Korea: Inside The Mind of a Dictator</t>
  </si>
  <si>
    <t>The Swing of Things</t>
  </si>
  <si>
    <t>The Story of Soaps</t>
  </si>
  <si>
    <t>A Haunting on Potter Street: The Potter Street Station</t>
  </si>
  <si>
    <t>Dr. Seuss' The Grinch Musical</t>
  </si>
  <si>
    <t>The Archer</t>
  </si>
  <si>
    <t>Midnight Kiss</t>
  </si>
  <si>
    <t>Savage Youth</t>
  </si>
  <si>
    <t>How to Fake a War</t>
  </si>
  <si>
    <t>Safer at Home</t>
  </si>
  <si>
    <t>Breakup at a Wedding</t>
  </si>
  <si>
    <t>Daffodils</t>
  </si>
  <si>
    <t>Meet Me in Montenegro</t>
  </si>
  <si>
    <t>Danger Close</t>
  </si>
  <si>
    <t>Soul on Ice: Past, Present and Future</t>
  </si>
  <si>
    <t>The Dark Side of The Sun</t>
  </si>
  <si>
    <t>My Little Pony: A Very Minty Christmas</t>
  </si>
  <si>
    <t>D.L. Hughley: Reset</t>
  </si>
  <si>
    <t>Braking for Whales</t>
  </si>
  <si>
    <t>Endless</t>
  </si>
  <si>
    <t>12 Pups of Christmas</t>
  </si>
  <si>
    <t>The Landing</t>
  </si>
  <si>
    <t>Here Awhile</t>
  </si>
  <si>
    <t>Paws P.I.</t>
  </si>
  <si>
    <t>Fafner in the Azure: Dead Aggressor - Heaven and Earth</t>
  </si>
  <si>
    <t>Vic the Viking and the Magic Sword</t>
  </si>
  <si>
    <t>Boonie Bears: The Big Shrink</t>
  </si>
  <si>
    <t>Own The Sky</t>
  </si>
  <si>
    <t>Destiny in Space</t>
  </si>
  <si>
    <t>Next Level</t>
  </si>
  <si>
    <t>My Little Pony: Twinkle Wish Adventure</t>
  </si>
  <si>
    <t>5 Years Apart</t>
  </si>
  <si>
    <t>Cannabis Evolution</t>
  </si>
  <si>
    <t>Christmas Crush</t>
  </si>
  <si>
    <t>Sister Aimee</t>
  </si>
  <si>
    <t>Deep in Vogue</t>
  </si>
  <si>
    <t>Amy Winehouse - A Last Goodbye</t>
  </si>
  <si>
    <t>Naughty Books</t>
  </si>
  <si>
    <t>Bernie the Dolphin 2</t>
  </si>
  <si>
    <t>9/11: 15 years later</t>
  </si>
  <si>
    <t>GameStopped</t>
  </si>
  <si>
    <t>The Man Who Used to Be Me</t>
  </si>
  <si>
    <t>Women &amp; Sometimes Men</t>
  </si>
  <si>
    <t>Hard Romanticker</t>
  </si>
  <si>
    <t>Hunt for the Skinwalker</t>
  </si>
  <si>
    <t>The Secret of Life on Earth</t>
  </si>
  <si>
    <t>Curious George: Royal Monkey</t>
  </si>
  <si>
    <t>Catching Faith</t>
  </si>
  <si>
    <t>Thomas &amp; Friends: Songs from the Station</t>
  </si>
  <si>
    <t>Drag Kids</t>
  </si>
  <si>
    <t>I Am Alone</t>
  </si>
  <si>
    <t>After Parkland</t>
  </si>
  <si>
    <t>Boomtown</t>
  </si>
  <si>
    <t>Carrion</t>
  </si>
  <si>
    <t>Robo-Dog</t>
  </si>
  <si>
    <t>Playin' for Love</t>
  </si>
  <si>
    <t>Where We Go from Here</t>
  </si>
  <si>
    <t>This One's for the Ladies</t>
  </si>
  <si>
    <t>Zoo-Head</t>
  </si>
  <si>
    <t>A Christmas Hero</t>
  </si>
  <si>
    <t>The Assault</t>
  </si>
  <si>
    <t>Constructing Albert</t>
  </si>
  <si>
    <t>Life Without Basketball</t>
  </si>
  <si>
    <t>Miss Snake Charmer</t>
  </si>
  <si>
    <t>Horses: The Story of Equus</t>
  </si>
  <si>
    <t>Treehouse</t>
  </si>
  <si>
    <t>24 Hour Love</t>
  </si>
  <si>
    <t>New Year, New You</t>
  </si>
  <si>
    <t>Gary Owen: I Agree With Myself</t>
  </si>
  <si>
    <t>Barney's Night Before Christmas</t>
  </si>
  <si>
    <t>The Clintons: An American Odyssey</t>
  </si>
  <si>
    <t>Oddbods: Party Monsters</t>
  </si>
  <si>
    <t>Man-Eating Python</t>
  </si>
  <si>
    <t>Michael Smerconish: Things I Wish I Knew Before I Started Talking</t>
  </si>
  <si>
    <t>Alien Contact</t>
  </si>
  <si>
    <t>Legend of Heroes: Trails in the Sky</t>
  </si>
  <si>
    <t>The Confessions</t>
  </si>
  <si>
    <t>Comrades &amp; Cash: How Money Found Its Way Through the Iron Curtain</t>
  </si>
  <si>
    <t>Fight Club</t>
  </si>
  <si>
    <t>Tumbbad</t>
  </si>
  <si>
    <t>Gully Boy</t>
  </si>
  <si>
    <t>Chak De! India</t>
  </si>
  <si>
    <t>Honey Boy</t>
  </si>
  <si>
    <t>The Report</t>
  </si>
  <si>
    <t>Alien</t>
  </si>
  <si>
    <t>Borat Subsequent Moviefilm</t>
  </si>
  <si>
    <t>Raazi</t>
  </si>
  <si>
    <t>Snatch</t>
  </si>
  <si>
    <t>Beautiful Boy</t>
  </si>
  <si>
    <t>One Night in Miami...</t>
  </si>
  <si>
    <t>Mahanati</t>
  </si>
  <si>
    <t>Knives Out</t>
  </si>
  <si>
    <t>Rear Window</t>
  </si>
  <si>
    <t>Brittany Runs a Marathon</t>
  </si>
  <si>
    <t>Invisible Life</t>
  </si>
  <si>
    <t>Vertigo</t>
  </si>
  <si>
    <t>One Child Nation</t>
  </si>
  <si>
    <t>It's a Wonderful Life</t>
  </si>
  <si>
    <t>Late Night</t>
  </si>
  <si>
    <t>E.T. the Extra-Terrestrial</t>
  </si>
  <si>
    <t>Sultan</t>
  </si>
  <si>
    <t>Midnight in Paris</t>
  </si>
  <si>
    <t>The Boondock Saints</t>
  </si>
  <si>
    <t>Gaslight</t>
  </si>
  <si>
    <t>I, Robot</t>
  </si>
  <si>
    <t>Blow the Man Down</t>
  </si>
  <si>
    <t>Thappad</t>
  </si>
  <si>
    <t>Unbreakable</t>
  </si>
  <si>
    <t>Titli</t>
  </si>
  <si>
    <t>The Handmaiden</t>
  </si>
  <si>
    <t>Dodsworth</t>
  </si>
  <si>
    <t>The Wrestler</t>
  </si>
  <si>
    <t>The Tomorrow War</t>
  </si>
  <si>
    <t>Manchester by the Sea</t>
  </si>
  <si>
    <t>Sunset Boulevard</t>
  </si>
  <si>
    <t>Hotel Rwanda</t>
  </si>
  <si>
    <t>Fan</t>
  </si>
  <si>
    <t>Scent of a Woman</t>
  </si>
  <si>
    <t>Burn Notice: The Fall of Sam Axe</t>
  </si>
  <si>
    <t>Midsommar</t>
  </si>
  <si>
    <t>Sound of Metal</t>
  </si>
  <si>
    <t>The Lighthouse</t>
  </si>
  <si>
    <t>The Elephant Man</t>
  </si>
  <si>
    <t>Tropic Thunder</t>
  </si>
  <si>
    <t>Philadelphia</t>
  </si>
  <si>
    <t>Adaptation.</t>
  </si>
  <si>
    <t>A.I. Artificial Intelligence</t>
  </si>
  <si>
    <t>Rab Ne Bana Di Jodi</t>
  </si>
  <si>
    <t>Dum Laga Ke Haisha</t>
  </si>
  <si>
    <t>The Big Sick</t>
  </si>
  <si>
    <t>Rocket Singh: Salesman of the Year</t>
  </si>
  <si>
    <t>On the Waterfront</t>
  </si>
  <si>
    <t>The Abyss</t>
  </si>
  <si>
    <t>Ran</t>
  </si>
  <si>
    <t>Awakenings</t>
  </si>
  <si>
    <t>Burn After Reading</t>
  </si>
  <si>
    <t>Sylvie's Love</t>
  </si>
  <si>
    <t>Perfume: The Story of a Murderer</t>
  </si>
  <si>
    <t>Hellboy</t>
  </si>
  <si>
    <t>Master and Commander: The Far Side of the World</t>
  </si>
  <si>
    <t>The Descent</t>
  </si>
  <si>
    <t>The Ghazi Attack</t>
  </si>
  <si>
    <t>Patton</t>
  </si>
  <si>
    <t>Love, Rosie</t>
  </si>
  <si>
    <t>Jean-Michel Basquiat: The Radiant Child</t>
  </si>
  <si>
    <t>The Last King of Scotland</t>
  </si>
  <si>
    <t>Roman Holiday</t>
  </si>
  <si>
    <t>Only Lovers Left Alive</t>
  </si>
  <si>
    <t>Resident Evil</t>
  </si>
  <si>
    <t>The French Connection</t>
  </si>
  <si>
    <t>The Boys of St. Vincent</t>
  </si>
  <si>
    <t>Inside Llewyn Davis</t>
  </si>
  <si>
    <t>WarGames</t>
  </si>
  <si>
    <t>My Spy</t>
  </si>
  <si>
    <t>DodgeBall: A True Underdog Story</t>
  </si>
  <si>
    <t>An American Werewolf in London</t>
  </si>
  <si>
    <t>Dilwale Dulhania Le Jayenge</t>
  </si>
  <si>
    <t>Clue</t>
  </si>
  <si>
    <t>Dear Zachary: A Letter to a Son About His Father</t>
  </si>
  <si>
    <t>Incident at Oglala</t>
  </si>
  <si>
    <t>Crimson Tide</t>
  </si>
  <si>
    <t>Highlander</t>
  </si>
  <si>
    <t>Chicken Run</t>
  </si>
  <si>
    <t>The Farewell</t>
  </si>
  <si>
    <t>Tomorrow, When the War Began</t>
  </si>
  <si>
    <t>Trilogy of Terror</t>
  </si>
  <si>
    <t>Charade</t>
  </si>
  <si>
    <t>The Fisher King</t>
  </si>
  <si>
    <t>High Noon</t>
  </si>
  <si>
    <t>Phone Booth</t>
  </si>
  <si>
    <t>King Lear</t>
  </si>
  <si>
    <t>Hard Candy</t>
  </si>
  <si>
    <t>The Wicker Man</t>
  </si>
  <si>
    <t>102 Not Out</t>
  </si>
  <si>
    <t>Trumbo</t>
  </si>
  <si>
    <t>The African Queen</t>
  </si>
  <si>
    <t>Good Newwz</t>
  </si>
  <si>
    <t>Climax</t>
  </si>
  <si>
    <t>Chasing Happiness</t>
  </si>
  <si>
    <t>The Mask of Zorro</t>
  </si>
  <si>
    <t>Delicatessen</t>
  </si>
  <si>
    <t>Mallrats</t>
  </si>
  <si>
    <t>An Education</t>
  </si>
  <si>
    <t>Open Your Eyes</t>
  </si>
  <si>
    <t>You Were Never Really Here</t>
  </si>
  <si>
    <t>Eagle Eye</t>
  </si>
  <si>
    <t>His Girl Friday</t>
  </si>
  <si>
    <t>Timecrimes</t>
  </si>
  <si>
    <t>Rudy</t>
  </si>
  <si>
    <t>To Catch a Thief</t>
  </si>
  <si>
    <t>Alien Resurrection</t>
  </si>
  <si>
    <t>Pantani: The Accidental Death of a Cyclist</t>
  </si>
  <si>
    <t>The Lost City of Z</t>
  </si>
  <si>
    <t>Photograph</t>
  </si>
  <si>
    <t>All In: The Fight for Democracy</t>
  </si>
  <si>
    <t>Jungle</t>
  </si>
  <si>
    <t>Our Friend</t>
  </si>
  <si>
    <t>Pride</t>
  </si>
  <si>
    <t>Guns Akimbo</t>
  </si>
  <si>
    <t>Hellraiser</t>
  </si>
  <si>
    <t>The Little Prince</t>
  </si>
  <si>
    <t>Seeking a Friend for the End of the World</t>
  </si>
  <si>
    <t>Los Olvidados</t>
  </si>
  <si>
    <t>Paterson</t>
  </si>
  <si>
    <t>Time</t>
  </si>
  <si>
    <t>Invasion of the Body Snatchers</t>
  </si>
  <si>
    <t>Frailty</t>
  </si>
  <si>
    <t>Julie &amp; Julia</t>
  </si>
  <si>
    <t>Guess Who's Coming to Dinner</t>
  </si>
  <si>
    <t>Troll Hunter</t>
  </si>
  <si>
    <t>Grizzly Man</t>
  </si>
  <si>
    <t>The 39 Steps</t>
  </si>
  <si>
    <t>The Gravedancers</t>
  </si>
  <si>
    <t>Suspiria</t>
  </si>
  <si>
    <t>Top Secret!</t>
  </si>
  <si>
    <t>Get Duked!</t>
  </si>
  <si>
    <t>Mr. Church</t>
  </si>
  <si>
    <t>A Dark Place</t>
  </si>
  <si>
    <t>Rambo: Last Blood</t>
  </si>
  <si>
    <t>Salaam Namaste</t>
  </si>
  <si>
    <t>Empire of Dreams: The Story of the Star Wars Trilogy</t>
  </si>
  <si>
    <t>What If</t>
  </si>
  <si>
    <t>Stop Making Sense</t>
  </si>
  <si>
    <t>Ace in the Hole</t>
  </si>
  <si>
    <t>Battleship Potemkin</t>
  </si>
  <si>
    <t>The Salesman</t>
  </si>
  <si>
    <t>Monsters</t>
  </si>
  <si>
    <t>Tumhari Sulu</t>
  </si>
  <si>
    <t>Super Size Me</t>
  </si>
  <si>
    <t>Cold War</t>
  </si>
  <si>
    <t>K.G.F: Chapter 1</t>
  </si>
  <si>
    <t>Biutiful</t>
  </si>
  <si>
    <t>Unhinged</t>
  </si>
  <si>
    <t>Sonu Ke Titu Ki Sweety</t>
  </si>
  <si>
    <t>My Favorite Season</t>
  </si>
  <si>
    <t>Ali</t>
  </si>
  <si>
    <t>Honest Thief</t>
  </si>
  <si>
    <t>Pinocchio</t>
  </si>
  <si>
    <t>The Vast of Night</t>
  </si>
  <si>
    <t>Green Lantern</t>
  </si>
  <si>
    <t>Kingpin</t>
  </si>
  <si>
    <t>The Italian Job</t>
  </si>
  <si>
    <t>Tiger Zinda Hai</t>
  </si>
  <si>
    <t>Shane</t>
  </si>
  <si>
    <t>The Discreet Charm of the Bourgeoisie</t>
  </si>
  <si>
    <t>The Last Castle</t>
  </si>
  <si>
    <t>In a Lonely Place</t>
  </si>
  <si>
    <t>Colombiana</t>
  </si>
  <si>
    <t>Marie Antoinette</t>
  </si>
  <si>
    <t>Burlesque</t>
  </si>
  <si>
    <t>Hard Eight</t>
  </si>
  <si>
    <t>Badrinath Ki Dulhania</t>
  </si>
  <si>
    <t>Nick and Norah's Infinite Playlist</t>
  </si>
  <si>
    <t>A Taxi Driver</t>
  </si>
  <si>
    <t>Star Trek: Nemesis</t>
  </si>
  <si>
    <t>The Dressmaker</t>
  </si>
  <si>
    <t>Reign of Fire</t>
  </si>
  <si>
    <t>Rent</t>
  </si>
  <si>
    <t>The Quiet Man</t>
  </si>
  <si>
    <t>Vantage Point</t>
  </si>
  <si>
    <t>Peeping Tom</t>
  </si>
  <si>
    <t>The Aeronauts</t>
  </si>
  <si>
    <t>New York</t>
  </si>
  <si>
    <t>Lords of Dogtown</t>
  </si>
  <si>
    <t>Boys</t>
  </si>
  <si>
    <t>The Flaw</t>
  </si>
  <si>
    <t>Why Did I Get Married?</t>
  </si>
  <si>
    <t>Testament of Youth</t>
  </si>
  <si>
    <t>The Taking of Pelham One Two Three</t>
  </si>
  <si>
    <t>House of Sand and Fog</t>
  </si>
  <si>
    <t>Rangasthalam</t>
  </si>
  <si>
    <t>Vivarium</t>
  </si>
  <si>
    <t>Goon</t>
  </si>
  <si>
    <t>The Devil's Double</t>
  </si>
  <si>
    <t>The Odd Couple</t>
  </si>
  <si>
    <t>The Men Who Stare at Goats</t>
  </si>
  <si>
    <t>The Informer</t>
  </si>
  <si>
    <t>Hector and the Search for Happiness</t>
  </si>
  <si>
    <t>The Collector</t>
  </si>
  <si>
    <t>See No Evil, Hear No Evil</t>
  </si>
  <si>
    <t>The Party</t>
  </si>
  <si>
    <t>The Towering Inferno</t>
  </si>
  <si>
    <t>The Grudge</t>
  </si>
  <si>
    <t>Beowulf</t>
  </si>
  <si>
    <t>Of Mice and Men</t>
  </si>
  <si>
    <t>A Place in the Sun</t>
  </si>
  <si>
    <t>True Grit</t>
  </si>
  <si>
    <t>Unsane</t>
  </si>
  <si>
    <t>Lucky</t>
  </si>
  <si>
    <t>Tickled</t>
  </si>
  <si>
    <t>The Last Unicorn</t>
  </si>
  <si>
    <t>The Neon Demon</t>
  </si>
  <si>
    <t>The Last Black Man in San Francisco</t>
  </si>
  <si>
    <t>The Ghost and the Darkness</t>
  </si>
  <si>
    <t>Two Night Stand</t>
  </si>
  <si>
    <t>Coming 2 America</t>
  </si>
  <si>
    <t>Searching for Bobby Fischer</t>
  </si>
  <si>
    <t>Becoming Cary Grant</t>
  </si>
  <si>
    <t>Hummingbird</t>
  </si>
  <si>
    <t>Little Big Man</t>
  </si>
  <si>
    <t>The Lady from Shanghai</t>
  </si>
  <si>
    <t>Fist of Fury</t>
  </si>
  <si>
    <t>Fanboys</t>
  </si>
  <si>
    <t>The Monster Squad</t>
  </si>
  <si>
    <t>Uncle Tom</t>
  </si>
  <si>
    <t>Candy</t>
  </si>
  <si>
    <t>Europa Report</t>
  </si>
  <si>
    <t>My Man Godfrey</t>
  </si>
  <si>
    <t>Romeo and Juliet</t>
  </si>
  <si>
    <t>Irrational Man</t>
  </si>
  <si>
    <t>Before I Go to Sleep</t>
  </si>
  <si>
    <t>Miss Pettigrew Lives for a Day</t>
  </si>
  <si>
    <t>The Uninvited</t>
  </si>
  <si>
    <t>The Ladykillers</t>
  </si>
  <si>
    <t>The Map of Tiny Perfect Things</t>
  </si>
  <si>
    <t>House of 1000 Corpses</t>
  </si>
  <si>
    <t>30 Minutes or Less</t>
  </si>
  <si>
    <t>Lara Croft: Tomb Raider - The Cradle of Life</t>
  </si>
  <si>
    <t>Ek Tha Tiger</t>
  </si>
  <si>
    <t>StreetDance 3D</t>
  </si>
  <si>
    <t>Phantasm</t>
  </si>
  <si>
    <t>CafÃ© Society</t>
  </si>
  <si>
    <t>The Green Hornet</t>
  </si>
  <si>
    <t>Small Soldiers</t>
  </si>
  <si>
    <t>Danger Close: The Battle of Long Tan</t>
  </si>
  <si>
    <t>Bringing Out the Dead</t>
  </si>
  <si>
    <t>Chisholm '72: Unbought &amp; Unbossed</t>
  </si>
  <si>
    <t>Unlocked</t>
  </si>
  <si>
    <t>Funny Girl</t>
  </si>
  <si>
    <t>Pawn Sacrifice</t>
  </si>
  <si>
    <t>Newton</t>
  </si>
  <si>
    <t>Rewind</t>
  </si>
  <si>
    <t>Dhoom</t>
  </si>
  <si>
    <t>The Three Burials of Melquiades Estrada</t>
  </si>
  <si>
    <t>Open Season</t>
  </si>
  <si>
    <t>The Limey</t>
  </si>
  <si>
    <t>Uncle Frank</t>
  </si>
  <si>
    <t>Come and Get It</t>
  </si>
  <si>
    <t>The Miseducation of Cameron Post</t>
  </si>
  <si>
    <t>Bad Lieutenant</t>
  </si>
  <si>
    <t>The Loved Ones</t>
  </si>
  <si>
    <t>City Island</t>
  </si>
  <si>
    <t>Tom Clancy's Without Remorse</t>
  </si>
  <si>
    <t>A Rainy Day in New York</t>
  </si>
  <si>
    <t>Veer-Zaara</t>
  </si>
  <si>
    <t>A Brilliant Young Mind</t>
  </si>
  <si>
    <t>The Family Stone</t>
  </si>
  <si>
    <t>Funny Face</t>
  </si>
  <si>
    <t>My Name Is Nobody</t>
  </si>
  <si>
    <t>John Dies at the End</t>
  </si>
  <si>
    <t>Ã†on Flux</t>
  </si>
  <si>
    <t>To Rome with Love</t>
  </si>
  <si>
    <t>Iron Sky</t>
  </si>
  <si>
    <t>Sky Captain and the World of Tomorrow</t>
  </si>
  <si>
    <t>Life in a Year</t>
  </si>
  <si>
    <t>The Spanish Prisoner</t>
  </si>
  <si>
    <t>Centurion</t>
  </si>
  <si>
    <t>Theeran Adhigaaram Ondru</t>
  </si>
  <si>
    <t>Sarbjit</t>
  </si>
  <si>
    <t>Courageous</t>
  </si>
  <si>
    <t>SÃ³lo con tu pareja</t>
  </si>
  <si>
    <t>The 36th Chamber of Shaolin</t>
  </si>
  <si>
    <t>Narc</t>
  </si>
  <si>
    <t>The Lady in the Van</t>
  </si>
  <si>
    <t>Author: The JT LeRoy Story</t>
  </si>
  <si>
    <t>Life Itself</t>
  </si>
  <si>
    <t>An Inspector Calls</t>
  </si>
  <si>
    <t>The Shootist</t>
  </si>
  <si>
    <t>The House Bunny</t>
  </si>
  <si>
    <t>Archive</t>
  </si>
  <si>
    <t>Frozen River</t>
  </si>
  <si>
    <t>The Whistleblower</t>
  </si>
  <si>
    <t>The Accused</t>
  </si>
  <si>
    <t>How to Steal a Dog</t>
  </si>
  <si>
    <t>In Order of Disappearance</t>
  </si>
  <si>
    <t>Aparajito</t>
  </si>
  <si>
    <t>Pulse</t>
  </si>
  <si>
    <t>HyperNormalisation</t>
  </si>
  <si>
    <t>Scoop</t>
  </si>
  <si>
    <t>Dorian Gray</t>
  </si>
  <si>
    <t>Don't Worry, He Won't Get Far on Foot</t>
  </si>
  <si>
    <t>Welcome to the Sticks</t>
  </si>
  <si>
    <t>The Hunter</t>
  </si>
  <si>
    <t>SlingShot</t>
  </si>
  <si>
    <t>High Life</t>
  </si>
  <si>
    <t>Aruvi</t>
  </si>
  <si>
    <t>Priest</t>
  </si>
  <si>
    <t>Shakuntala Devi</t>
  </si>
  <si>
    <t>Pumping Iron</t>
  </si>
  <si>
    <t>Splinter</t>
  </si>
  <si>
    <t>Fathers and Daughters</t>
  </si>
  <si>
    <t>Alan Partridge: Alpha Papa</t>
  </si>
  <si>
    <t>Penguin Highway</t>
  </si>
  <si>
    <t>Spun</t>
  </si>
  <si>
    <t>Pataakha</t>
  </si>
  <si>
    <t>Porky's</t>
  </si>
  <si>
    <t>The Ultimate Gift</t>
  </si>
  <si>
    <t>The Mexican</t>
  </si>
  <si>
    <t>The Ruins</t>
  </si>
  <si>
    <t>George Carlin: It's Bad for Ya!</t>
  </si>
  <si>
    <t>And Then There Were None</t>
  </si>
  <si>
    <t>Angela's Ashes</t>
  </si>
  <si>
    <t>Lisa and the Devil</t>
  </si>
  <si>
    <t>Premonition</t>
  </si>
  <si>
    <t>Stories We Tell</t>
  </si>
  <si>
    <t>Bad Samaritan</t>
  </si>
  <si>
    <t>Carriers</t>
  </si>
  <si>
    <t>Jeff, Who Lives at Home</t>
  </si>
  <si>
    <t>22 Bullets</t>
  </si>
  <si>
    <t>House on Haunted Hill</t>
  </si>
  <si>
    <t>Jolt</t>
  </si>
  <si>
    <t>Wiener-Dog</t>
  </si>
  <si>
    <t>Mohabbatein</t>
  </si>
  <si>
    <t>Riding in Cars with Boys</t>
  </si>
  <si>
    <t>Lake Mungo</t>
  </si>
  <si>
    <t>Arbitrage</t>
  </si>
  <si>
    <t>Anbe Sivam</t>
  </si>
  <si>
    <t>Last Flag Flying</t>
  </si>
  <si>
    <t>Louisiana Story</t>
  </si>
  <si>
    <t>Macbeth</t>
  </si>
  <si>
    <t>The Goldfinch</t>
  </si>
  <si>
    <t>The Man Who Fell to Earth</t>
  </si>
  <si>
    <t>The Phantom of the Opera</t>
  </si>
  <si>
    <t>The Bishop's Wife</t>
  </si>
  <si>
    <t>Absolutely Anything</t>
  </si>
  <si>
    <t>The Parallax View</t>
  </si>
  <si>
    <t>Wuthering Heights</t>
  </si>
  <si>
    <t>Explorers</t>
  </si>
  <si>
    <t>The Taking of Deborah Logan</t>
  </si>
  <si>
    <t>Two for the Money</t>
  </si>
  <si>
    <t>The Silencing</t>
  </si>
  <si>
    <t>Mystic India</t>
  </si>
  <si>
    <t>Why We Fight</t>
  </si>
  <si>
    <t>Johnny Guitar</t>
  </si>
  <si>
    <t>Shuddh Desi Romance</t>
  </si>
  <si>
    <t>Fahrenheit 11/9</t>
  </si>
  <si>
    <t>Deuce Bigalow: Male Gigolo</t>
  </si>
  <si>
    <t>Birdy</t>
  </si>
  <si>
    <t>How I Live Now</t>
  </si>
  <si>
    <t>Elmer Gantry</t>
  </si>
  <si>
    <t>Absence of Malice</t>
  </si>
  <si>
    <t>Lake Tahoe</t>
  </si>
  <si>
    <t>Detour</t>
  </si>
  <si>
    <t>The Court Jester</t>
  </si>
  <si>
    <t>White Lies</t>
  </si>
  <si>
    <t>Rudderless</t>
  </si>
  <si>
    <t>Out in the Dark</t>
  </si>
  <si>
    <t>School Ties</t>
  </si>
  <si>
    <t>To End All Wars</t>
  </si>
  <si>
    <t>Repo! The Genetic Opera</t>
  </si>
  <si>
    <t>You're Not You</t>
  </si>
  <si>
    <t>After Porn Ends 2</t>
  </si>
  <si>
    <t>Words on Bathroom Walls</t>
  </si>
  <si>
    <t>Guys and Dolls</t>
  </si>
  <si>
    <t>Grease Live</t>
  </si>
  <si>
    <t>The Little Foxes</t>
  </si>
  <si>
    <t>Brigham City</t>
  </si>
  <si>
    <t>Happythankyoumoreplease</t>
  </si>
  <si>
    <t>JCVD</t>
  </si>
  <si>
    <t>How High</t>
  </si>
  <si>
    <t>Bill Frisell: A Portrait</t>
  </si>
  <si>
    <t>Bad Boys</t>
  </si>
  <si>
    <t>Aaja Nachle</t>
  </si>
  <si>
    <t>The Souvenir</t>
  </si>
  <si>
    <t>The Two Faces of Dr. Jekyll</t>
  </si>
  <si>
    <t>Anna</t>
  </si>
  <si>
    <t>Take This Waltz</t>
  </si>
  <si>
    <t>Things We Lost in the Fire</t>
  </si>
  <si>
    <t>The Warlords</t>
  </si>
  <si>
    <t>The Blackout</t>
  </si>
  <si>
    <t>Jesse Stone: Stone Cold</t>
  </si>
  <si>
    <t>The Joneses</t>
  </si>
  <si>
    <t>Light of My Life</t>
  </si>
  <si>
    <t>The Little Girl Who Lives Down the Lane</t>
  </si>
  <si>
    <t>Dragonslayer</t>
  </si>
  <si>
    <t>Barbarella</t>
  </si>
  <si>
    <t>Fanaa</t>
  </si>
  <si>
    <t>Ondine</t>
  </si>
  <si>
    <t>Hum Tum</t>
  </si>
  <si>
    <t>The Pride of the Yankees</t>
  </si>
  <si>
    <t>Love &amp; Friendship</t>
  </si>
  <si>
    <t>Ramona and Beezus</t>
  </si>
  <si>
    <t>Maquia: When the Promised Flower Blooms</t>
  </si>
  <si>
    <t>Monsieur Lazhar</t>
  </si>
  <si>
    <t>Hell House LLC</t>
  </si>
  <si>
    <t>Nightjohn</t>
  </si>
  <si>
    <t>Arjun Reddy</t>
  </si>
  <si>
    <t>Pass Over</t>
  </si>
  <si>
    <t>Another 48 Hrs.</t>
  </si>
  <si>
    <t>6 Days</t>
  </si>
  <si>
    <t>Valley Uprising</t>
  </si>
  <si>
    <t>Barefoot in the Park</t>
  </si>
  <si>
    <t>Seberg</t>
  </si>
  <si>
    <t>George Carlin: You Are All Diseased</t>
  </si>
  <si>
    <t>Hindi Medium</t>
  </si>
  <si>
    <t>Wonder Wheel</t>
  </si>
  <si>
    <t>This Beautiful Fantastic</t>
  </si>
  <si>
    <t>Night Hunter</t>
  </si>
  <si>
    <t>The Endless Summer</t>
  </si>
  <si>
    <t>Gringo</t>
  </si>
  <si>
    <t>Jay and Silent Bob Reboot</t>
  </si>
  <si>
    <t>Evil Eye</t>
  </si>
  <si>
    <t>Kabali</t>
  </si>
  <si>
    <t>Brad's Status</t>
  </si>
  <si>
    <t>Radioactive</t>
  </si>
  <si>
    <t>I'm Your Woman</t>
  </si>
  <si>
    <t>Beyond the Black Rainbow</t>
  </si>
  <si>
    <t>Starbuck</t>
  </si>
  <si>
    <t>T-34</t>
  </si>
  <si>
    <t>Reservation Road</t>
  </si>
  <si>
    <t>Beast</t>
  </si>
  <si>
    <t>Dil To Pagal Hai</t>
  </si>
  <si>
    <t>Virus</t>
  </si>
  <si>
    <t>The Most Dangerous Game</t>
  </si>
  <si>
    <t>Who Killed the Electric Car?</t>
  </si>
  <si>
    <t>Come to Daddy</t>
  </si>
  <si>
    <t>Ta Ra Rum Pum</t>
  </si>
  <si>
    <t>Children of a Lesser God</t>
  </si>
  <si>
    <t>That Sugar Film</t>
  </si>
  <si>
    <t>The Woman</t>
  </si>
  <si>
    <t>The Babysitters</t>
  </si>
  <si>
    <t>The Program</t>
  </si>
  <si>
    <t>A Mighty Heart</t>
  </si>
  <si>
    <t>The Night Eats the World</t>
  </si>
  <si>
    <t>The Tall Man</t>
  </si>
  <si>
    <t>Padmaavat</t>
  </si>
  <si>
    <t>OtherLife</t>
  </si>
  <si>
    <t>The Final Cut</t>
  </si>
  <si>
    <t>Nick of Time</t>
  </si>
  <si>
    <t>Rio Grande</t>
  </si>
  <si>
    <t>Big Bad Wolves</t>
  </si>
  <si>
    <t>I Spy</t>
  </si>
  <si>
    <t>Hard Rain</t>
  </si>
  <si>
    <t>Agent Sai Srinivasa Athreya</t>
  </si>
  <si>
    <t>Dead &amp; Buried</t>
  </si>
  <si>
    <t>The King's Choice</t>
  </si>
  <si>
    <t>We Are Still Here</t>
  </si>
  <si>
    <t>The Brass Teapot</t>
  </si>
  <si>
    <t>Bottle Shock</t>
  </si>
  <si>
    <t>Troop Zero</t>
  </si>
  <si>
    <t>Money Train</t>
  </si>
  <si>
    <t>Trees Lounge</t>
  </si>
  <si>
    <t>Guava Island</t>
  </si>
  <si>
    <t>Better Luck Tomorrow</t>
  </si>
  <si>
    <t>1492: Conquest of Paradise</t>
  </si>
  <si>
    <t>Teeth</t>
  </si>
  <si>
    <t>White Bird in a Blizzard</t>
  </si>
  <si>
    <t>The Barkley Marathons: The Race That Eats Its Young</t>
  </si>
  <si>
    <t>The Secret: Dare to Dream</t>
  </si>
  <si>
    <t>My Bloody Valentine</t>
  </si>
  <si>
    <t>Chemical Hearts</t>
  </si>
  <si>
    <t>Creepshow 2</t>
  </si>
  <si>
    <t>George Carlin: Life Is Worth Losing</t>
  </si>
  <si>
    <t>24 Hours to Live</t>
  </si>
  <si>
    <t>Meet John Doe</t>
  </si>
  <si>
    <t>Piranha</t>
  </si>
  <si>
    <t>The Kentucky Fried Movie</t>
  </si>
  <si>
    <t>Hobo with a Shotgun</t>
  </si>
  <si>
    <t>Cul-de-sac</t>
  </si>
  <si>
    <t>Hondo</t>
  </si>
  <si>
    <t>Wolf Creek 2</t>
  </si>
  <si>
    <t>Regression</t>
  </si>
  <si>
    <t>The Dark Valley</t>
  </si>
  <si>
    <t>The Little Shop of Horrors</t>
  </si>
  <si>
    <t>Detective Byomkesh Bakshy!</t>
  </si>
  <si>
    <t>Sands of Iwo Jima</t>
  </si>
  <si>
    <t>Space Pirate Captain Harlock</t>
  </si>
  <si>
    <t>Warlock</t>
  </si>
  <si>
    <t>9th Company</t>
  </si>
  <si>
    <t>10 Rillington Place</t>
  </si>
  <si>
    <t>Extracted</t>
  </si>
  <si>
    <t>The Grand Seduction</t>
  </si>
  <si>
    <t>The Double</t>
  </si>
  <si>
    <t>Marauders</t>
  </si>
  <si>
    <t>After the Dark</t>
  </si>
  <si>
    <t>Carnal Knowledge</t>
  </si>
  <si>
    <t>Same Kind of Different as Me</t>
  </si>
  <si>
    <t>I Give It a Year</t>
  </si>
  <si>
    <t>Last Shift</t>
  </si>
  <si>
    <t>Look Away</t>
  </si>
  <si>
    <t>The Transporter Refueled</t>
  </si>
  <si>
    <t>Blue Thunder</t>
  </si>
  <si>
    <t>The Attorney</t>
  </si>
  <si>
    <t>The Beastmaster</t>
  </si>
  <si>
    <t>Mortal</t>
  </si>
  <si>
    <t>Spread</t>
  </si>
  <si>
    <t>The Nutty Professor</t>
  </si>
  <si>
    <t>Kesari</t>
  </si>
  <si>
    <t>Tom Petty and the Heartbreakers: Runnin' Down a Dream</t>
  </si>
  <si>
    <t>Desert Bloom</t>
  </si>
  <si>
    <t>The Secret of Roan Inish</t>
  </si>
  <si>
    <t>Convoy</t>
  </si>
  <si>
    <t>One Step Behind the Seraphim</t>
  </si>
  <si>
    <t>Ladies vs Ricky Bahl</t>
  </si>
  <si>
    <t>100 Girls</t>
  </si>
  <si>
    <t>Karwaan</t>
  </si>
  <si>
    <t>Blind Fury</t>
  </si>
  <si>
    <t>Fat City</t>
  </si>
  <si>
    <t>Arkansas</t>
  </si>
  <si>
    <t>The Man with the Golden Arm</t>
  </si>
  <si>
    <t>USS Indianapolis: Men of Courage</t>
  </si>
  <si>
    <t>The Beast of War</t>
  </si>
  <si>
    <t>Black Butterfly</t>
  </si>
  <si>
    <t>Kansas City Confidential</t>
  </si>
  <si>
    <t>The Story of Adele H.</t>
  </si>
  <si>
    <t>Gleason</t>
  </si>
  <si>
    <t>Bob Roberts</t>
  </si>
  <si>
    <t>Drug War</t>
  </si>
  <si>
    <t>47 Meters Down: Uncaged</t>
  </si>
  <si>
    <t>Leatherheads</t>
  </si>
  <si>
    <t>Butter</t>
  </si>
  <si>
    <t>I.Q.</t>
  </si>
  <si>
    <t>Bachna Ae Haseeno</t>
  </si>
  <si>
    <t>Any Day Now</t>
  </si>
  <si>
    <t>The Front</t>
  </si>
  <si>
    <t>The Messengers</t>
  </si>
  <si>
    <t>A Girl Like Her</t>
  </si>
  <si>
    <t>The Strange Love of Martha Ivers</t>
  </si>
  <si>
    <t>Gloria Bell</t>
  </si>
  <si>
    <t>Soapdish</t>
  </si>
  <si>
    <t>When a Stranger Calls</t>
  </si>
  <si>
    <t>Frances</t>
  </si>
  <si>
    <t>Hatred</t>
  </si>
  <si>
    <t>Stella Dallas</t>
  </si>
  <si>
    <t>Beneath Hill 60</t>
  </si>
  <si>
    <t>The Animal</t>
  </si>
  <si>
    <t>Mikey and Nicky</t>
  </si>
  <si>
    <t>10 Items or Less</t>
  </si>
  <si>
    <t>The Stuff</t>
  </si>
  <si>
    <t>Reefer Madness: The Movie Musical</t>
  </si>
  <si>
    <t>Cold Skin</t>
  </si>
  <si>
    <t>April Fool's Day</t>
  </si>
  <si>
    <t>Just Friends</t>
  </si>
  <si>
    <t>Hatchet</t>
  </si>
  <si>
    <t>In the Electric Mist</t>
  </si>
  <si>
    <t>Bill Cunningham New York</t>
  </si>
  <si>
    <t>Kill Me Three Times</t>
  </si>
  <si>
    <t>Wishmaster</t>
  </si>
  <si>
    <t>Dhoom 2</t>
  </si>
  <si>
    <t>Mardaani</t>
  </si>
  <si>
    <t>Wonderstruck</t>
  </si>
  <si>
    <t>Split Second</t>
  </si>
  <si>
    <t>The Perfect Score</t>
  </si>
  <si>
    <t>Under the Boardwalk: The Monopoly Story</t>
  </si>
  <si>
    <t>The Only Living Boy in New York</t>
  </si>
  <si>
    <t>Thoda Pyaar Thoda Magic</t>
  </si>
  <si>
    <t>Dante's Inferno: An Animated Epic</t>
  </si>
  <si>
    <t>The Vanishing</t>
  </si>
  <si>
    <t>LOL</t>
  </si>
  <si>
    <t>Georgia Rule</t>
  </si>
  <si>
    <t>Infinity Chamber</t>
  </si>
  <si>
    <t>Ninnu Kori</t>
  </si>
  <si>
    <t>Manhattan Night</t>
  </si>
  <si>
    <t>Journey's End</t>
  </si>
  <si>
    <t>Broken Blossoms</t>
  </si>
  <si>
    <t>Jab Tak Hai Jaan</t>
  </si>
  <si>
    <t>Beowulf &amp; Grendel</t>
  </si>
  <si>
    <t>Dead End</t>
  </si>
  <si>
    <t>Ash Is Purest White</t>
  </si>
  <si>
    <t>Phase IV</t>
  </si>
  <si>
    <t>The Assignment</t>
  </si>
  <si>
    <t>The Naked Kiss</t>
  </si>
  <si>
    <t>Pet</t>
  </si>
  <si>
    <t>Bharat Ane Nenu</t>
  </si>
  <si>
    <t>Ashby</t>
  </si>
  <si>
    <t>Diary of a Mad Black Woman</t>
  </si>
  <si>
    <t>Janis: Little Girl Blue</t>
  </si>
  <si>
    <t>Goodachari</t>
  </si>
  <si>
    <t>Mario</t>
  </si>
  <si>
    <t>The Hitch-Hiker</t>
  </si>
  <si>
    <t>Fritz the Cat</t>
  </si>
  <si>
    <t>Daawat-e-Ishq</t>
  </si>
  <si>
    <t>Orphans</t>
  </si>
  <si>
    <t>Mondays in the Sun</t>
  </si>
  <si>
    <t>The Greatest Show on Earth</t>
  </si>
  <si>
    <t>Billionaire Boys Club</t>
  </si>
  <si>
    <t>Little Nemo: Adventures in Slumberland</t>
  </si>
  <si>
    <t>Remo Williams: The Adventure Begins</t>
  </si>
  <si>
    <t>Gimme Danger</t>
  </si>
  <si>
    <t>Elvis &amp; Nixon</t>
  </si>
  <si>
    <t>Texas Chainsaw 3D</t>
  </si>
  <si>
    <t>The Reef</t>
  </si>
  <si>
    <t>The Gambler</t>
  </si>
  <si>
    <t>Hired Gun</t>
  </si>
  <si>
    <t>Ladies in Lavender</t>
  </si>
  <si>
    <t>Boy Meets Girl</t>
  </si>
  <si>
    <t>I Wish</t>
  </si>
  <si>
    <t>The Gruffalo's Child</t>
  </si>
  <si>
    <t>Motel Hell</t>
  </si>
  <si>
    <t>Bandslam</t>
  </si>
  <si>
    <t>Tab Hunter Confidential</t>
  </si>
  <si>
    <t>Powder Blue</t>
  </si>
  <si>
    <t>Tumbledown</t>
  </si>
  <si>
    <t>Deuce Bigalow: European Gigolo</t>
  </si>
  <si>
    <t>Donovan's Reef</t>
  </si>
  <si>
    <t>Mao's Last Dancer</t>
  </si>
  <si>
    <t>He Walked by Night</t>
  </si>
  <si>
    <t>The Two Jakes</t>
  </si>
  <si>
    <t>Assault on Wall Street</t>
  </si>
  <si>
    <t>Herself</t>
  </si>
  <si>
    <t>Bleeding Steel</t>
  </si>
  <si>
    <t>Gett: The Trial of Viviane Amsalem</t>
  </si>
  <si>
    <t>Little Man</t>
  </si>
  <si>
    <t>Home for the Holidays</t>
  </si>
  <si>
    <t>Afternoon Delight</t>
  </si>
  <si>
    <t>Jathi Ratnalu</t>
  </si>
  <si>
    <t>Knights of Badassdom</t>
  </si>
  <si>
    <t>Daniel Isn't Real</t>
  </si>
  <si>
    <t>Sunday Bloody Sunday</t>
  </si>
  <si>
    <t>Jallikattu</t>
  </si>
  <si>
    <t>Careful What You Wish For</t>
  </si>
  <si>
    <t>Gold</t>
  </si>
  <si>
    <t>The Family Fang</t>
  </si>
  <si>
    <t>The Offence</t>
  </si>
  <si>
    <t>Interview</t>
  </si>
  <si>
    <t>The Band's Visit</t>
  </si>
  <si>
    <t>Mystery Road</t>
  </si>
  <si>
    <t>Final Score</t>
  </si>
  <si>
    <t>Diggstown</t>
  </si>
  <si>
    <t>Big Eden</t>
  </si>
  <si>
    <t>Of Human Bondage</t>
  </si>
  <si>
    <t>Horsemen</t>
  </si>
  <si>
    <t>Judas Kiss</t>
  </si>
  <si>
    <t>Target Number One</t>
  </si>
  <si>
    <t>Mad Money</t>
  </si>
  <si>
    <t>Blame It on Fidel!</t>
  </si>
  <si>
    <t>Band Baaja Baaraat</t>
  </si>
  <si>
    <t>Atlas Shrugged: Part I</t>
  </si>
  <si>
    <t>The Bang Bang Club</t>
  </si>
  <si>
    <t>What Have You Done to Solange?</t>
  </si>
  <si>
    <t>Standing in the Shadows of Motown</t>
  </si>
  <si>
    <t>Hyena Road</t>
  </si>
  <si>
    <t>HIT: The First Case</t>
  </si>
  <si>
    <t>Necessary Roughness</t>
  </si>
  <si>
    <t>Stomp the Yard</t>
  </si>
  <si>
    <t>The Winslow Boy</t>
  </si>
  <si>
    <t>I'll Follow You Down</t>
  </si>
  <si>
    <t>The Wild Geese</t>
  </si>
  <si>
    <t>King of Thieves</t>
  </si>
  <si>
    <t>White Zombie</t>
  </si>
  <si>
    <t>The Possession of Michael King</t>
  </si>
  <si>
    <t>Heartburn</t>
  </si>
  <si>
    <t>Factory Girl</t>
  </si>
  <si>
    <t>The Resurrection of Jake The Snake</t>
  </si>
  <si>
    <t>Love Mocktail</t>
  </si>
  <si>
    <t>Love Liza</t>
  </si>
  <si>
    <t>The Original Kings of Comedy</t>
  </si>
  <si>
    <t>The Ones Below</t>
  </si>
  <si>
    <t>Black Box</t>
  </si>
  <si>
    <t>The Kill Team</t>
  </si>
  <si>
    <t>Cool World</t>
  </si>
  <si>
    <t>Do You Remember Dolly Bell?</t>
  </si>
  <si>
    <t>Blackbird</t>
  </si>
  <si>
    <t>Goldstone</t>
  </si>
  <si>
    <t>Penny Serenade</t>
  </si>
  <si>
    <t>Jeffrey</t>
  </si>
  <si>
    <t>Never Surrender: A Galaxy Quest Documentary</t>
  </si>
  <si>
    <t>Life with Father</t>
  </si>
  <si>
    <t>Hunting and Gathering</t>
  </si>
  <si>
    <t>2 Days in New York</t>
  </si>
  <si>
    <t>Right at Your Door</t>
  </si>
  <si>
    <t>Passion Fish</t>
  </si>
  <si>
    <t>The Lords of Salem</t>
  </si>
  <si>
    <t>Serena</t>
  </si>
  <si>
    <t>The Healer</t>
  </si>
  <si>
    <t>House of Hummingbird</t>
  </si>
  <si>
    <t>Super Size Me 2: Holy Chicken!</t>
  </si>
  <si>
    <t>Kaala Patthar</t>
  </si>
  <si>
    <t>God of Love</t>
  </si>
  <si>
    <t>Dead Man on Campus</t>
  </si>
  <si>
    <t>The Opposite of Sex</t>
  </si>
  <si>
    <t>A Fantastic Fear of Everything</t>
  </si>
  <si>
    <t>Suddenly</t>
  </si>
  <si>
    <t>Clockwatchers</t>
  </si>
  <si>
    <t>Pay the Ghost</t>
  </si>
  <si>
    <t>Battles Without Honor and Humanity: Deadly Fight in Hiroshima</t>
  </si>
  <si>
    <t>The Phantom</t>
  </si>
  <si>
    <t>Jasper Mall</t>
  </si>
  <si>
    <t>The Little Princess</t>
  </si>
  <si>
    <t>Candyman: Farewell to the Flesh</t>
  </si>
  <si>
    <t>Borderland</t>
  </si>
  <si>
    <t>Merantau</t>
  </si>
  <si>
    <t>Zakir Khan : Haq Se Single</t>
  </si>
  <si>
    <t>Tracers</t>
  </si>
  <si>
    <t>Maidentrip</t>
  </si>
  <si>
    <t>Monsters of Man</t>
  </si>
  <si>
    <t>Imagine That</t>
  </si>
  <si>
    <t>Tabu</t>
  </si>
  <si>
    <t>Dil Bole Hadippa!</t>
  </si>
  <si>
    <t>Babes in Toyland</t>
  </si>
  <si>
    <t>The Answer Man</t>
  </si>
  <si>
    <t>Silsila</t>
  </si>
  <si>
    <t>Ooops! Noah is Gone...</t>
  </si>
  <si>
    <t>Stick Man</t>
  </si>
  <si>
    <t>Operation Avalanche</t>
  </si>
  <si>
    <t>A Vigilante</t>
  </si>
  <si>
    <t>Saathiya</t>
  </si>
  <si>
    <t>Stander</t>
  </si>
  <si>
    <t>In Secret</t>
  </si>
  <si>
    <t>Dhamaal</t>
  </si>
  <si>
    <t>The Extraordinary Journey of the Fakir</t>
  </si>
  <si>
    <t>Wish Upon a Star</t>
  </si>
  <si>
    <t>Did You Hear About the Morgans?</t>
  </si>
  <si>
    <t>The Last King</t>
  </si>
  <si>
    <t>I'll See You in My Dreams</t>
  </si>
  <si>
    <t>My Best Friend</t>
  </si>
  <si>
    <t>Mia and the White Lion</t>
  </si>
  <si>
    <t>Status Update</t>
  </si>
  <si>
    <t>School Daze</t>
  </si>
  <si>
    <t>The Perfect Game</t>
  </si>
  <si>
    <t>Operator</t>
  </si>
  <si>
    <t>The Delta Force</t>
  </si>
  <si>
    <t>Black Robe</t>
  </si>
  <si>
    <t>The Fare</t>
  </si>
  <si>
    <t>Bigil</t>
  </si>
  <si>
    <t>Stay Tuned</t>
  </si>
  <si>
    <t>The Baytown Outlaws</t>
  </si>
  <si>
    <t>...And God Created Woman</t>
  </si>
  <si>
    <t>Sufna</t>
  </si>
  <si>
    <t>Belle and Sebastian</t>
  </si>
  <si>
    <t>Fever Pitch</t>
  </si>
  <si>
    <t>Beyond Re-Animator</t>
  </si>
  <si>
    <t>The Accidental Husband</t>
  </si>
  <si>
    <t>The Comedy of Terrors</t>
  </si>
  <si>
    <t>Proof</t>
  </si>
  <si>
    <t>Jimmy O. Yang: Good Deal</t>
  </si>
  <si>
    <t>Oddball</t>
  </si>
  <si>
    <t>Jawaani Jaaneman</t>
  </si>
  <si>
    <t>Shivaay</t>
  </si>
  <si>
    <t>Back Roads</t>
  </si>
  <si>
    <t>The Count of Monte-Cristo</t>
  </si>
  <si>
    <t>C.H.U.D.</t>
  </si>
  <si>
    <t>Filmage: The Story of Descendents/All</t>
  </si>
  <si>
    <t>So Undercover</t>
  </si>
  <si>
    <t>Outpost</t>
  </si>
  <si>
    <t>Home Sweet Hell</t>
  </si>
  <si>
    <t>Woman on the Run</t>
  </si>
  <si>
    <t>Surviving Christmas</t>
  </si>
  <si>
    <t>Siberia</t>
  </si>
  <si>
    <t>More than a Game</t>
  </si>
  <si>
    <t>Chi-Raq</t>
  </si>
  <si>
    <t>Female Agents</t>
  </si>
  <si>
    <t>#UNFIT: The Psychology of Donald Trump</t>
  </si>
  <si>
    <t>I Am Dragon</t>
  </si>
  <si>
    <t>The Shooting</t>
  </si>
  <si>
    <t>Bon Voyage, Charlie Brown (and Don't Come Back!)</t>
  </si>
  <si>
    <t>Salt of the Earth</t>
  </si>
  <si>
    <t>Cyrano de Bergerac</t>
  </si>
  <si>
    <t>The Long Walk Home</t>
  </si>
  <si>
    <t>Peterloo</t>
  </si>
  <si>
    <t>Cromwell</t>
  </si>
  <si>
    <t>Heal</t>
  </si>
  <si>
    <t>The Confirmation</t>
  </si>
  <si>
    <t>Bang the Drum Slowly</t>
  </si>
  <si>
    <t>Storm Boy</t>
  </si>
  <si>
    <t>Technotise: Edit and I</t>
  </si>
  <si>
    <t>Cinderella</t>
  </si>
  <si>
    <t>Strange Wilderness</t>
  </si>
  <si>
    <t>Rampage</t>
  </si>
  <si>
    <t>Stitches</t>
  </si>
  <si>
    <t>Jamesy Boy</t>
  </si>
  <si>
    <t>Tad, the Lost Explorer</t>
  </si>
  <si>
    <t>Permanent Midnight</t>
  </si>
  <si>
    <t>The Cheap Detective</t>
  </si>
  <si>
    <t>Inconceivable</t>
  </si>
  <si>
    <t>Hick</t>
  </si>
  <si>
    <t>Chato's Land</t>
  </si>
  <si>
    <t>I Capture the Castle</t>
  </si>
  <si>
    <t>Angoor</t>
  </si>
  <si>
    <t>A Turtle's Tale: Sammy's Adventures</t>
  </si>
  <si>
    <t>Jade</t>
  </si>
  <si>
    <t>D-Day</t>
  </si>
  <si>
    <t>Pitfall</t>
  </si>
  <si>
    <t>The Commune</t>
  </si>
  <si>
    <t>500 Years</t>
  </si>
  <si>
    <t>Parallel</t>
  </si>
  <si>
    <t>Angel and the Badman</t>
  </si>
  <si>
    <t>Escape Plan: The Extractors</t>
  </si>
  <si>
    <t>The Woman in Black 2: Angel of Death</t>
  </si>
  <si>
    <t>The Blood of Heroes</t>
  </si>
  <si>
    <t>The Bedroom Window</t>
  </si>
  <si>
    <t>About Alex</t>
  </si>
  <si>
    <t>The New Daughter</t>
  </si>
  <si>
    <t>My Heart Can't Beat Unless You Tell It To</t>
  </si>
  <si>
    <t>The Winning Season</t>
  </si>
  <si>
    <t>Dressed to Kill</t>
  </si>
  <si>
    <t>Kill Chain</t>
  </si>
  <si>
    <t>Frankie &amp; Alice</t>
  </si>
  <si>
    <t>Biswa Kalyan Rath : Biswa Mast Aadmi</t>
  </si>
  <si>
    <t>All Nighter</t>
  </si>
  <si>
    <t>Madea's Witness Protection</t>
  </si>
  <si>
    <t>Where Hands Touch</t>
  </si>
  <si>
    <t>North Dallas Forty</t>
  </si>
  <si>
    <t>Shottas</t>
  </si>
  <si>
    <t>Escape Plan 2: Hades</t>
  </si>
  <si>
    <t>Project Gutenberg</t>
  </si>
  <si>
    <t>Mara</t>
  </si>
  <si>
    <t>Where the Red Fern Grows</t>
  </si>
  <si>
    <t>Dead Birds</t>
  </si>
  <si>
    <t>Ladybugs</t>
  </si>
  <si>
    <t>Not Wanted</t>
  </si>
  <si>
    <t>Ae Dil Hai Mushkil</t>
  </si>
  <si>
    <t>Age of Heroes</t>
  </si>
  <si>
    <t>The Beckoning Silence</t>
  </si>
  <si>
    <t>The Tracker</t>
  </si>
  <si>
    <t>The Bachelors</t>
  </si>
  <si>
    <t>Wander</t>
  </si>
  <si>
    <t>Meri Pyaari Bindu</t>
  </si>
  <si>
    <t>At Middleton</t>
  </si>
  <si>
    <t>The Dark</t>
  </si>
  <si>
    <t>Night Falls on Manhattan</t>
  </si>
  <si>
    <t>Madame</t>
  </si>
  <si>
    <t>Nocturne</t>
  </si>
  <si>
    <t>Lamhe</t>
  </si>
  <si>
    <t>Hichki</t>
  </si>
  <si>
    <t>Big Fan</t>
  </si>
  <si>
    <t>Sui Dhaaga - Made in India</t>
  </si>
  <si>
    <t>Waffle Street</t>
  </si>
  <si>
    <t>Royal Wedding</t>
  </si>
  <si>
    <t>Vanishing on 7th Street</t>
  </si>
  <si>
    <t>The Truth About Emanuel</t>
  </si>
  <si>
    <t>Hatchet III</t>
  </si>
  <si>
    <t>Voice from the Stone</t>
  </si>
  <si>
    <t>Jack Goes Boating</t>
  </si>
  <si>
    <t>Max</t>
  </si>
  <si>
    <t>Accidentally Engaged</t>
  </si>
  <si>
    <t>Mo' Money</t>
  </si>
  <si>
    <t>Joshy</t>
  </si>
  <si>
    <t>Maanagaram</t>
  </si>
  <si>
    <t>The Spirit of Christmas</t>
  </si>
  <si>
    <t>Beautiful Kate</t>
  </si>
  <si>
    <t>We Still Kill the Old Way</t>
  </si>
  <si>
    <t>True Confessions</t>
  </si>
  <si>
    <t>The Road to Wellville</t>
  </si>
  <si>
    <t>The Wind Journeys</t>
  </si>
  <si>
    <t>Rupture</t>
  </si>
  <si>
    <t>Pal Joey</t>
  </si>
  <si>
    <t>Syrup</t>
  </si>
  <si>
    <t>Baar Baar Dekho</t>
  </si>
  <si>
    <t>Dear Comrade</t>
  </si>
  <si>
    <t>Sister My Sister</t>
  </si>
  <si>
    <t>Bad Ass</t>
  </si>
  <si>
    <t>Mystify: Michael Hutchence</t>
  </si>
  <si>
    <t>Hatchet II</t>
  </si>
  <si>
    <t>Flowers in the Attic</t>
  </si>
  <si>
    <t>These Girls</t>
  </si>
  <si>
    <t>In the Blood</t>
  </si>
  <si>
    <t>Being Charlie</t>
  </si>
  <si>
    <t>Sherlock Holmes and the Secret Weapon</t>
  </si>
  <si>
    <t>Creative Control</t>
  </si>
  <si>
    <t>One Small Hitch</t>
  </si>
  <si>
    <t>Lady Jane</t>
  </si>
  <si>
    <t>Hans Christian Andersen</t>
  </si>
  <si>
    <t>Rendez-Vous</t>
  </si>
  <si>
    <t>Milk Money</t>
  </si>
  <si>
    <t>Madea Goes to Jail</t>
  </si>
  <si>
    <t>An American Rhapsody</t>
  </si>
  <si>
    <t>Juggernaut</t>
  </si>
  <si>
    <t>Suck</t>
  </si>
  <si>
    <t>Ulee's Gold</t>
  </si>
  <si>
    <t>Ronal the Barbarian</t>
  </si>
  <si>
    <t>Dark River</t>
  </si>
  <si>
    <t>Something from Nothing: The Art of Rap</t>
  </si>
  <si>
    <t>A Farewell to Arms</t>
  </si>
  <si>
    <t>Michael Jordan: Come Fly with Me</t>
  </si>
  <si>
    <t>Ray Harryhausen: Special Effects Titan</t>
  </si>
  <si>
    <t>Schweigeminute</t>
  </si>
  <si>
    <t>Out of the Blue</t>
  </si>
  <si>
    <t>Jiang Ziya: The Legend of Deification</t>
  </si>
  <si>
    <t>Miss Meadows</t>
  </si>
  <si>
    <t>Wildlike</t>
  </si>
  <si>
    <t>The Falls</t>
  </si>
  <si>
    <t>Transit</t>
  </si>
  <si>
    <t>Landline</t>
  </si>
  <si>
    <t>Replicant</t>
  </si>
  <si>
    <t>Robin Hood</t>
  </si>
  <si>
    <t>The Beautician and the Beast</t>
  </si>
  <si>
    <t>Mambo Italiano</t>
  </si>
  <si>
    <t>Choose Me</t>
  </si>
  <si>
    <t>American Grindhouse</t>
  </si>
  <si>
    <t>Moonwalkers</t>
  </si>
  <si>
    <t>Small Apartments</t>
  </si>
  <si>
    <t>Maharshi</t>
  </si>
  <si>
    <t>The Alibi</t>
  </si>
  <si>
    <t>Slackers</t>
  </si>
  <si>
    <t>Wind</t>
  </si>
  <si>
    <t>He's Out There</t>
  </si>
  <si>
    <t>Ong Bak 3</t>
  </si>
  <si>
    <t>The Adventures of Mark Twain</t>
  </si>
  <si>
    <t>The Invisibles</t>
  </si>
  <si>
    <t>Tuff Turf</t>
  </si>
  <si>
    <t>Army of One</t>
  </si>
  <si>
    <t>Gotti</t>
  </si>
  <si>
    <t>East Side Sushi</t>
  </si>
  <si>
    <t>Dance of the Dead</t>
  </si>
  <si>
    <t>Blood Fest</t>
  </si>
  <si>
    <t>Mere Brother Ki Dulhan</t>
  </si>
  <si>
    <t>The Intervention</t>
  </si>
  <si>
    <t>Doug Stanhope: No Refunds</t>
  </si>
  <si>
    <t>Blue Mountain State: The Rise of Thadland</t>
  </si>
  <si>
    <t>Hostile</t>
  </si>
  <si>
    <t>Tamara</t>
  </si>
  <si>
    <t>Never Grow Old</t>
  </si>
  <si>
    <t>Chhalaang</t>
  </si>
  <si>
    <t>Force of Nature</t>
  </si>
  <si>
    <t>Clan of the White Lotus</t>
  </si>
  <si>
    <t>Fort Bliss</t>
  </si>
  <si>
    <t>Kabhi Kabhie</t>
  </si>
  <si>
    <t>The Grand Tour Presents: A Massive Hunt</t>
  </si>
  <si>
    <t>Cyberbully</t>
  </si>
  <si>
    <t>Kadhalil Sodhappuvadhu Yeppadi</t>
  </si>
  <si>
    <t>The Burrowers</t>
  </si>
  <si>
    <t>Mujhse Dosti Karoge!</t>
  </si>
  <si>
    <t>Survival of the Dead</t>
  </si>
  <si>
    <t>Sharkwater Extinction</t>
  </si>
  <si>
    <t>Bhoomi</t>
  </si>
  <si>
    <t>Golmaal - Fun Unlimited</t>
  </si>
  <si>
    <t>Kid with the Golden Arm</t>
  </si>
  <si>
    <t>The Blue Gardenia</t>
  </si>
  <si>
    <t>Precious Cargo</t>
  </si>
  <si>
    <t>FairyTale: A True Story</t>
  </si>
  <si>
    <t>Submergence</t>
  </si>
  <si>
    <t>Trouble the Water</t>
  </si>
  <si>
    <t>Mashaal</t>
  </si>
  <si>
    <t>Apartment 143</t>
  </si>
  <si>
    <t>Sebastian Maniscalco: Aren't You Embarrassed?</t>
  </si>
  <si>
    <t>The Big Brawl</t>
  </si>
  <si>
    <t>Song One</t>
  </si>
  <si>
    <t>The Adventures of Elmo in Grouchland</t>
  </si>
  <si>
    <t>Tad, the Lost Explorer, and the Secret of King Midas</t>
  </si>
  <si>
    <t>Low Tide</t>
  </si>
  <si>
    <t>Gordon Lightfoot: If You Could Read My Mind</t>
  </si>
  <si>
    <t>Jack and Jill</t>
  </si>
  <si>
    <t>A LEGO Brickumentary</t>
  </si>
  <si>
    <t>Greenfingers</t>
  </si>
  <si>
    <t>The Jazz Singer</t>
  </si>
  <si>
    <t>Stop at Nothing: The Lance Armstrong Story</t>
  </si>
  <si>
    <t>Theri</t>
  </si>
  <si>
    <t>Lapland Odyssey</t>
  </si>
  <si>
    <t>Crimes of the Heart</t>
  </si>
  <si>
    <t>Black's Game</t>
  </si>
  <si>
    <t>Generation Wealth</t>
  </si>
  <si>
    <t>Sidekicks</t>
  </si>
  <si>
    <t>Rendezvous in Paris</t>
  </si>
  <si>
    <t>M.F.A.</t>
  </si>
  <si>
    <t>Five Fingers of Death</t>
  </si>
  <si>
    <t>Dhoom 3</t>
  </si>
  <si>
    <t>White Lightning</t>
  </si>
  <si>
    <t>Gulliver's Travels</t>
  </si>
  <si>
    <t>The Woman in Green</t>
  </si>
  <si>
    <t>Bravetown</t>
  </si>
  <si>
    <t>Hotel Coolgardie</t>
  </si>
  <si>
    <t>Mary J. Blige's My Life</t>
  </si>
  <si>
    <t>Sometimes Always Never</t>
  </si>
  <si>
    <t>Valentine Road</t>
  </si>
  <si>
    <t>Terror by Night</t>
  </si>
  <si>
    <t>In Dubious Battle</t>
  </si>
  <si>
    <t>Gamera 2: Attack of the Legion</t>
  </si>
  <si>
    <t>The Lady Without Camelias</t>
  </si>
  <si>
    <t>In Syria</t>
  </si>
  <si>
    <t>Falcon Rising</t>
  </si>
  <si>
    <t>Pawn Shop Chronicles</t>
  </si>
  <si>
    <t>The Adventurer: The Curse of the Midas Box</t>
  </si>
  <si>
    <t>Superfast!</t>
  </si>
  <si>
    <t>Exposed</t>
  </si>
  <si>
    <t>Robinson Crusoe</t>
  </si>
  <si>
    <t>Deiva Thirumagal</t>
  </si>
  <si>
    <t>Still Mine</t>
  </si>
  <si>
    <t>Scotland, PA</t>
  </si>
  <si>
    <t>Jim Gaffigan: Noble Ape</t>
  </si>
  <si>
    <t>The Stolen Princess</t>
  </si>
  <si>
    <t>Father of Invention</t>
  </si>
  <si>
    <t>Sye Raa Narasimha Reddy</t>
  </si>
  <si>
    <t>Amateur Night</t>
  </si>
  <si>
    <t>Jim Gaffigan: Quality Time</t>
  </si>
  <si>
    <t>The German Doctor</t>
  </si>
  <si>
    <t>Chavela</t>
  </si>
  <si>
    <t>TEKKEN</t>
  </si>
  <si>
    <t>Lucky and Zorba</t>
  </si>
  <si>
    <t>College</t>
  </si>
  <si>
    <t>Beta Test</t>
  </si>
  <si>
    <t>Romeo &amp; Juliet</t>
  </si>
  <si>
    <t>MÃ¶bius</t>
  </si>
  <si>
    <t>Fat Albert</t>
  </si>
  <si>
    <t>In Dreams</t>
  </si>
  <si>
    <t>The Dead Center</t>
  </si>
  <si>
    <t>Counter Investigation</t>
  </si>
  <si>
    <t>Missing 411: The Hunted</t>
  </si>
  <si>
    <t>Gook</t>
  </si>
  <si>
    <t>The Kennel Murder Case</t>
  </si>
  <si>
    <t>The Creeping Flesh</t>
  </si>
  <si>
    <t>Imaikkaa Nodigal</t>
  </si>
  <si>
    <t>Casa De Mi Padre</t>
  </si>
  <si>
    <t>The Poison Rose</t>
  </si>
  <si>
    <t>Diabolique</t>
  </si>
  <si>
    <t>The Owl and the Pussycat</t>
  </si>
  <si>
    <t>The Kindness of Strangers</t>
  </si>
  <si>
    <t>The Grand</t>
  </si>
  <si>
    <t>Stratton</t>
  </si>
  <si>
    <t>Chick Fight</t>
  </si>
  <si>
    <t>Iliza Shlesinger: War Paint</t>
  </si>
  <si>
    <t>Jackie &amp; Ryan</t>
  </si>
  <si>
    <t>The Red House</t>
  </si>
  <si>
    <t>Ice Guardians</t>
  </si>
  <si>
    <t>Face 2 Face</t>
  </si>
  <si>
    <t>Mankatha</t>
  </si>
  <si>
    <t>The Lie</t>
  </si>
  <si>
    <t>Black Moon Rising</t>
  </si>
  <si>
    <t>Contract Killer</t>
  </si>
  <si>
    <t>The Entitled</t>
  </si>
  <si>
    <t>P!nk: All I Know So Far</t>
  </si>
  <si>
    <t>Eye of the Beholder</t>
  </si>
  <si>
    <t>Close Encounters of the Fifth Kind</t>
  </si>
  <si>
    <t>Whitey: United States of America v. James J. Bulger</t>
  </si>
  <si>
    <t>Driving Licence</t>
  </si>
  <si>
    <t>Repeaters</t>
  </si>
  <si>
    <t>Hello Guru Prema Kosame</t>
  </si>
  <si>
    <t>Fubar</t>
  </si>
  <si>
    <t>Space Truckers</t>
  </si>
  <si>
    <t>Dead Space: Aftermath</t>
  </si>
  <si>
    <t>Communion</t>
  </si>
  <si>
    <t>The Flying Deuces</t>
  </si>
  <si>
    <t>Gulabo Sitabo</t>
  </si>
  <si>
    <t>High School</t>
  </si>
  <si>
    <t>Bad Match</t>
  </si>
  <si>
    <t>Seven Days in Utopia</t>
  </si>
  <si>
    <t>Nancy</t>
  </si>
  <si>
    <t>Despite the Falling Snow</t>
  </si>
  <si>
    <t>Heaven Adores You</t>
  </si>
  <si>
    <t>Demon House</t>
  </si>
  <si>
    <t>Tortilla Soup</t>
  </si>
  <si>
    <t>Porky's II: The Next Day</t>
  </si>
  <si>
    <t>A Bride for Christmas</t>
  </si>
  <si>
    <t>Cowboy</t>
  </si>
  <si>
    <t>Tarzan</t>
  </si>
  <si>
    <t>Amish Grace</t>
  </si>
  <si>
    <t>Shubh Mangal Zyada Saavdhan</t>
  </si>
  <si>
    <t>Gascoigne</t>
  </si>
  <si>
    <t>The King of Masks</t>
  </si>
  <si>
    <t>My Kid Could Paint That</t>
  </si>
  <si>
    <t>Every Little Step</t>
  </si>
  <si>
    <t>The Hiding Place</t>
  </si>
  <si>
    <t>The Boy Whose Skin Fell Off</t>
  </si>
  <si>
    <t>Barry Munday</t>
  </si>
  <si>
    <t>Sarileru Neekevvaru</t>
  </si>
  <si>
    <t>Linsanity</t>
  </si>
  <si>
    <t>Complete Unknown</t>
  </si>
  <si>
    <t>Dance Academy: The Movie</t>
  </si>
  <si>
    <t>Cockfighter</t>
  </si>
  <si>
    <t>The Bat</t>
  </si>
  <si>
    <t>The Yellow Birds</t>
  </si>
  <si>
    <t>Lovecraft: Fear of the Unknown</t>
  </si>
  <si>
    <t>Diana Vreeland: The Eye Has to Travel</t>
  </si>
  <si>
    <t>Body of Evidence</t>
  </si>
  <si>
    <t>Wish You Were Here</t>
  </si>
  <si>
    <t>Sunshine State</t>
  </si>
  <si>
    <t>The Statement</t>
  </si>
  <si>
    <t>Rampage: Capital Punishment</t>
  </si>
  <si>
    <t>All Is Bright</t>
  </si>
  <si>
    <t>Girl in Progress</t>
  </si>
  <si>
    <t>Cass</t>
  </si>
  <si>
    <t>Transylvania 6-5000</t>
  </si>
  <si>
    <t>Lost in the Sun</t>
  </si>
  <si>
    <t>APEX: The Story of the Hypercar</t>
  </si>
  <si>
    <t>Gigantic</t>
  </si>
  <si>
    <t>Jappeloup</t>
  </si>
  <si>
    <t>Trucker</t>
  </si>
  <si>
    <t>Summer '03</t>
  </si>
  <si>
    <t>Crips and Bloods: Made in America</t>
  </si>
  <si>
    <t>Ishaqzaade</t>
  </si>
  <si>
    <t>Topper Returns</t>
  </si>
  <si>
    <t>Jacknife</t>
  </si>
  <si>
    <t>Beyond The Sky</t>
  </si>
  <si>
    <t>Sharknado</t>
  </si>
  <si>
    <t>These Three</t>
  </si>
  <si>
    <t>The Eclipse</t>
  </si>
  <si>
    <t>Ninja III: The Domination</t>
  </si>
  <si>
    <t>Kevin Smith: Silent but Deadly</t>
  </si>
  <si>
    <t>Hawking</t>
  </si>
  <si>
    <t>Griff the Invisible</t>
  </si>
  <si>
    <t>When Did You Last See Your Father?</t>
  </si>
  <si>
    <t>You May Not Kiss the Bride</t>
  </si>
  <si>
    <t>Sundown: The Vampire in Retreat</t>
  </si>
  <si>
    <t>Hiding Out</t>
  </si>
  <si>
    <t>Serious Moonlight</t>
  </si>
  <si>
    <t>Spring Break</t>
  </si>
  <si>
    <t>The Wild Blue Yonder</t>
  </si>
  <si>
    <t>The Dead Lands</t>
  </si>
  <si>
    <t>A Prince for Christmas</t>
  </si>
  <si>
    <t>My Blind Brother</t>
  </si>
  <si>
    <t>Death Machine</t>
  </si>
  <si>
    <t>Abigail</t>
  </si>
  <si>
    <t>Alien Code</t>
  </si>
  <si>
    <t>A Turtle's Tale 2: Sammy's Escape from Paradise</t>
  </si>
  <si>
    <t>Jellyfish</t>
  </si>
  <si>
    <t>Genevieve</t>
  </si>
  <si>
    <t>Breathing Fire</t>
  </si>
  <si>
    <t>Yardie</t>
  </si>
  <si>
    <t>The Sheik</t>
  </si>
  <si>
    <t>The Shaolin Temple</t>
  </si>
  <si>
    <t>Raja Hindustani</t>
  </si>
  <si>
    <t>12 Rounds 3: Lockdown</t>
  </si>
  <si>
    <t>The Booksellers</t>
  </si>
  <si>
    <t>Christmas Lodge</t>
  </si>
  <si>
    <t>Trouble in Mind</t>
  </si>
  <si>
    <t>The VelociPastor</t>
  </si>
  <si>
    <t>Capone</t>
  </si>
  <si>
    <t>Ride</t>
  </si>
  <si>
    <t>15 Minutes of War</t>
  </si>
  <si>
    <t>Boarding School</t>
  </si>
  <si>
    <t>Catch Hell</t>
  </si>
  <si>
    <t>The Empire in Africa</t>
  </si>
  <si>
    <t>True Colors</t>
  </si>
  <si>
    <t>How to Fall in Love</t>
  </si>
  <si>
    <t>Bharat</t>
  </si>
  <si>
    <t>Ley Lines</t>
  </si>
  <si>
    <t>Outcast</t>
  </si>
  <si>
    <t>Big Top Pee-wee</t>
  </si>
  <si>
    <t>The Secret Diaries of Miss Anne Lister</t>
  </si>
  <si>
    <t>Jonestown: Paradise Lost</t>
  </si>
  <si>
    <t>Crown Heights</t>
  </si>
  <si>
    <t>Extremities</t>
  </si>
  <si>
    <t>White Tiger</t>
  </si>
  <si>
    <t>Prescription Thugs</t>
  </si>
  <si>
    <t>Digging to China</t>
  </si>
  <si>
    <t>Mountain Patrol</t>
  </si>
  <si>
    <t>Gamera 3: Revenge of Iris</t>
  </si>
  <si>
    <t>Changeland</t>
  </si>
  <si>
    <t>Our Town</t>
  </si>
  <si>
    <t>Faster</t>
  </si>
  <si>
    <t>The Mark of Zorro</t>
  </si>
  <si>
    <t>Andy Murray: Resurfacing</t>
  </si>
  <si>
    <t>Night Tide</t>
  </si>
  <si>
    <t>High Society</t>
  </si>
  <si>
    <t>Chandramukhi</t>
  </si>
  <si>
    <t>The Night Watch</t>
  </si>
  <si>
    <t>Decoding Annie Parker</t>
  </si>
  <si>
    <t>If I Had Wings</t>
  </si>
  <si>
    <t>Message Man</t>
  </si>
  <si>
    <t>Think Like a Dog</t>
  </si>
  <si>
    <t>Night of the Demons</t>
  </si>
  <si>
    <t>Luxor</t>
  </si>
  <si>
    <t>Dreams with Sharp Teeth</t>
  </si>
  <si>
    <t>Paper Planes</t>
  </si>
  <si>
    <t>A Month in the Country</t>
  </si>
  <si>
    <t>The Glorias</t>
  </si>
  <si>
    <t>At the Gate of the Ghost</t>
  </si>
  <si>
    <t>Twenty Bucks</t>
  </si>
  <si>
    <t>Operation Toussaint: Operation Underground Railroad and the Fight to End Modern Day Slavery</t>
  </si>
  <si>
    <t>Poorna</t>
  </si>
  <si>
    <t>The Competition</t>
  </si>
  <si>
    <t>A Song Is Born</t>
  </si>
  <si>
    <t>Fay Grim</t>
  </si>
  <si>
    <t>Chandni</t>
  </si>
  <si>
    <t>Late Night Trains</t>
  </si>
  <si>
    <t>Domino</t>
  </si>
  <si>
    <t>Vazhakku Enn 18/9</t>
  </si>
  <si>
    <t>Take Care</t>
  </si>
  <si>
    <t>The Last Witness</t>
  </si>
  <si>
    <t>The Cleaning Lady</t>
  </si>
  <si>
    <t>Watermelon Man</t>
  </si>
  <si>
    <t>Lady Bloodfight</t>
  </si>
  <si>
    <t>Tirza</t>
  </si>
  <si>
    <t>Knock Off</t>
  </si>
  <si>
    <t>Meeting Evil</t>
  </si>
  <si>
    <t>Naughty or Nice</t>
  </si>
  <si>
    <t>Death Ship</t>
  </si>
  <si>
    <t>Catchfire</t>
  </si>
  <si>
    <t>Human Flow</t>
  </si>
  <si>
    <t>Kadaikutty Singam</t>
  </si>
  <si>
    <t>Sharknado 3: Oh Hell No!</t>
  </si>
  <si>
    <t>Gracie</t>
  </si>
  <si>
    <t>Sugarbaby</t>
  </si>
  <si>
    <t>Goodbye World</t>
  </si>
  <si>
    <t>Tiger Orange</t>
  </si>
  <si>
    <t>The Isle</t>
  </si>
  <si>
    <t>Leprechaun 2</t>
  </si>
  <si>
    <t>The Botany of Desire</t>
  </si>
  <si>
    <t>Yes, Virginia</t>
  </si>
  <si>
    <t>The Old Man and the Sea</t>
  </si>
  <si>
    <t>Chicken People</t>
  </si>
  <si>
    <t>Mulligans</t>
  </si>
  <si>
    <t>Window Horses: The Poetic Persian Epiphany of Rosie Ming</t>
  </si>
  <si>
    <t>Tel Aviv on Fire</t>
  </si>
  <si>
    <t>The Snows of Kilimanjaro</t>
  </si>
  <si>
    <t>Chinese Box</t>
  </si>
  <si>
    <t>Angel of Christmas</t>
  </si>
  <si>
    <t>Test</t>
  </si>
  <si>
    <t>Park Avenue: Money, Power &amp; The American Dream</t>
  </si>
  <si>
    <t>American Experience: Tesla</t>
  </si>
  <si>
    <t>Little Secrets</t>
  </si>
  <si>
    <t>The Devil's Rock</t>
  </si>
  <si>
    <t>Elephant Song</t>
  </si>
  <si>
    <t>Pandemic</t>
  </si>
  <si>
    <t>Memorial Day</t>
  </si>
  <si>
    <t>Dirty 30</t>
  </si>
  <si>
    <t>Skin Deep</t>
  </si>
  <si>
    <t>Ava's Possessions</t>
  </si>
  <si>
    <t>Maayavan</t>
  </si>
  <si>
    <t>Kenau</t>
  </si>
  <si>
    <t>I Walk the Line</t>
  </si>
  <si>
    <t>H.H. Holmes: America's First Serial Killer</t>
  </si>
  <si>
    <t>Get Thrashed</t>
  </si>
  <si>
    <t>Till the Clouds Roll By</t>
  </si>
  <si>
    <t>Svengali</t>
  </si>
  <si>
    <t>Wait for Your Laugh</t>
  </si>
  <si>
    <t>Love Stinks</t>
  </si>
  <si>
    <t>Sharknado 2: The Second One</t>
  </si>
  <si>
    <t>Doug Stanhope: Beer Hall Putsch</t>
  </si>
  <si>
    <t>Tim</t>
  </si>
  <si>
    <t>Catch.44</t>
  </si>
  <si>
    <t>The First of the Few</t>
  </si>
  <si>
    <t>Man Vs.</t>
  </si>
  <si>
    <t>Fasten Your Seatbelts</t>
  </si>
  <si>
    <t>Ishq</t>
  </si>
  <si>
    <t>Amal</t>
  </si>
  <si>
    <t>Kanan Gill: Keep It Real</t>
  </si>
  <si>
    <t>Donkey Punch</t>
  </si>
  <si>
    <t>Left Behind</t>
  </si>
  <si>
    <t>The Runner</t>
  </si>
  <si>
    <t>The Legend of Ben Hall</t>
  </si>
  <si>
    <t>Blood on Her Name</t>
  </si>
  <si>
    <t>Stepfather II</t>
  </si>
  <si>
    <t>The History of Time Travel</t>
  </si>
  <si>
    <t>Maya the Bee Movie</t>
  </si>
  <si>
    <t>The StÃ¶ned Age</t>
  </si>
  <si>
    <t>You're the Greatest, Charlie Brown</t>
  </si>
  <si>
    <t>Raging Phoenix</t>
  </si>
  <si>
    <t>The Final Season</t>
  </si>
  <si>
    <t>The Man from Elysian Fields</t>
  </si>
  <si>
    <t>Numb</t>
  </si>
  <si>
    <t>Cottage Country</t>
  </si>
  <si>
    <t>The Extra Man</t>
  </si>
  <si>
    <t>Thaanaa Serndha Koottam</t>
  </si>
  <si>
    <t>Waiting for Anya</t>
  </si>
  <si>
    <t>Permission</t>
  </si>
  <si>
    <t>Son of the South</t>
  </si>
  <si>
    <t>A Christmas Kiss II</t>
  </si>
  <si>
    <t>In Enemy Hands</t>
  </si>
  <si>
    <t>Seven Stages to Achieve Eternal Bliss</t>
  </si>
  <si>
    <t>The Fanatic</t>
  </si>
  <si>
    <t>Survive the Night</t>
  </si>
  <si>
    <t>Almost an Angel</t>
  </si>
  <si>
    <t>Sillunu Oru Kaadhal</t>
  </si>
  <si>
    <t>Lost in Thailand</t>
  </si>
  <si>
    <t>Beneath</t>
  </si>
  <si>
    <t>Northmen: A Viking Saga</t>
  </si>
  <si>
    <t>The Real Inglorious Bastards</t>
  </si>
  <si>
    <t>The Ash Lad: In Search of the Golden Castle</t>
  </si>
  <si>
    <t>Dear Mr. Gacy</t>
  </si>
  <si>
    <t>Ujda Chaman</t>
  </si>
  <si>
    <t>Walled In</t>
  </si>
  <si>
    <t>Keith Haring: Street Art Boy</t>
  </si>
  <si>
    <t>The Turning</t>
  </si>
  <si>
    <t>Raatchasi</t>
  </si>
  <si>
    <t>Crazy</t>
  </si>
  <si>
    <t>Liberty Stands Still</t>
  </si>
  <si>
    <t>Mine Games</t>
  </si>
  <si>
    <t>Next Time I'll Aim for the Heart</t>
  </si>
  <si>
    <t>A Night in Old Mexico</t>
  </si>
  <si>
    <t>Wrong Turn at Tahoe</t>
  </si>
  <si>
    <t>Selah and the Spades</t>
  </si>
  <si>
    <t>The Princess and the Pirate</t>
  </si>
  <si>
    <t>The Capture of the Green River Killer</t>
  </si>
  <si>
    <t>The Guv'nor</t>
  </si>
  <si>
    <t>Doug Stanhope: No Place Like Home</t>
  </si>
  <si>
    <t>Saints and Soldiers: Airborne Creed</t>
  </si>
  <si>
    <t>Ok Jaanu</t>
  </si>
  <si>
    <t>Hoodman</t>
  </si>
  <si>
    <t>The Aggression Scale</t>
  </si>
  <si>
    <t>The Snow Queen 3: Fire and Ice</t>
  </si>
  <si>
    <t>Butchers</t>
  </si>
  <si>
    <t>Breaking &amp; Exiting</t>
  </si>
  <si>
    <t>Fukrey Returns</t>
  </si>
  <si>
    <t>Last Rampage</t>
  </si>
  <si>
    <t>That Uncertain Feeling</t>
  </si>
  <si>
    <t>William S. Burroughs: A Man Within</t>
  </si>
  <si>
    <t>Transpecos</t>
  </si>
  <si>
    <t>Terror's Advocate</t>
  </si>
  <si>
    <t>23 Blast</t>
  </si>
  <si>
    <t>The Division: Agent Origins</t>
  </si>
  <si>
    <t>Three Wishes</t>
  </si>
  <si>
    <t>Abattoir</t>
  </si>
  <si>
    <t>Double Whammy</t>
  </si>
  <si>
    <t>The Woman Who Wasn't There</t>
  </si>
  <si>
    <t>Animal</t>
  </si>
  <si>
    <t>Finding Altamira</t>
  </si>
  <si>
    <t>A Dangerous Man</t>
  </si>
  <si>
    <t>Urge</t>
  </si>
  <si>
    <t>Running for Grace</t>
  </si>
  <si>
    <t>The Hunting Party</t>
  </si>
  <si>
    <t>Diamond Men</t>
  </si>
  <si>
    <t>Black Water</t>
  </si>
  <si>
    <t>Vehicle 19</t>
  </si>
  <si>
    <t>Gamera the Brave</t>
  </si>
  <si>
    <t>Critical Condition</t>
  </si>
  <si>
    <t>Officer Down</t>
  </si>
  <si>
    <t>Paradise, Hawaiian Style</t>
  </si>
  <si>
    <t>Give 'em Hell, Malone</t>
  </si>
  <si>
    <t>The Adventurers</t>
  </si>
  <si>
    <t>Moonlight and Valentino</t>
  </si>
  <si>
    <t>Eat With Me</t>
  </si>
  <si>
    <t>Craig Ferguson: I'm Here to Help</t>
  </si>
  <si>
    <t>Be Somebody</t>
  </si>
  <si>
    <t>Citizen K</t>
  </si>
  <si>
    <t>Can't Stand Losing You: Surviving The Police</t>
  </si>
  <si>
    <t>Love Everlasting</t>
  </si>
  <si>
    <t>M.O.M. Mothers of Monsters</t>
  </si>
  <si>
    <t>Meet Monica Velour</t>
  </si>
  <si>
    <t>Netflix vs. the World</t>
  </si>
  <si>
    <t>Thank God It's Friday</t>
  </si>
  <si>
    <t>Bunty Aur Babli</t>
  </si>
  <si>
    <t>Jack Goes Home</t>
  </si>
  <si>
    <t>Cold Case</t>
  </si>
  <si>
    <t>Brick Lane</t>
  </si>
  <si>
    <t>Hanover Street</t>
  </si>
  <si>
    <t>Jack Frost</t>
  </si>
  <si>
    <t>Toofan</t>
  </si>
  <si>
    <t>Recoil</t>
  </si>
  <si>
    <t>Trafficked</t>
  </si>
  <si>
    <t>Lone Star State of Mind</t>
  </si>
  <si>
    <t>Tough Guy: The Bob Probert Story</t>
  </si>
  <si>
    <t>The Man Who Cheated Himself</t>
  </si>
  <si>
    <t>Mulberry Street</t>
  </si>
  <si>
    <t>American Mobster: Retribution</t>
  </si>
  <si>
    <t>Examined Life</t>
  </si>
  <si>
    <t>The Ghost Army</t>
  </si>
  <si>
    <t>Lost Child</t>
  </si>
  <si>
    <t>Within Our Gates</t>
  </si>
  <si>
    <t>Gintama</t>
  </si>
  <si>
    <t>Beautiful</t>
  </si>
  <si>
    <t>Tenderness</t>
  </si>
  <si>
    <t>Eternal Beauty</t>
  </si>
  <si>
    <t>Desert Blue</t>
  </si>
  <si>
    <t>Affinity</t>
  </si>
  <si>
    <t>Happiness Continues</t>
  </si>
  <si>
    <t>Dear God</t>
  </si>
  <si>
    <t>Wild Horses</t>
  </si>
  <si>
    <t>The Boy from MedellÃ­n</t>
  </si>
  <si>
    <t>Chasers</t>
  </si>
  <si>
    <t>Extracurricular Activities</t>
  </si>
  <si>
    <t>Tanner Hall</t>
  </si>
  <si>
    <t>The Corrupted</t>
  </si>
  <si>
    <t>Broken Vows</t>
  </si>
  <si>
    <t>Nostradamus</t>
  </si>
  <si>
    <t>The Island on Bird Street</t>
  </si>
  <si>
    <t>Animals</t>
  </si>
  <si>
    <t>Sushi by Biswa Kalyan Rath</t>
  </si>
  <si>
    <t>Domain</t>
  </si>
  <si>
    <t>Once I Was a Beehive</t>
  </si>
  <si>
    <t>Bad Ass 2: Bad Asses</t>
  </si>
  <si>
    <t>Social Animals</t>
  </si>
  <si>
    <t>Primal Rage</t>
  </si>
  <si>
    <t>A Mother's Nightmare</t>
  </si>
  <si>
    <t>Dark Ride</t>
  </si>
  <si>
    <t>The Gracefield Incident</t>
  </si>
  <si>
    <t>Green Is Gold</t>
  </si>
  <si>
    <t>The Music of Silence</t>
  </si>
  <si>
    <t>Train</t>
  </si>
  <si>
    <t>The Benefactor</t>
  </si>
  <si>
    <t>Tiptoes</t>
  </si>
  <si>
    <t>Arsenal</t>
  </si>
  <si>
    <t>Survivor's Guide to Prison</t>
  </si>
  <si>
    <t>Posse</t>
  </si>
  <si>
    <t>Kenny Sebastian : Don't Be That Guy</t>
  </si>
  <si>
    <t>Sharknado 5: Global Swarming</t>
  </si>
  <si>
    <t>Ghost House</t>
  </si>
  <si>
    <t>Beyond the Edge</t>
  </si>
  <si>
    <t>Dishonored Lady</t>
  </si>
  <si>
    <t>Once Upon a Time in London</t>
  </si>
  <si>
    <t>Chitralahari</t>
  </si>
  <si>
    <t>I Bury the Living</t>
  </si>
  <si>
    <t>Joseph Smith: Prophet of the Restoration</t>
  </si>
  <si>
    <t>Afghan Star</t>
  </si>
  <si>
    <t>Stage Door Canteen</t>
  </si>
  <si>
    <t>Deewana</t>
  </si>
  <si>
    <t>In Search of Fellini</t>
  </si>
  <si>
    <t>The Battle Of Chosin</t>
  </si>
  <si>
    <t>Leaving D.C.</t>
  </si>
  <si>
    <t>The Last Descent</t>
  </si>
  <si>
    <t>Lucy and Desi: A Home Movie</t>
  </si>
  <si>
    <t>Edie</t>
  </si>
  <si>
    <t>Wagons East!</t>
  </si>
  <si>
    <t>One and the Same</t>
  </si>
  <si>
    <t>Angels Crest</t>
  </si>
  <si>
    <t>More Beautiful for Having Been Broken</t>
  </si>
  <si>
    <t>Britannia Hospital</t>
  </si>
  <si>
    <t>Wish You Well</t>
  </si>
  <si>
    <t>Rumble: The Indians Who Rocked the World</t>
  </si>
  <si>
    <t>The Curse of Sleeping Beauty</t>
  </si>
  <si>
    <t>Dead Man Running</t>
  </si>
  <si>
    <t>Lego Scooby-Doo! Knight Time Terror</t>
  </si>
  <si>
    <t>Storage 24</t>
  </si>
  <si>
    <t>The Eagle</t>
  </si>
  <si>
    <t>After the Ball</t>
  </si>
  <si>
    <t>Girltrash: All Night Long</t>
  </si>
  <si>
    <t>Madhouse</t>
  </si>
  <si>
    <t>Gnaw</t>
  </si>
  <si>
    <t>Saving ZoÃ«</t>
  </si>
  <si>
    <t>Broil</t>
  </si>
  <si>
    <t>Devil in the Dark</t>
  </si>
  <si>
    <t>Coming Through the Rye</t>
  </si>
  <si>
    <t>The Brainwashing of My Dad</t>
  </si>
  <si>
    <t>Cougars, Inc.</t>
  </si>
  <si>
    <t>Dirty</t>
  </si>
  <si>
    <t>Double Dragon</t>
  </si>
  <si>
    <t>A Wife's Nightmare</t>
  </si>
  <si>
    <t>Moondance Alexander</t>
  </si>
  <si>
    <t>Can We Take a Joke?</t>
  </si>
  <si>
    <t>Beyond the Woods</t>
  </si>
  <si>
    <t>Girls of the Sun</t>
  </si>
  <si>
    <t>Indigenous</t>
  </si>
  <si>
    <t>From the Vine</t>
  </si>
  <si>
    <t>The Planters</t>
  </si>
  <si>
    <t>Mellow Mud</t>
  </si>
  <si>
    <t>You, Me and Him</t>
  </si>
  <si>
    <t>Desert Dancer</t>
  </si>
  <si>
    <t>Female Prisoner Scorpion: #701's Grudge Song</t>
  </si>
  <si>
    <t>The Hard Corps</t>
  </si>
  <si>
    <t>Calamity Jane: LÃ©gende de l'Ouest</t>
  </si>
  <si>
    <t>Only When I Laugh</t>
  </si>
  <si>
    <t>Branded</t>
  </si>
  <si>
    <t>Marilyn Hotchkiss' Ballroom Dancing &amp; Charm School</t>
  </si>
  <si>
    <t>The Cheat</t>
  </si>
  <si>
    <t>The Last Sharknado: It's About Time</t>
  </si>
  <si>
    <t>A Snow Capped Christmas</t>
  </si>
  <si>
    <t>Enigma</t>
  </si>
  <si>
    <t>The Zookeeper</t>
  </si>
  <si>
    <t>Blood Into Wine</t>
  </si>
  <si>
    <t>Be Afraid</t>
  </si>
  <si>
    <t>They Call Us Monsters</t>
  </si>
  <si>
    <t>Badmaash Company</t>
  </si>
  <si>
    <t>The Amazing Quest of Ernest Bliss</t>
  </si>
  <si>
    <t>The Proud Rebel</t>
  </si>
  <si>
    <t>Dancer, Texas Pop. 81</t>
  </si>
  <si>
    <t>The Wedding Year</t>
  </si>
  <si>
    <t>Judge Priest</t>
  </si>
  <si>
    <t>Healing Voices</t>
  </si>
  <si>
    <t>Walkaway Joe</t>
  </si>
  <si>
    <t>Cezanne and I</t>
  </si>
  <si>
    <t>Trois 2: Pandora's Box</t>
  </si>
  <si>
    <t>The True Adventures of Wolfboy</t>
  </si>
  <si>
    <t>Some Freaks</t>
  </si>
  <si>
    <t>Bodysong</t>
  </si>
  <si>
    <t>The White Knights</t>
  </si>
  <si>
    <t>Frances Ferguson</t>
  </si>
  <si>
    <t>My Name Is Salt</t>
  </si>
  <si>
    <t>Saints and Soldiers: The Void</t>
  </si>
  <si>
    <t>Merry Kissmas</t>
  </si>
  <si>
    <t>How Sarah Got Her Wings</t>
  </si>
  <si>
    <t>The Lady Vanishes</t>
  </si>
  <si>
    <t>Last of the Renegades</t>
  </si>
  <si>
    <t>Bloody Tie</t>
  </si>
  <si>
    <t>Magamuni</t>
  </si>
  <si>
    <t>Kalank</t>
  </si>
  <si>
    <t>Sophie and the Rising Sun</t>
  </si>
  <si>
    <t>Crazy Kind of Love</t>
  </si>
  <si>
    <t>TransMilitary</t>
  </si>
  <si>
    <t>Max Cloud</t>
  </si>
  <si>
    <t>Molokai: The Story of Father Damien</t>
  </si>
  <si>
    <t>Ponmagal Vandhal</t>
  </si>
  <si>
    <t>Jaanu</t>
  </si>
  <si>
    <t>Kaappaan</t>
  </si>
  <si>
    <t>Dhadak</t>
  </si>
  <si>
    <t>RX 100</t>
  </si>
  <si>
    <t>George Reddy</t>
  </si>
  <si>
    <t>Sand Castles</t>
  </si>
  <si>
    <t>Louise by the Shore</t>
  </si>
  <si>
    <t>Pyaar Impossible!</t>
  </si>
  <si>
    <t>Bad Ben</t>
  </si>
  <si>
    <t>Mad to Be Normal</t>
  </si>
  <si>
    <t>Raja the Great</t>
  </si>
  <si>
    <t>Free Ride</t>
  </si>
  <si>
    <t>Blood Tea and Red String</t>
  </si>
  <si>
    <t>Eh Janam Tumhare Lekhe</t>
  </si>
  <si>
    <t>Four Kids and It</t>
  </si>
  <si>
    <t>Led Zeppelin: Dazed &amp; Confused</t>
  </si>
  <si>
    <t>True Crime</t>
  </si>
  <si>
    <t>Manikarnika: The Queen of Jhansi</t>
  </si>
  <si>
    <t>Masterminds</t>
  </si>
  <si>
    <t>Lethal Seduction</t>
  </si>
  <si>
    <t>The Ultimate Life</t>
  </si>
  <si>
    <t>The Rainbow</t>
  </si>
  <si>
    <t>40 Carats</t>
  </si>
  <si>
    <t>Generation Aami</t>
  </si>
  <si>
    <t>Motorama</t>
  </si>
  <si>
    <t>Stay Cool</t>
  </si>
  <si>
    <t>The Dark Red</t>
  </si>
  <si>
    <t>Bhaagamathie</t>
  </si>
  <si>
    <t>The Snow Queen 2: Refreeze</t>
  </si>
  <si>
    <t>Falaknuma Das</t>
  </si>
  <si>
    <t>Death Clique</t>
  </si>
  <si>
    <t>Night Comes On</t>
  </si>
  <si>
    <t>The Special</t>
  </si>
  <si>
    <t>Andover</t>
  </si>
  <si>
    <t>Betting On The Bride</t>
  </si>
  <si>
    <t>The Iron Mask</t>
  </si>
  <si>
    <t>Laaga Chunari Mein Daag - Journey of A Woman</t>
  </si>
  <si>
    <t>Anina</t>
  </si>
  <si>
    <t>Virtual Revolution</t>
  </si>
  <si>
    <t>Hunt to Kill</t>
  </si>
  <si>
    <t>Enchantment</t>
  </si>
  <si>
    <t>Charlie &amp; Boots</t>
  </si>
  <si>
    <t>Everything Is Free</t>
  </si>
  <si>
    <t>Call Her Ganda</t>
  </si>
  <si>
    <t>Mujhse Fraaandship Karoge</t>
  </si>
  <si>
    <t>A Most Beautiful Thing</t>
  </si>
  <si>
    <t>Crossworlds</t>
  </si>
  <si>
    <t>Tashan</t>
  </si>
  <si>
    <t>Atlas Shrugged: Part III</t>
  </si>
  <si>
    <t>Youth in Oregon</t>
  </si>
  <si>
    <t>The Myth of Fingerprints</t>
  </si>
  <si>
    <t>Chris Porter: Ugly and Angry</t>
  </si>
  <si>
    <t>Something Ventured</t>
  </si>
  <si>
    <t>Little White Lie</t>
  </si>
  <si>
    <t>Alyce Kills</t>
  </si>
  <si>
    <t>Mully</t>
  </si>
  <si>
    <t>The Angry Red Planet</t>
  </si>
  <si>
    <t>Big Legend</t>
  </si>
  <si>
    <t>BloodRayne</t>
  </si>
  <si>
    <t>Snow White</t>
  </si>
  <si>
    <t>The Deadly Companions</t>
  </si>
  <si>
    <t>Johnny Frank Garrett's Last Word</t>
  </si>
  <si>
    <t>Mikey</t>
  </si>
  <si>
    <t>Birthday Wonderland</t>
  </si>
  <si>
    <t>Iceberg</t>
  </si>
  <si>
    <t>The Wise Kids</t>
  </si>
  <si>
    <t>Emma's Chance</t>
  </si>
  <si>
    <t>Meet Wally Sparks</t>
  </si>
  <si>
    <t>John Leguizamo: Ghetto Klown</t>
  </si>
  <si>
    <t>Beyond the Mask</t>
  </si>
  <si>
    <t>The Cry of the Owl</t>
  </si>
  <si>
    <t>Left Behind: World at War</t>
  </si>
  <si>
    <t>Fortress 2</t>
  </si>
  <si>
    <t>Waiting for Lightning</t>
  </si>
  <si>
    <t>Stealing Cars</t>
  </si>
  <si>
    <t>Dirty Pictures</t>
  </si>
  <si>
    <t>I Hate Kids</t>
  </si>
  <si>
    <t>Extreme Movie</t>
  </si>
  <si>
    <t>When We Last Spoke</t>
  </si>
  <si>
    <t>Back to Christmas</t>
  </si>
  <si>
    <t>Unfinished Sky</t>
  </si>
  <si>
    <t>Satanic</t>
  </si>
  <si>
    <t>Wildflower</t>
  </si>
  <si>
    <t>The Visitors</t>
  </si>
  <si>
    <t>Year of the Gun</t>
  </si>
  <si>
    <t>The Identical</t>
  </si>
  <si>
    <t>Walwal</t>
  </si>
  <si>
    <t>10 Minutes Gone</t>
  </si>
  <si>
    <t>Cannibal Women in the Avocado Jungle of Death</t>
  </si>
  <si>
    <t>SÃ³lo mÃ­a</t>
  </si>
  <si>
    <t>I Am Not Madame Bovary</t>
  </si>
  <si>
    <t>Fiddler: A Miracle of Miracles</t>
  </si>
  <si>
    <t>100 Days to Live</t>
  </si>
  <si>
    <t>The Gospel of John</t>
  </si>
  <si>
    <t>Tart</t>
  </si>
  <si>
    <t>A Little Bit Zombie</t>
  </si>
  <si>
    <t>Picture Day</t>
  </si>
  <si>
    <t>Some Voices</t>
  </si>
  <si>
    <t>Bad Asses on the Bayou</t>
  </si>
  <si>
    <t>Dark Tide</t>
  </si>
  <si>
    <t>A Good Man</t>
  </si>
  <si>
    <t>Another Mother's Son</t>
  </si>
  <si>
    <t>Virginia</t>
  </si>
  <si>
    <t>Raam</t>
  </si>
  <si>
    <t>Hansel and Gretel</t>
  </si>
  <si>
    <t>Gladiators of Rome</t>
  </si>
  <si>
    <t>A Mile in His Shoes</t>
  </si>
  <si>
    <t>Third Man Out</t>
  </si>
  <si>
    <t>100 Women</t>
  </si>
  <si>
    <t>Santa Claus</t>
  </si>
  <si>
    <t>Nota</t>
  </si>
  <si>
    <t>Eddie Griffin: You Can Tell 'Em I Said It</t>
  </si>
  <si>
    <t>Ride The Thunder</t>
  </si>
  <si>
    <t>Little Red Wagon</t>
  </si>
  <si>
    <t>My Name Was Bette: The Life and Death of an Alcoholic</t>
  </si>
  <si>
    <t>Daddy</t>
  </si>
  <si>
    <t>Yeh Dillagi</t>
  </si>
  <si>
    <t>Man in the Attic</t>
  </si>
  <si>
    <t>A Beginner's Guide to Endings</t>
  </si>
  <si>
    <t>Big Kill</t>
  </si>
  <si>
    <t>Elsewhere</t>
  </si>
  <si>
    <t>Rock the Casbah</t>
  </si>
  <si>
    <t>What the Constitution Means to Me</t>
  </si>
  <si>
    <t>Across the Tracks</t>
  </si>
  <si>
    <t>Christmas in Mississippi</t>
  </si>
  <si>
    <t>Smash-Up: The Story of a Woman</t>
  </si>
  <si>
    <t>Born Invincible</t>
  </si>
  <si>
    <t>American Dreamer</t>
  </si>
  <si>
    <t>You Cast A Spell On Me</t>
  </si>
  <si>
    <t>Night of the Running Man</t>
  </si>
  <si>
    <t>The Source of Shadows</t>
  </si>
  <si>
    <t>Discreet</t>
  </si>
  <si>
    <t>Vendetta</t>
  </si>
  <si>
    <t>The Cowboy and the Lady</t>
  </si>
  <si>
    <t>Double Daddy</t>
  </si>
  <si>
    <t>Bad Kids of Crestview Academy</t>
  </si>
  <si>
    <t>Walter</t>
  </si>
  <si>
    <t>Dirtbag: The Legend of Fred Beckey</t>
  </si>
  <si>
    <t>Borsalino and Co.</t>
  </si>
  <si>
    <t>Kabul Express</t>
  </si>
  <si>
    <t>Angels in the Snow</t>
  </si>
  <si>
    <t>Into the Sun</t>
  </si>
  <si>
    <t>Tattoo Nation</t>
  </si>
  <si>
    <t>Make Believe</t>
  </si>
  <si>
    <t>The Christmas Candle</t>
  </si>
  <si>
    <t>Married by Christmas</t>
  </si>
  <si>
    <t>Plug Love</t>
  </si>
  <si>
    <t>Orphan</t>
  </si>
  <si>
    <t>Burden</t>
  </si>
  <si>
    <t>Funny Cow</t>
  </si>
  <si>
    <t>Elon Musk: The Real Life Iron Man</t>
  </si>
  <si>
    <t>Albion: The Enchanted Stallion</t>
  </si>
  <si>
    <t>Songwriter</t>
  </si>
  <si>
    <t>Mah e Mir</t>
  </si>
  <si>
    <t>The Incredible Story of the Giant Pear</t>
  </si>
  <si>
    <t>Twilight Zone: Rod Serling's Lost Classics</t>
  </si>
  <si>
    <t>Love's Kitchen</t>
  </si>
  <si>
    <t>Second in Command</t>
  </si>
  <si>
    <t>The Odds</t>
  </si>
  <si>
    <t>Room 6</t>
  </si>
  <si>
    <t>You and I</t>
  </si>
  <si>
    <t>The Girl from Monaco</t>
  </si>
  <si>
    <t>A Cowgirl's Story</t>
  </si>
  <si>
    <t>Story</t>
  </si>
  <si>
    <t>Mitron</t>
  </si>
  <si>
    <t>Bullet Boy</t>
  </si>
  <si>
    <t>A Nutcracker Christmas</t>
  </si>
  <si>
    <t>Christmas on the Bayou</t>
  </si>
  <si>
    <t>Holly's Holiday</t>
  </si>
  <si>
    <t>Mere Yaar Ki Shaadi Hai</t>
  </si>
  <si>
    <t>Kindred Spirits</t>
  </si>
  <si>
    <t>Top of the Food Chain</t>
  </si>
  <si>
    <t>Summer Night</t>
  </si>
  <si>
    <t>Till Human Voices Wake Us</t>
  </si>
  <si>
    <t>The Mothman of Point Pleasant</t>
  </si>
  <si>
    <t>Out of Time</t>
  </si>
  <si>
    <t>The Black Velvet Gown</t>
  </si>
  <si>
    <t>Tubelight</t>
  </si>
  <si>
    <t>Left Behind II: Tribulation Force</t>
  </si>
  <si>
    <t>See You Soon</t>
  </si>
  <si>
    <t>Mariah Carey's All I Want for Christmas Is You</t>
  </si>
  <si>
    <t>Spinster</t>
  </si>
  <si>
    <t>Love's Last Resort</t>
  </si>
  <si>
    <t>The Go-Between</t>
  </si>
  <si>
    <t>Gehenna: Where Death Lives</t>
  </si>
  <si>
    <t>The Kid from Brooklyn</t>
  </si>
  <si>
    <t>Trading Paint</t>
  </si>
  <si>
    <t>Pablo Francisco: Ouch!</t>
  </si>
  <si>
    <t>The C-Word</t>
  </si>
  <si>
    <t>Befikre</t>
  </si>
  <si>
    <t>Kroos</t>
  </si>
  <si>
    <t>Yearly Departed</t>
  </si>
  <si>
    <t>Dynamite Warrior</t>
  </si>
  <si>
    <t>The Dust Factory</t>
  </si>
  <si>
    <t>Dancing with Maria</t>
  </si>
  <si>
    <t>The Living Sea</t>
  </si>
  <si>
    <t>Mike Epps: Under Rated &amp; Never Faded</t>
  </si>
  <si>
    <t>Aadai</t>
  </si>
  <si>
    <t>Padi Padi Leche Manasu</t>
  </si>
  <si>
    <t>Two Step</t>
  </si>
  <si>
    <t>Grimm Love</t>
  </si>
  <si>
    <t>Speed Kills</t>
  </si>
  <si>
    <t>Big Sur</t>
  </si>
  <si>
    <t>Yellow</t>
  </si>
  <si>
    <t>Happy Birthday</t>
  </si>
  <si>
    <t>Down the Shore</t>
  </si>
  <si>
    <t>The Legion</t>
  </si>
  <si>
    <t>Heatstroke</t>
  </si>
  <si>
    <t>Field of Lost Shoes</t>
  </si>
  <si>
    <t>Doc</t>
  </si>
  <si>
    <t>Blood Brother</t>
  </si>
  <si>
    <t>The Last Days of Lehman Brothers</t>
  </si>
  <si>
    <t>33 &amp; Beyond: The Royal Art of Freemasonry</t>
  </si>
  <si>
    <t>Stalked by My Doctor</t>
  </si>
  <si>
    <t>Jogwa - The Awakening</t>
  </si>
  <si>
    <t>The Pond</t>
  </si>
  <si>
    <t>They Reach</t>
  </si>
  <si>
    <t>Westwood: Punk, Icon, Activist</t>
  </si>
  <si>
    <t>Trouble at Timpetill</t>
  </si>
  <si>
    <t>Hide and Seek</t>
  </si>
  <si>
    <t>The Little Traitor</t>
  </si>
  <si>
    <t>Kaatrin Mozhi</t>
  </si>
  <si>
    <t>The Role</t>
  </si>
  <si>
    <t>Who Gets the Dog?</t>
  </si>
  <si>
    <t>The Hero of Color City</t>
  </si>
  <si>
    <t>Britt-Marie Was Here</t>
  </si>
  <si>
    <t>Thomas &amp; Friends: Tale of the Brave: The Movie</t>
  </si>
  <si>
    <t>Sound! Euphonium the Movie - Our Promise: A Brand New Day</t>
  </si>
  <si>
    <t>Maya the Bee: The Honey Games</t>
  </si>
  <si>
    <t>One Special Night</t>
  </si>
  <si>
    <t>Dragon Eyes</t>
  </si>
  <si>
    <t>Introspectum Motel</t>
  </si>
  <si>
    <t>Drive Thru</t>
  </si>
  <si>
    <t>Hope Lost</t>
  </si>
  <si>
    <t>I Had A Bloody Good Time At House Harker</t>
  </si>
  <si>
    <t>Clifford's Really Big Movie</t>
  </si>
  <si>
    <t>The Second Woman</t>
  </si>
  <si>
    <t>Mourning Son</t>
  </si>
  <si>
    <t>The Perfect Wedding</t>
  </si>
  <si>
    <t>A Christmas Switch</t>
  </si>
  <si>
    <t>Piccadilly Jim</t>
  </si>
  <si>
    <t>Not Forgotten</t>
  </si>
  <si>
    <t>Sleepwalker</t>
  </si>
  <si>
    <t>Full Moon High</t>
  </si>
  <si>
    <t>The Hollow Child</t>
  </si>
  <si>
    <t>Cat Skin</t>
  </si>
  <si>
    <t>The Unnamable</t>
  </si>
  <si>
    <t>Jaanwar</t>
  </si>
  <si>
    <t>First Period</t>
  </si>
  <si>
    <t>Christmas Belle</t>
  </si>
  <si>
    <t>Attack of the Crab Monsters</t>
  </si>
  <si>
    <t>Stallone: Frank, That Is</t>
  </si>
  <si>
    <t>Hard Luck</t>
  </si>
  <si>
    <t>LolliLove</t>
  </si>
  <si>
    <t>Max Reload and the Nether Blasters</t>
  </si>
  <si>
    <t>M.C.A</t>
  </si>
  <si>
    <t>Iceberg Slim: Portrait of a Pimp</t>
  </si>
  <si>
    <t>Bottom of the 9th</t>
  </si>
  <si>
    <t>Half of a Yellow Sun</t>
  </si>
  <si>
    <t>The Gospel of Matthew</t>
  </si>
  <si>
    <t>The Somme</t>
  </si>
  <si>
    <t>A Year in Burgundy</t>
  </si>
  <si>
    <t>Behind Green Lights</t>
  </si>
  <si>
    <t>Bad Blood: A Cautionary Tale</t>
  </si>
  <si>
    <t>Aravind SA - Madrasi Da</t>
  </si>
  <si>
    <t>Maximum Ride</t>
  </si>
  <si>
    <t>Wilder Napalm</t>
  </si>
  <si>
    <t>A Deadly Silence</t>
  </si>
  <si>
    <t>Ephraim's Rescue</t>
  </si>
  <si>
    <t>Bloodlines</t>
  </si>
  <si>
    <t>Gamera vs. Barugon</t>
  </si>
  <si>
    <t>Blood Born</t>
  </si>
  <si>
    <t>Jim Norton: Please Be Offended</t>
  </si>
  <si>
    <t>Fresh Dressed</t>
  </si>
  <si>
    <t>The Amazing Mr Blunden</t>
  </si>
  <si>
    <t>Shadow Puppets</t>
  </si>
  <si>
    <t>Gamera vs. Gyaos</t>
  </si>
  <si>
    <t>House Hunting</t>
  </si>
  <si>
    <t>Darkness Falls</t>
  </si>
  <si>
    <t>Begum Jaan</t>
  </si>
  <si>
    <t>The Art of War II: Betrayal</t>
  </si>
  <si>
    <t>The Winter Lake</t>
  </si>
  <si>
    <t>Allure</t>
  </si>
  <si>
    <t>Jake Shimabukuro: Life on Four Strings</t>
  </si>
  <si>
    <t>Interrogation</t>
  </si>
  <si>
    <t>A Girl Like Grace</t>
  </si>
  <si>
    <t>Prisoner X</t>
  </si>
  <si>
    <t>Crazy for Christmas</t>
  </si>
  <si>
    <t>Abilene Town</t>
  </si>
  <si>
    <t>Jack and Jill vs. The World</t>
  </si>
  <si>
    <t>Almost Mercy</t>
  </si>
  <si>
    <t>A Million Happy Nows</t>
  </si>
  <si>
    <t>Run for the Sun</t>
  </si>
  <si>
    <t>The Magnetic Monster</t>
  </si>
  <si>
    <t>Ardab Mutiyaran</t>
  </si>
  <si>
    <t>Happy Go Lovely</t>
  </si>
  <si>
    <t>Summer</t>
  </si>
  <si>
    <t>Impact After the Crash</t>
  </si>
  <si>
    <t>A Haunting on Dice Road: The Hell House</t>
  </si>
  <si>
    <t>Goodbye, Butterfly</t>
  </si>
  <si>
    <t>Commando 2 - The Black Money Trail</t>
  </si>
  <si>
    <t>The Village of No Return</t>
  </si>
  <si>
    <t>Teen Lust</t>
  </si>
  <si>
    <t>Antarctica</t>
  </si>
  <si>
    <t>Frankenstein</t>
  </si>
  <si>
    <t>Soulless 2</t>
  </si>
  <si>
    <t>Tom Papa: Freaked Out</t>
  </si>
  <si>
    <t>The Jack in the Box</t>
  </si>
  <si>
    <t>Keiko The Untold Story of the Star of Free Willy</t>
  </si>
  <si>
    <t>The Monkey's Paw</t>
  </si>
  <si>
    <t>The Creepy Line</t>
  </si>
  <si>
    <t>Hotel Splendide</t>
  </si>
  <si>
    <t>Kathleen Madigan: Madigan Again</t>
  </si>
  <si>
    <t>Embryo</t>
  </si>
  <si>
    <t>Incognito</t>
  </si>
  <si>
    <t>Talent for the Game</t>
  </si>
  <si>
    <t>Piggy</t>
  </si>
  <si>
    <t>Highlander: The Source</t>
  </si>
  <si>
    <t>The North Star</t>
  </si>
  <si>
    <t>Sunshine Hotel</t>
  </si>
  <si>
    <t>Meet My Valentine</t>
  </si>
  <si>
    <t>Love &amp; Hostages</t>
  </si>
  <si>
    <t>Christmas Do-Over</t>
  </si>
  <si>
    <t>Romans</t>
  </si>
  <si>
    <t>One True Love</t>
  </si>
  <si>
    <t>Act Naturally</t>
  </si>
  <si>
    <t>Cowgirls n' Angels</t>
  </si>
  <si>
    <t>Abducted: Fugitive for Love</t>
  </si>
  <si>
    <t>Tom Papa: Human Mule</t>
  </si>
  <si>
    <t>What Haunts Us</t>
  </si>
  <si>
    <t>The Beast And The Beauty</t>
  </si>
  <si>
    <t>The Ultimate Legacy</t>
  </si>
  <si>
    <t>The Fabulous Allan Carr</t>
  </si>
  <si>
    <t>Off The Menu</t>
  </si>
  <si>
    <t>A Breed Apart</t>
  </si>
  <si>
    <t>The Liberation of L.B. Jones</t>
  </si>
  <si>
    <t>What Remains</t>
  </si>
  <si>
    <t>The Mystery of a Hansom Cab</t>
  </si>
  <si>
    <t>Food and Shelter</t>
  </si>
  <si>
    <t>The Perils of Pauline</t>
  </si>
  <si>
    <t>Enai Noki Paayum Thota</t>
  </si>
  <si>
    <t>Little Annie Rooney</t>
  </si>
  <si>
    <t>A Year and Change</t>
  </si>
  <si>
    <t>Enter the Dangerous Mind</t>
  </si>
  <si>
    <t>Born of Fire</t>
  </si>
  <si>
    <t>Sundown</t>
  </si>
  <si>
    <t>Double Mommy</t>
  </si>
  <si>
    <t>Nancy Drew... Reporter</t>
  </si>
  <si>
    <t>Aurangzeb</t>
  </si>
  <si>
    <t>Daydream Believers: The Monkees Story</t>
  </si>
  <si>
    <t>Porky's 3: Revenge</t>
  </si>
  <si>
    <t>Camp Cool Kids</t>
  </si>
  <si>
    <t>Gamera vs. Jiger</t>
  </si>
  <si>
    <t>I'm in Love with a Church Girl</t>
  </si>
  <si>
    <t>Love is the Word</t>
  </si>
  <si>
    <t>Red Headed Stranger</t>
  </si>
  <si>
    <t>Naachiyaar</t>
  </si>
  <si>
    <t>Family Band: The Cowsills Story</t>
  </si>
  <si>
    <t>Division III: Football's Finest</t>
  </si>
  <si>
    <t>Old Gringo</t>
  </si>
  <si>
    <t>Cider with Rosie</t>
  </si>
  <si>
    <t>Shark Bait</t>
  </si>
  <si>
    <t>F2: Fun and Frustration</t>
  </si>
  <si>
    <t>Gallowwalkers</t>
  </si>
  <si>
    <t>The Climbers</t>
  </si>
  <si>
    <t>The Gospel of Eureka</t>
  </si>
  <si>
    <t>Blue Juice</t>
  </si>
  <si>
    <t>Venky Mama</t>
  </si>
  <si>
    <t>The Green Glove</t>
  </si>
  <si>
    <t>The Last Days of Patton</t>
  </si>
  <si>
    <t>Lewis Black: Black to the Future</t>
  </si>
  <si>
    <t>Inmate Zero</t>
  </si>
  <si>
    <t>Gary Gulman: In This Economy?</t>
  </si>
  <si>
    <t>Love, Kennedy</t>
  </si>
  <si>
    <t>Kill Dil</t>
  </si>
  <si>
    <t>My Dad's Christmas Date</t>
  </si>
  <si>
    <t>How Awful About Allan</t>
  </si>
  <si>
    <t>Making Babies</t>
  </si>
  <si>
    <t>Lazy Susan</t>
  </si>
  <si>
    <t>Chutney Popcorn</t>
  </si>
  <si>
    <t>Last Woman on Earth</t>
  </si>
  <si>
    <t>Shut Him Down: The Rise of Jordan Peterson</t>
  </si>
  <si>
    <t>Evel Knievel</t>
  </si>
  <si>
    <t>Milton's Secret</t>
  </si>
  <si>
    <t>Silent Trigger</t>
  </si>
  <si>
    <t>The Condemned 2</t>
  </si>
  <si>
    <t>A Dog Barking at the Moon</t>
  </si>
  <si>
    <t>A Child's Christmas in Wales</t>
  </si>
  <si>
    <t>You Belong to Me</t>
  </si>
  <si>
    <t>Cowboy Up</t>
  </si>
  <si>
    <t>The Zero Boys</t>
  </si>
  <si>
    <t>The Foreigner</t>
  </si>
  <si>
    <t>The Sci-Fi Boys</t>
  </si>
  <si>
    <t>The Gospel of Mark</t>
  </si>
  <si>
    <t>Love &amp; Coffee</t>
  </si>
  <si>
    <t>Sinbad: Where U Been?</t>
  </si>
  <si>
    <t>Dawn Rider</t>
  </si>
  <si>
    <t>The Mystery of the Sphinx</t>
  </si>
  <si>
    <t>All Roads Lead Home</t>
  </si>
  <si>
    <t>Boynton Beach Club</t>
  </si>
  <si>
    <t>Chicago Overcoat</t>
  </si>
  <si>
    <t>Dummy</t>
  </si>
  <si>
    <t>Don't Let Them In</t>
  </si>
  <si>
    <t>Slappy and the Stinkers</t>
  </si>
  <si>
    <t>Kidnapped: The Hannah Anderson Story</t>
  </si>
  <si>
    <t>Paper Mask</t>
  </si>
  <si>
    <t>The Son of Monte Cristo</t>
  </si>
  <si>
    <t>Venus and Serena</t>
  </si>
  <si>
    <t>Santa Who?</t>
  </si>
  <si>
    <t>Life in Color</t>
  </si>
  <si>
    <t>Speckles: The Tarbosaurus</t>
  </si>
  <si>
    <t>Big Sonia</t>
  </si>
  <si>
    <t>Hate Crime</t>
  </si>
  <si>
    <t>Love Games</t>
  </si>
  <si>
    <t>Chandigarh Amritsar Chandigarh</t>
  </si>
  <si>
    <t>Sniper: Special Ops</t>
  </si>
  <si>
    <t>The Perfect Stranger</t>
  </si>
  <si>
    <t>The Time of Your Life</t>
  </si>
  <si>
    <t>Derrida</t>
  </si>
  <si>
    <t>Somebody's Hero</t>
  </si>
  <si>
    <t>Muffin Top: A Love Story</t>
  </si>
  <si>
    <t>Six Weeks</t>
  </si>
  <si>
    <t>Psycho Bettys from Planet Pussycat</t>
  </si>
  <si>
    <t>Never Too Late</t>
  </si>
  <si>
    <t>Hum Aapke Dil Mein Rehte Hain</t>
  </si>
  <si>
    <t>Invisible Ghost</t>
  </si>
  <si>
    <t>Popi</t>
  </si>
  <si>
    <t>The Mouse on the Moon</t>
  </si>
  <si>
    <t>Sweet Karma</t>
  </si>
  <si>
    <t>The Grief Tourist</t>
  </si>
  <si>
    <t>New Life</t>
  </si>
  <si>
    <t>Alley Cat</t>
  </si>
  <si>
    <t>Exit Speed</t>
  </si>
  <si>
    <t>Street Dogs of South Central</t>
  </si>
  <si>
    <t>Rent-a-Cop</t>
  </si>
  <si>
    <t>David Cross: Oh Come On</t>
  </si>
  <si>
    <t>Tapped Out</t>
  </si>
  <si>
    <t>Steve-O: Guilty as Charged</t>
  </si>
  <si>
    <t>Jim Breuer: And Laughter for All</t>
  </si>
  <si>
    <t>Duress</t>
  </si>
  <si>
    <t>Playback</t>
  </si>
  <si>
    <t>Prince Among Slaves</t>
  </si>
  <si>
    <t>Ekkadiki Pothavu Chinnavada</t>
  </si>
  <si>
    <t>Beneath The Leaves</t>
  </si>
  <si>
    <t>Halloween Party</t>
  </si>
  <si>
    <t>Savage X Fenty Show Vol. 2</t>
  </si>
  <si>
    <t>Ticker</t>
  </si>
  <si>
    <t>The In Crowd</t>
  </si>
  <si>
    <t>Black Jack Pershing: Love and War</t>
  </si>
  <si>
    <t>Kinshasa Makambo</t>
  </si>
  <si>
    <t>The Color of Time</t>
  </si>
  <si>
    <t>Disco Godfather</t>
  </si>
  <si>
    <t>Marilyn Monroe: Beyond the Legend</t>
  </si>
  <si>
    <t>The Deflowering of Eva van End</t>
  </si>
  <si>
    <t>We'll Never Have Paris</t>
  </si>
  <si>
    <t>For the Emperor</t>
  </si>
  <si>
    <t>The Philly Kid</t>
  </si>
  <si>
    <t>Netherbeast Incorporated</t>
  </si>
  <si>
    <t>Born to Win</t>
  </si>
  <si>
    <t>The Science Of Fasting</t>
  </si>
  <si>
    <t>Sisters of War</t>
  </si>
  <si>
    <t>Killer Sofa</t>
  </si>
  <si>
    <t>Aida's Secrets</t>
  </si>
  <si>
    <t>What the Waters Left Behind</t>
  </si>
  <si>
    <t>Brad Williams: Daddy Issues</t>
  </si>
  <si>
    <t>Bad Seed</t>
  </si>
  <si>
    <t>Casey's Shadow</t>
  </si>
  <si>
    <t>Redwood Highway</t>
  </si>
  <si>
    <t>Ente Ummante Peru</t>
  </si>
  <si>
    <t>Stalked by My Doctor: The Return</t>
  </si>
  <si>
    <t>Halal Love Story</t>
  </si>
  <si>
    <t>Srinivasa Kalyanam</t>
  </si>
  <si>
    <t>She's In Portland</t>
  </si>
  <si>
    <t>Corporate</t>
  </si>
  <si>
    <t>Kickboxer 3: The Art of War</t>
  </si>
  <si>
    <t>Threshold</t>
  </si>
  <si>
    <t>You Are My Sunshine</t>
  </si>
  <si>
    <t>Getting to Know You</t>
  </si>
  <si>
    <t>Richard Pryor: Icon</t>
  </si>
  <si>
    <t>The Green Promise</t>
  </si>
  <si>
    <t>Stalked by My Neighbor</t>
  </si>
  <si>
    <t>Once is Enough</t>
  </si>
  <si>
    <t>Carolina Skeletons</t>
  </si>
  <si>
    <t>Vijay</t>
  </si>
  <si>
    <t>Sri Rama Rajyam</t>
  </si>
  <si>
    <t>My Pal Trigger</t>
  </si>
  <si>
    <t>Crime Insiders</t>
  </si>
  <si>
    <t>Jim Breuer: Let's Clear the Air</t>
  </si>
  <si>
    <t>Thomas &amp; Friends: King of the Railway</t>
  </si>
  <si>
    <t>Something to Sing About</t>
  </si>
  <si>
    <t>Spark: A Space Tail</t>
  </si>
  <si>
    <t>Con Man</t>
  </si>
  <si>
    <t>It's So Easy and Other Lies</t>
  </si>
  <si>
    <t>My Normal</t>
  </si>
  <si>
    <t>Dinosaur Island</t>
  </si>
  <si>
    <t>Papita, manÃ­, tostÃ³n</t>
  </si>
  <si>
    <t>Past Midnight</t>
  </si>
  <si>
    <t>An American Carol</t>
  </si>
  <si>
    <t>No Clue</t>
  </si>
  <si>
    <t>Red Woods</t>
  </si>
  <si>
    <t>Cell 213</t>
  </si>
  <si>
    <t>My Santa</t>
  </si>
  <si>
    <t>Dr. Goldfoot and the Girl Bombs</t>
  </si>
  <si>
    <t>Xchange</t>
  </si>
  <si>
    <t>Tell Your Children</t>
  </si>
  <si>
    <t>Paris by Night</t>
  </si>
  <si>
    <t>The Haunting of Sharon Tate</t>
  </si>
  <si>
    <t>Lake Effects</t>
  </si>
  <si>
    <t>The Lift</t>
  </si>
  <si>
    <t>The Gospel of Luke</t>
  </si>
  <si>
    <t>Bhaji on the Beach</t>
  </si>
  <si>
    <t>Steep</t>
  </si>
  <si>
    <t>An Affair</t>
  </si>
  <si>
    <t>Road Less Traveled</t>
  </si>
  <si>
    <t>Bad Hurt</t>
  </si>
  <si>
    <t>Lincoln@Gettysburg</t>
  </si>
  <si>
    <t>Pain Warriors</t>
  </si>
  <si>
    <t>Dakota's Summer</t>
  </si>
  <si>
    <t>Tennessee Whiskey: The Dean Dillon Story</t>
  </si>
  <si>
    <t>A Christmas in Royal Fashion</t>
  </si>
  <si>
    <t>Violets Are Blue</t>
  </si>
  <si>
    <t>Modris</t>
  </si>
  <si>
    <t>Time of Death</t>
  </si>
  <si>
    <t>Whistle Stop</t>
  </si>
  <si>
    <t>Cheers For Miss Bishop</t>
  </si>
  <si>
    <t>Dabangg 3</t>
  </si>
  <si>
    <t>Brother Nature</t>
  </si>
  <si>
    <t>Camp Cold Brook</t>
  </si>
  <si>
    <t>Zoombies</t>
  </si>
  <si>
    <t>Eat My Dust</t>
  </si>
  <si>
    <t>Welcome to the Hartmanns</t>
  </si>
  <si>
    <t>My Pet Dinosaur</t>
  </si>
  <si>
    <t>Matt Braunger: Big Dumb Animal</t>
  </si>
  <si>
    <t>Ace of Hearts</t>
  </si>
  <si>
    <t>The Alpha Test</t>
  </si>
  <si>
    <t>The Marksman</t>
  </si>
  <si>
    <t>The Hunted</t>
  </si>
  <si>
    <t>Windows</t>
  </si>
  <si>
    <t>The Consequence</t>
  </si>
  <si>
    <t>Space Dogs</t>
  </si>
  <si>
    <t>Babysitter</t>
  </si>
  <si>
    <t>Anita</t>
  </si>
  <si>
    <t>Kadaram Kondan</t>
  </si>
  <si>
    <t>In Search of Mozart</t>
  </si>
  <si>
    <t>The Gardener</t>
  </si>
  <si>
    <t>Siddharth</t>
  </si>
  <si>
    <t>Herb</t>
  </si>
  <si>
    <t>The Escape of Prisoner 614</t>
  </si>
  <si>
    <t>Don Q Son of Zorro</t>
  </si>
  <si>
    <t>Unlikely Angel</t>
  </si>
  <si>
    <t>Escape From a Nazi Death Camp</t>
  </si>
  <si>
    <t>Ice Blues</t>
  </si>
  <si>
    <t>Wheeler</t>
  </si>
  <si>
    <t>The House Across the Bay</t>
  </si>
  <si>
    <t>Close Range</t>
  </si>
  <si>
    <t>Thunder Alley</t>
  </si>
  <si>
    <t>The Surface</t>
  </si>
  <si>
    <t>Beta</t>
  </si>
  <si>
    <t>Gabriela</t>
  </si>
  <si>
    <t>Rufus</t>
  </si>
  <si>
    <t>Ruby's Studio: the Feelings Show</t>
  </si>
  <si>
    <t>Yajamana</t>
  </si>
  <si>
    <t>Silver Wolf</t>
  </si>
  <si>
    <t>Lake City</t>
  </si>
  <si>
    <t>A Husband for Christmas</t>
  </si>
  <si>
    <t>Savyasachi</t>
  </si>
  <si>
    <t>The Tiger Hunter</t>
  </si>
  <si>
    <t>Criminally Insane</t>
  </si>
  <si>
    <t>Of Two Minds</t>
  </si>
  <si>
    <t>Grace</t>
  </si>
  <si>
    <t>Gamera vs. Guiron</t>
  </si>
  <si>
    <t>God's Compass</t>
  </si>
  <si>
    <t>Nobody</t>
  </si>
  <si>
    <t>Camino</t>
  </si>
  <si>
    <t>The Conclave</t>
  </si>
  <si>
    <t>The Mystery of Agatha Christie with David Suchet</t>
  </si>
  <si>
    <t>My Neighborâ€™s Wife</t>
  </si>
  <si>
    <t>Local Legends</t>
  </si>
  <si>
    <t>Change in the Air</t>
  </si>
  <si>
    <t>The Hike</t>
  </si>
  <si>
    <t>Jean of the Joneses</t>
  </si>
  <si>
    <t>Eye of the Beholder: The Art of Dungeons &amp; Dragons</t>
  </si>
  <si>
    <t>The Saturn V Story</t>
  </si>
  <si>
    <t>The Silent Mountain</t>
  </si>
  <si>
    <t>David</t>
  </si>
  <si>
    <t>Ostatni ludzie Czarnobyla</t>
  </si>
  <si>
    <t>Winds of the Wasteland</t>
  </si>
  <si>
    <t>4/20 Massacre</t>
  </si>
  <si>
    <t>Avida</t>
  </si>
  <si>
    <t>Toxic Shark</t>
  </si>
  <si>
    <t>Stalled</t>
  </si>
  <si>
    <t>The Doctor, The Tornado &amp; The Kentucky Kid</t>
  </si>
  <si>
    <t>Out of the Wild</t>
  </si>
  <si>
    <t>1999 Madeleine</t>
  </si>
  <si>
    <t>Gunday</t>
  </si>
  <si>
    <t>Les invitÃ©s de mon pÃ¨re</t>
  </si>
  <si>
    <t>Story Of Queen: Mercury Rising</t>
  </si>
  <si>
    <t>The Crystal Ball</t>
  </si>
  <si>
    <t>A Hitman in London</t>
  </si>
  <si>
    <t>Nene Raju Nene Mantri</t>
  </si>
  <si>
    <t>Redeemer</t>
  </si>
  <si>
    <t>Dwayne Perkins: Take Note</t>
  </si>
  <si>
    <t>Most Likely to Succeed</t>
  </si>
  <si>
    <t>Adventures of Power</t>
  </si>
  <si>
    <t>A To Zeppelin: The Story Of Led Zeppelin</t>
  </si>
  <si>
    <t>I'll Take Sweden</t>
  </si>
  <si>
    <t>The Puppetoon Movie</t>
  </si>
  <si>
    <t>The Great War</t>
  </si>
  <si>
    <t>Stash House</t>
  </si>
  <si>
    <t>Bloody Knuckles</t>
  </si>
  <si>
    <t>Jungle Shuffle</t>
  </si>
  <si>
    <t>Oklahoma Crude</t>
  </si>
  <si>
    <t>Robert</t>
  </si>
  <si>
    <t>Spirits of the Air, Gremlins of the Clouds</t>
  </si>
  <si>
    <t>Kickin' It Old Skool</t>
  </si>
  <si>
    <t>Eugene Mirman: Vegan on His Way to the Complain Store</t>
  </si>
  <si>
    <t>Journey to Royal: A WWII Rescue Mission</t>
  </si>
  <si>
    <t>Margaret Cho: PsyCHO</t>
  </si>
  <si>
    <t>Heartbeats</t>
  </si>
  <si>
    <t>Tom Sawyer &amp; Huckleberry Finn</t>
  </si>
  <si>
    <t>Almost Sunrise</t>
  </si>
  <si>
    <t>Penguin</t>
  </si>
  <si>
    <t>Bazodee</t>
  </si>
  <si>
    <t>There Is Many Like Us</t>
  </si>
  <si>
    <t>The Night Crew</t>
  </si>
  <si>
    <t>The First American</t>
  </si>
  <si>
    <t>Stone Pillow</t>
  </si>
  <si>
    <t>What Happens Next</t>
  </si>
  <si>
    <t>The Smell of Success</t>
  </si>
  <si>
    <t>Against a Crooked Sky</t>
  </si>
  <si>
    <t>Midnight</t>
  </si>
  <si>
    <t>American Tragedy</t>
  </si>
  <si>
    <t>Never Let Go</t>
  </si>
  <si>
    <t>They Come to America IV: Immigration &amp; Politics</t>
  </si>
  <si>
    <t>The Girl Is in Trouble</t>
  </si>
  <si>
    <t>Gamera vs. Viras</t>
  </si>
  <si>
    <t>Ned Kelly</t>
  </si>
  <si>
    <t>Tracktown</t>
  </si>
  <si>
    <t>BloodRayne: The Third Reich</t>
  </si>
  <si>
    <t>The Silver Brumby</t>
  </si>
  <si>
    <t>We Think the World of You</t>
  </si>
  <si>
    <t>Black Field</t>
  </si>
  <si>
    <t>Konga</t>
  </si>
  <si>
    <t>The Eternal</t>
  </si>
  <si>
    <t>Consumed</t>
  </si>
  <si>
    <t>Mere Dad Ki Maruti</t>
  </si>
  <si>
    <t>Revenge for Jolly!</t>
  </si>
  <si>
    <t>The Days of Noah Part 1: The Flood</t>
  </si>
  <si>
    <t>Journey Together</t>
  </si>
  <si>
    <t>El Crazy Che</t>
  </si>
  <si>
    <t>Wrangler: Anatomy of an Icon</t>
  </si>
  <si>
    <t>Imaginary Friend</t>
  </si>
  <si>
    <t>Udhayam NH4</t>
  </si>
  <si>
    <t>A Haunting On Dice Road 2: Town of the Dead</t>
  </si>
  <si>
    <t>Kempe Gowda</t>
  </si>
  <si>
    <t>Reunion</t>
  </si>
  <si>
    <t>Confession</t>
  </si>
  <si>
    <t>Secretly (Chori Chori)</t>
  </si>
  <si>
    <t>Steve Trevino: 'Til Death</t>
  </si>
  <si>
    <t>Spirit of the Pony Express</t>
  </si>
  <si>
    <t>Four</t>
  </si>
  <si>
    <t>Sweet Home Carolina</t>
  </si>
  <si>
    <t>Long Lost Son</t>
  </si>
  <si>
    <t>Lift Me Up</t>
  </si>
  <si>
    <t>The Ambassador's Daughter</t>
  </si>
  <si>
    <t>Carrie's War</t>
  </si>
  <si>
    <t>Mahler on the Couch</t>
  </si>
  <si>
    <t>Shola Aur Shabnam</t>
  </si>
  <si>
    <t>All Stars</t>
  </si>
  <si>
    <t>N.T.R: Kathanayakudu</t>
  </si>
  <si>
    <t>A World Away</t>
  </si>
  <si>
    <t>Like Arrows</t>
  </si>
  <si>
    <t>Caught Up</t>
  </si>
  <si>
    <t>Until September</t>
  </si>
  <si>
    <t>Allies</t>
  </si>
  <si>
    <t>Baabul</t>
  </si>
  <si>
    <t>Road Dogz</t>
  </si>
  <si>
    <t>Loyalty &amp; Respect</t>
  </si>
  <si>
    <t>The 41â€“Yearâ€“Old Virgin Who Knocked Up Sarah Marshall and Felt Superbad About It</t>
  </si>
  <si>
    <t>The Man From Utah</t>
  </si>
  <si>
    <t>Gog</t>
  </si>
  <si>
    <t>Ghost Team One</t>
  </si>
  <si>
    <t>Slipstream</t>
  </si>
  <si>
    <t>Honeymoon</t>
  </si>
  <si>
    <t>Shotgun</t>
  </si>
  <si>
    <t>Home Invasion</t>
  </si>
  <si>
    <t>Snakes and Earrings</t>
  </si>
  <si>
    <t>Tormented</t>
  </si>
  <si>
    <t>Home Sweet Home</t>
  </si>
  <si>
    <t>Ukraine Is Not a Brothel</t>
  </si>
  <si>
    <t>Silas Marner</t>
  </si>
  <si>
    <t>Walter Williams: Suffer No Fools</t>
  </si>
  <si>
    <t>Cafe Society</t>
  </si>
  <si>
    <t>The Perfect Daughter</t>
  </si>
  <si>
    <t>Our Mighty Yaya</t>
  </si>
  <si>
    <t>The Trumpet Of The Swan</t>
  </si>
  <si>
    <t>Delightfully Dangerous</t>
  </si>
  <si>
    <t>My Brother's Keeper</t>
  </si>
  <si>
    <t>Hostile Border</t>
  </si>
  <si>
    <t>Brad Williams: Fun Size</t>
  </si>
  <si>
    <t>Pride and Prejudice - A New Musical</t>
  </si>
  <si>
    <t>Dominick Dunne: After the Party</t>
  </si>
  <si>
    <t>Joni</t>
  </si>
  <si>
    <t>These Streets We Haunt</t>
  </si>
  <si>
    <t>The Fight Within</t>
  </si>
  <si>
    <t>Soul to Keep</t>
  </si>
  <si>
    <t>Beatles Stories</t>
  </si>
  <si>
    <t>Resistance</t>
  </si>
  <si>
    <t>Red Rover</t>
  </si>
  <si>
    <t>Top Dog</t>
  </si>
  <si>
    <t>The Age of Blood</t>
  </si>
  <si>
    <t>Sweet Sunshine</t>
  </si>
  <si>
    <t>The Interpreters</t>
  </si>
  <si>
    <t>Born to the West</t>
  </si>
  <si>
    <t>Steps</t>
  </si>
  <si>
    <t>Millie</t>
  </si>
  <si>
    <t>Kaloori</t>
  </si>
  <si>
    <t>Gharana Mogudu</t>
  </si>
  <si>
    <t>Adam Ferrara: Funny As Hell</t>
  </si>
  <si>
    <t>Echoes of Fear</t>
  </si>
  <si>
    <t>The Sign of Four</t>
  </si>
  <si>
    <t>306 Hollywood</t>
  </si>
  <si>
    <t>We Still Say Grace</t>
  </si>
  <si>
    <t>A Christmas Recipe for Romance</t>
  </si>
  <si>
    <t>Stan Lee Presents: Mosaic</t>
  </si>
  <si>
    <t>Doll Face</t>
  </si>
  <si>
    <t>National Lampoon's The Legend of Awesomest Maximus</t>
  </si>
  <si>
    <t>The Wild Horse Redemption</t>
  </si>
  <si>
    <t>Faan's Train</t>
  </si>
  <si>
    <t>Omega Doom</t>
  </si>
  <si>
    <t>Curse of the Mayans</t>
  </si>
  <si>
    <t>Intern</t>
  </si>
  <si>
    <t>Blue Steel</t>
  </si>
  <si>
    <t>Eternally Yours</t>
  </si>
  <si>
    <t>Wah-Wah</t>
  </si>
  <si>
    <t>The Rise &amp; Fall of Penn Station</t>
  </si>
  <si>
    <t>The Perfect Weapon</t>
  </si>
  <si>
    <t>Good Morning, Killer</t>
  </si>
  <si>
    <t>Bob the Drag Queen: Suspiciously Large Woman</t>
  </si>
  <si>
    <t>Expiry</t>
  </si>
  <si>
    <t>The Hairy Ape</t>
  </si>
  <si>
    <t>Raffles</t>
  </si>
  <si>
    <t>Olympia</t>
  </si>
  <si>
    <t>Ear Buds: The Podcasting Documentary</t>
  </si>
  <si>
    <t>Cry Uncle!</t>
  </si>
  <si>
    <t>Motives 2</t>
  </si>
  <si>
    <t>Luckytown</t>
  </si>
  <si>
    <t>Remington and the Curse of the Zombadings</t>
  </si>
  <si>
    <t>Without a Paddle: Nature's Calling</t>
  </si>
  <si>
    <t>No Greater Love</t>
  </si>
  <si>
    <t>Vampire Dog</t>
  </si>
  <si>
    <t>The Manster</t>
  </si>
  <si>
    <t>The Ride</t>
  </si>
  <si>
    <t>Maria Bamford: Weakness Is the Brand</t>
  </si>
  <si>
    <t>Elipsis</t>
  </si>
  <si>
    <t>Rapid Response</t>
  </si>
  <si>
    <t>Andrew Dice Clay: One Night with Dice</t>
  </si>
  <si>
    <t>Fireman Sam: The Great Fire of Pontypandy</t>
  </si>
  <si>
    <t>Living the Change: Inspiring Stories for a Sustainable Future</t>
  </si>
  <si>
    <t>Chris Porter: A Man From Kansas</t>
  </si>
  <si>
    <t>Unspeakable</t>
  </si>
  <si>
    <t>Mark &amp; Russell's Wild Ride</t>
  </si>
  <si>
    <t>Azorian: The Raising of the K-129</t>
  </si>
  <si>
    <t>Arrowhead</t>
  </si>
  <si>
    <t>Romeo Ranjha</t>
  </si>
  <si>
    <t>The Work and the Glory</t>
  </si>
  <si>
    <t>Physical Graffiti: A Classic Album Under Review</t>
  </si>
  <si>
    <t>Teenage Bank Heist</t>
  </si>
  <si>
    <t>Late Bloomers</t>
  </si>
  <si>
    <t>Bewakoofiyaan</t>
  </si>
  <si>
    <t>ETs Among Us: UFO Witnesses and Whistleblowers</t>
  </si>
  <si>
    <t>Three Guys Named Mike</t>
  </si>
  <si>
    <t>Miracle in the Woods</t>
  </si>
  <si>
    <t>The Legend of Sarila</t>
  </si>
  <si>
    <t>Dennis Hopper: Uneasy Rider</t>
  </si>
  <si>
    <t>The Race Underground</t>
  </si>
  <si>
    <t>Steve Byrne: The Byrne Identity</t>
  </si>
  <si>
    <t>The Wrong Car</t>
  </si>
  <si>
    <t>Karma</t>
  </si>
  <si>
    <t>Apocalypse Soon: The Making of 'Citizen Toxie'</t>
  </si>
  <si>
    <t>Joey Coco Diaz: Sociably UnAcceptable</t>
  </si>
  <si>
    <t>#Lucky Number</t>
  </si>
  <si>
    <t>Heterosexual Jill</t>
  </si>
  <si>
    <t>Cocaine Prison</t>
  </si>
  <si>
    <t>Noor</t>
  </si>
  <si>
    <t>El Gringo</t>
  </si>
  <si>
    <t>Flight of Fury</t>
  </si>
  <si>
    <t>Doe</t>
  </si>
  <si>
    <t>Ice</t>
  </si>
  <si>
    <t>The Dragon Pearl</t>
  </si>
  <si>
    <t>Morgan Murphy: Irish Goodbye</t>
  </si>
  <si>
    <t>The Uncomfortable Truth</t>
  </si>
  <si>
    <t>The Immortalists</t>
  </si>
  <si>
    <t>The Great Alligator</t>
  </si>
  <si>
    <t>My Last Love</t>
  </si>
  <si>
    <t>Queens and Cowboys: A Straight Year on the Gay Rodeo</t>
  </si>
  <si>
    <t>Come Out Fighting</t>
  </si>
  <si>
    <t>Hitler's SS: Portrait In Evil</t>
  </si>
  <si>
    <t>Hell Commandos</t>
  </si>
  <si>
    <t>Acquainted</t>
  </si>
  <si>
    <t>The Heiress</t>
  </si>
  <si>
    <t>Apple of My Eye</t>
  </si>
  <si>
    <t>Sankashta Kara Ganapathi</t>
  </si>
  <si>
    <t>Attack Force</t>
  </si>
  <si>
    <t>A Girl's Best Friend</t>
  </si>
  <si>
    <t>Life with Murder</t>
  </si>
  <si>
    <t>Skills Like This</t>
  </si>
  <si>
    <t>Gen-Y Cops</t>
  </si>
  <si>
    <t>Sahil Shah's: Childish Behaviour</t>
  </si>
  <si>
    <t>Third Eye Spies</t>
  </si>
  <si>
    <t>The Trojan Horse</t>
  </si>
  <si>
    <t>Dudes &amp; Dragons</t>
  </si>
  <si>
    <t>Nevada</t>
  </si>
  <si>
    <t>Martin Lawrence Doinâ€™ Time</t>
  </si>
  <si>
    <t>Prisoner Number A26188: Henia Bryer</t>
  </si>
  <si>
    <t>Trump: The Art of the Insult</t>
  </si>
  <si>
    <t>Little Murder</t>
  </si>
  <si>
    <t>Flight 666</t>
  </si>
  <si>
    <t>In the Dark Half</t>
  </si>
  <si>
    <t>All She Wishes</t>
  </si>
  <si>
    <t>Yellow Colt</t>
  </si>
  <si>
    <t>Lazarus</t>
  </si>
  <si>
    <t>Shackles</t>
  </si>
  <si>
    <t>The Vampire Happening</t>
  </si>
  <si>
    <t>Blood, Sand &amp; Gold</t>
  </si>
  <si>
    <t>Finding Grace</t>
  </si>
  <si>
    <t>Ghost in the Graveyard</t>
  </si>
  <si>
    <t>Anthem of a Teenage Prophet</t>
  </si>
  <si>
    <t>Inside Out</t>
  </si>
  <si>
    <t>The Wedding Night</t>
  </si>
  <si>
    <t>10 Cent Pistol</t>
  </si>
  <si>
    <t>Naples '44</t>
  </si>
  <si>
    <t>Muay Thai Giant</t>
  </si>
  <si>
    <t>Girlfriends of Christmas Past</t>
  </si>
  <si>
    <t>Taking 5</t>
  </si>
  <si>
    <t>Supercon</t>
  </si>
  <si>
    <t>Salmonberries</t>
  </si>
  <si>
    <t>Who's Your Caddy?</t>
  </si>
  <si>
    <t>Sugar Daddies</t>
  </si>
  <si>
    <t>The Over-the-Hill Gang Rides Again</t>
  </si>
  <si>
    <t>Pride of the Bowery</t>
  </si>
  <si>
    <t>Leading Lady</t>
  </si>
  <si>
    <t>A Company Of Heroes</t>
  </si>
  <si>
    <t>Night Skies</t>
  </si>
  <si>
    <t>Keeping the Promise</t>
  </si>
  <si>
    <t>Warriors of the Year 2072</t>
  </si>
  <si>
    <t>Urvi</t>
  </si>
  <si>
    <t>Saved by Grace</t>
  </si>
  <si>
    <t>Survival of the Film Freaks</t>
  </si>
  <si>
    <t>Stalking Chernobyl: Exploration After Apocalypse</t>
  </si>
  <si>
    <t>12 Dog Days Till Christmas</t>
  </si>
  <si>
    <t>A Christmas Princess</t>
  </si>
  <si>
    <t>Flesh Eating Mothers</t>
  </si>
  <si>
    <t>The Patchwork Girl of Oz</t>
  </si>
  <si>
    <t>Ghost</t>
  </si>
  <si>
    <t>Hank and Mike</t>
  </si>
  <si>
    <t>Doors Open</t>
  </si>
  <si>
    <t>The Over-the-Hill Gang</t>
  </si>
  <si>
    <t>Welcome to Kutsher's: The Last Catskills Resort</t>
  </si>
  <si>
    <t>French Biriyani</t>
  </si>
  <si>
    <t>Reclusion</t>
  </si>
  <si>
    <t>Remember the Sultana</t>
  </si>
  <si>
    <t>Messenger on a White Horse</t>
  </si>
  <si>
    <t>Hesburgh</t>
  </si>
  <si>
    <t>An English Haunting</t>
  </si>
  <si>
    <t>Wodehouse In Exile</t>
  </si>
  <si>
    <t>Out of Liberty</t>
  </si>
  <si>
    <t>Gone Missing</t>
  </si>
  <si>
    <t>Anjelah Johnson: The Homecoming Show</t>
  </si>
  <si>
    <t>U.F.O.</t>
  </si>
  <si>
    <t>Gold Star</t>
  </si>
  <si>
    <t>The Chef's Wife</t>
  </si>
  <si>
    <t>Madha</t>
  </si>
  <si>
    <t>Va</t>
  </si>
  <si>
    <t>A Haunting in Georgia</t>
  </si>
  <si>
    <t>The Farmer and the Belle: Saving Santaland</t>
  </si>
  <si>
    <t>On the Trail of Bigfoot- The Search</t>
  </si>
  <si>
    <t>Andaaz</t>
  </si>
  <si>
    <t>Bryan Callen: Never Grow Up</t>
  </si>
  <si>
    <t>White Fire</t>
  </si>
  <si>
    <t>Gallagher: the Bookkeeper</t>
  </si>
  <si>
    <t>The Sundowners</t>
  </si>
  <si>
    <t>Sprinter</t>
  </si>
  <si>
    <t>Chocolate City</t>
  </si>
  <si>
    <t>Wandering Eye</t>
  </si>
  <si>
    <t>Bruce Lee: The Man, The Myth</t>
  </si>
  <si>
    <t>Grateful Dawg</t>
  </si>
  <si>
    <t>The Adventures of RoboRex</t>
  </si>
  <si>
    <t>Rodeo and Juliet</t>
  </si>
  <si>
    <t>Debug</t>
  </si>
  <si>
    <t>My Beautiful Bride</t>
  </si>
  <si>
    <t>Volcanic UFO Mysteries</t>
  </si>
  <si>
    <t>What if it Works?</t>
  </si>
  <si>
    <t>Loafer</t>
  </si>
  <si>
    <t>Marriage of Lies</t>
  </si>
  <si>
    <t>Manhattan Undying</t>
  </si>
  <si>
    <t>Kiltro</t>
  </si>
  <si>
    <t>Casual Encounters</t>
  </si>
  <si>
    <t>Jhoom Barabar Jhoom</t>
  </si>
  <si>
    <t>The McMasters</t>
  </si>
  <si>
    <t>Circle of Two</t>
  </si>
  <si>
    <t>Floating City</t>
  </si>
  <si>
    <t>Street of No Return</t>
  </si>
  <si>
    <t>Fanney Khan</t>
  </si>
  <si>
    <t>Missing Mom</t>
  </si>
  <si>
    <t>Elimination Game</t>
  </si>
  <si>
    <t>Eddie Griffin: Undeniable</t>
  </si>
  <si>
    <t>Apparition</t>
  </si>
  <si>
    <t>Billy Gardell: Halftime</t>
  </si>
  <si>
    <t>The Cleansing</t>
  </si>
  <si>
    <t>Drunk Wedding</t>
  </si>
  <si>
    <t>Trade Winds</t>
  </si>
  <si>
    <t>Idaho The Movie</t>
  </si>
  <si>
    <t>Garnetâ€™s Gold</t>
  </si>
  <si>
    <t>Agathe ClÃ©ry</t>
  </si>
  <si>
    <t>Dushmani: A Violent Love Story</t>
  </si>
  <si>
    <t>Deadlocked</t>
  </si>
  <si>
    <t>Smitty</t>
  </si>
  <si>
    <t>If These Knishes Could Talk: The Story of the NY Accent</t>
  </si>
  <si>
    <t>Dan Cummins: Get Outta Here; Devil!</t>
  </si>
  <si>
    <t>Guilty Men</t>
  </si>
  <si>
    <t>I Am Watching You</t>
  </si>
  <si>
    <t>Taqdeerwala</t>
  </si>
  <si>
    <t>Bright Hill Road</t>
  </si>
  <si>
    <t>Karate Warriors</t>
  </si>
  <si>
    <t>Dino Dana: The Movie</t>
  </si>
  <si>
    <t>The Moo Man</t>
  </si>
  <si>
    <t>Spooks Run Wild</t>
  </si>
  <si>
    <t>Tc Gn: Take Care Good Night</t>
  </si>
  <si>
    <t>Egypt's Lost Queens</t>
  </si>
  <si>
    <t>Safe Inside</t>
  </si>
  <si>
    <t>Fairhaven</t>
  </si>
  <si>
    <t>Monsieur Papa</t>
  </si>
  <si>
    <t>Hard to Get</t>
  </si>
  <si>
    <t>Falling from the Sky: Flight 174</t>
  </si>
  <si>
    <t>Jaya Janaki Nayaka</t>
  </si>
  <si>
    <t>My Dad's a Soccer Mom</t>
  </si>
  <si>
    <t>Zombies Have Fallen</t>
  </si>
  <si>
    <t>Cabin 28</t>
  </si>
  <si>
    <t>Kireedam</t>
  </si>
  <si>
    <t>Dohchay</t>
  </si>
  <si>
    <t>By Love Possessed</t>
  </si>
  <si>
    <t>The Delegation</t>
  </si>
  <si>
    <t>Aatagadharaa Siva</t>
  </si>
  <si>
    <t>Slow Burn</t>
  </si>
  <si>
    <t>No Place to Hide: The Rehtaeh Parsons Story</t>
  </si>
  <si>
    <t>Apache Woman</t>
  </si>
  <si>
    <t>Ek Niranjan</t>
  </si>
  <si>
    <t>Nervous Ticks</t>
  </si>
  <si>
    <t>Ghosts on the Loose</t>
  </si>
  <si>
    <t>Doubting Thomas</t>
  </si>
  <si>
    <t>Loco Love</t>
  </si>
  <si>
    <t>A Bucket of Blood</t>
  </si>
  <si>
    <t>The Engagement Ring</t>
  </si>
  <si>
    <t>Fighting Caravans</t>
  </si>
  <si>
    <t>The Price of Fame</t>
  </si>
  <si>
    <t>Kaafi Filmy</t>
  </si>
  <si>
    <t>The Forbidden Dance</t>
  </si>
  <si>
    <t>Tone Bell - Can't Cancel This</t>
  </si>
  <si>
    <t>My 5 Wives</t>
  </si>
  <si>
    <t>The Sleepless</t>
  </si>
  <si>
    <t>Knuckle Jack</t>
  </si>
  <si>
    <t>The Devil to Pay!</t>
  </si>
  <si>
    <t>Hans Christian Andersen: My Life as a Fairytale</t>
  </si>
  <si>
    <t>First We Take Brooklyn</t>
  </si>
  <si>
    <t>Hide Away</t>
  </si>
  <si>
    <t>In Search of Doc Holliday</t>
  </si>
  <si>
    <t>Katherine</t>
  </si>
  <si>
    <t>The Speed of Thought</t>
  </si>
  <si>
    <t>Bulldog Drummond</t>
  </si>
  <si>
    <t>It Happened One Valentine's</t>
  </si>
  <si>
    <t>Shoelaces for Christmas</t>
  </si>
  <si>
    <t>The Hottie &amp; The Nottie</t>
  </si>
  <si>
    <t>Devil's Diary</t>
  </si>
  <si>
    <t>Before the Revolution</t>
  </si>
  <si>
    <t>Flying Elephants</t>
  </si>
  <si>
    <t>Gamera vs. Zigra</t>
  </si>
  <si>
    <t>I Met My Love Again</t>
  </si>
  <si>
    <t>Secrets of Deception</t>
  </si>
  <si>
    <t>Love Is a Ball</t>
  </si>
  <si>
    <t>Bengal Tiger</t>
  </si>
  <si>
    <t>Ferro</t>
  </si>
  <si>
    <t>Paradise Canyon</t>
  </si>
  <si>
    <t>Bottom Feeders</t>
  </si>
  <si>
    <t>Henry Rollins: Keep Talking, Pal.</t>
  </si>
  <si>
    <t>Kill Order</t>
  </si>
  <si>
    <t>Cameron Esposito: Marriage Material</t>
  </si>
  <si>
    <t>Adolf Hitler - My Part in His Downfall</t>
  </si>
  <si>
    <t>Achmed Saves America</t>
  </si>
  <si>
    <t>Loving Miss Hatto</t>
  </si>
  <si>
    <t>Blue</t>
  </si>
  <si>
    <t>Madagascar Skin</t>
  </si>
  <si>
    <t>Bumm Bumm Bole</t>
  </si>
  <si>
    <t>The Demolitionist</t>
  </si>
  <si>
    <t>FANG</t>
  </si>
  <si>
    <t>Dusky Paradise</t>
  </si>
  <si>
    <t>Winterset</t>
  </si>
  <si>
    <t>Beyond Paradise</t>
  </si>
  <si>
    <t>Black November</t>
  </si>
  <si>
    <t>Mississippi Madam: The Life of Nellie Jackson</t>
  </si>
  <si>
    <t>Hitler's Britain</t>
  </si>
  <si>
    <t>The Screaming Skull</t>
  </si>
  <si>
    <t>The White Bus</t>
  </si>
  <si>
    <t>The Good Shepherd</t>
  </si>
  <si>
    <t>Never Wave at a WAC</t>
  </si>
  <si>
    <t>The Amish: Shunned</t>
  </si>
  <si>
    <t>The Retrievers</t>
  </si>
  <si>
    <t>Undercover with the Clerics: Iraq's Secret Sex Trade</t>
  </si>
  <si>
    <t>7 Assassins</t>
  </si>
  <si>
    <t>Attagasam</t>
  </si>
  <si>
    <t>The Lawless Frontier</t>
  </si>
  <si>
    <t>Lower Learning</t>
  </si>
  <si>
    <t>Titeuf</t>
  </si>
  <si>
    <t>Valerie</t>
  </si>
  <si>
    <t>Ninu Veedani Needanu Nene</t>
  </si>
  <si>
    <t>Shadow Company</t>
  </si>
  <si>
    <t>Luke and Lucy: The Texas Rangers</t>
  </si>
  <si>
    <t>The Price</t>
  </si>
  <si>
    <t>Fanchon, the Cricket</t>
  </si>
  <si>
    <t>Alone for Christmas</t>
  </si>
  <si>
    <t>Bob Saget: That's What I'm Talking About</t>
  </si>
  <si>
    <t>Kingdom of Conquerors</t>
  </si>
  <si>
    <t>Woman of Desire</t>
  </si>
  <si>
    <t>Petromax</t>
  </si>
  <si>
    <t>Devil's Whisper</t>
  </si>
  <si>
    <t>Rock N' Roll Christmas</t>
  </si>
  <si>
    <t>Two Wrongs</t>
  </si>
  <si>
    <t>The Bold Caballero</t>
  </si>
  <si>
    <t>Bryan Callen: Man Class</t>
  </si>
  <si>
    <t>Our People Will Be Healed</t>
  </si>
  <si>
    <t>One Great Love</t>
  </si>
  <si>
    <t>Race 3</t>
  </si>
  <si>
    <t>Howie Mandel Presents Howie Mandel at the Howie Mandel Comedy Club</t>
  </si>
  <si>
    <t>The Christine Jorgensen Story</t>
  </si>
  <si>
    <t>Raccoon Valley</t>
  </si>
  <si>
    <t>Marrying the Mafia 2</t>
  </si>
  <si>
    <t>Voyage Into Space</t>
  </si>
  <si>
    <t>Nat Turner: A Troublesome Property</t>
  </si>
  <si>
    <t>Farmland</t>
  </si>
  <si>
    <t>C.C. and Company</t>
  </si>
  <si>
    <t>Death at a Barbecue</t>
  </si>
  <si>
    <t>Mohawk</t>
  </si>
  <si>
    <t>Remembering Leonard: His Life, Legacy and Battle with COPD</t>
  </si>
  <si>
    <t>Vietnam: American Holocaust</t>
  </si>
  <si>
    <t>Lady Death</t>
  </si>
  <si>
    <t>American Experience: Rachel Carson</t>
  </si>
  <si>
    <t>Alonzo Bodden: Heavy Lightweight</t>
  </si>
  <si>
    <t>The Genesis Code</t>
  </si>
  <si>
    <t>Trojan Eddie</t>
  </si>
  <si>
    <t>Dick Winters: Hang Tough</t>
  </si>
  <si>
    <t>Killing Oswald</t>
  </si>
  <si>
    <t>The Night Before Christmas</t>
  </si>
  <si>
    <t>Killing Jimmy Hoffa</t>
  </si>
  <si>
    <t>The Black Candle</t>
  </si>
  <si>
    <t>A Different Loyalty</t>
  </si>
  <si>
    <t>Doomed to Die</t>
  </si>
  <si>
    <t>A Real American Hero</t>
  </si>
  <si>
    <t>Boonie Bears: Blast into the Past</t>
  </si>
  <si>
    <t>Trapper Jake</t>
  </si>
  <si>
    <t>Noelle</t>
  </si>
  <si>
    <t>Tick Tock</t>
  </si>
  <si>
    <t>Alonzo Bodden: Who's Paying Attention</t>
  </si>
  <si>
    <t>Black Pumpkin</t>
  </si>
  <si>
    <t>Mr. Wong in Chinatown</t>
  </si>
  <si>
    <t>Rain Fall</t>
  </si>
  <si>
    <t>Mikhael</t>
  </si>
  <si>
    <t>Bring Me the Head of the Machine Gun Woman</t>
  </si>
  <si>
    <t>You Belong to Me: Sex, Race and Murder in the South</t>
  </si>
  <si>
    <t>Henry VII: Winter King</t>
  </si>
  <si>
    <t>Spooky House</t>
  </si>
  <si>
    <t>Spring 1941</t>
  </si>
  <si>
    <t>Raju Gari Gadhi 2</t>
  </si>
  <si>
    <t>Licks</t>
  </si>
  <si>
    <t>Harriet Tubman: They Called Her Moses</t>
  </si>
  <si>
    <t>SS United States: Lady in Waiting</t>
  </si>
  <si>
    <t>A Stray Goat</t>
  </si>
  <si>
    <t>Available</t>
  </si>
  <si>
    <t>Sensitivity Training</t>
  </si>
  <si>
    <t>Sidekick</t>
  </si>
  <si>
    <t>Marjaavaan</t>
  </si>
  <si>
    <t>Death of a Child</t>
  </si>
  <si>
    <t>Ride Out for Revenge</t>
  </si>
  <si>
    <t>Treasure State</t>
  </si>
  <si>
    <t>Any Bullet Will Do</t>
  </si>
  <si>
    <t>The Cat in the Hat Knows a Lot About Christmas!</t>
  </si>
  <si>
    <t>Lady Valor: The Kristin Beck Story</t>
  </si>
  <si>
    <t>One Rainy Afternoon</t>
  </si>
  <si>
    <t>Hollywood North</t>
  </si>
  <si>
    <t>Third Contact</t>
  </si>
  <si>
    <t>Ape Canyon</t>
  </si>
  <si>
    <t>I Will Be Murdered</t>
  </si>
  <si>
    <t>The Basket</t>
  </si>
  <si>
    <t>A Thousand Junkies</t>
  </si>
  <si>
    <t>Fatal Flip</t>
  </si>
  <si>
    <t>Breakfast in Hollywood</t>
  </si>
  <si>
    <t>For the Love of Money</t>
  </si>
  <si>
    <t>The Swiss Conspiracy</t>
  </si>
  <si>
    <t>Dog City: The Movie</t>
  </si>
  <si>
    <t>A Haunting at the Hoyt Library</t>
  </si>
  <si>
    <t>Ghar</t>
  </si>
  <si>
    <t>Fighting the Odds: The Marilyn Gambrell Story</t>
  </si>
  <si>
    <t>Daniel Boone, Trail Blazer</t>
  </si>
  <si>
    <t>Beast Mode</t>
  </si>
  <si>
    <t>Barista</t>
  </si>
  <si>
    <t>Vatthikuchi</t>
  </si>
  <si>
    <t>Return to Paradise</t>
  </si>
  <si>
    <t>Throwback Holiday</t>
  </si>
  <si>
    <t>Angel of Death</t>
  </si>
  <si>
    <t>Dirty Movie</t>
  </si>
  <si>
    <t>30 Nights of Paranormal Activity With the Devil Inside the Girl With the Dragon Tattoo</t>
  </si>
  <si>
    <t>Summer School Teachers</t>
  </si>
  <si>
    <t>The Legend of Halloween Jack</t>
  </si>
  <si>
    <t>Bear with Us</t>
  </si>
  <si>
    <t>Northern Borders</t>
  </si>
  <si>
    <t>Arnez J: Racially Motivated</t>
  </si>
  <si>
    <t>Dracula 3000</t>
  </si>
  <si>
    <t>'Neath Brooklyn Bridge</t>
  </si>
  <si>
    <t>Winter Wedding</t>
  </si>
  <si>
    <t>The Identity Theft of Mitch Mustain</t>
  </si>
  <si>
    <t>The Custodian</t>
  </si>
  <si>
    <t>A Country Christmas</t>
  </si>
  <si>
    <t>Bells of Rosarita</t>
  </si>
  <si>
    <t>The People Across the Lake</t>
  </si>
  <si>
    <t>Joan the Woman</t>
  </si>
  <si>
    <t>Mrs. Pollifax â€” Spy</t>
  </si>
  <si>
    <t>The Flemish Farm</t>
  </si>
  <si>
    <t>Hal Sparks: Charmageddon</t>
  </si>
  <si>
    <t>Bog</t>
  </si>
  <si>
    <t>Elyse</t>
  </si>
  <si>
    <t>Hirokin: The Last Samurai</t>
  </si>
  <si>
    <t>Clockwork Orange County</t>
  </si>
  <si>
    <t>2 Years of Love</t>
  </si>
  <si>
    <t>8 Days</t>
  </si>
  <si>
    <t>The Ghost and the Whale</t>
  </si>
  <si>
    <t>Remember Pearl Harbor</t>
  </si>
  <si>
    <t>Riders in the Sky</t>
  </si>
  <si>
    <t>Good Intentions</t>
  </si>
  <si>
    <t>Hello Carter</t>
  </si>
  <si>
    <t>Mehrunisa V Lub U</t>
  </si>
  <si>
    <t>I Saw Mommy Kissing Santa Claus</t>
  </si>
  <si>
    <t>An Eye for an Eye</t>
  </si>
  <si>
    <t>Vitality</t>
  </si>
  <si>
    <t>Sabretooth</t>
  </si>
  <si>
    <t>Cosh Boy</t>
  </si>
  <si>
    <t>Hot Money</t>
  </si>
  <si>
    <t>Travis Turner</t>
  </si>
  <si>
    <t>Nightingale: A Melody of Life</t>
  </si>
  <si>
    <t>The Curse of Robert the Doll</t>
  </si>
  <si>
    <t>Daniel Boone</t>
  </si>
  <si>
    <t>Darling Nikki</t>
  </si>
  <si>
    <t>The Pollinators</t>
  </si>
  <si>
    <t>Cowboys vs. Dinosaurs</t>
  </si>
  <si>
    <t>Miracle Dogs</t>
  </si>
  <si>
    <t>I Cover the Waterfront</t>
  </si>
  <si>
    <t>Mummy, I'm a Zombie</t>
  </si>
  <si>
    <t>C.S. Lewis Onstage: The Most Reluctant Convert</t>
  </si>
  <si>
    <t>Cold Zone</t>
  </si>
  <si>
    <t>Useless</t>
  </si>
  <si>
    <t>Lavell Crawford: Home for the Holidays</t>
  </si>
  <si>
    <t>High Kick Girl!</t>
  </si>
  <si>
    <t>Aries Spears: Comedy Blueprint</t>
  </si>
  <si>
    <t>Galapagos Realm Of Giant Sharks</t>
  </si>
  <si>
    <t>Lisa Lampanelli: Back to the Drawing Board</t>
  </si>
  <si>
    <t>Trois: The Escort</t>
  </si>
  <si>
    <t>Wolf</t>
  </si>
  <si>
    <t>Sufiyum Sujatayum</t>
  </si>
  <si>
    <t>Marshall's Miracle</t>
  </si>
  <si>
    <t>The Legend of Swee' Pea</t>
  </si>
  <si>
    <t>Springtime in the Sierras</t>
  </si>
  <si>
    <t>I Eat Your Skin</t>
  </si>
  <si>
    <t>Backstabbed</t>
  </si>
  <si>
    <t>Top Secret Rosies: The Female 'Computers' of WWII</t>
  </si>
  <si>
    <t>Gamera: Super Monster</t>
  </si>
  <si>
    <t>At the Fork</t>
  </si>
  <si>
    <t>Don't Click</t>
  </si>
  <si>
    <t>The Daredevils</t>
  </si>
  <si>
    <t>3 Magic Words</t>
  </si>
  <si>
    <t>Red Is the Color of</t>
  </si>
  <si>
    <t>Django, The Last Killer</t>
  </si>
  <si>
    <t>Survive The Hollow Shoals</t>
  </si>
  <si>
    <t>Fireman Sam: Heroes of the Storm</t>
  </si>
  <si>
    <t>The Believer</t>
  </si>
  <si>
    <t>Atone</t>
  </si>
  <si>
    <t>Living with the Enemy</t>
  </si>
  <si>
    <t>Stealing Paradise</t>
  </si>
  <si>
    <t>A Haunting on Washington Avenue: The Temple Theatre</t>
  </si>
  <si>
    <t>Alcatraz</t>
  </si>
  <si>
    <t>Bob Saget: Zero to Sixty</t>
  </si>
  <si>
    <t>Road Show</t>
  </si>
  <si>
    <t>Money Kings</t>
  </si>
  <si>
    <t>Monster from Green Hell</t>
  </si>
  <si>
    <t>Jail Bait</t>
  </si>
  <si>
    <t>Hookers on Davie</t>
  </si>
  <si>
    <t>Cuddle Party</t>
  </si>
  <si>
    <t>Under Nevada Skies</t>
  </si>
  <si>
    <t>Farm Girl in New York</t>
  </si>
  <si>
    <t>Tobruk</t>
  </si>
  <si>
    <t>Watch Me, Alone</t>
  </si>
  <si>
    <t>Dangerous Flowers</t>
  </si>
  <si>
    <t>At Granny's House</t>
  </si>
  <si>
    <t>Terrordactyl</t>
  </si>
  <si>
    <t>A Time for Heaven</t>
  </si>
  <si>
    <t>Roth on Roth</t>
  </si>
  <si>
    <t>False Hopes</t>
  </si>
  <si>
    <t>Hidden Agenda</t>
  </si>
  <si>
    <t>Angel of the Skies</t>
  </si>
  <si>
    <t>Joel Mchale: Live from Pyongyang</t>
  </si>
  <si>
    <t>Extraordinary: The Seeding</t>
  </si>
  <si>
    <t>Kilroy</t>
  </si>
  <si>
    <t>Stalked by My Doctor: Patient's Revenge</t>
  </si>
  <si>
    <t>Luna: Spirit of the Whale</t>
  </si>
  <si>
    <t>Henry &amp; Me</t>
  </si>
  <si>
    <t>The Mystery of Mr. Wong</t>
  </si>
  <si>
    <t>Instant Death</t>
  </si>
  <si>
    <t>Gallagher: Stuck in the Sixties</t>
  </si>
  <si>
    <t>Petunia</t>
  </si>
  <si>
    <t>Dragon Day</t>
  </si>
  <si>
    <t>Ice Princess Lily</t>
  </si>
  <si>
    <t>Mickey</t>
  </si>
  <si>
    <t>Mambo</t>
  </si>
  <si>
    <t>Kuldip Patwal: I Didn't Do It!</t>
  </si>
  <si>
    <t>The Dalton Girls</t>
  </si>
  <si>
    <t>Seven Alone</t>
  </si>
  <si>
    <t>Red Garters</t>
  </si>
  <si>
    <t>I Need You to Kill</t>
  </si>
  <si>
    <t>The Admiral Was a Lady</t>
  </si>
  <si>
    <t>The Gangster's Daughter</t>
  </si>
  <si>
    <t>Back in the Saddle</t>
  </si>
  <si>
    <t>A Mother's Revenge</t>
  </si>
  <si>
    <t>Dennis Miller: Fake News, Real Jokes</t>
  </si>
  <si>
    <t>Frame 313: The JFK Assassination Theories</t>
  </si>
  <si>
    <t>Midnight Stallion</t>
  </si>
  <si>
    <t>The Night Is Young</t>
  </si>
  <si>
    <t>Smiley Face Killers</t>
  </si>
  <si>
    <t>UFOs: The Secret History</t>
  </si>
  <si>
    <t>Pearl</t>
  </si>
  <si>
    <t>Under Western Stars</t>
  </si>
  <si>
    <t>I Heard the Owl Call My Name</t>
  </si>
  <si>
    <t>Flight from Ashiya</t>
  </si>
  <si>
    <t>Who Put The Klan Into Ku Klux Klan</t>
  </si>
  <si>
    <t>Get Well Soon</t>
  </si>
  <si>
    <t>Look Again</t>
  </si>
  <si>
    <t>The Cat In The Hat Knows A Lot About Halloween!</t>
  </si>
  <si>
    <t>My First Love</t>
  </si>
  <si>
    <t>Who Needs Enemies</t>
  </si>
  <si>
    <t>Custer's Last Stand</t>
  </si>
  <si>
    <t>Bells of San Angelo</t>
  </si>
  <si>
    <t>Nibiru - Return of the Gods</t>
  </si>
  <si>
    <t>Rolling Stone: Life and Death of Brian Jones</t>
  </si>
  <si>
    <t>Friends &amp; Crocodiles</t>
  </si>
  <si>
    <t>Happy Hour</t>
  </si>
  <si>
    <t>Black Boys</t>
  </si>
  <si>
    <t>Agent F.O.X.</t>
  </si>
  <si>
    <t>Inspector Gadget's Last Case</t>
  </si>
  <si>
    <t>The Bray Road Beast</t>
  </si>
  <si>
    <t>Wyeth</t>
  </si>
  <si>
    <t>Willed to Kill</t>
  </si>
  <si>
    <t>Stunts</t>
  </si>
  <si>
    <t>Melody Makers</t>
  </si>
  <si>
    <t>Boyfriend Killer</t>
  </si>
  <si>
    <t>Don't Call Me Bigfoot</t>
  </si>
  <si>
    <t>LAW</t>
  </si>
  <si>
    <t>Andrew Santino: Home Field Advantage</t>
  </si>
  <si>
    <t>The Zombie King</t>
  </si>
  <si>
    <t>Jenny McCarthy's Dirty Sexy Funny</t>
  </si>
  <si>
    <t>Grandma's House</t>
  </si>
  <si>
    <t>Minesweeper</t>
  </si>
  <si>
    <t>No Room To Die</t>
  </si>
  <si>
    <t>Tarzan and the Trappers</t>
  </si>
  <si>
    <t>For the Love of Jessee</t>
  </si>
  <si>
    <t>Global Meltdown</t>
  </si>
  <si>
    <t>Brian Posehn: Posehn 25x2</t>
  </si>
  <si>
    <t>The Painted Hills</t>
  </si>
  <si>
    <t>The Bobot</t>
  </si>
  <si>
    <t>Sinful</t>
  </si>
  <si>
    <t>The Florentine</t>
  </si>
  <si>
    <t>My Rebound Girl</t>
  </si>
  <si>
    <t>Salome, Where She Danced</t>
  </si>
  <si>
    <t>Dirty Dirty Jokes</t>
  </si>
  <si>
    <t>The Missouri Traveler</t>
  </si>
  <si>
    <t>Relentless</t>
  </si>
  <si>
    <t>Takedown</t>
  </si>
  <si>
    <t>Light Girls</t>
  </si>
  <si>
    <t>The Initiation of Sarah</t>
  </si>
  <si>
    <t>The Giant Killer</t>
  </si>
  <si>
    <t>Mule Train</t>
  </si>
  <si>
    <t>He's Mine Not Yours</t>
  </si>
  <si>
    <t>Stuck on You!</t>
  </si>
  <si>
    <t>Doctor Blood's Coffin</t>
  </si>
  <si>
    <t>Diana: The Royal Truth</t>
  </si>
  <si>
    <t>La calle de los pianistas</t>
  </si>
  <si>
    <t>Never Met Picasso</t>
  </si>
  <si>
    <t>Love by Accident</t>
  </si>
  <si>
    <t>Bryan Callen: Complicated Apes</t>
  </si>
  <si>
    <t>JFK's Women: The Scandals Revealed</t>
  </si>
  <si>
    <t>Boss 2</t>
  </si>
  <si>
    <t>Snow Is on the Sea Breeze</t>
  </si>
  <si>
    <t>Gina Brillon: The Floor Is Lava</t>
  </si>
  <si>
    <t>Revival: The Sam Bush Story</t>
  </si>
  <si>
    <t>Terrortory 2</t>
  </si>
  <si>
    <t>Tio Papi</t>
  </si>
  <si>
    <t>A Fine Step</t>
  </si>
  <si>
    <t>By Night's End</t>
  </si>
  <si>
    <t>A Haunting on Hamilton Street 2: The Stable</t>
  </si>
  <si>
    <t>The Capture</t>
  </si>
  <si>
    <t>The Stalker</t>
  </si>
  <si>
    <t>Last Call</t>
  </si>
  <si>
    <t>Jayam</t>
  </si>
  <si>
    <t>The First Secret City</t>
  </si>
  <si>
    <t>The Real Lost World</t>
  </si>
  <si>
    <t>Soul Assassin</t>
  </si>
  <si>
    <t>Boyz 2</t>
  </si>
  <si>
    <t>Roommate Wanted</t>
  </si>
  <si>
    <t>The Painted Desert</t>
  </si>
  <si>
    <t>Wives Under Suspicion</t>
  </si>
  <si>
    <t>2 Bedroom 1 Bath</t>
  </si>
  <si>
    <t>Babru</t>
  </si>
  <si>
    <t>Gallagher: Over Your Head</t>
  </si>
  <si>
    <t>Solar Impact: The Destruction of London</t>
  </si>
  <si>
    <t>Hired to Kill</t>
  </si>
  <si>
    <t>The Secret World of Lewis Carroll</t>
  </si>
  <si>
    <t>Silence Patton</t>
  </si>
  <si>
    <t>To Catch a Serial Killer with Trevor McDonald</t>
  </si>
  <si>
    <t>Ice Spiders</t>
  </si>
  <si>
    <t>The Racing Scene</t>
  </si>
  <si>
    <t>Infected</t>
  </si>
  <si>
    <t>Breaking Wind</t>
  </si>
  <si>
    <t>Prince of Central Park</t>
  </si>
  <si>
    <t>Lake Los Angeles</t>
  </si>
  <si>
    <t>Marvin &amp; Tige</t>
  </si>
  <si>
    <t>Falls Around Her</t>
  </si>
  <si>
    <t>Goodland</t>
  </si>
  <si>
    <t>Ostatni ludzie Czarnobyla 2</t>
  </si>
  <si>
    <t>Dark Woods II</t>
  </si>
  <si>
    <t>The Ranger and the Lady</t>
  </si>
  <si>
    <t>Tom Wilson: Bigger Than You</t>
  </si>
  <si>
    <t>Blockade</t>
  </si>
  <si>
    <t>Four Enchanted Sisters</t>
  </si>
  <si>
    <t>There's Always Tomorrow</t>
  </si>
  <si>
    <t>The Fox Family</t>
  </si>
  <si>
    <t>Secrets</t>
  </si>
  <si>
    <t>Amar Akbar Anthony</t>
  </si>
  <si>
    <t>Erik Griffin: AmERIKan Warrior</t>
  </si>
  <si>
    <t>Escape and Evasion</t>
  </si>
  <si>
    <t>Painted Horses</t>
  </si>
  <si>
    <t>A Kiss for Jed Wood</t>
  </si>
  <si>
    <t>Housequake</t>
  </si>
  <si>
    <t>RISE</t>
  </si>
  <si>
    <t>The Reef 2: High Tide</t>
  </si>
  <si>
    <t>Gun and a Hotel Bible</t>
  </si>
  <si>
    <t>Hi-De-Ho</t>
  </si>
  <si>
    <t>Project Moon Base</t>
  </si>
  <si>
    <t>Deadly Nightshade</t>
  </si>
  <si>
    <t>The Sharkfighters</t>
  </si>
  <si>
    <t>Tribulation</t>
  </si>
  <si>
    <t>La Cucaracha</t>
  </si>
  <si>
    <t>Roadhouse Girl</t>
  </si>
  <si>
    <t>Do Anjaane</t>
  </si>
  <si>
    <t>A Stone in the Water</t>
  </si>
  <si>
    <t>ETs Among Us 2: Our Alien Origins, Antarctica, Mars and Beyond</t>
  </si>
  <si>
    <t>Axeman at Cutters Creek</t>
  </si>
  <si>
    <t>The Perfect Victim</t>
  </si>
  <si>
    <t>Raiders of the Seven Seas</t>
  </si>
  <si>
    <t>The Chronology Protection Case</t>
  </si>
  <si>
    <t>Wild Faith</t>
  </si>
  <si>
    <t>Angry, White and American</t>
  </si>
  <si>
    <t>I Am or How Jack Became Black</t>
  </si>
  <si>
    <t>The Wereth Eleven</t>
  </si>
  <si>
    <t>Hampton's Legion</t>
  </si>
  <si>
    <t>Mr. Imperium</t>
  </si>
  <si>
    <t>Solar Attack</t>
  </si>
  <si>
    <t>The Real Macaw</t>
  </si>
  <si>
    <t>The Christmas Elves</t>
  </si>
  <si>
    <t>Gary Gulman: Boyish Man</t>
  </si>
  <si>
    <t>4Closed</t>
  </si>
  <si>
    <t>The Busy Little Engine</t>
  </si>
  <si>
    <t>Marina</t>
  </si>
  <si>
    <t>Dope Fiend</t>
  </si>
  <si>
    <t>Raabta</t>
  </si>
  <si>
    <t>Devil's Trail</t>
  </si>
  <si>
    <t>Lillith</t>
  </si>
  <si>
    <t>My Man Is a Loser</t>
  </si>
  <si>
    <t>Taken Heart</t>
  </si>
  <si>
    <t>Sherlock Holmes and the Sign of Four</t>
  </si>
  <si>
    <t>Sleeping Fist</t>
  </si>
  <si>
    <t>Before Dawn</t>
  </si>
  <si>
    <t>Dan Cummins: Don't Wake The Bear</t>
  </si>
  <si>
    <t>Home for Harvest</t>
  </si>
  <si>
    <t>Terror Birds</t>
  </si>
  <si>
    <t>Alien Intruder</t>
  </si>
  <si>
    <t>Wedding Swingers</t>
  </si>
  <si>
    <t>Android Apocalypse</t>
  </si>
  <si>
    <t>Blood and Lace</t>
  </si>
  <si>
    <t>Following Phil</t>
  </si>
  <si>
    <t>Trouble with Sex</t>
  </si>
  <si>
    <t>Alice Wetterlund: My Mama Is a Human and So Am I</t>
  </si>
  <si>
    <t>Prison of Secrets</t>
  </si>
  <si>
    <t>Copper Bill</t>
  </si>
  <si>
    <t>Ek Vivaah Aisa Bhi</t>
  </si>
  <si>
    <t>Samar</t>
  </si>
  <si>
    <t>Streets of New York</t>
  </si>
  <si>
    <t>The Wrong Babysitter</t>
  </si>
  <si>
    <t>Coyote County Loser</t>
  </si>
  <si>
    <t>The Missing Corpse</t>
  </si>
  <si>
    <t>Chasing Niagara</t>
  </si>
  <si>
    <t>Ghetto Dawg</t>
  </si>
  <si>
    <t>Jack White: Kneeling At The Anthem D.C.</t>
  </si>
  <si>
    <t>Trail to San Antone</t>
  </si>
  <si>
    <t>Iliza Shlesinger: Over &amp; Over</t>
  </si>
  <si>
    <t>Sx_Tape</t>
  </si>
  <si>
    <t>Red Sun Rising</t>
  </si>
  <si>
    <t>Beyond the Purple Hills</t>
  </si>
  <si>
    <t>Before Your Time</t>
  </si>
  <si>
    <t>Wild Kratts: Creepy Creatures</t>
  </si>
  <si>
    <t>CRSHD</t>
  </si>
  <si>
    <t>Mr. Wong, Detective</t>
  </si>
  <si>
    <t>The Hired Heart</t>
  </si>
  <si>
    <t>Bad is Bad</t>
  </si>
  <si>
    <t>Murder at Midnight</t>
  </si>
  <si>
    <t>Swordsman and Enchantress</t>
  </si>
  <si>
    <t>Locas por el Cambio</t>
  </si>
  <si>
    <t>A Boy, a Girl and a Dog</t>
  </si>
  <si>
    <t>Werewolf</t>
  </si>
  <si>
    <t>Separate Ways</t>
  </si>
  <si>
    <t>Odd Squad: World Turned Odd</t>
  </si>
  <si>
    <t>The Go-Getters</t>
  </si>
  <si>
    <t>Afterimages</t>
  </si>
  <si>
    <t>Gun Brothers</t>
  </si>
  <si>
    <t>Meteor Moon</t>
  </si>
  <si>
    <t>Maggie's War</t>
  </si>
  <si>
    <t>The Haunting of Borley Rectory</t>
  </si>
  <si>
    <t>High: The True Tale of American Marijuana</t>
  </si>
  <si>
    <t>Striking Range</t>
  </si>
  <si>
    <t>DIVOS!</t>
  </si>
  <si>
    <t>The Eagle and the Hawk</t>
  </si>
  <si>
    <t>Drugs as Weapons Against Us: The CIA War on Musicians and Activists</t>
  </si>
  <si>
    <t>The Coverup</t>
  </si>
  <si>
    <t>Kaatru Veliyidai</t>
  </si>
  <si>
    <t>Space Dogs: Tropical Adventure</t>
  </si>
  <si>
    <t>I Love N.Y.</t>
  </si>
  <si>
    <t>Rudy Ruettiger: The Walk On</t>
  </si>
  <si>
    <t>Suburban Nightmare</t>
  </si>
  <si>
    <t>The Magical Life of Long Tack Sam</t>
  </si>
  <si>
    <t>Snowbound for Christmas</t>
  </si>
  <si>
    <t>Lost Holiday</t>
  </si>
  <si>
    <t>Forgotten Ellis Island</t>
  </si>
  <si>
    <t>Savage Island</t>
  </si>
  <si>
    <t>Wax: We Are The X</t>
  </si>
  <si>
    <t>Papam Cheyyathavar Kalleriyatte</t>
  </si>
  <si>
    <t>The Far Frontier</t>
  </si>
  <si>
    <t>Blonde for a Day</t>
  </si>
  <si>
    <t>Dead Silent</t>
  </si>
  <si>
    <t>Bail Out</t>
  </si>
  <si>
    <t>Sharing the Secret</t>
  </si>
  <si>
    <t>The Devil to Pay</t>
  </si>
  <si>
    <t>Private Information</t>
  </si>
  <si>
    <t>High, Wild and Free</t>
  </si>
  <si>
    <t>Midnight Chronicles</t>
  </si>
  <si>
    <t>Tarzan the Fearless</t>
  </si>
  <si>
    <t>Revelation Trail</t>
  </si>
  <si>
    <t>Riders of the Whistling Pines</t>
  </si>
  <si>
    <t>The Swap</t>
  </si>
  <si>
    <t>Break Even</t>
  </si>
  <si>
    <t>Custody of the Heart</t>
  </si>
  <si>
    <t>Omaha Beach: Honor and Sacrifice</t>
  </si>
  <si>
    <t>The Murder of Hi Good</t>
  </si>
  <si>
    <t>Convergence</t>
  </si>
  <si>
    <t>Jane and Emma</t>
  </si>
  <si>
    <t>Cowboy and the Senorita</t>
  </si>
  <si>
    <t>Old Goats</t>
  </si>
  <si>
    <t>Before I Say Goodbye</t>
  </si>
  <si>
    <t>Locomotive</t>
  </si>
  <si>
    <t>Spirit of the Game</t>
  </si>
  <si>
    <t>Still Today</t>
  </si>
  <si>
    <t>Sons of New Mexico</t>
  </si>
  <si>
    <t>Josie &amp; Jack</t>
  </si>
  <si>
    <t>Lady Behave!</t>
  </si>
  <si>
    <t>The Duke Is Tops</t>
  </si>
  <si>
    <t>Romance on the Range</t>
  </si>
  <si>
    <t>Calendar Girl</t>
  </si>
  <si>
    <t>Song of Texas</t>
  </si>
  <si>
    <t>Condemned to Live</t>
  </si>
  <si>
    <t>An American Girl Story: Summer Camp, Friends For Life</t>
  </si>
  <si>
    <t>The Black Tent</t>
  </si>
  <si>
    <t>Perfect Plan</t>
  </si>
  <si>
    <t>Love, Repeat</t>
  </si>
  <si>
    <t>Mike E. Winfield: Stepman</t>
  </si>
  <si>
    <t>Seed of Innocence</t>
  </si>
  <si>
    <t>Sakka Podu Podu Raja</t>
  </si>
  <si>
    <t>Guardians of the Lost Code</t>
  </si>
  <si>
    <t>Double Down</t>
  </si>
  <si>
    <t>100 Kilos</t>
  </si>
  <si>
    <t>The Majestic Life of Queen Elizabeth II</t>
  </si>
  <si>
    <t>Jack the Reaper</t>
  </si>
  <si>
    <t>Mayor Cupcake</t>
  </si>
  <si>
    <t>Shoot First And Pray You Live</t>
  </si>
  <si>
    <t>Bombay To Bangkok</t>
  </si>
  <si>
    <t>Bunnyman Vengeance</t>
  </si>
  <si>
    <t>Kevin Nealon: Whelmed, But Not Overly</t>
  </si>
  <si>
    <t>Ekaj</t>
  </si>
  <si>
    <t>Overrun!</t>
  </si>
  <si>
    <t>Stagecoach to Denver</t>
  </si>
  <si>
    <t>Nick Di Paolo: Raw Nerve</t>
  </si>
  <si>
    <t>Four Seasons Lodge</t>
  </si>
  <si>
    <t>Last Chance Cafe</t>
  </si>
  <si>
    <t>Roarin' Lead</t>
  </si>
  <si>
    <t>Doug Stanhope: The Comedians' Comedian's Comedians</t>
  </si>
  <si>
    <t>Cern and the Sense of Beauty</t>
  </si>
  <si>
    <t>Vinaya Vidheya Rama</t>
  </si>
  <si>
    <t>Willie Barcena: The Truth Hurts</t>
  </si>
  <si>
    <t>Voyage to the Planet of Prehistoric Women</t>
  </si>
  <si>
    <t>Hornet's Nest</t>
  </si>
  <si>
    <t>Martin Clunes: Heavy Horsepower</t>
  </si>
  <si>
    <t>Moments Without Proper Names</t>
  </si>
  <si>
    <t>The Man from Kathmandu</t>
  </si>
  <si>
    <t>San Fernando Valley</t>
  </si>
  <si>
    <t>William the Conqueror</t>
  </si>
  <si>
    <t>Don't Look Down</t>
  </si>
  <si>
    <t>American Visa</t>
  </si>
  <si>
    <t>Mike Case in: The Big Kiss Off</t>
  </si>
  <si>
    <t>The Bid</t>
  </si>
  <si>
    <t>Warrior Road</t>
  </si>
  <si>
    <t>My Father's Will</t>
  </si>
  <si>
    <t>The Fear</t>
  </si>
  <si>
    <t>ExPatriot</t>
  </si>
  <si>
    <t>Forest Fairies</t>
  </si>
  <si>
    <t>Phantom Racer</t>
  </si>
  <si>
    <t>Black Ballerina</t>
  </si>
  <si>
    <t>The Curse of Hobbes House</t>
  </si>
  <si>
    <t>Eggy</t>
  </si>
  <si>
    <t>Rim of the Canyon</t>
  </si>
  <si>
    <t>In the Blink of an Eye</t>
  </si>
  <si>
    <t>Palooka</t>
  </si>
  <si>
    <t>Rideshare</t>
  </si>
  <si>
    <t>Blackmark</t>
  </si>
  <si>
    <t>The Princess Castle</t>
  </si>
  <si>
    <t>Six Million Steps: A Journey Inward</t>
  </si>
  <si>
    <t>Lady in the Death House</t>
  </si>
  <si>
    <t>Pretend You Don't See Her</t>
  </si>
  <si>
    <t>The Moors Murders</t>
  </si>
  <si>
    <t>Ring of Darkness</t>
  </si>
  <si>
    <t>The Groom Wore Spurs</t>
  </si>
  <si>
    <t>The Big Sombrero</t>
  </si>
  <si>
    <t>Act of God</t>
  </si>
  <si>
    <t>No Solicitors</t>
  </si>
  <si>
    <t>Thief: Someday You Will Pay</t>
  </si>
  <si>
    <t>The Astral Factor</t>
  </si>
  <si>
    <t>The Fanny Crosby Story</t>
  </si>
  <si>
    <t>Guilty of Treason</t>
  </si>
  <si>
    <t>Musical Chairs</t>
  </si>
  <si>
    <t>Gallagher: Melon Crazy</t>
  </si>
  <si>
    <t>The New Adventures of Peter Rabbit</t>
  </si>
  <si>
    <t>West by Orphan Train</t>
  </si>
  <si>
    <t>Snoop Dogg Presents The Bad Girls of Comedy</t>
  </si>
  <si>
    <t>All In</t>
  </si>
  <si>
    <t>Subira</t>
  </si>
  <si>
    <t>Kanna Laddu Thinna Aasaiya</t>
  </si>
  <si>
    <t>The Lion of Judah</t>
  </si>
  <si>
    <t>Swing Hostess</t>
  </si>
  <si>
    <t>Dov Davidoff: Lower Your Expectations</t>
  </si>
  <si>
    <t>Dead Man's Cards</t>
  </si>
  <si>
    <t>Mystic Iran: The Unseen World</t>
  </si>
  <si>
    <t>Danny Roane: First Time Director</t>
  </si>
  <si>
    <t>Ashes</t>
  </si>
  <si>
    <t>Ocean Blues</t>
  </si>
  <si>
    <t>Ties That Bind</t>
  </si>
  <si>
    <t>Stay</t>
  </si>
  <si>
    <t>Coach of the Year</t>
  </si>
  <si>
    <t>Sworn to Justice</t>
  </si>
  <si>
    <t>Dreaming Out Loud</t>
  </si>
  <si>
    <t>Mitsein</t>
  </si>
  <si>
    <t>Yellowstone</t>
  </si>
  <si>
    <t>Resistance Movement</t>
  </si>
  <si>
    <t>Living &amp; Dying</t>
  </si>
  <si>
    <t>Pete Correale: Let Me Tell Ya</t>
  </si>
  <si>
    <t>A Promise To Astrid</t>
  </si>
  <si>
    <t>The Boarder</t>
  </si>
  <si>
    <t>Main Aur Mr. Riight</t>
  </si>
  <si>
    <t>High Voltage</t>
  </si>
  <si>
    <t>The Job</t>
  </si>
  <si>
    <t>2eleven</t>
  </si>
  <si>
    <t>Kettle of Fish</t>
  </si>
  <si>
    <t>Steve Lemme &amp; Kevin Heffernan: The Potential Farewell Tour</t>
  </si>
  <si>
    <t>Sunshine Barry &amp; the Disco Worms</t>
  </si>
  <si>
    <t>Alex and Leo</t>
  </si>
  <si>
    <t>Alonzo Bodden: Historically Incorrect</t>
  </si>
  <si>
    <t>Ilzaam</t>
  </si>
  <si>
    <t>Three for Bedroom C</t>
  </si>
  <si>
    <t>Juncture</t>
  </si>
  <si>
    <t>How Not to Work &amp; Claim Benefits... (and Other Useful Information for Wasters)</t>
  </si>
  <si>
    <t>Good Enough</t>
  </si>
  <si>
    <t>Texans Never Cry</t>
  </si>
  <si>
    <t>Gene Autry and the Mounties</t>
  </si>
  <si>
    <t>Indian Territory</t>
  </si>
  <si>
    <t>Southward Ho</t>
  </si>
  <si>
    <t>Burma</t>
  </si>
  <si>
    <t>Last Summer in the Hamptons</t>
  </si>
  <si>
    <t>Lured Innocence</t>
  </si>
  <si>
    <t>Confessions of an Action Star</t>
  </si>
  <si>
    <t>Tumsa Nahin Dekha</t>
  </si>
  <si>
    <t>Skydog</t>
  </si>
  <si>
    <t>Armageddon Gospels</t>
  </si>
  <si>
    <t>Hate Story IV</t>
  </si>
  <si>
    <t>All Good Things</t>
  </si>
  <si>
    <t>Made in Korea: A One Way Ticket Seoul-Amsterdam?</t>
  </si>
  <si>
    <t>The Desperate Mission</t>
  </si>
  <si>
    <t>Rickover: The Birth of Nuclear Power</t>
  </si>
  <si>
    <t>Bury Them Deep</t>
  </si>
  <si>
    <t>Branded a Coward</t>
  </si>
  <si>
    <t>Race Against Time: The Search for Sarah</t>
  </si>
  <si>
    <t>The Last Round-up</t>
  </si>
  <si>
    <t>Jungledyret Hugo: FrÃ¦k, flabet og fri</t>
  </si>
  <si>
    <t>Come Morning</t>
  </si>
  <si>
    <t>It's All Good</t>
  </si>
  <si>
    <t>Buckskin Frontier</t>
  </si>
  <si>
    <t>Party Girl</t>
  </si>
  <si>
    <t>Josh Blue: Delete</t>
  </si>
  <si>
    <t>Anatomy of a Psycho</t>
  </si>
  <si>
    <t>Lewis &amp; Klarq</t>
  </si>
  <si>
    <t>The Master of Kung Fu</t>
  </si>
  <si>
    <t>See Jane Run</t>
  </si>
  <si>
    <t>Found.</t>
  </si>
  <si>
    <t>Equal Means Equal</t>
  </si>
  <si>
    <t>Runnin' from my Roots</t>
  </si>
  <si>
    <t>Mitchell</t>
  </si>
  <si>
    <t>Lyfe's Journey</t>
  </si>
  <si>
    <t>Speed Demons</t>
  </si>
  <si>
    <t>Cut in Half</t>
  </si>
  <si>
    <t>He Watches Over Me</t>
  </si>
  <si>
    <t>Priorities Chapter One: Money Isn't Everything</t>
  </si>
  <si>
    <t>Women of Twilight</t>
  </si>
  <si>
    <t>Tarzan's Revenge</t>
  </si>
  <si>
    <t>The Rocket</t>
  </si>
  <si>
    <t>Bacterium</t>
  </si>
  <si>
    <t>Dark Iris</t>
  </si>
  <si>
    <t>Nicole</t>
  </si>
  <si>
    <t>The World's Oldest Living Bridesmaid</t>
  </si>
  <si>
    <t>Copper Mountain</t>
  </si>
  <si>
    <t>Mega Shark vs. Crocosaurus</t>
  </si>
  <si>
    <t>Dead Voices</t>
  </si>
  <si>
    <t>Coming Out</t>
  </si>
  <si>
    <t>Theresa Is a Mother</t>
  </si>
  <si>
    <t>Answers to Nothing</t>
  </si>
  <si>
    <t>Soursweet</t>
  </si>
  <si>
    <t>My Heart of Darkness</t>
  </si>
  <si>
    <t>Betrayed</t>
  </si>
  <si>
    <t>Sitting on the Moon</t>
  </si>
  <si>
    <t>The Lost Treasure of Sawtooth Island</t>
  </si>
  <si>
    <t>Barry Brewer: Chicago, I'm Home</t>
  </si>
  <si>
    <t>Jennifer Aniston: More Than Friends</t>
  </si>
  <si>
    <t>All We Got</t>
  </si>
  <si>
    <t>The Voyage Beyond</t>
  </si>
  <si>
    <t>Heart of the Rockies</t>
  </si>
  <si>
    <t>The Fighter</t>
  </si>
  <si>
    <t>The DMV Truth</t>
  </si>
  <si>
    <t>Bruce Lee The Invincible</t>
  </si>
  <si>
    <t>The Voyage of Curiosity</t>
  </si>
  <si>
    <t>Stormswept</t>
  </si>
  <si>
    <t>The Horse Dancer</t>
  </si>
  <si>
    <t>In the Year 2889</t>
  </si>
  <si>
    <t>Ruta Madre</t>
  </si>
  <si>
    <t>Loaded Pistols</t>
  </si>
  <si>
    <t>Respite</t>
  </si>
  <si>
    <t>Come On, Tarzan</t>
  </si>
  <si>
    <t>An Affirmative Act</t>
  </si>
  <si>
    <t>The Bridgewater Triangle</t>
  </si>
  <si>
    <t>The Devil's Woods</t>
  </si>
  <si>
    <t>Good Grief It's Friday</t>
  </si>
  <si>
    <t>à¤œà¤¾à¤¨ à¤¤à¥‡à¤°à¥‡ à¤¨à¤¾à¤®</t>
  </si>
  <si>
    <t>Raw Herring</t>
  </si>
  <si>
    <t>After School</t>
  </si>
  <si>
    <t>The Panther's Claw</t>
  </si>
  <si>
    <t>Kanchana</t>
  </si>
  <si>
    <t>Code of the Cactus</t>
  </si>
  <si>
    <t>Tenkai Knights</t>
  </si>
  <si>
    <t>School Spirits</t>
  </si>
  <si>
    <t>Gelo</t>
  </si>
  <si>
    <t>Heroes of the Alamo</t>
  </si>
  <si>
    <t>Spiral</t>
  </si>
  <si>
    <t>Sometimes the Good Kill</t>
  </si>
  <si>
    <t>Fifteen Scaffolds for the Killer</t>
  </si>
  <si>
    <t>Blood of Redemption</t>
  </si>
  <si>
    <t>A Box for Rob</t>
  </si>
  <si>
    <t>Wall Of Secrets</t>
  </si>
  <si>
    <t>National Lampoon's Snatched</t>
  </si>
  <si>
    <t>Queen of Walking</t>
  </si>
  <si>
    <t>Dangar Doctor Jelly</t>
  </si>
  <si>
    <t>Tammy Pescatelli: Finding the Funny</t>
  </si>
  <si>
    <t>Disappearances</t>
  </si>
  <si>
    <t>A Deadly Legend</t>
  </si>
  <si>
    <t>Never Forget</t>
  </si>
  <si>
    <t>Crimson Romance</t>
  </si>
  <si>
    <t>The Unwonted Sasquatch</t>
  </si>
  <si>
    <t>Fleetwood Mac - Unbroken Chain</t>
  </si>
  <si>
    <t>Desert Gold</t>
  </si>
  <si>
    <t>Curse of the Blind Dead</t>
  </si>
  <si>
    <t>The Gatling Gun</t>
  </si>
  <si>
    <t>One Remains</t>
  </si>
  <si>
    <t>Corsair</t>
  </si>
  <si>
    <t>People Are Funny</t>
  </si>
  <si>
    <t>Two Weeks to Live</t>
  </si>
  <si>
    <t>New Faces</t>
  </si>
  <si>
    <t>Tennessee Queer</t>
  </si>
  <si>
    <t>Jill-Michele MeleÃ¡n: White / Latina</t>
  </si>
  <si>
    <t>The Prankster</t>
  </si>
  <si>
    <t>Mistress of the Apes</t>
  </si>
  <si>
    <t>Christmas Coupon</t>
  </si>
  <si>
    <t>The Deadly Knives</t>
  </si>
  <si>
    <t>Janeane Garofalo: If I May</t>
  </si>
  <si>
    <t>Joe &amp; Joe</t>
  </si>
  <si>
    <t>Moon Point</t>
  </si>
  <si>
    <t>Gila!</t>
  </si>
  <si>
    <t>Selfie Dad</t>
  </si>
  <si>
    <t>Reach for Me</t>
  </si>
  <si>
    <t>Hannibal Thompson: Out of Control</t>
  </si>
  <si>
    <t>#IMomSoHard Live</t>
  </si>
  <si>
    <t>Shaolin Kung-Fu Mystagogue</t>
  </si>
  <si>
    <t>Ninja Academy</t>
  </si>
  <si>
    <t>A Christmas Village</t>
  </si>
  <si>
    <t>He's Such a Girl</t>
  </si>
  <si>
    <t>Righteous Villains</t>
  </si>
  <si>
    <t>The Dragon's Snake Fist</t>
  </si>
  <si>
    <t>The Story of The Bee Gees</t>
  </si>
  <si>
    <t>The Royal Bed</t>
  </si>
  <si>
    <t>Ragmork</t>
  </si>
  <si>
    <t>Nevada City</t>
  </si>
  <si>
    <t>Vellipomakey</t>
  </si>
  <si>
    <t>Haz conmigo lo que quieras</t>
  </si>
  <si>
    <t>Michael Ian Black: Noted Expert</t>
  </si>
  <si>
    <t>Jamie Kennedy: Uncomfortable</t>
  </si>
  <si>
    <t>Pray TV</t>
  </si>
  <si>
    <t>Swimsuit</t>
  </si>
  <si>
    <t>Pocket Full of Game</t>
  </si>
  <si>
    <t>Solitaire for 2</t>
  </si>
  <si>
    <t>Girls in Chains</t>
  </si>
  <si>
    <t>DSP Dev</t>
  </si>
  <si>
    <t>Chee and T</t>
  </si>
  <si>
    <t>Wild Prairie Rose</t>
  </si>
  <si>
    <t>Stolen Hours</t>
  </si>
  <si>
    <t>Honeymoon with Mom</t>
  </si>
  <si>
    <t>Huk!</t>
  </si>
  <si>
    <t>6-Headed Shark Attack</t>
  </si>
  <si>
    <t>Route 9</t>
  </si>
  <si>
    <t>The Big Cat</t>
  </si>
  <si>
    <t>Goblin</t>
  </si>
  <si>
    <t>True Crime: Safe House</t>
  </si>
  <si>
    <t>Sinbad: Make Me Wanna Holla</t>
  </si>
  <si>
    <t>Turnout</t>
  </si>
  <si>
    <t>The Nightowls of Coventry</t>
  </si>
  <si>
    <t>My Other Mother</t>
  </si>
  <si>
    <t>The Kid's Last Ride</t>
  </si>
  <si>
    <t>Danny Boy</t>
  </si>
  <si>
    <t>Mentor</t>
  </si>
  <si>
    <t>Congratulations, It's a Boy!</t>
  </si>
  <si>
    <t>Eyes of Texas</t>
  </si>
  <si>
    <t>Becoming Burlesque</t>
  </si>
  <si>
    <t>In Remembrance of Martin</t>
  </si>
  <si>
    <t>The Cowboy and the Indians</t>
  </si>
  <si>
    <t>Song of Arizona</t>
  </si>
  <si>
    <t>Sierra Sue</t>
  </si>
  <si>
    <t>No Surrender</t>
  </si>
  <si>
    <t>Dangerous Attraction</t>
  </si>
  <si>
    <t>Fear of Clowns</t>
  </si>
  <si>
    <t>The Proud and Damned</t>
  </si>
  <si>
    <t>Uncle P</t>
  </si>
  <si>
    <t>Black Eagle Of Santa Fe</t>
  </si>
  <si>
    <t>The Coming Convergence</t>
  </si>
  <si>
    <t>City Of Joel</t>
  </si>
  <si>
    <t>Sunset on the Desert</t>
  </si>
  <si>
    <t>Teen Bahuraniyan</t>
  </si>
  <si>
    <t>Purgatory</t>
  </si>
  <si>
    <t>Underplayed</t>
  </si>
  <si>
    <t>Greg Fitzsimmons: Life on Stage</t>
  </si>
  <si>
    <t>Rifftrax: The House on Sorority Row</t>
  </si>
  <si>
    <t>The Love Letter</t>
  </si>
  <si>
    <t>Nine Lives</t>
  </si>
  <si>
    <t>Murder with Pictures</t>
  </si>
  <si>
    <t>James McNeill Whistler and the Case for Beauty</t>
  </si>
  <si>
    <t>Stock Option</t>
  </si>
  <si>
    <t>Terror at Blood Fart Lake</t>
  </si>
  <si>
    <t>Boy of the Streets</t>
  </si>
  <si>
    <t>Scenesters: Music, Mayhem and Melrose ave. 1985-1990</t>
  </si>
  <si>
    <t>Hard Breed to Kill</t>
  </si>
  <si>
    <t>Who Wrote the New Testament?</t>
  </si>
  <si>
    <t>Last Train Home</t>
  </si>
  <si>
    <t>She Knows Y'Know</t>
  </si>
  <si>
    <t>Dancing Pirate</t>
  </si>
  <si>
    <t>Courageous Love</t>
  </si>
  <si>
    <t>Love and Love Only</t>
  </si>
  <si>
    <t>Getting Lucky</t>
  </si>
  <si>
    <t>Hitler of the Andes</t>
  </si>
  <si>
    <t>Tails of Iceland</t>
  </si>
  <si>
    <t>Bullwhip</t>
  </si>
  <si>
    <t>Mandao of the Dead</t>
  </si>
  <si>
    <t>Unli Life</t>
  </si>
  <si>
    <t>She's Not Our Sister</t>
  </si>
  <si>
    <t>Love Simple</t>
  </si>
  <si>
    <t>Murim Bewitched Master</t>
  </si>
  <si>
    <t>Krishnashtami</t>
  </si>
  <si>
    <t>I m 24</t>
  </si>
  <si>
    <t>Being Venice</t>
  </si>
  <si>
    <t>Hope Dances</t>
  </si>
  <si>
    <t>A Bridge Apart</t>
  </si>
  <si>
    <t>One Hit From Home</t>
  </si>
  <si>
    <t>Greg Warren: Where the Field Corn Grows</t>
  </si>
  <si>
    <t>Life After Life</t>
  </si>
  <si>
    <t>Wild Kratts: Creatures of the Deep Sea</t>
  </si>
  <si>
    <t>Interviewing Monsters and Bigfoot</t>
  </si>
  <si>
    <t>Velocity Trap</t>
  </si>
  <si>
    <t>Chad Daniels: As Is</t>
  </si>
  <si>
    <t>Soccer City</t>
  </si>
  <si>
    <t>Bold Eagles</t>
  </si>
  <si>
    <t>Operation Diplomat</t>
  </si>
  <si>
    <t>A Fly in the Champagne</t>
  </si>
  <si>
    <t>Garden of Hedon</t>
  </si>
  <si>
    <t>Murder in Law</t>
  </si>
  <si>
    <t>Jigsaw</t>
  </si>
  <si>
    <t>Kim McVicar: Please Notice Me</t>
  </si>
  <si>
    <t>Pooja Ke Phool</t>
  </si>
  <si>
    <t>I Hate Tom Petty</t>
  </si>
  <si>
    <t>Demon with the Atomic Brain</t>
  </si>
  <si>
    <t>Danger Street</t>
  </si>
  <si>
    <t>Porches and Private Eyes</t>
  </si>
  <si>
    <t>The Demonic Tapes</t>
  </si>
  <si>
    <t>Neal 'n' Nikki</t>
  </si>
  <si>
    <t>The Count of Monte Cristo</t>
  </si>
  <si>
    <t>Turning Point</t>
  </si>
  <si>
    <t>Five Pounds</t>
  </si>
  <si>
    <t>Jessie's Dad</t>
  </si>
  <si>
    <t>The Private Life of Deer</t>
  </si>
  <si>
    <t>The Christmas Ride</t>
  </si>
  <si>
    <t>Blitzed: Nazis on Drugs</t>
  </si>
  <si>
    <t>Love Stalk</t>
  </si>
  <si>
    <t>Blood Child</t>
  </si>
  <si>
    <t>First One In</t>
  </si>
  <si>
    <t>Space Girls in Beverly Hills</t>
  </si>
  <si>
    <t>Into His Arms</t>
  </si>
  <si>
    <t>World Without End (No Reported Incidents)</t>
  </si>
  <si>
    <t>Miracle Dogs Too</t>
  </si>
  <si>
    <t>Nick Thune: Good Guy</t>
  </si>
  <si>
    <t>Quit</t>
  </si>
  <si>
    <t>Griefwalker</t>
  </si>
  <si>
    <t>Dil Tera Diwana</t>
  </si>
  <si>
    <t>Yonggary</t>
  </si>
  <si>
    <t>Saleslady</t>
  </si>
  <si>
    <t>I Am Gangster</t>
  </si>
  <si>
    <t>Lazarus: Apocalypse</t>
  </si>
  <si>
    <t>Eat Your Heart Out</t>
  </si>
  <si>
    <t>Dana Gould: I Know It's Wrong</t>
  </si>
  <si>
    <t>Straight Shooter</t>
  </si>
  <si>
    <t>Imperial Venus</t>
  </si>
  <si>
    <t>The Legend of Tillamook's Gold</t>
  </si>
  <si>
    <t>Peculiar Pets</t>
  </si>
  <si>
    <t>Wall Street Cowboy</t>
  </si>
  <si>
    <t>Mary for Mayor</t>
  </si>
  <si>
    <t>E19 Virus</t>
  </si>
  <si>
    <t>This Is Who I Am</t>
  </si>
  <si>
    <t>Rap Sheet: Hip-Hop and the Cops</t>
  </si>
  <si>
    <t>Price of Love</t>
  </si>
  <si>
    <t>Man from Texas</t>
  </si>
  <si>
    <t>Elvis Presley: The Final Hours</t>
  </si>
  <si>
    <t>The Chaos Factor</t>
  </si>
  <si>
    <t>In the Name of Ben-Hur</t>
  </si>
  <si>
    <t>Apostles of Comedy</t>
  </si>
  <si>
    <t>Philo Vance Returns</t>
  </si>
  <si>
    <t>Matt Besser: Pot Humor</t>
  </si>
  <si>
    <t>Once in a New Moon</t>
  </si>
  <si>
    <t>The Best of 'Autopsy': A Sex Crimes Special</t>
  </si>
  <si>
    <t>Just Like a Woman</t>
  </si>
  <si>
    <t>Gangs of the Dead</t>
  </si>
  <si>
    <t>By Any Name</t>
  </si>
  <si>
    <t>Double Edge</t>
  </si>
  <si>
    <t>Camera Obscura</t>
  </si>
  <si>
    <t>Bear with Me</t>
  </si>
  <si>
    <t>Forbidden Jungle</t>
  </si>
  <si>
    <t>The Fearless Young Boxer</t>
  </si>
  <si>
    <t>Sundown Saunders</t>
  </si>
  <si>
    <t>Telephone Operator</t>
  </si>
  <si>
    <t>Owen Benjamin: Huge Pianist</t>
  </si>
  <si>
    <t>Venus Obscura</t>
  </si>
  <si>
    <t>Night of the Living Dead: Resurrection</t>
  </si>
  <si>
    <t>Harlem Aria</t>
  </si>
  <si>
    <t>Morgan's Ferry</t>
  </si>
  <si>
    <t>SuperTornado: Anatomy of a MegaDisaster</t>
  </si>
  <si>
    <t>Baghdad Texas</t>
  </si>
  <si>
    <t>Grinders</t>
  </si>
  <si>
    <t>Happy 40th</t>
  </si>
  <si>
    <t>Sawan Ko Aane Do</t>
  </si>
  <si>
    <t>Eluka Majaka</t>
  </si>
  <si>
    <t>Colorz of Rage</t>
  </si>
  <si>
    <t>15 Killings</t>
  </si>
  <si>
    <t>Adrift in Soho</t>
  </si>
  <si>
    <t>Thodi Thodi Si Manmaaniyan</t>
  </si>
  <si>
    <t>The Courageous Avenger</t>
  </si>
  <si>
    <t>Social Suicide</t>
  </si>
  <si>
    <t>The Beer Jesus from America</t>
  </si>
  <si>
    <t>Secret Lives</t>
  </si>
  <si>
    <t>Always Will</t>
  </si>
  <si>
    <t>Blowfly Park</t>
  </si>
  <si>
    <t>Special Agent Kids</t>
  </si>
  <si>
    <t>My Dad Is Scrooge</t>
  </si>
  <si>
    <t>Jay Pharoah: Can I Be Me?</t>
  </si>
  <si>
    <t>What Children Do</t>
  </si>
  <si>
    <t>Centipede</t>
  </si>
  <si>
    <t>A Haunting on Hamilton Street</t>
  </si>
  <si>
    <t>The Underground Sinema</t>
  </si>
  <si>
    <t>Bleeding Hearts</t>
  </si>
  <si>
    <t>Keith Robinson: Back of the Bus Funny</t>
  </si>
  <si>
    <t>Angel in Training</t>
  </si>
  <si>
    <t>Lizard Man</t>
  </si>
  <si>
    <t>Jon Reep: Ginger Beard Man</t>
  </si>
  <si>
    <t>Final Appointment</t>
  </si>
  <si>
    <t>Where Sleeping Dogs Lie</t>
  </si>
  <si>
    <t>Terror Talk</t>
  </si>
  <si>
    <t>CALL TV</t>
  </si>
  <si>
    <t>Eriko, Pretended</t>
  </si>
  <si>
    <t>Wide Blue Yonder</t>
  </si>
  <si>
    <t>In The House of Flies</t>
  </si>
  <si>
    <t>Amanda and the Fox</t>
  </si>
  <si>
    <t>Der Andere - eine Familiengeschichte</t>
  </si>
  <si>
    <t>Mothers of the Bride</t>
  </si>
  <si>
    <t>An Evening In Paris</t>
  </si>
  <si>
    <t>Ram Ratan</t>
  </si>
  <si>
    <t>Ablaze</t>
  </si>
  <si>
    <t>Artworks</t>
  </si>
  <si>
    <t>Mars Needs Women</t>
  </si>
  <si>
    <t>Let's Sing Again</t>
  </si>
  <si>
    <t>Forrest Shaw: Poor Decisions</t>
  </si>
  <si>
    <t>Manchild: The Schea Cotton Story</t>
  </si>
  <si>
    <t>Krazzy Tabbar</t>
  </si>
  <si>
    <t>Plato's Reality Machine</t>
  </si>
  <si>
    <t>Son of a Gun</t>
  </si>
  <si>
    <t>Charlie Kay Chakkar Mein</t>
  </si>
  <si>
    <t>Gallagher: We Need a Hero</t>
  </si>
  <si>
    <t>The Starck Club Documentary-The Final Cut</t>
  </si>
  <si>
    <t>Kirpaan</t>
  </si>
  <si>
    <t>Brian Gaar: Jokes I Wrote At Work</t>
  </si>
  <si>
    <t>The Film Peddler</t>
  </si>
  <si>
    <t>Beaten</t>
  </si>
  <si>
    <t>Melanie Comarcho: Hello!</t>
  </si>
  <si>
    <t>Midnight Devils</t>
  </si>
  <si>
    <t>Return to Treasure Island</t>
  </si>
  <si>
    <t>Rhythm in the Clouds</t>
  </si>
  <si>
    <t>Territorial Behavior</t>
  </si>
  <si>
    <t>Merlin's Shop of Mystical Wonders</t>
  </si>
  <si>
    <t>Narco Soldiers</t>
  </si>
  <si>
    <t>The Healing Garden</t>
  </si>
  <si>
    <t>Wetbacks</t>
  </si>
  <si>
    <t>Ishq Garaari</t>
  </si>
  <si>
    <t>They Meet Again</t>
  </si>
  <si>
    <t>Ninja Fist of Fire</t>
  </si>
  <si>
    <t>Barefoot Boy</t>
  </si>
  <si>
    <t>Bugged</t>
  </si>
  <si>
    <t>The Contender</t>
  </si>
  <si>
    <t>Modern Classic</t>
  </si>
  <si>
    <t>Knox: The Life and Legacy of Scotland's Controversial Reformer</t>
  </si>
  <si>
    <t>Message From A Mistress</t>
  </si>
  <si>
    <t>Fugitive Rage</t>
  </si>
  <si>
    <t>Dark Obsession</t>
  </si>
  <si>
    <t>Nick Di Paolo: Inflammatory</t>
  </si>
  <si>
    <t>Nature Unleashed: Fire</t>
  </si>
  <si>
    <t>Izzie's Way Home</t>
  </si>
  <si>
    <t>City of Shadows</t>
  </si>
  <si>
    <t>Buttcrack</t>
  </si>
  <si>
    <t>William Lee Martin: The Nutcracker</t>
  </si>
  <si>
    <t>Ester Steinberg Burning Bush</t>
  </si>
  <si>
    <t>The Dancing Pumpkin and the Ogre's Plot</t>
  </si>
  <si>
    <t>Where Love Found Me</t>
  </si>
  <si>
    <t>The Gay Ranchero</t>
  </si>
  <si>
    <t>Interlaced</t>
  </si>
  <si>
    <t>Galaxy Lords</t>
  </si>
  <si>
    <t>Bobby Slayton: Born to Be Bobby</t>
  </si>
  <si>
    <t>Nic &amp; Tristan Go Mega Dega</t>
  </si>
  <si>
    <t>Edison</t>
  </si>
  <si>
    <t>Bee Sting</t>
  </si>
  <si>
    <t>Arc</t>
  </si>
  <si>
    <t>Tammy Pescatelli's Way After School Special</t>
  </si>
  <si>
    <t>The Norse: An Arctic Mystery</t>
  </si>
  <si>
    <t>Gurozuka</t>
  </si>
  <si>
    <t>Betrayal</t>
  </si>
  <si>
    <t>Hanna's Gold</t>
  </si>
  <si>
    <t>Secret Valley</t>
  </si>
  <si>
    <t>Watch Out</t>
  </si>
  <si>
    <t>Somnus</t>
  </si>
  <si>
    <t>The List</t>
  </si>
  <si>
    <t>Back Page</t>
  </si>
  <si>
    <t>The Bone Garden</t>
  </si>
  <si>
    <t>Seven Hours of Gunfire</t>
  </si>
  <si>
    <t>The Four Deuces</t>
  </si>
  <si>
    <t>Debra Digiovanni: Single, Awkward, Female</t>
  </si>
  <si>
    <t>Gallagher's Sledge-O-Matic</t>
  </si>
  <si>
    <t>A Reckoning</t>
  </si>
  <si>
    <t>Los Marcados</t>
  </si>
  <si>
    <t>What Price Crime</t>
  </si>
  <si>
    <t>Pete Correale: The Things We Do For Love</t>
  </si>
  <si>
    <t>Das schafft die nie</t>
  </si>
  <si>
    <t>Childish Things</t>
  </si>
  <si>
    <t>Wildcat</t>
  </si>
  <si>
    <t>Princess Diana: A Life After Death</t>
  </si>
  <si>
    <t>Loni Love: America's Sister</t>
  </si>
  <si>
    <t>Gina Brillon: Pacifically Speaking</t>
  </si>
  <si>
    <t>Maverick: Manhunt Brazil</t>
  </si>
  <si>
    <t>Frontier Outlaws</t>
  </si>
  <si>
    <t>Shannon Street: Echoes Under a Blood Red Moon</t>
  </si>
  <si>
    <t>The King's Guard</t>
  </si>
  <si>
    <t>Paquete 3</t>
  </si>
  <si>
    <t>Last Day of School</t>
  </si>
  <si>
    <t>D-Day: The Price Of Freedom</t>
  </si>
  <si>
    <t>The Contract</t>
  </si>
  <si>
    <t>Lonely Boys</t>
  </si>
  <si>
    <t>The Nutcrackers</t>
  </si>
  <si>
    <t>Tasting Menu</t>
  </si>
  <si>
    <t>Tales of Found Footage</t>
  </si>
  <si>
    <t>Honesty Weekend</t>
  </si>
  <si>
    <t>David Crowe: Crooked Finger</t>
  </si>
  <si>
    <t>Night Train</t>
  </si>
  <si>
    <t>Thru: The Hereafter Remains Unknown</t>
  </si>
  <si>
    <t>Vegas in Space</t>
  </si>
  <si>
    <t>Banjara: The truck driver</t>
  </si>
  <si>
    <t>Neengal Kettavai</t>
  </si>
  <si>
    <t>Lil Rel: RELevent</t>
  </si>
  <si>
    <t>Captain Scarlett</t>
  </si>
  <si>
    <t>La Vaca - Holy Cow</t>
  </si>
  <si>
    <t>What Comes Around</t>
  </si>
  <si>
    <t>Die Sister, Die!</t>
  </si>
  <si>
    <t>Blanc de Blanc</t>
  </si>
  <si>
    <t>Preacherman</t>
  </si>
  <si>
    <t>Captured in Chinatown</t>
  </si>
  <si>
    <t>Fink!</t>
  </si>
  <si>
    <t>The Fidel Castro Tapes</t>
  </si>
  <si>
    <t>Solar Flare</t>
  </si>
  <si>
    <t>Baby Cat</t>
  </si>
  <si>
    <t>Brothers O'Toole</t>
  </si>
  <si>
    <t>Goobers!</t>
  </si>
  <si>
    <t>Faith's Song</t>
  </si>
  <si>
    <t>Where's The Love?</t>
  </si>
  <si>
    <t>The Days of Noah Part 2: Judgment Hour</t>
  </si>
  <si>
    <t>Held For Ransom</t>
  </si>
  <si>
    <t>Fury of the Fist and the Golden Fleece</t>
  </si>
  <si>
    <t>The Crescent Moon Clown</t>
  </si>
  <si>
    <t>The Odyssey of Destiny</t>
  </si>
  <si>
    <t>Abhinetri No. 1</t>
  </si>
  <si>
    <t>The Turtle and the Sea</t>
  </si>
  <si>
    <t>Mr. Reckless</t>
  </si>
  <si>
    <t>Hearts in Bondage</t>
  </si>
  <si>
    <t>The Dude Ranger</t>
  </si>
  <si>
    <t>All Over Town</t>
  </si>
  <si>
    <t>Scientology: The Science of Truth or the Art of Deception?</t>
  </si>
  <si>
    <t>Death's Door</t>
  </si>
  <si>
    <t>Haunted Maze</t>
  </si>
  <si>
    <t>Hillbillys in a Haunted House</t>
  </si>
  <si>
    <t>Binhi: The Seed</t>
  </si>
  <si>
    <t>Virus Shark</t>
  </si>
  <si>
    <t>A Midsummer's Hawaiian Dream</t>
  </si>
  <si>
    <t>Shadow Government</t>
  </si>
  <si>
    <t>Sunset Cove</t>
  </si>
  <si>
    <t>Prem Deewane</t>
  </si>
  <si>
    <t>The Power of the Resurrection</t>
  </si>
  <si>
    <t>Miracle on Highway 34</t>
  </si>
  <si>
    <t>A Million Hits</t>
  </si>
  <si>
    <t>Hot Mess</t>
  </si>
  <si>
    <t>The Legend of Butch &amp; Sundance</t>
  </si>
  <si>
    <t>A New Husband for Christmas</t>
  </si>
  <si>
    <t>The Last Ridge: The 10th Mountain Division</t>
  </si>
  <si>
    <t>Mission to Glory: A True Story</t>
  </si>
  <si>
    <t>Lilith</t>
  </si>
  <si>
    <t>Magic Max</t>
  </si>
  <si>
    <t>How to Go Out on a Date in Queens</t>
  </si>
  <si>
    <t>Kung Fu Masters 2</t>
  </si>
  <si>
    <t>Caryl of the Mountains</t>
  </si>
  <si>
    <t>Yellowneck</t>
  </si>
  <si>
    <t>Riders of the Rockies</t>
  </si>
  <si>
    <t>Richard Lewis: The Magical Misery Tour</t>
  </si>
  <si>
    <t>Quel maledetto ponte sull'Elba</t>
  </si>
  <si>
    <t>Murder.com</t>
  </si>
  <si>
    <t>ADHD: Not Just for Kids</t>
  </si>
  <si>
    <t>Invisible Mom</t>
  </si>
  <si>
    <t>Guns Don't Argue</t>
  </si>
  <si>
    <t>Nocturnal Agony</t>
  </si>
  <si>
    <t>Ambush at Dark Canyon</t>
  </si>
  <si>
    <t>Hold</t>
  </si>
  <si>
    <t>Darkness</t>
  </si>
  <si>
    <t>A Night at the Follies</t>
  </si>
  <si>
    <t>Turned Out</t>
  </si>
  <si>
    <t>Gallagher: An Uncensored Evening</t>
  </si>
  <si>
    <t>Ranangan</t>
  </si>
  <si>
    <t>Prison Shadows</t>
  </si>
  <si>
    <t>Blanche</t>
  </si>
  <si>
    <t>The Windsplitter</t>
  </si>
  <si>
    <t>Making a Killing</t>
  </si>
  <si>
    <t>Musclecar</t>
  </si>
  <si>
    <t>Etgar Keret What Animal R U?</t>
  </si>
  <si>
    <t>The Fall of '55</t>
  </si>
  <si>
    <t>DocoBANKSY</t>
  </si>
  <si>
    <t>Ninaitthathai Mudippavan</t>
  </si>
  <si>
    <t>Jay Mohr: American Treasure</t>
  </si>
  <si>
    <t>Luv Ka The End</t>
  </si>
  <si>
    <t>Adventures in Odyssey: Electric Christmas</t>
  </si>
  <si>
    <t>The Daniel Tiger Movie: Won't You Be Our Neighbor?</t>
  </si>
  <si>
    <t>Halloween Horror Tales</t>
  </si>
  <si>
    <t>From Other Worlds</t>
  </si>
  <si>
    <t>Red Sea</t>
  </si>
  <si>
    <t>Timber Queen</t>
  </si>
  <si>
    <t>A Wonderful Christmas</t>
  </si>
  <si>
    <t>Voyage of the Chimera</t>
  </si>
  <si>
    <t>A Room Full of Nothing</t>
  </si>
  <si>
    <t>The Outdoorsman</t>
  </si>
  <si>
    <t>Between Two Women</t>
  </si>
  <si>
    <t>The One Warrior</t>
  </si>
  <si>
    <t>Young, High and Dead</t>
  </si>
  <si>
    <t>The Vanquisher</t>
  </si>
  <si>
    <t>Michael Loftus: You've Changed</t>
  </si>
  <si>
    <t>The Fatal Hour</t>
  </si>
  <si>
    <t>The Guy with Secret Kung Fu</t>
  </si>
  <si>
    <t>Blonde Comet</t>
  </si>
  <si>
    <t>Android Uprising</t>
  </si>
  <si>
    <t>Heart of Stone</t>
  </si>
  <si>
    <t>Dawn Express</t>
  </si>
  <si>
    <t>Nakhuda</t>
  </si>
  <si>
    <t>The Courageous Dr. Christian</t>
  </si>
  <si>
    <t>Got My Hustle Up</t>
  </si>
  <si>
    <t>Doppel</t>
  </si>
  <si>
    <t>Paul Rodriguez: The Here &amp; Wow</t>
  </si>
  <si>
    <t>Run for Love</t>
  </si>
  <si>
    <t>Dead in France</t>
  </si>
  <si>
    <t>The Paradise Trail</t>
  </si>
  <si>
    <t>Perfect Break</t>
  </si>
  <si>
    <t>Frank and Fearless</t>
  </si>
  <si>
    <t>The Real Death Star</t>
  </si>
  <si>
    <t>Redhead</t>
  </si>
  <si>
    <t>Western Gold</t>
  </si>
  <si>
    <t>The Surge: The Whole Story</t>
  </si>
  <si>
    <t>The Miracle Kid</t>
  </si>
  <si>
    <t>A Dangerous Place</t>
  </si>
  <si>
    <t>Timelock</t>
  </si>
  <si>
    <t>Officer</t>
  </si>
  <si>
    <t>Such Were Some Of You</t>
  </si>
  <si>
    <t>Heathens and Thieves</t>
  </si>
  <si>
    <t>Porsche: Decades of Disruption</t>
  </si>
  <si>
    <t>Elodie</t>
  </si>
  <si>
    <t>Premasathi Vattel Te</t>
  </si>
  <si>
    <t>Zero Tolerance</t>
  </si>
  <si>
    <t>Evil on Queen Street</t>
  </si>
  <si>
    <t>The Shop</t>
  </si>
  <si>
    <t>The Devil Plays</t>
  </si>
  <si>
    <t>El alazÃ¡n y el rosillo</t>
  </si>
  <si>
    <t>Jasper Redd: Jazz Talk</t>
  </si>
  <si>
    <t>Darra</t>
  </si>
  <si>
    <t>Luk'Luk'I</t>
  </si>
  <si>
    <t>Shirdi Sai Baba</t>
  </si>
  <si>
    <t>Grace and Gravity</t>
  </si>
  <si>
    <t>Here's Flash Casey</t>
  </si>
  <si>
    <t>Uphaar</t>
  </si>
  <si>
    <t>Shhhh</t>
  </si>
  <si>
    <t>The Bogus Witch Project</t>
  </si>
  <si>
    <t>Kaashmora</t>
  </si>
  <si>
    <t>A Walk on the Moon</t>
  </si>
  <si>
    <t>Dogged</t>
  </si>
  <si>
    <t>And There Were 4</t>
  </si>
  <si>
    <t>Kiss the Bride</t>
  </si>
  <si>
    <t>Meet Dr. Christian</t>
  </si>
  <si>
    <t>The Phoenix</t>
  </si>
  <si>
    <t>Maximum Impact</t>
  </si>
  <si>
    <t>The October Flowers</t>
  </si>
  <si>
    <t>Black and Blue</t>
  </si>
  <si>
    <t>Abomination: The Evilmaker II</t>
  </si>
  <si>
    <t>Secondhand Hearts</t>
  </si>
  <si>
    <t>Navy Secrets</t>
  </si>
  <si>
    <t>Unknown Powers</t>
  </si>
  <si>
    <t>Craig Shoemaker: Daditude</t>
  </si>
  <si>
    <t>Thomas &amp; Friends: Big World! Big Adventures! The Movie</t>
  </si>
  <si>
    <t>Jugni</t>
  </si>
  <si>
    <t>The Underdog</t>
  </si>
  <si>
    <t>Eggsploitation</t>
  </si>
  <si>
    <t>Dead Eyes Open</t>
  </si>
  <si>
    <t>Lady of Guadalupe</t>
  </si>
  <si>
    <t>Assassin's Game</t>
  </si>
  <si>
    <t>CalÃ­gula</t>
  </si>
  <si>
    <t>The Last Appeal</t>
  </si>
  <si>
    <t>Heer &amp; Hero</t>
  </si>
  <si>
    <t>Ian Harvie: May the Best Cock Win</t>
  </si>
  <si>
    <t>First Lady</t>
  </si>
  <si>
    <t>Key of Brown</t>
  </si>
  <si>
    <t>Painter</t>
  </si>
  <si>
    <t>Hollywood High</t>
  </si>
  <si>
    <t>Silver Stallion</t>
  </si>
  <si>
    <t>Waters Rising</t>
  </si>
  <si>
    <t>Hi-Riders</t>
  </si>
  <si>
    <t>The Legend of Six Fingers</t>
  </si>
  <si>
    <t>Elfette Saves Christmas</t>
  </si>
  <si>
    <t>Alonzo Bodden: Tall, Dark and Funny</t>
  </si>
  <si>
    <t>Nicole Burch: Never Been Kissed</t>
  </si>
  <si>
    <t>Choosi Choodangaane</t>
  </si>
  <si>
    <t>Student of the Year 2</t>
  </si>
  <si>
    <t>Women of Devil's Island</t>
  </si>
  <si>
    <t>Great God Gold</t>
  </si>
  <si>
    <t>Lowriders vs Zombies from Space</t>
  </si>
  <si>
    <t>God's Step Children</t>
  </si>
  <si>
    <t>Kautuk Srivastava : Anatomy Of Awkward</t>
  </si>
  <si>
    <t>Havens End</t>
  </si>
  <si>
    <t>Perfect Piece</t>
  </si>
  <si>
    <t>Elvis &amp; the Memphis Mafia</t>
  </si>
  <si>
    <t>Finding Jesus</t>
  </si>
  <si>
    <t>Black History Activators</t>
  </si>
  <si>
    <t>Before All Others</t>
  </si>
  <si>
    <t>Brent Weinbach: Appealing to the Mainstream</t>
  </si>
  <si>
    <t>Gays in Prison</t>
  </si>
  <si>
    <t>Point 453</t>
  </si>
  <si>
    <t>Scary Bride</t>
  </si>
  <si>
    <t>Elayne Boosler: Party of One</t>
  </si>
  <si>
    <t>Waiting on Mary</t>
  </si>
  <si>
    <t>Honeymoon Limited</t>
  </si>
  <si>
    <t>The Adventures of Petey and Friends</t>
  </si>
  <si>
    <t>Reg'lar Fellers</t>
  </si>
  <si>
    <t>Everything Went Down</t>
  </si>
  <si>
    <t>The Great Cookie Comeback: Rebaking Wally Amos</t>
  </si>
  <si>
    <t>The Shortest Way Home: C.S. Lewis and Mere Christianity</t>
  </si>
  <si>
    <t>Diamond in the Rough</t>
  </si>
  <si>
    <t>Ian Bagg: Conversations</t>
  </si>
  <si>
    <t>A Century of Black Cinema</t>
  </si>
  <si>
    <t>I'd Give My Life</t>
  </si>
  <si>
    <t>Harm's Way</t>
  </si>
  <si>
    <t>John Heffron: Middle Class Funny</t>
  </si>
  <si>
    <t>Sing Sing Nights</t>
  </si>
  <si>
    <t>Rumors of Wars</t>
  </si>
  <si>
    <t>Marina Franklin: Single Black Female</t>
  </si>
  <si>
    <t>Jimmy Dore: Sentenced To Live</t>
  </si>
  <si>
    <t>Killing Stella</t>
  </si>
  <si>
    <t>Queen of the Yukon</t>
  </si>
  <si>
    <t>Switchin' The Script</t>
  </si>
  <si>
    <t>When the Lights Go On Again</t>
  </si>
  <si>
    <t>Tuareg: Desert Warrior</t>
  </si>
  <si>
    <t>Richard The Lionheart</t>
  </si>
  <si>
    <t>Buckets</t>
  </si>
  <si>
    <t>Ricochet</t>
  </si>
  <si>
    <t>What Is New Thought?</t>
  </si>
  <si>
    <t>The Girl Who Came Back</t>
  </si>
  <si>
    <t>The Wrath of Cain</t>
  </si>
  <si>
    <t>Immortal Combat the Code</t>
  </si>
  <si>
    <t>Monte Carlo Nights</t>
  </si>
  <si>
    <t>Intolerance: No More</t>
  </si>
  <si>
    <t>Thunder in the City</t>
  </si>
  <si>
    <t>Gallagher: That's Stupid</t>
  </si>
  <si>
    <t>Trump vs the Illuminati</t>
  </si>
  <si>
    <t>Jingle Bells</t>
  </si>
  <si>
    <t>Bones of Brundage</t>
  </si>
  <si>
    <t>Totem: The Return of the G'psgolox Pole</t>
  </si>
  <si>
    <t>Chinese Boxes</t>
  </si>
  <si>
    <t>Stro: The Michael D'Asaro Story</t>
  </si>
  <si>
    <t>House with a Turret</t>
  </si>
  <si>
    <t>August</t>
  </si>
  <si>
    <t>Elliott Morgan: Holy Shit</t>
  </si>
  <si>
    <t>Taven</t>
  </si>
  <si>
    <t>Shawn Pelofsky: Stretch it Out!</t>
  </si>
  <si>
    <t>Prayer Never Fails</t>
  </si>
  <si>
    <t>Jury of Our Peers</t>
  </si>
  <si>
    <t>Relative Evil</t>
  </si>
  <si>
    <t>WWII: Saving The Reality</t>
  </si>
  <si>
    <t>Wanderers of the West</t>
  </si>
  <si>
    <t>Jaws of Justice</t>
  </si>
  <si>
    <t>Shadows of the Past</t>
  </si>
  <si>
    <t>Wallaby Jim of the Islands</t>
  </si>
  <si>
    <t>Hawk and Rev: Vampire Slayers</t>
  </si>
  <si>
    <t>The Insurgents</t>
  </si>
  <si>
    <t>I'm That Kind of Woman</t>
  </si>
  <si>
    <t>Udanchhoo</t>
  </si>
  <si>
    <t>Convention Girl</t>
  </si>
  <si>
    <t>Paradise Isle</t>
  </si>
  <si>
    <t>Love You Right: An R&amp;B Musical</t>
  </si>
  <si>
    <t>Inside the Law</t>
  </si>
  <si>
    <t>The Mason Brothers</t>
  </si>
  <si>
    <t>The Festival Girls</t>
  </si>
  <si>
    <t>The Gateway</t>
  </si>
  <si>
    <t>The Grift</t>
  </si>
  <si>
    <t>William Lee Martin: Standing in the Middle</t>
  </si>
  <si>
    <t>Blackmail</t>
  </si>
  <si>
    <t>Moonfire</t>
  </si>
  <si>
    <t>Sky Racket</t>
  </si>
  <si>
    <t>On Angel Wings</t>
  </si>
  <si>
    <t>Adam Lost His Apple</t>
  </si>
  <si>
    <t>Stinger</t>
  </si>
  <si>
    <t>Uncommon Law</t>
  </si>
  <si>
    <t>The Black Kung Fu Experience</t>
  </si>
  <si>
    <t>The Dance</t>
  </si>
  <si>
    <t>Laundry Day</t>
  </si>
  <si>
    <t>Jeff Garcia: The Ten Dollar Ticket</t>
  </si>
  <si>
    <t>Fishbowl</t>
  </si>
  <si>
    <t>Honor Amongst Men</t>
  </si>
  <si>
    <t>The Knife of Devil's Roaring and Soul Missing</t>
  </si>
  <si>
    <t>Sasheer Zamata: Pizza Mind</t>
  </si>
  <si>
    <t>La pachanga</t>
  </si>
  <si>
    <t>Texas Road</t>
  </si>
  <si>
    <t>Tartarus</t>
  </si>
  <si>
    <t>Kirdar-E-Sardar</t>
  </si>
  <si>
    <t>Dancing Ninja</t>
  </si>
  <si>
    <t>Covert Action</t>
  </si>
  <si>
    <t>Templar Nation</t>
  </si>
  <si>
    <t>Disconnected</t>
  </si>
  <si>
    <t>24 Hours</t>
  </si>
  <si>
    <t>Claudia Oshry: Disgraced Queen</t>
  </si>
  <si>
    <t>Where Birds Don't Fly</t>
  </si>
  <si>
    <t>Black Saturday</t>
  </si>
  <si>
    <t>The Proposition</t>
  </si>
  <si>
    <t>The Cat in the Hat Knows a Lot About Camping!</t>
  </si>
  <si>
    <t>Italy's Mystery Mountains</t>
  </si>
  <si>
    <t>The Yousers</t>
  </si>
  <si>
    <t>Miraculous Messages</t>
  </si>
  <si>
    <t>The Cat In The Hat Knows A Lot About Space!</t>
  </si>
  <si>
    <t>Get the Girl</t>
  </si>
  <si>
    <t>Superintelligence: Beyond Human</t>
  </si>
  <si>
    <t>The Mystery of the Hooded Horsemen</t>
  </si>
  <si>
    <t>Mummy Dearest</t>
  </si>
  <si>
    <t>1/2 New Year</t>
  </si>
  <si>
    <t>The Bashful Bachelor</t>
  </si>
  <si>
    <t>Evan Straw</t>
  </si>
  <si>
    <t>Humpty Dumpty &amp; More Kids Songs: Super Simple Songs</t>
  </si>
  <si>
    <t>Beware Of Ladies</t>
  </si>
  <si>
    <t>Father Steps Out</t>
  </si>
  <si>
    <t>Drastic Measures</t>
  </si>
  <si>
    <t>Terror at Bigfoot Pond</t>
  </si>
  <si>
    <t>Snitch'd</t>
  </si>
  <si>
    <t>Pink Heat</t>
  </si>
  <si>
    <t>Tony Roberts: I'm Different</t>
  </si>
  <si>
    <t>Stranded</t>
  </si>
  <si>
    <t>The Reunited States</t>
  </si>
  <si>
    <t>La Sucursal</t>
  </si>
  <si>
    <t>Doggie Boogie - Get Your Grrr On!</t>
  </si>
  <si>
    <t>One By One</t>
  </si>
  <si>
    <t>Let 'em Have It</t>
  </si>
  <si>
    <t>Prey for the Beast</t>
  </si>
  <si>
    <t>Point of Terror</t>
  </si>
  <si>
    <t>Zabardast</t>
  </si>
  <si>
    <t>Living Space</t>
  </si>
  <si>
    <t>In the Money</t>
  </si>
  <si>
    <t>Tusks</t>
  </si>
  <si>
    <t>Captain Calamity</t>
  </si>
  <si>
    <t>The Young Land</t>
  </si>
  <si>
    <t>Just Business</t>
  </si>
  <si>
    <t>Aperture Kids and the Mysterious Neighbor</t>
  </si>
  <si>
    <t>Any Last Words?</t>
  </si>
  <si>
    <t>Matt Braunger: Finally Live in Portland</t>
  </si>
  <si>
    <t>A Box of Faith</t>
  </si>
  <si>
    <t>Guantanamero</t>
  </si>
  <si>
    <t>18 Vayasu</t>
  </si>
  <si>
    <t>Konga TNT</t>
  </si>
  <si>
    <t>Modern Prodigal</t>
  </si>
  <si>
    <t>Marital Problems</t>
  </si>
  <si>
    <t>Forbidden Secrets</t>
  </si>
  <si>
    <t>The Jailhouse</t>
  </si>
  <si>
    <t>Virus Undead</t>
  </si>
  <si>
    <t>Arrest Bulldog Drummond</t>
  </si>
  <si>
    <t>ICE Agent</t>
  </si>
  <si>
    <t>Brash Boys Club</t>
  </si>
  <si>
    <t>Avalanche Sharks</t>
  </si>
  <si>
    <t>Return of the Tiger</t>
  </si>
  <si>
    <t>Veritas, Prince of Truth</t>
  </si>
  <si>
    <t>Guilty by Association</t>
  </si>
  <si>
    <t>Border Blues</t>
  </si>
  <si>
    <t>Hollow Scream</t>
  </si>
  <si>
    <t>Payback</t>
  </si>
  <si>
    <t>Bruce Lee Fights Back from the Grave</t>
  </si>
  <si>
    <t>Air Rage</t>
  </si>
  <si>
    <t>Clay</t>
  </si>
  <si>
    <t>All Babes Want To Kill Me</t>
  </si>
  <si>
    <t>Out of Line</t>
  </si>
  <si>
    <t>Christian Blake</t>
  </si>
  <si>
    <t>The Legend of Sasquatch</t>
  </si>
  <si>
    <t>Feeders 2: Slay Bells</t>
  </si>
  <si>
    <t>A Talking Pony!?!</t>
  </si>
  <si>
    <t>Mutant Species</t>
  </si>
  <si>
    <t>Armed for Action</t>
  </si>
  <si>
    <t>Lipstick Camera</t>
  </si>
  <si>
    <t>26/100</t>
  </si>
  <si>
    <t>Bank Alarm</t>
  </si>
  <si>
    <t>1313: Giant Killer Bees!</t>
  </si>
  <si>
    <t>Tom Clancy's The Division: Agent Origins</t>
  </si>
  <si>
    <t>19/100</t>
  </si>
  <si>
    <t>High Rise</t>
  </si>
  <si>
    <t>A risky revenge</t>
  </si>
  <si>
    <t>Facundo Alitaftaf</t>
  </si>
  <si>
    <t>The Cursed Island</t>
  </si>
  <si>
    <t>The John Wayne Story - The Later Years</t>
  </si>
  <si>
    <t>Johnston: The Defenders of Taffy 3</t>
  </si>
  <si>
    <t>Rebel: Loreta Velazquez, Secret Soldier of the American Civil War</t>
  </si>
  <si>
    <t>Rise Of The Great White Shark</t>
  </si>
  <si>
    <t>Long Live Your Death</t>
  </si>
  <si>
    <t>Once Upon a Time Was I, VerÃ´nica</t>
  </si>
  <si>
    <t>Pure the movie series</t>
  </si>
  <si>
    <t>KAALA (Malayalam)</t>
  </si>
  <si>
    <t>Paddle to the Ocean</t>
  </si>
  <si>
    <t>The Mini Witch</t>
  </si>
  <si>
    <t>Josh Blue: Broccoli</t>
  </si>
  <si>
    <t>Columbus In America</t>
  </si>
  <si>
    <t>ETs Among Us 3: Secret Space Program, Alien Psychics &amp; Crop Circle Clues</t>
  </si>
  <si>
    <t>Evening Waterfalls, 8 hours for sleep and meditation ultra dark</t>
  </si>
  <si>
    <t>Anxiety Feast</t>
  </si>
  <si>
    <t>Everything and Nothing: The Amazing Science of Empty Space</t>
  </si>
  <si>
    <t>Lots and Lots of Trucks: Hard Workin' Trucks</t>
  </si>
  <si>
    <t>Wild Kratts: Alaska- Hero's Journey</t>
  </si>
  <si>
    <t>Lil Wayne: Bling</t>
  </si>
  <si>
    <t>Omerta the Act of Silence</t>
  </si>
  <si>
    <t>Evening Rain with thunderstorm, 9 hours for sleep and meditation-ultra dark</t>
  </si>
  <si>
    <t>Ruby's Studio: The Friendship Show</t>
  </si>
  <si>
    <t>Kindness Matters</t>
  </si>
  <si>
    <t>How You Are to Me</t>
  </si>
  <si>
    <t>Las Vegas Story</t>
  </si>
  <si>
    <t>Five Lionni Classics</t>
  </si>
  <si>
    <t>Nature: Touching the Wild: Living with the Mule Deer of Deadman Gulch</t>
  </si>
  <si>
    <t>Corrie ten Boom: A Faith Undefeated</t>
  </si>
  <si>
    <t>I Love Toy Trains - Ticket to Ride</t>
  </si>
  <si>
    <t>Halloween Bug-A-Boo!</t>
  </si>
  <si>
    <t>Stevie Ray Vaughan - 1984-1989: Lonestar</t>
  </si>
  <si>
    <t>Love At First Swipe</t>
  </si>
  <si>
    <t>Kacche Dhaagey</t>
  </si>
  <si>
    <t>Don't Cry For Me Papa</t>
  </si>
  <si>
    <t>UFOTV Presents: Out of the Blue - The Definitive Investigation On UFOs</t>
  </si>
  <si>
    <t>Reflections on the Lord's Prayer: For People with Cancer</t>
  </si>
  <si>
    <t>The Amazing Adventure of Marchello the Cat</t>
  </si>
  <si>
    <t>Truck Tunes 2</t>
  </si>
  <si>
    <t>Little Pim: Let's Count - Spanish for Kids</t>
  </si>
  <si>
    <t>Arthur and the Haunted Tree House</t>
  </si>
  <si>
    <t>Rollin: The Fall of the Auto Industry and the rise of the Drug Economy in Detroit</t>
  </si>
  <si>
    <t>The Fairies: Fairy Beach</t>
  </si>
  <si>
    <t>5K1-States Evidence</t>
  </si>
  <si>
    <t>Fire Lines</t>
  </si>
  <si>
    <t>Mary Poppins</t>
  </si>
  <si>
    <t>96/100</t>
  </si>
  <si>
    <t>Avengers: Endgame</t>
  </si>
  <si>
    <t>Avengers: Infinity War</t>
  </si>
  <si>
    <t>Star Wars: A New Hope</t>
  </si>
  <si>
    <t>Star Wars: The Empire Strikes Back</t>
  </si>
  <si>
    <t>Soul</t>
  </si>
  <si>
    <t>Guardians of the Galaxy</t>
  </si>
  <si>
    <t>The Lion King</t>
  </si>
  <si>
    <t>WALLÂ·E</t>
  </si>
  <si>
    <t>The Avengers</t>
  </si>
  <si>
    <t>The Many Adventures of Winnie the Pooh</t>
  </si>
  <si>
    <t>Toy Story</t>
  </si>
  <si>
    <t>Up</t>
  </si>
  <si>
    <t>Star Wars: Return of the Jedi</t>
  </si>
  <si>
    <t>Finding Nemo</t>
  </si>
  <si>
    <t>Monsters, Inc.</t>
  </si>
  <si>
    <t>Coco</t>
  </si>
  <si>
    <t>Avatar</t>
  </si>
  <si>
    <t>Toy Story 3</t>
  </si>
  <si>
    <t>Thor: Ragnarok</t>
  </si>
  <si>
    <t>Pirates of the Caribbean: The Curse of the Black Pearl</t>
  </si>
  <si>
    <t>Captain America: Civil War</t>
  </si>
  <si>
    <t>Star Wars: The Force Awakens</t>
  </si>
  <si>
    <t>The Incredibles</t>
  </si>
  <si>
    <t>Captain America: The Winter Soldier</t>
  </si>
  <si>
    <t>Rogue One: A Star Wars Story</t>
  </si>
  <si>
    <t>Guardians of the Galaxy Vol. 2</t>
  </si>
  <si>
    <t>Zootopia</t>
  </si>
  <si>
    <t>Ratatouille</t>
  </si>
  <si>
    <t>Doctor Strange</t>
  </si>
  <si>
    <t>X-Men: Days of Future Past</t>
  </si>
  <si>
    <t>Black Panther</t>
  </si>
  <si>
    <t>Avengers: Age of Ultron</t>
  </si>
  <si>
    <t>The Princess Bride</t>
  </si>
  <si>
    <t>Big Hero 6</t>
  </si>
  <si>
    <t>Toy Story 2</t>
  </si>
  <si>
    <t>Aladdin</t>
  </si>
  <si>
    <t>Ant-Man</t>
  </si>
  <si>
    <t>Moana</t>
  </si>
  <si>
    <t>Hidden Figures</t>
  </si>
  <si>
    <t>Frozen</t>
  </si>
  <si>
    <t>Star Wars: Episode III - Revenge of the Sith</t>
  </si>
  <si>
    <t>Wreck-It Ralph</t>
  </si>
  <si>
    <t>Incredibles 2</t>
  </si>
  <si>
    <t>Tangled</t>
  </si>
  <si>
    <t>Iron Man 3</t>
  </si>
  <si>
    <t>The Nightmare Before Christmas</t>
  </si>
  <si>
    <t>Luca</t>
  </si>
  <si>
    <t>Home Alone</t>
  </si>
  <si>
    <t>Captain America: The First Avenger</t>
  </si>
  <si>
    <t>Thor</t>
  </si>
  <si>
    <t>X2</t>
  </si>
  <si>
    <t>Iron Man 2</t>
  </si>
  <si>
    <t>The Greatest Showman</t>
  </si>
  <si>
    <t>Pirates of the Caribbean: Dead Man's Chest</t>
  </si>
  <si>
    <t>Toy Story 4</t>
  </si>
  <si>
    <t>Star Wars: The Last Jedi</t>
  </si>
  <si>
    <t>Tinker Bell and the Lost Treasure</t>
  </si>
  <si>
    <t>Hamilton</t>
  </si>
  <si>
    <t>Captain Marvel</t>
  </si>
  <si>
    <t>Thor: The Dark World</t>
  </si>
  <si>
    <t>Raya and the Last Dragon</t>
  </si>
  <si>
    <t>Ant-Man and the Wasp</t>
  </si>
  <si>
    <t>Fantastic Mr. Fox</t>
  </si>
  <si>
    <t>Finding Dory</t>
  </si>
  <si>
    <t>Mulan</t>
  </si>
  <si>
    <t>Pirates of the Caribbean: At World's End</t>
  </si>
  <si>
    <t>Cars</t>
  </si>
  <si>
    <t>X-Men: Apocalypse</t>
  </si>
  <si>
    <t>Monsters University</t>
  </si>
  <si>
    <t>Brave</t>
  </si>
  <si>
    <t>Onward</t>
  </si>
  <si>
    <t>The Sound of Music</t>
  </si>
  <si>
    <t>Isle of Dogs</t>
  </si>
  <si>
    <t>Who Framed Roger Rabbit</t>
  </si>
  <si>
    <t>The Sandlot</t>
  </si>
  <si>
    <t>Solo: A Star Wars Story</t>
  </si>
  <si>
    <t>A Bug's Life</t>
  </si>
  <si>
    <t>Star Wars: Episode I - The Phantom Menace</t>
  </si>
  <si>
    <t>Remember the Titans</t>
  </si>
  <si>
    <t>Ralph Breaks the Internet</t>
  </si>
  <si>
    <t>Black Is King</t>
  </si>
  <si>
    <t>Lilo &amp; Stitch</t>
  </si>
  <si>
    <t>The Emperor's New Groove</t>
  </si>
  <si>
    <t>Star Wars: The Rise of Skywalker</t>
  </si>
  <si>
    <t>Star Wars: Episode II - Attack of the Clones</t>
  </si>
  <si>
    <t>The Simpsons Movie</t>
  </si>
  <si>
    <t>Frozen II</t>
  </si>
  <si>
    <t>The Chronicles of Narnia: The Lion, the Witch and the Wardrobe</t>
  </si>
  <si>
    <t>X-Men: The Last Stand</t>
  </si>
  <si>
    <t>Snow White and the Seven Dwarfs</t>
  </si>
  <si>
    <t>X-Men Origins: Wolverine</t>
  </si>
  <si>
    <t>Sanjay's Super Team</t>
  </si>
  <si>
    <t>Pirates of the Caribbean: Dead Men Tell No Tales</t>
  </si>
  <si>
    <t>Home Alone 2: Lost in New York</t>
  </si>
  <si>
    <t>The Color of Friendship</t>
  </si>
  <si>
    <t>Free Solo</t>
  </si>
  <si>
    <t>The Princess and the Frog</t>
  </si>
  <si>
    <t>Alice in Wonderland</t>
  </si>
  <si>
    <t>Rio</t>
  </si>
  <si>
    <t>Saving Mr. Banks</t>
  </si>
  <si>
    <t>Ice Age: Dawn of the Dinosaurs</t>
  </si>
  <si>
    <t>Miss Peregrine's Home for Peculiar Children</t>
  </si>
  <si>
    <t>Bolt</t>
  </si>
  <si>
    <t>That Darn Cat!</t>
  </si>
  <si>
    <t>Night at the Museum</t>
  </si>
  <si>
    <t>One Hundred and One Dalmatians</t>
  </si>
  <si>
    <t>Lady and the Tramp</t>
  </si>
  <si>
    <t>Bambi</t>
  </si>
  <si>
    <t>Togo</t>
  </si>
  <si>
    <t>The Straight Story</t>
  </si>
  <si>
    <t>Peter Pan</t>
  </si>
  <si>
    <t>Cars 3</t>
  </si>
  <si>
    <t>Fantasia</t>
  </si>
  <si>
    <t>Maleficent: Mistress of Evil</t>
  </si>
  <si>
    <t>Ice Age: The Meltdown</t>
  </si>
  <si>
    <t>Treasure Planet</t>
  </si>
  <si>
    <t>Anastasia</t>
  </si>
  <si>
    <t>Pooh's Heffalump Movie</t>
  </si>
  <si>
    <t>John Carter</t>
  </si>
  <si>
    <t>Willow</t>
  </si>
  <si>
    <t>Dumbo</t>
  </si>
  <si>
    <t>Sleeping Beauty</t>
  </si>
  <si>
    <t>We Bought a Zoo</t>
  </si>
  <si>
    <t>Pocahontas</t>
  </si>
  <si>
    <t>The Good Dinosaur</t>
  </si>
  <si>
    <t>The Aristocats</t>
  </si>
  <si>
    <t>National Treasure: Book of Secrets</t>
  </si>
  <si>
    <t>Hocus Pocus</t>
  </si>
  <si>
    <t>Cool Runnings</t>
  </si>
  <si>
    <t>Christopher Robin</t>
  </si>
  <si>
    <t>Stargirl</t>
  </si>
  <si>
    <t>Eddie the Eagle</t>
  </si>
  <si>
    <t>Atlantis: The Lost Empire</t>
  </si>
  <si>
    <t>The Book of Life</t>
  </si>
  <si>
    <t>The Parent Trap</t>
  </si>
  <si>
    <t>Before the Flood</t>
  </si>
  <si>
    <t>Piper</t>
  </si>
  <si>
    <t>The Fox and the Hound</t>
  </si>
  <si>
    <t>Cars 2</t>
  </si>
  <si>
    <t>Prince of Persia: The Sands of Time</t>
  </si>
  <si>
    <t>The Sword in the Stone</t>
  </si>
  <si>
    <t>The Chronicles of Narnia: Prince Caspian</t>
  </si>
  <si>
    <t>Tron</t>
  </si>
  <si>
    <t>Frank and Ollie</t>
  </si>
  <si>
    <t>Holes</t>
  </si>
  <si>
    <t>Meet the Robinsons</t>
  </si>
  <si>
    <t>The Princess Diaries</t>
  </si>
  <si>
    <t>Horton Hears a Who!</t>
  </si>
  <si>
    <t>Alice Through the Looking Glass</t>
  </si>
  <si>
    <t>Night at the Museum: Battle of the Smithsonian</t>
  </si>
  <si>
    <t>Brother Bear</t>
  </si>
  <si>
    <t>Mary Poppins Returns</t>
  </si>
  <si>
    <t>Timmy Failure: Mistakes Were Made</t>
  </si>
  <si>
    <t>The Muppet Christmas Carol</t>
  </si>
  <si>
    <t>Presto</t>
  </si>
  <si>
    <t>Ferdinand</t>
  </si>
  <si>
    <t>Miracle</t>
  </si>
  <si>
    <t>The Finest Hours</t>
  </si>
  <si>
    <t>Honey, I Shrunk the Kids</t>
  </si>
  <si>
    <t>The Santa Clause</t>
  </si>
  <si>
    <t>Percy Jackson &amp; the Olympians: The Lightning Thief</t>
  </si>
  <si>
    <t>The Peanuts Movie</t>
  </si>
  <si>
    <t>Frankenweenie</t>
  </si>
  <si>
    <t>The Chronicles of Narnia: The Voyage of the Dawn Treader</t>
  </si>
  <si>
    <t>Geri's Game</t>
  </si>
  <si>
    <t>Into the Woods</t>
  </si>
  <si>
    <t>Piglet's Big Movie</t>
  </si>
  <si>
    <t>Pete's Dragon</t>
  </si>
  <si>
    <t>Freaky Friday</t>
  </si>
  <si>
    <t>Fantastic Four: Rise of the Silver Surfer</t>
  </si>
  <si>
    <t>Sister Act</t>
  </si>
  <si>
    <t>The Sorcerer's Apprentice</t>
  </si>
  <si>
    <t>EverAfter</t>
  </si>
  <si>
    <t>A Goofy Movie</t>
  </si>
  <si>
    <t>Bend It Like Beckham</t>
  </si>
  <si>
    <t>Lifted</t>
  </si>
  <si>
    <t>Big Business</t>
  </si>
  <si>
    <t>Roving Mars</t>
  </si>
  <si>
    <t>The Lion King II: Simba's Pride</t>
  </si>
  <si>
    <t>La luna</t>
  </si>
  <si>
    <t>The Muppet Movie</t>
  </si>
  <si>
    <t>Percy Jackson: Sea of Monsters</t>
  </si>
  <si>
    <t>The Rescuers</t>
  </si>
  <si>
    <t>Partly Cloudy</t>
  </si>
  <si>
    <t>Iron Will</t>
  </si>
  <si>
    <t>Eight Below</t>
  </si>
  <si>
    <t>Homeward Bound: The Incredible Journey</t>
  </si>
  <si>
    <t>James and the Giant Peach</t>
  </si>
  <si>
    <t>Adventures in Babysitting</t>
  </si>
  <si>
    <t>The Great Mouse Detective</t>
  </si>
  <si>
    <t>Day &amp; Night</t>
  </si>
  <si>
    <t>Flight of the Navigator</t>
  </si>
  <si>
    <t>The Mighty Ducks</t>
  </si>
  <si>
    <t>BURNÂ·E</t>
  </si>
  <si>
    <t>The Lion King 1Â½</t>
  </si>
  <si>
    <t>Mickey's Christmas Carol</t>
  </si>
  <si>
    <t>Bedtime Stories</t>
  </si>
  <si>
    <t>The Last Song</t>
  </si>
  <si>
    <t>Ice Age: Collision Course</t>
  </si>
  <si>
    <t>Mr. Holland's Opus</t>
  </si>
  <si>
    <t>Secretariat</t>
  </si>
  <si>
    <t>Fantasia 2000</t>
  </si>
  <si>
    <t>Oliver &amp; Company</t>
  </si>
  <si>
    <t>Melody Time</t>
  </si>
  <si>
    <t>Newsies: The Broadway Musical</t>
  </si>
  <si>
    <t>Bao</t>
  </si>
  <si>
    <t>Splash</t>
  </si>
  <si>
    <t>20,000 Leagues Under the Sea</t>
  </si>
  <si>
    <t>Dinosaur</t>
  </si>
  <si>
    <t>Cheaper by the Dozen</t>
  </si>
  <si>
    <t>The Rescuers Down Under</t>
  </si>
  <si>
    <t>Chicken Little</t>
  </si>
  <si>
    <t>The Princess Diaries 2: Royal Engagement</t>
  </si>
  <si>
    <t>101 Dalmatians II: Patch's London Adventure</t>
  </si>
  <si>
    <t>High School Musical</t>
  </si>
  <si>
    <t>Descendants</t>
  </si>
  <si>
    <t>Winnie the Pooh</t>
  </si>
  <si>
    <t>The Greatest Game Ever Played</t>
  </si>
  <si>
    <t>Lava</t>
  </si>
  <si>
    <t>Bedknobs and Broomsticks</t>
  </si>
  <si>
    <t>Queen of Katwe</t>
  </si>
  <si>
    <t>The Game Plan</t>
  </si>
  <si>
    <t>Glory Road</t>
  </si>
  <si>
    <t>D2: The Mighty Ducks</t>
  </si>
  <si>
    <t>The Cat from Outer Space</t>
  </si>
  <si>
    <t>Toy Story of Terror!</t>
  </si>
  <si>
    <t>DuckTales: The Movie - Treasure of the Lost Lamp</t>
  </si>
  <si>
    <t>Alexander and the Terrible, Horrible, No Good, Very Bad Day</t>
  </si>
  <si>
    <t>The Odd Life of Timothy Green</t>
  </si>
  <si>
    <t>Jack-Jack Attack</t>
  </si>
  <si>
    <t>The Three Musketeers</t>
  </si>
  <si>
    <t>Aladdin and the King of Thieves</t>
  </si>
  <si>
    <t>Descendants 3</t>
  </si>
  <si>
    <t>Secret of the Wings</t>
  </si>
  <si>
    <t>The Pacifier</t>
  </si>
  <si>
    <t>The One and Only Ivan</t>
  </si>
  <si>
    <t>Toy Story That Time Forgot</t>
  </si>
  <si>
    <t>Muppet Treasure Island</t>
  </si>
  <si>
    <t>Gnomeo &amp; Juliet</t>
  </si>
  <si>
    <t>Tinker Bell</t>
  </si>
  <si>
    <t>Return to Oz</t>
  </si>
  <si>
    <t>The Santa Clause 2</t>
  </si>
  <si>
    <t>The Black Cauldron</t>
  </si>
  <si>
    <t>Tinker Bell and the Legend of the NeverBeast</t>
  </si>
  <si>
    <t>The Big Year</t>
  </si>
  <si>
    <t>Around the World in 80 Days</t>
  </si>
  <si>
    <t>Herbie Goes to Monte Carlo</t>
  </si>
  <si>
    <t>3 Men and a Baby</t>
  </si>
  <si>
    <t>Lemonade Mouth</t>
  </si>
  <si>
    <t>Tinker Bell and the Pirate Fairy</t>
  </si>
  <si>
    <t>One Man Band</t>
  </si>
  <si>
    <t>Flubber</t>
  </si>
  <si>
    <t>Newsies</t>
  </si>
  <si>
    <t>Hello, Dolly!</t>
  </si>
  <si>
    <t>Halloweentown</t>
  </si>
  <si>
    <t>Sister Act 2: Back in the Habit</t>
  </si>
  <si>
    <t>Jack</t>
  </si>
  <si>
    <t>Race to Witch Mountain</t>
  </si>
  <si>
    <t>Diary of a Wimpy Kid: Rodrick Rules</t>
  </si>
  <si>
    <t>Maggie Simpson in The Longest Daycare</t>
  </si>
  <si>
    <t>Knick Knack</t>
  </si>
  <si>
    <t>Planes</t>
  </si>
  <si>
    <t>George of the Jungle</t>
  </si>
  <si>
    <t>Descendants 2</t>
  </si>
  <si>
    <t>The Adventures of Ichabod and Mr. Toad</t>
  </si>
  <si>
    <t>Heavyweights</t>
  </si>
  <si>
    <t>Destino</t>
  </si>
  <si>
    <t>The Great Muppet Caper</t>
  </si>
  <si>
    <t>Cheaper by the Dozen 2</t>
  </si>
  <si>
    <t>You Again</t>
  </si>
  <si>
    <t>Lou</t>
  </si>
  <si>
    <t>Mike's New Car</t>
  </si>
  <si>
    <t>Oklahoma!</t>
  </si>
  <si>
    <t>Baby's Day Out</t>
  </si>
  <si>
    <t>Mulan II</t>
  </si>
  <si>
    <t>High School Musical 2</t>
  </si>
  <si>
    <t>Riley's First Date?</t>
  </si>
  <si>
    <t>Mickey's Once Upon a Christmas</t>
  </si>
  <si>
    <t>Old Yeller</t>
  </si>
  <si>
    <t>Recess: Taking the Fifth Grade</t>
  </si>
  <si>
    <t>Lilo &amp; Stitch 2: Stitch Has a Glitch</t>
  </si>
  <si>
    <t>The Nutcracker and the Four Realms</t>
  </si>
  <si>
    <t>Phineas and Ferb: The Movie: Across the 2nd Dimension</t>
  </si>
  <si>
    <t>22 vs. Earth</t>
  </si>
  <si>
    <t>The Kid Who Would Be King</t>
  </si>
  <si>
    <t>The Return of Jafar</t>
  </si>
  <si>
    <t>The Simpsons: The Good, the Bart, and the Loki</t>
  </si>
  <si>
    <t>Journey to the Center of the Earth</t>
  </si>
  <si>
    <t>Marvel Rising: Secret Warriors</t>
  </si>
  <si>
    <t>Luxo Jr.</t>
  </si>
  <si>
    <t>One Magic Christmas</t>
  </si>
  <si>
    <t>Tinker Bell and the Great Fairy Rescue</t>
  </si>
  <si>
    <t>Kitbull</t>
  </si>
  <si>
    <t>Steamboat Willie</t>
  </si>
  <si>
    <t>The Lizzie McGuire Movie</t>
  </si>
  <si>
    <t>Tuck Everlasting</t>
  </si>
  <si>
    <t>Red Tails</t>
  </si>
  <si>
    <t>Folklore: The Long Pond Studio Sessions</t>
  </si>
  <si>
    <t>Us Again</t>
  </si>
  <si>
    <t>The Haunted Mansion</t>
  </si>
  <si>
    <t>Ice Princess</t>
  </si>
  <si>
    <t>High School Musical 3: Senior Year</t>
  </si>
  <si>
    <t>Jane</t>
  </si>
  <si>
    <t>Boundin'</t>
  </si>
  <si>
    <t>Oceans</t>
  </si>
  <si>
    <t>Hawaiian Vacation</t>
  </si>
  <si>
    <t>The Three Caballeros</t>
  </si>
  <si>
    <t>Mars Needs Moms</t>
  </si>
  <si>
    <t>Prep &amp; Landing</t>
  </si>
  <si>
    <t>The Tigger Movie</t>
  </si>
  <si>
    <t>Princess Protection Program</t>
  </si>
  <si>
    <t>Pollyanna</t>
  </si>
  <si>
    <t>The Little Mermaid: Ariel's Beginning</t>
  </si>
  <si>
    <t>Small Fry</t>
  </si>
  <si>
    <t>The Black Hole</t>
  </si>
  <si>
    <t>Bears</t>
  </si>
  <si>
    <t>Starstruck</t>
  </si>
  <si>
    <t>The Wizards Return: Alex vs. Alex</t>
  </si>
  <si>
    <t>Phineas and Ferb: The Movie: Candace Against the Universe</t>
  </si>
  <si>
    <t>Godmothered</t>
  </si>
  <si>
    <t>Inner Workings</t>
  </si>
  <si>
    <t>Cinderella III: A Twist in Time</t>
  </si>
  <si>
    <t>Wizards of Waverly Place: The Movie</t>
  </si>
  <si>
    <t>Recess: School's Out</t>
  </si>
  <si>
    <t>Kronk's New Groove</t>
  </si>
  <si>
    <t>Partysaurus Rex</t>
  </si>
  <si>
    <t>The Little Mermaid II: Return to the Sea</t>
  </si>
  <si>
    <t>The Love Bug</t>
  </si>
  <si>
    <t>Home Alone 3</t>
  </si>
  <si>
    <t>Strange Magic</t>
  </si>
  <si>
    <t>Flora &amp; Ulysses</t>
  </si>
  <si>
    <t>Camp Rock</t>
  </si>
  <si>
    <t>Brother Bear 2</t>
  </si>
  <si>
    <t>Wild Hearts Can't Be Broken</t>
  </si>
  <si>
    <t>An Extremely Goofy Movie</t>
  </si>
  <si>
    <t>Teen Beach Movie</t>
  </si>
  <si>
    <t>Howard</t>
  </si>
  <si>
    <t>Halloweentown II: Kalabar's Revenge</t>
  </si>
  <si>
    <t>G-Force</t>
  </si>
  <si>
    <t>Mickey, Donald, Goofy: The Three Musketeers</t>
  </si>
  <si>
    <t>Annie</t>
  </si>
  <si>
    <t>Mighty Joe Young</t>
  </si>
  <si>
    <t>A Wrinkle in Time</t>
  </si>
  <si>
    <t>Miraculous World: Shanghai â€“ The Legend of Ladydragon</t>
  </si>
  <si>
    <t>Three Little Pigs</t>
  </si>
  <si>
    <t>Homeward Bound II: Lost in San Francisco</t>
  </si>
  <si>
    <t>Home on the Range</t>
  </si>
  <si>
    <t>Planes: Fire &amp; Rescue</t>
  </si>
  <si>
    <t>Beauty and the Beast: The Enchanted Christmas</t>
  </si>
  <si>
    <t>Fun and Fancy Free</t>
  </si>
  <si>
    <t>Olaf's Frozen Adventure</t>
  </si>
  <si>
    <t>Geek Charming</t>
  </si>
  <si>
    <t>Darby O'Gill and the Little People</t>
  </si>
  <si>
    <t>Garfield</t>
  </si>
  <si>
    <t>The Santa Clause 3: The Escape Clause</t>
  </si>
  <si>
    <t>Because of Winn-Dixie</t>
  </si>
  <si>
    <t>Bambi II</t>
  </si>
  <si>
    <t>Halloweentown High</t>
  </si>
  <si>
    <t>The Journey of Natty Gann</t>
  </si>
  <si>
    <t>Treasure Island</t>
  </si>
  <si>
    <t>Dug's Special Mission</t>
  </si>
  <si>
    <t>African Cats</t>
  </si>
  <si>
    <t>The Lego Star Wars Holiday Special</t>
  </si>
  <si>
    <t>Escape to Witch Mountain</t>
  </si>
  <si>
    <t>Marvel Studios: Assembling a Universe</t>
  </si>
  <si>
    <t>Monkey Kingdom</t>
  </si>
  <si>
    <t>Safety</t>
  </si>
  <si>
    <t>Hannah Montana: The Movie</t>
  </si>
  <si>
    <t>Lady and the Tramp II: Scamp's Adventure</t>
  </si>
  <si>
    <t>Maggie Simpson in The Force Awakens from Its Nap</t>
  </si>
  <si>
    <t>Mickey's Twice Upon a Christmas</t>
  </si>
  <si>
    <t>Flicka</t>
  </si>
  <si>
    <t>D3: The Mighty Ducks</t>
  </si>
  <si>
    <t>Once Upon a Snowman</t>
  </si>
  <si>
    <t>Return to Never Land</t>
  </si>
  <si>
    <t>Honey, I Blew Up the Kid</t>
  </si>
  <si>
    <t>Mater and the Ghostlight</t>
  </si>
  <si>
    <t>The Absent-Minded Professor</t>
  </si>
  <si>
    <t>The Wild</t>
  </si>
  <si>
    <t>Camp Nowhere</t>
  </si>
  <si>
    <t>Miraculous World: New York, United HeroeZ</t>
  </si>
  <si>
    <t>Secret Society of Second Born Royals</t>
  </si>
  <si>
    <t>Float</t>
  </si>
  <si>
    <t>Cadet Kelly</t>
  </si>
  <si>
    <t>Stitch! The Movie</t>
  </si>
  <si>
    <t>Artemis Fowl</t>
  </si>
  <si>
    <t>Camp Rock 2: The Final Jam</t>
  </si>
  <si>
    <t>Born in China</t>
  </si>
  <si>
    <t>Valiant</t>
  </si>
  <si>
    <t>Cloud 9</t>
  </si>
  <si>
    <t>102 Dalmatians</t>
  </si>
  <si>
    <t>Twitches</t>
  </si>
  <si>
    <t>Kim Possible: So the Drama</t>
  </si>
  <si>
    <t>Jungle 2 Jungle</t>
  </si>
  <si>
    <t>Cinderella II: Dreams Come True</t>
  </si>
  <si>
    <t>Garfield: A Tail of Two Kitties</t>
  </si>
  <si>
    <t>Waking Sleeping Beauty</t>
  </si>
  <si>
    <t>Clouds</t>
  </si>
  <si>
    <t>Magic Camp</t>
  </si>
  <si>
    <t>Teen Beach 2</t>
  </si>
  <si>
    <t>3 Men and a Little Lady</t>
  </si>
  <si>
    <t>Z-O-M-B-I-E-S</t>
  </si>
  <si>
    <t>Walking with Dinosaurs</t>
  </si>
  <si>
    <t>Blank Check</t>
  </si>
  <si>
    <t>Pooh's Grand Adventure: The Search for Christopher Robin</t>
  </si>
  <si>
    <t>Auntie Edna</t>
  </si>
  <si>
    <t>Blackbeard's Ghost</t>
  </si>
  <si>
    <t>Your Friend the Rat</t>
  </si>
  <si>
    <t>Zenon: Girl of the 21st Century</t>
  </si>
  <si>
    <t>Tin Toy</t>
  </si>
  <si>
    <t>Atlantis: Milo's Return</t>
  </si>
  <si>
    <t>Pocahontas II: Journey to a New World</t>
  </si>
  <si>
    <t>Let It Shine</t>
  </si>
  <si>
    <t>Tangled: Before Ever After</t>
  </si>
  <si>
    <t>Ice Age: The Great Egg-Scapade</t>
  </si>
  <si>
    <t>Chimpanzee</t>
  </si>
  <si>
    <t>The Apple Dumpling Gang</t>
  </si>
  <si>
    <t>The Reluctant Dragon</t>
  </si>
  <si>
    <t>Avalon High</t>
  </si>
  <si>
    <t>Saludos Amigos</t>
  </si>
  <si>
    <t>The Band Concert</t>
  </si>
  <si>
    <t>Leroy &amp; Stitch</t>
  </si>
  <si>
    <t>12 Dates of Christmas</t>
  </si>
  <si>
    <t>Don't Look Under the Bed</t>
  </si>
  <si>
    <t>Phineas and Ferb: Star Wars</t>
  </si>
  <si>
    <t>The Happiest Millionaire</t>
  </si>
  <si>
    <t>Good Luck Charlie, It's Christmas!</t>
  </si>
  <si>
    <t>I'll Be Home for Christmas</t>
  </si>
  <si>
    <t>Honey, We Shrunk Ourselves</t>
  </si>
  <si>
    <t>Mickey's Trailer</t>
  </si>
  <si>
    <t>The Luck of the Irish</t>
  </si>
  <si>
    <t>Return to Halloweentown</t>
  </si>
  <si>
    <t>Candleshoe</t>
  </si>
  <si>
    <t>Everyone's Hero</t>
  </si>
  <si>
    <t>Brink!</t>
  </si>
  <si>
    <t>Burrow</t>
  </si>
  <si>
    <t>Invisible Sister</t>
  </si>
  <si>
    <t>Smart House</t>
  </si>
  <si>
    <t>The Shaggy Dog</t>
  </si>
  <si>
    <t>Purl</t>
  </si>
  <si>
    <t>Black Beauty</t>
  </si>
  <si>
    <t>The Adventures of Huck Finn</t>
  </si>
  <si>
    <t>Tarzan II</t>
  </si>
  <si>
    <t>Confessions of a Teenage Drama Queen</t>
  </si>
  <si>
    <t>Tom and Huck</t>
  </si>
  <si>
    <t>The Jungle Book 2</t>
  </si>
  <si>
    <t>Diary of a Wimpy Kid: The Long Haul</t>
  </si>
  <si>
    <t>Prep &amp; Landing: Naughty vs. Nice</t>
  </si>
  <si>
    <t>The Fox and the Hound 2</t>
  </si>
  <si>
    <t>The Incredible Journey</t>
  </si>
  <si>
    <t>Deep Blue</t>
  </si>
  <si>
    <t>Prom</t>
  </si>
  <si>
    <t>Phineas and Ferb: Mission Marvel</t>
  </si>
  <si>
    <t>The Prince and the Pauper</t>
  </si>
  <si>
    <t>The Sandlot 2</t>
  </si>
  <si>
    <t>Bad Hair Day</t>
  </si>
  <si>
    <t>Z-O-M-B-I-E-S 2</t>
  </si>
  <si>
    <t>The Boys: The Sherman Brothers' Story</t>
  </si>
  <si>
    <t>The Cheetah Girls</t>
  </si>
  <si>
    <t>Man of the House</t>
  </si>
  <si>
    <t>Twitches Too</t>
  </si>
  <si>
    <t>Herbie Rides Again</t>
  </si>
  <si>
    <t>Ewoks: The Battle for Endor</t>
  </si>
  <si>
    <t>Tru Confessions</t>
  </si>
  <si>
    <t>Read It and Weep</t>
  </si>
  <si>
    <t>Lonesome Ghosts</t>
  </si>
  <si>
    <t>Motocrossed</t>
  </si>
  <si>
    <t>Aliens of the Deep</t>
  </si>
  <si>
    <t>Marvel: 75 Years, From Pulp to Pop!</t>
  </si>
  <si>
    <t>Out</t>
  </si>
  <si>
    <t>Loop</t>
  </si>
  <si>
    <t>The Ugly Dachshund</t>
  </si>
  <si>
    <t>Shipwrecked</t>
  </si>
  <si>
    <t>Jump In!</t>
  </si>
  <si>
    <t>The Big Green</t>
  </si>
  <si>
    <t>The Even Stevens Movie</t>
  </si>
  <si>
    <t>Davy Crockett, King of the Wild Frontier</t>
  </si>
  <si>
    <t>Brave Little Tailor</t>
  </si>
  <si>
    <t>The Old Mill</t>
  </si>
  <si>
    <t>Minutemen</t>
  </si>
  <si>
    <t>Johnny Tsunami</t>
  </si>
  <si>
    <t>Life with Mikey</t>
  </si>
  <si>
    <t>Cow Belles</t>
  </si>
  <si>
    <t>First Kid</t>
  </si>
  <si>
    <t>The Small One</t>
  </si>
  <si>
    <t>Operation Dumbo Drop</t>
  </si>
  <si>
    <t>Wendy Wu: Homecoming Warrior</t>
  </si>
  <si>
    <t>Walt Disney's Silly Symphony: The Ugly Duckling</t>
  </si>
  <si>
    <t>Winnie the Pooh: Springtime with Roo</t>
  </si>
  <si>
    <t>Return from Witch Mountain</t>
  </si>
  <si>
    <t>Stuntman</t>
  </si>
  <si>
    <t>Smash and Grab</t>
  </si>
  <si>
    <t>Get a Clue</t>
  </si>
  <si>
    <t>Tall Tale</t>
  </si>
  <si>
    <t>Red's Dream</t>
  </si>
  <si>
    <t>Beverly Hills Chihuahua</t>
  </si>
  <si>
    <t>Frenemies</t>
  </si>
  <si>
    <t>Flowers and Trees</t>
  </si>
  <si>
    <t>The Thirteenth Year</t>
  </si>
  <si>
    <t>The Little Prince(ss)</t>
  </si>
  <si>
    <t>Max Keeble's Big Move</t>
  </si>
  <si>
    <t>Stuck in the Suburbs</t>
  </si>
  <si>
    <t>Penguins</t>
  </si>
  <si>
    <t>The Story of Robin Hood and His Merrie Men</t>
  </si>
  <si>
    <t>Party Central</t>
  </si>
  <si>
    <t>The Moon-Spinners</t>
  </si>
  <si>
    <t>The Island at the Top of the World</t>
  </si>
  <si>
    <t>Far from Home: The Adventures of Yellow Dog</t>
  </si>
  <si>
    <t>Phantom of the Megaplex</t>
  </si>
  <si>
    <t>Mom's Got a Date with a Vampire</t>
  </si>
  <si>
    <t>Now You See It...</t>
  </si>
  <si>
    <t>Girl vs. Monster</t>
  </si>
  <si>
    <t>Upside-Down Magic</t>
  </si>
  <si>
    <t>Double Teamed</t>
  </si>
  <si>
    <t>The Tortoise and the Hare</t>
  </si>
  <si>
    <t>Benji the Hunted</t>
  </si>
  <si>
    <t>MARS: Inside SpaceX</t>
  </si>
  <si>
    <t>Ferdinand the Bull</t>
  </si>
  <si>
    <t>Santa's Workshop</t>
  </si>
  <si>
    <t>The Suite Life Movie</t>
  </si>
  <si>
    <t>Wolfgang</t>
  </si>
  <si>
    <t>How to Build a Better Boy</t>
  </si>
  <si>
    <t>Clock Cleaners</t>
  </si>
  <si>
    <t>Lambert the Sheepish Lion</t>
  </si>
  <si>
    <t>Zenon: The Zequel</t>
  </si>
  <si>
    <t>The Apple Dumpling Gang Rides Again</t>
  </si>
  <si>
    <t>Pluto's Christmas Tree</t>
  </si>
  <si>
    <t>Star Wars Biomes</t>
  </si>
  <si>
    <t>Snowball Express</t>
  </si>
  <si>
    <t>Herbie Goes Bananas</t>
  </si>
  <si>
    <t>Pixel Perfect</t>
  </si>
  <si>
    <t>Sharpay's Fabulous Adventure</t>
  </si>
  <si>
    <t>The Cheetah Girls: One World</t>
  </si>
  <si>
    <t>Thru the Mirror</t>
  </si>
  <si>
    <t>The Brave Little Toaster to the Rescue</t>
  </si>
  <si>
    <t>Go Figure</t>
  </si>
  <si>
    <t>The Shaggy D.A.</t>
  </si>
  <si>
    <t>Titanic: 20 Years Later with James Cameron</t>
  </si>
  <si>
    <t>The Computer Wore Tennis Shoes</t>
  </si>
  <si>
    <t>The Strongest Man in the World</t>
  </si>
  <si>
    <t>Elephant</t>
  </si>
  <si>
    <t>The Mistle-Tones</t>
  </si>
  <si>
    <t>Greyfriars Bobby: The True Story of a Dog</t>
  </si>
  <si>
    <t>College Road Trip</t>
  </si>
  <si>
    <t>The Real Right Stuff</t>
  </si>
  <si>
    <t>A Kid in King Arthur's Court</t>
  </si>
  <si>
    <t>Apollo: Missions to the Moon</t>
  </si>
  <si>
    <t>Winnie the Pooh: A Very Merry Pooh Year</t>
  </si>
  <si>
    <t>The Proud Family Movie</t>
  </si>
  <si>
    <t>The Living Desert</t>
  </si>
  <si>
    <t>The Legend of Mor'du</t>
  </si>
  <si>
    <t>Iron Man &amp; Captain America: Heroes United</t>
  </si>
  <si>
    <t>Mr. Magoo</t>
  </si>
  <si>
    <t>Chip an' Dale</t>
  </si>
  <si>
    <t>The Little Mermaid Live!</t>
  </si>
  <si>
    <t>The Cheetah Girls 2</t>
  </si>
  <si>
    <t>Davy Crockett and the River Pirates</t>
  </si>
  <si>
    <t>Trick or Treat</t>
  </si>
  <si>
    <t>The Hunchback of Notre Dame II</t>
  </si>
  <si>
    <t>Shark Beach with Chris Hemsworth</t>
  </si>
  <si>
    <t>Playing with Sharks: The Valerie Taylor Story</t>
  </si>
  <si>
    <t>Marvel's Behind the Mask</t>
  </si>
  <si>
    <t>Eddie's Million Dollar Cook Off</t>
  </si>
  <si>
    <t>Alley Cats Strike</t>
  </si>
  <si>
    <t>The Million Dollar Duck</t>
  </si>
  <si>
    <t>Mr. Duck Steps Out</t>
  </si>
  <si>
    <t>Mr. Boogedy</t>
  </si>
  <si>
    <t>The Crimson Wing: Mystery of the Flamingos</t>
  </si>
  <si>
    <t>Snowglobe</t>
  </si>
  <si>
    <t>Science Fair</t>
  </si>
  <si>
    <t>The Art of Skiing</t>
  </si>
  <si>
    <t>The Big Bad Wolf</t>
  </si>
  <si>
    <t>Going to the Mat</t>
  </si>
  <si>
    <t>Tummy Trouble</t>
  </si>
  <si>
    <t>Quints</t>
  </si>
  <si>
    <t>Johnny Kapahala - Back on Board</t>
  </si>
  <si>
    <t>Mickey and the Seal</t>
  </si>
  <si>
    <t>How to Play Baseball</t>
  </si>
  <si>
    <t>The Brave Little Toaster Goes to Mars</t>
  </si>
  <si>
    <t>All in a Nutshell</t>
  </si>
  <si>
    <t>Into the Grand Canyon</t>
  </si>
  <si>
    <t>Hatching Pete</t>
  </si>
  <si>
    <t>George &amp; A.J.</t>
  </si>
  <si>
    <t>Chef Donald</t>
  </si>
  <si>
    <t>Tiger Cruise</t>
  </si>
  <si>
    <t>How to Fish</t>
  </si>
  <si>
    <t>American Eid</t>
  </si>
  <si>
    <t>Amy</t>
  </si>
  <si>
    <t>America's Heart and Soul</t>
  </si>
  <si>
    <t>Trail Mix-Up</t>
  </si>
  <si>
    <t>Once Upon A Mattress</t>
  </si>
  <si>
    <t>Tarzan &amp; Jane</t>
  </si>
  <si>
    <t>Right on Track</t>
  </si>
  <si>
    <t>Wings of Life</t>
  </si>
  <si>
    <t>That Darn Cat</t>
  </si>
  <si>
    <t>The Sandlot: Heading Home</t>
  </si>
  <si>
    <t>Squanto: A Warrior's Tale</t>
  </si>
  <si>
    <t>Gus</t>
  </si>
  <si>
    <t>Lamp Life</t>
  </si>
  <si>
    <t>The Hockey Champ</t>
  </si>
  <si>
    <t>Doug's 1st Movie</t>
  </si>
  <si>
    <t>On Ice</t>
  </si>
  <si>
    <t>Three Days</t>
  </si>
  <si>
    <t>Boat Builders</t>
  </si>
  <si>
    <t>A Knight for a Day</t>
  </si>
  <si>
    <t>Dr. Dolittle 3</t>
  </si>
  <si>
    <t>Ruby Bridges</t>
  </si>
  <si>
    <t>Let's Be Tigers</t>
  </si>
  <si>
    <t>The Scream Team</t>
  </si>
  <si>
    <t>Elmer Elephant</t>
  </si>
  <si>
    <t>Gotta Kick It Up!</t>
  </si>
  <si>
    <t>The Country Bears</t>
  </si>
  <si>
    <t>Miracle in Lane 2</t>
  </si>
  <si>
    <t>A Ring of Endless Light</t>
  </si>
  <si>
    <t>Belle's Magical World</t>
  </si>
  <si>
    <t>Forky Asks a Question: What Is a Friend?</t>
  </si>
  <si>
    <t>Jumping Ship</t>
  </si>
  <si>
    <t>The Grasshopper and the Ants</t>
  </si>
  <si>
    <t>Magician Mickey</t>
  </si>
  <si>
    <t>Iron Man &amp; Hulk: Heroes United</t>
  </si>
  <si>
    <t>Three Little Wolves</t>
  </si>
  <si>
    <t>White Fang 2: Myth of the White Wolf</t>
  </si>
  <si>
    <t>Dadnapped</t>
  </si>
  <si>
    <t>Mars and Beyond</t>
  </si>
  <si>
    <t>Rip Girls</t>
  </si>
  <si>
    <t>Third Man on the Mountain</t>
  </si>
  <si>
    <t>Atlantis Rising</t>
  </si>
  <si>
    <t>George of the Jungle 2</t>
  </si>
  <si>
    <t>Marvel Studios: Expanding the Universe</t>
  </si>
  <si>
    <t>Horse Sense</t>
  </si>
  <si>
    <t>Super Buddies</t>
  </si>
  <si>
    <t>The Ewok Adventure</t>
  </si>
  <si>
    <t>Cheetah</t>
  </si>
  <si>
    <t>Tugboat Mickey</t>
  </si>
  <si>
    <t>The Goddess of Spring</t>
  </si>
  <si>
    <t>Den Brother</t>
  </si>
  <si>
    <t>Into the Okavango</t>
  </si>
  <si>
    <t>Donald Duck: The Wise Little Hen</t>
  </si>
  <si>
    <t>Toby Tortoise Returns</t>
  </si>
  <si>
    <t>Out of Scale</t>
  </si>
  <si>
    <t>Mr. Mouse Takes a Trip</t>
  </si>
  <si>
    <t>Up, Up, and Away</t>
  </si>
  <si>
    <t>Expedition Amelia</t>
  </si>
  <si>
    <t>Beach Picnic</t>
  </si>
  <si>
    <t>Almost Angels</t>
  </si>
  <si>
    <t>Babes in the Woods</t>
  </si>
  <si>
    <t>Forky Asks a Question: What Is Love?</t>
  </si>
  <si>
    <t>Early to Bed</t>
  </si>
  <si>
    <t>The Castaway Cowboy</t>
  </si>
  <si>
    <t>Hawaiian Holiday</t>
  </si>
  <si>
    <t>Lend a Paw</t>
  </si>
  <si>
    <t>Corn Chips</t>
  </si>
  <si>
    <t>The African Lion</t>
  </si>
  <si>
    <t>Jane Goodall: The Hope</t>
  </si>
  <si>
    <t>Zenon: Z3</t>
  </si>
  <si>
    <t>Gender Revolution: A Journey with Katie Couric</t>
  </si>
  <si>
    <t>Life-Size 2: A Christmas Eve</t>
  </si>
  <si>
    <t>Winter Storage</t>
  </si>
  <si>
    <t>The Olympic Champ</t>
  </si>
  <si>
    <t>Growing Fangs</t>
  </si>
  <si>
    <t>High School Musical: The Musical: The Series: The Special</t>
  </si>
  <si>
    <t>Three Blind Mouseketeers</t>
  </si>
  <si>
    <t>Young Black Stallion</t>
  </si>
  <si>
    <t>Trailer Horn</t>
  </si>
  <si>
    <t>How to Swim</t>
  </si>
  <si>
    <t>Kazaam</t>
  </si>
  <si>
    <t>Double Dribble</t>
  </si>
  <si>
    <t>How to Play Football</t>
  </si>
  <si>
    <t>Orca Vs Great White</t>
  </si>
  <si>
    <t>Ye Olden Days</t>
  </si>
  <si>
    <t>The Little Whirlwind</t>
  </si>
  <si>
    <t>Bride of Boogedy</t>
  </si>
  <si>
    <t>The Last of the Chupacabras</t>
  </si>
  <si>
    <t>Forky Asks a Question: What Is Cheese?</t>
  </si>
  <si>
    <t>LEGO Star Wars: The New Yoda Chronicles - Escape from the Jedi Temple</t>
  </si>
  <si>
    <t>Forky Asks a Question: What Is Money?</t>
  </si>
  <si>
    <t>The Simple Things</t>
  </si>
  <si>
    <t>Dinner Is Served</t>
  </si>
  <si>
    <t>Captain Sparky vs. The Flying Saucers</t>
  </si>
  <si>
    <t>Lost on Everest</t>
  </si>
  <si>
    <t>Breaking2</t>
  </si>
  <si>
    <t>The Pied Piper</t>
  </si>
  <si>
    <t>Meet the Deedles</t>
  </si>
  <si>
    <t>Mickey's Birthday Party</t>
  </si>
  <si>
    <t>The Ultimate Christmas Present</t>
  </si>
  <si>
    <t>Dolphin Reef</t>
  </si>
  <si>
    <t>Dragon Around</t>
  </si>
  <si>
    <t>Lego Star Wars: The Yoda Chronicles - Raid on Coruscant</t>
  </si>
  <si>
    <t>Mickey's Rival</t>
  </si>
  <si>
    <t>Treasure Buddies</t>
  </si>
  <si>
    <t>Mars: One Day on the Red Planet</t>
  </si>
  <si>
    <t>Moon Mater</t>
  </si>
  <si>
    <t>Donald's Golf Game</t>
  </si>
  <si>
    <t>Those Calloways</t>
  </si>
  <si>
    <t>LEGO Star Wars: The New Yoda Chronicles - Race For The Holocrons</t>
  </si>
  <si>
    <t>Don's Fountain of Youth</t>
  </si>
  <si>
    <t>Donald's Dog Laundry</t>
  </si>
  <si>
    <t>Sea Scouts</t>
  </si>
  <si>
    <t>Jungle Cat</t>
  </si>
  <si>
    <t>Santa Paws 2: The Santa Pups</t>
  </si>
  <si>
    <t>Forky Asks a Question: What Is Time?</t>
  </si>
  <si>
    <t>Rogue Shark?</t>
  </si>
  <si>
    <t>Mickey Mouse: Mickey's Delayed Date</t>
  </si>
  <si>
    <t>Morning Light</t>
  </si>
  <si>
    <t>Marvel Rising: Chasing Ghosts</t>
  </si>
  <si>
    <t>The Golden Touch</t>
  </si>
  <si>
    <t>You Wish!</t>
  </si>
  <si>
    <t>Inspector Gadget 2</t>
  </si>
  <si>
    <t>Forky Asks a Question: What Is Art?</t>
  </si>
  <si>
    <t>Donald's Tire Trouble</t>
  </si>
  <si>
    <t>Stepsister from Planet Weird</t>
  </si>
  <si>
    <t>The New Neighbor</t>
  </si>
  <si>
    <t>Under the Sea: A Descendants Story</t>
  </si>
  <si>
    <t>Super Rhino</t>
  </si>
  <si>
    <t>Forky Asks a Question: What Is a Computer?</t>
  </si>
  <si>
    <t>The Adventures of Bullwhip Griffin</t>
  </si>
  <si>
    <t>Man in Space</t>
  </si>
  <si>
    <t>Society Dog Show</t>
  </si>
  <si>
    <t>Marvel Rising: Heart of Iron</t>
  </si>
  <si>
    <t>Bearly Asleep</t>
  </si>
  <si>
    <t>Back To The Titanic</t>
  </si>
  <si>
    <t>Emil and the Detectives</t>
  </si>
  <si>
    <t>Forky Asks a Question: What is Reading?</t>
  </si>
  <si>
    <t>Okavango: River of Dreams</t>
  </si>
  <si>
    <t>Life Is Ruff</t>
  </si>
  <si>
    <t>Rescue Dog</t>
  </si>
  <si>
    <t>Walt &amp; El Grupo</t>
  </si>
  <si>
    <t>Grand Canyonscope</t>
  </si>
  <si>
    <t>Treasure of Matecumbe</t>
  </si>
  <si>
    <t>Let's Stick Together</t>
  </si>
  <si>
    <t>The Biscuit Eater</t>
  </si>
  <si>
    <t>Pluto's Party</t>
  </si>
  <si>
    <t>Drain the Titanic</t>
  </si>
  <si>
    <t>Hannah Montana &amp; Miley Cyrus: Best of Both Worlds Concert</t>
  </si>
  <si>
    <t>Beezy Bear</t>
  </si>
  <si>
    <t>Miracle at Midnight</t>
  </si>
  <si>
    <t>Own the Room</t>
  </si>
  <si>
    <t>Recess: All Growed Down</t>
  </si>
  <si>
    <t>Food for Feudin'</t>
  </si>
  <si>
    <t>The Secret of the Magic Gourd</t>
  </si>
  <si>
    <t>Forky Asks a Question: What Is a Leader?</t>
  </si>
  <si>
    <t>Can of Worms</t>
  </si>
  <si>
    <t>The Lost Tomb of Alexander the Great</t>
  </si>
  <si>
    <t>Myth: A Frozen Tale</t>
  </si>
  <si>
    <t>Pluto's Purchase</t>
  </si>
  <si>
    <t>Pluto and the Gopher</t>
  </si>
  <si>
    <t>Decorating Disney: Holiday Magic</t>
  </si>
  <si>
    <t>The Vanishing Prairie</t>
  </si>
  <si>
    <t>Hounded</t>
  </si>
  <si>
    <t>Perri</t>
  </si>
  <si>
    <t>Sacred Planet</t>
  </si>
  <si>
    <t>The Bears and I</t>
  </si>
  <si>
    <t>World's Biggest Bull Shark?</t>
  </si>
  <si>
    <t>Canine Caddy</t>
  </si>
  <si>
    <t>Unidentified Flying Oddball</t>
  </si>
  <si>
    <t>Secrets of Life</t>
  </si>
  <si>
    <t>Marvel Rising: Battle of the Bands</t>
  </si>
  <si>
    <t>Forky Asks a Question: What Is a Pet?</t>
  </si>
  <si>
    <t>Shark Gangs</t>
  </si>
  <si>
    <t>The Adventures of AndrÃ© and Wally B.</t>
  </si>
  <si>
    <t>Buffalo Dreams</t>
  </si>
  <si>
    <t>Mark Twain and Me</t>
  </si>
  <si>
    <t>In the Footsteps of Elephant</t>
  </si>
  <si>
    <t>'Twas the Night</t>
  </si>
  <si>
    <t>Yellowstone Cubs</t>
  </si>
  <si>
    <t>A Celebration of the Music from Coco</t>
  </si>
  <si>
    <t>The Christmas Star</t>
  </si>
  <si>
    <t>Mail Dog</t>
  </si>
  <si>
    <t>Full-Court Miracle</t>
  </si>
  <si>
    <t>Cesar Millan: The Real Story</t>
  </si>
  <si>
    <t>Mickey Down Under</t>
  </si>
  <si>
    <t>High School Musical: The Musical: The Holiday Special</t>
  </si>
  <si>
    <t>Marvel Rising: Playing with Fire</t>
  </si>
  <si>
    <t>Playdate with Destiny</t>
  </si>
  <si>
    <t>Dory's Reef Cam</t>
  </si>
  <si>
    <t>Pompeii: Secrets of the Dead</t>
  </si>
  <si>
    <t>The Ghosts of Buxley Hall</t>
  </si>
  <si>
    <t>Pluto's Sweater</t>
  </si>
  <si>
    <t>Fuzzbucket</t>
  </si>
  <si>
    <t>Mission to the Sun</t>
  </si>
  <si>
    <t>Jingle Pols</t>
  </si>
  <si>
    <t>Drain Alcatraz</t>
  </si>
  <si>
    <t>Drain the Bermuda Triangle</t>
  </si>
  <si>
    <t>Marvel Rising: Operation Shuri</t>
  </si>
  <si>
    <t>Lost Temple of The Inca</t>
  </si>
  <si>
    <t>Skyrunners</t>
  </si>
  <si>
    <t>The Plausible Impossible</t>
  </si>
  <si>
    <t>Bizarre Dinosaurs</t>
  </si>
  <si>
    <t>Star Wars: Galaxy's Edge - Adventure Awaits</t>
  </si>
  <si>
    <t>Trail of the Panda</t>
  </si>
  <si>
    <t>Incredible! The Story of Dr. Pol</t>
  </si>
  <si>
    <t>Notre Dame: Race Against the Inferno</t>
  </si>
  <si>
    <t>The Disney Holiday Singalong</t>
  </si>
  <si>
    <t>Prowlers of the Everglades</t>
  </si>
  <si>
    <t>Bone Bandit</t>
  </si>
  <si>
    <t>Miracle Landing on the Hudson</t>
  </si>
  <si>
    <t>Drain The Ocean: WWII</t>
  </si>
  <si>
    <t>Jonas Brothers: The Concert Experience</t>
  </si>
  <si>
    <t>The Sign of Zorro</t>
  </si>
  <si>
    <t>Casebusters</t>
  </si>
  <si>
    <t>The New Yoda Chronicles: Clash of the Skywalkers</t>
  </si>
  <si>
    <t>Expedition Everest</t>
  </si>
  <si>
    <t>The Pre-Opening Report from Disneyland</t>
  </si>
  <si>
    <t>Ready to Run</t>
  </si>
  <si>
    <t>From Our Family to Yours</t>
  </si>
  <si>
    <t>The Poof Point</t>
  </si>
  <si>
    <t>700 Sharks</t>
  </si>
  <si>
    <t>How Dogs Got Their Shapes</t>
  </si>
  <si>
    <t>Pluto's Surprise Package</t>
  </si>
  <si>
    <t>Diving with Dolphins</t>
  </si>
  <si>
    <t>Petra: Secrets of the Ancient Builders</t>
  </si>
  <si>
    <t>Surviving the Mount St. Helens Disaster</t>
  </si>
  <si>
    <t>A Tale of Two Critters</t>
  </si>
  <si>
    <t>The Olympic Elk</t>
  </si>
  <si>
    <t>You Lucky Dog</t>
  </si>
  <si>
    <t>Easter Island Unsolved</t>
  </si>
  <si>
    <t>Kingdom of the Blue Whale</t>
  </si>
  <si>
    <t>The Story of the Faithful Wookiee</t>
  </si>
  <si>
    <t>Secrets of the Bull Shark</t>
  </si>
  <si>
    <t>Drain the Great Lakes</t>
  </si>
  <si>
    <t>Drain The Sunken Pirate City</t>
  </si>
  <si>
    <t>Whispers: An Elephant's Tale</t>
  </si>
  <si>
    <t>Sharks of Lost Island</t>
  </si>
  <si>
    <t>Nature's Half Acre</t>
  </si>
  <si>
    <t>The Jungle Book: Mowgli's Story</t>
  </si>
  <si>
    <t>The Last Ice</t>
  </si>
  <si>
    <t>Blue Ribbon Kids</t>
  </si>
  <si>
    <t>Stonehenge: Decoded</t>
  </si>
  <si>
    <t>Paris to Pittsburgh</t>
  </si>
  <si>
    <t>The Story of the Animated Drawing</t>
  </si>
  <si>
    <t>Water Birds</t>
  </si>
  <si>
    <t>Hamilton: History Has Its Eyes On You</t>
  </si>
  <si>
    <t>The Hidden Kingdoms of China</t>
  </si>
  <si>
    <t>LEGO Star Wars: The New Yoda Chronicles â€“ Duel of the Skywalkers</t>
  </si>
  <si>
    <t>Mega Hammerhead</t>
  </si>
  <si>
    <t>The Mouseketeers at Walt Disney World</t>
  </si>
  <si>
    <t>Buried Truth of the Maya</t>
  </si>
  <si>
    <t>Sammy, the Way-Out Seal</t>
  </si>
  <si>
    <t>Shark vs. Surfer</t>
  </si>
  <si>
    <t>Oil Spill of The Century</t>
  </si>
  <si>
    <t>My Dog the Thief</t>
  </si>
  <si>
    <t>The Liberty Story</t>
  </si>
  <si>
    <t>Hacksaw</t>
  </si>
  <si>
    <t>Big Sur-Wild California</t>
  </si>
  <si>
    <t>Secrets of Christ's Tomb: Explorer Special</t>
  </si>
  <si>
    <t>Cradle of the Gods</t>
  </si>
  <si>
    <t>Justin Morgan Had a Horse</t>
  </si>
  <si>
    <t>Disney Illuminations Firework Show Disneyland Paris</t>
  </si>
  <si>
    <t>Richie Rich's Christmas Wish</t>
  </si>
  <si>
    <t>Secrets of the King Cobra</t>
  </si>
  <si>
    <t>Viking Warrior Women</t>
  </si>
  <si>
    <t>Egypt's Treasure Guardians</t>
  </si>
  <si>
    <t>Born Wild: The Next Generation</t>
  </si>
  <si>
    <t>Chasing the Equinox</t>
  </si>
  <si>
    <t>Kingdom of the Apes: Battle Lines</t>
  </si>
  <si>
    <t>Arendelle Castle Yule Log</t>
  </si>
  <si>
    <t>Giants of the Deep Blue</t>
  </si>
  <si>
    <t>America's Greatest Animals</t>
  </si>
  <si>
    <t>Sea of Hope: America's Underwater Treasures</t>
  </si>
  <si>
    <t>Being the Queen</t>
  </si>
  <si>
    <t>Winged Seduction: Birds of Paradise</t>
  </si>
  <si>
    <t>The Boy Who Talked to Badgers</t>
  </si>
  <si>
    <t>Man vs. Shark</t>
  </si>
  <si>
    <t>The Lost City of Machu Picchu</t>
  </si>
  <si>
    <t>Tree Climbing Lions</t>
  </si>
  <si>
    <t>Planet of the Birds</t>
  </si>
  <si>
    <t>The Undefeated Presents: Hamilton In-Depth</t>
  </si>
  <si>
    <t>Penguins: Life on the Edge</t>
  </si>
  <si>
    <t>Wild Portugal</t>
  </si>
  <si>
    <t>Disney My Music Story: Perfume</t>
  </si>
  <si>
    <t>Shanghai Disney Resort Grand Opening Special</t>
  </si>
  <si>
    <t>Shark vs. Whale</t>
  </si>
  <si>
    <t>Shark Attack Investigation: The Paige Winter Story</t>
  </si>
  <si>
    <t>Disney Holiday Magic Quest</t>
  </si>
  <si>
    <t>India's Wild Leopards</t>
  </si>
  <si>
    <t>Journey to Shark Eden</t>
  </si>
  <si>
    <t>Man Among Cheetahs</t>
  </si>
  <si>
    <t>Big Sharks Rule</t>
  </si>
  <si>
    <t>Sultan And The Rock Star</t>
  </si>
  <si>
    <t>My Music Story: Yoshiki</t>
  </si>
  <si>
    <t>Disney Channel Halloween House Party</t>
  </si>
  <si>
    <t>Earth Live</t>
  </si>
  <si>
    <t>World's Greatest Dogs</t>
  </si>
  <si>
    <t>Wild Uganda</t>
  </si>
  <si>
    <t>Challenge Accepted! Disney Channel's Epic Holiday Showdown</t>
  </si>
  <si>
    <t>Sharks of the Bermuda Triangle</t>
  </si>
  <si>
    <t>Sharkcano</t>
  </si>
  <si>
    <t>Disney My Music Story: Sukima Switch</t>
  </si>
  <si>
    <t>Big Cat Games</t>
  </si>
  <si>
    <t>Great Shark Chow Down</t>
  </si>
  <si>
    <t>In Beaver Valley</t>
  </si>
  <si>
    <t>Texas Storm Squad</t>
  </si>
  <si>
    <t>What the Shark?</t>
  </si>
  <si>
    <t>Built for Mars: The Perseverance Rover</t>
  </si>
  <si>
    <t>Most Wanted Sharks</t>
  </si>
  <si>
    <t>Doc McStuffins: The Doc Is In</t>
  </si>
  <si>
    <t>Ultimate Viking Sword</t>
  </si>
  <si>
    <t>Hunt for the Abominable Snowman</t>
  </si>
  <si>
    <t>Women of Impact: Changing the World</t>
  </si>
  <si>
    <t>DAV Lab Assignment 2 | Formula-based Excel analysis</t>
  </si>
  <si>
    <t>OTT MOVIE STREAMING ANALYTICS DASHBOARD</t>
  </si>
  <si>
    <t>1. Dataset Profile</t>
  </si>
  <si>
    <t>Total number of records</t>
  </si>
  <si>
    <t>Total number of columns</t>
  </si>
  <si>
    <t>Earliest movie year</t>
  </si>
  <si>
    <t>Latest movie year</t>
  </si>
  <si>
    <t>Average movie year</t>
  </si>
  <si>
    <t>Missing Age</t>
  </si>
  <si>
    <t>Missing Rotten Tomatoes</t>
  </si>
  <si>
    <t>RT Score</t>
  </si>
  <si>
    <t>Average Rating</t>
  </si>
  <si>
    <t>2. Rotten Tomatoes Score</t>
  </si>
  <si>
    <t>Highest Rating</t>
  </si>
  <si>
    <t>Lowest Rating</t>
  </si>
  <si>
    <t>Movies rated 8+</t>
  </si>
  <si>
    <t>3. Streaming Platforms</t>
  </si>
  <si>
    <t>Platforms</t>
  </si>
  <si>
    <t>Movies</t>
  </si>
  <si>
    <t>4. Platform Percentage</t>
  </si>
  <si>
    <t>Percent</t>
  </si>
  <si>
    <t>5. Rating Distribution</t>
  </si>
  <si>
    <t>0–2</t>
  </si>
  <si>
    <t>2–4</t>
  </si>
  <si>
    <t>4–6</t>
  </si>
  <si>
    <t>6–8</t>
  </si>
  <si>
    <t>8–10</t>
  </si>
  <si>
    <t>Rating</t>
  </si>
  <si>
    <t>6. Age Rating</t>
  </si>
  <si>
    <t>Blank</t>
  </si>
  <si>
    <t>Count</t>
  </si>
  <si>
    <t>7. Movies Released by Year</t>
  </si>
  <si>
    <t>8. Highly Rated Movies by Platform</t>
  </si>
  <si>
    <t>Rating ≥ 8</t>
  </si>
  <si>
    <t>9. Platform Count</t>
  </si>
  <si>
    <t>Platform Count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</si>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</sst>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7" tint="0.79998168889431442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"/>
      <color theme="1"/>
      <name val="Arial Unicode MS"/>
    </font>
    <font>
      <b/>
      <sz val="9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" fontId="0" fillId="0" borderId="0" xfId="0" applyNumberFormat="1"/>
    <xf numFmtId="20" fontId="0" fillId="0" borderId="0" xfId="0" applyNumberFormat="1"/>
    <xf numFmtId="3" fontId="0" fillId="0" borderId="0" xfId="0" applyNumberFormat="1"/>
    <xf numFmtId="17" fontId="0" fillId="0" borderId="0" xfId="0" applyNumberFormat="1"/>
    <xf numFmtId="0" fontId="18" fillId="33" borderId="0" xfId="0" applyFont="1" applyFill="1"/>
    <xf numFmtId="0" fontId="19" fillId="33" borderId="0" xfId="0" applyFont="1" applyFill="1"/>
    <xf numFmtId="0" fontId="18" fillId="34" borderId="0" xfId="0" applyFont="1" applyFill="1"/>
    <xf numFmtId="0" fontId="0" fillId="34" borderId="0" xfId="0" applyFill="1"/>
    <xf numFmtId="0" fontId="0" fillId="33" borderId="0" xfId="0" applyFill="1"/>
    <xf numFmtId="0" fontId="20" fillId="35" borderId="0" xfId="0" applyFont="1" applyFill="1"/>
    <xf numFmtId="0" fontId="0" fillId="36" borderId="0" xfId="0" applyFill="1"/>
    <xf numFmtId="0" fontId="2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0" fillId="37" borderId="0" xfId="0" applyFont="1" applyFill="1"/>
    <xf numFmtId="0" fontId="0" fillId="37" borderId="0" xfId="0" applyFill="1"/>
    <xf numFmtId="0" fontId="0" fillId="0" borderId="0" xfId="0" applyAlignment="1">
      <alignment vertical="center"/>
    </xf>
    <xf numFmtId="0" fontId="0" fillId="38" borderId="0" xfId="0" applyFill="1"/>
    <xf numFmtId="0" fontId="0" fillId="39" borderId="0" xfId="0" applyFill="1"/>
    <xf numFmtId="0" fontId="20" fillId="40" borderId="0" xfId="0" applyFont="1" applyFill="1"/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800"/>
              <a:t>Streaming</a:t>
            </a:r>
            <a:r>
              <a:rPr lang="en-US" sz="800" baseline="0"/>
              <a:t> Platforms</a:t>
            </a:r>
            <a:endParaRPr lang="en-US" sz="800"/>
          </a:p>
        </c:rich>
      </c:tx>
      <c:layout>
        <c:manualLayout>
          <c:xMode val="edge"/>
          <c:yMode val="edge"/>
          <c:x val="0.44868864513229006"/>
          <c:y val="4.2274055712989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58158355205598"/>
          <c:y val="0.125"/>
          <c:w val="0.78352952755905514"/>
          <c:h val="0.76797098279381748"/>
        </c:manualLayout>
      </c:layout>
      <c:barChart>
        <c:barDir val="bar"/>
        <c:grouping val="clustered"/>
        <c:varyColors val="0"/>
        <c:ser>
          <c:idx val="2"/>
          <c:order val="2"/>
          <c:tx>
            <c:strRef>
              <c:f>DASHBOARD!$D$26</c:f>
              <c:strCache>
                <c:ptCount val="1"/>
                <c:pt idx="0">
                  <c:v>Movies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DASHBOARD!$A$27:$A$30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DASHBOARD!$D$27:$D$30</c:f>
              <c:numCache>
                <c:formatCode>General</c:formatCode>
                <c:ptCount val="4"/>
                <c:pt idx="0">
                  <c:v>3695</c:v>
                </c:pt>
                <c:pt idx="1">
                  <c:v>1047</c:v>
                </c:pt>
                <c:pt idx="2">
                  <c:v>4113</c:v>
                </c:pt>
                <c:pt idx="3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68-4D09-AC6A-45578D3C1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20829680"/>
        <c:axId val="13785708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DASHBOARD!$B$26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DASHBOARD!$A$27:$A$30</c15:sqref>
                        </c15:formulaRef>
                      </c:ext>
                    </c:extLst>
                    <c:strCache>
                      <c:ptCount val="4"/>
                      <c:pt idx="0">
                        <c:v>Netflix</c:v>
                      </c:pt>
                      <c:pt idx="1">
                        <c:v>Hulu</c:v>
                      </c:pt>
                      <c:pt idx="2">
                        <c:v>Prime Video</c:v>
                      </c:pt>
                      <c:pt idx="3">
                        <c:v>Disney+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DASHBOARD!$B$27:$B$30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368-4D09-AC6A-45578D3C160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DASHBOARD!$A$27:$A$30</c15:sqref>
                        </c15:formulaRef>
                      </c:ext>
                    </c:extLst>
                    <c:strCache>
                      <c:ptCount val="4"/>
                      <c:pt idx="0">
                        <c:v>Netflix</c:v>
                      </c:pt>
                      <c:pt idx="1">
                        <c:v>Hulu</c:v>
                      </c:pt>
                      <c:pt idx="2">
                        <c:v>Prime Video</c:v>
                      </c:pt>
                      <c:pt idx="3">
                        <c:v>Disney+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DASHBOARD!$C$27:$C$30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368-4D09-AC6A-45578D3C1605}"/>
                  </c:ext>
                </c:extLst>
              </c15:ser>
            </c15:filteredBarSeries>
          </c:ext>
        </c:extLst>
      </c:barChart>
      <c:catAx>
        <c:axId val="820829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70864"/>
        <c:crosses val="autoZero"/>
        <c:auto val="1"/>
        <c:lblAlgn val="ctr"/>
        <c:lblOffset val="100"/>
        <c:noMultiLvlLbl val="0"/>
      </c:catAx>
      <c:valAx>
        <c:axId val="137857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82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Dataset</a:t>
            </a:r>
            <a:r>
              <a:rPr lang="en-IN" baseline="0"/>
              <a:t> Profile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DASHBOARD!$A$8:$A$14</c:f>
              <c:strCache>
                <c:ptCount val="7"/>
                <c:pt idx="0">
                  <c:v>Total number of records</c:v>
                </c:pt>
                <c:pt idx="1">
                  <c:v>Total number of columns</c:v>
                </c:pt>
                <c:pt idx="2">
                  <c:v>Earliest movie year</c:v>
                </c:pt>
                <c:pt idx="3">
                  <c:v>Latest movie year</c:v>
                </c:pt>
                <c:pt idx="4">
                  <c:v>Average movie year</c:v>
                </c:pt>
                <c:pt idx="5">
                  <c:v>Missing Age</c:v>
                </c:pt>
                <c:pt idx="6">
                  <c:v>Missing Rotten Tomatoes</c:v>
                </c:pt>
              </c:strCache>
            </c:strRef>
          </c:cat>
          <c:val>
            <c:numRef>
              <c:f>DASHBOARD!$D$8:$D$14</c:f>
              <c:numCache>
                <c:formatCode>General</c:formatCode>
                <c:ptCount val="7"/>
                <c:pt idx="0">
                  <c:v>9515</c:v>
                </c:pt>
                <c:pt idx="1">
                  <c:v>11</c:v>
                </c:pt>
                <c:pt idx="2">
                  <c:v>1914</c:v>
                </c:pt>
                <c:pt idx="3">
                  <c:v>2021</c:v>
                </c:pt>
                <c:pt idx="4">
                  <c:v>2007.4223857067789</c:v>
                </c:pt>
                <c:pt idx="5">
                  <c:v>4177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8-4AEA-BCD0-0F33CE1C7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3209232"/>
        <c:axId val="13333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DASHBOARD!$A$8:$A$14</c15:sqref>
                        </c15:formulaRef>
                      </c:ext>
                    </c:extLst>
                    <c:strCache>
                      <c:ptCount val="7"/>
                      <c:pt idx="0">
                        <c:v>Total number of records</c:v>
                      </c:pt>
                      <c:pt idx="1">
                        <c:v>Total number of columns</c:v>
                      </c:pt>
                      <c:pt idx="2">
                        <c:v>Earliest movie year</c:v>
                      </c:pt>
                      <c:pt idx="3">
                        <c:v>Latest movie year</c:v>
                      </c:pt>
                      <c:pt idx="4">
                        <c:v>Average movie year</c:v>
                      </c:pt>
                      <c:pt idx="5">
                        <c:v>Missing Age</c:v>
                      </c:pt>
                      <c:pt idx="6">
                        <c:v>Missing Rotten Tomatoes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DASHBOARD!$B$8:$B$14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708-4AEA-BCD0-0F33CE1C7AE7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DASHBOARD!$A$8:$A$14</c15:sqref>
                        </c15:formulaRef>
                      </c:ext>
                    </c:extLst>
                    <c:strCache>
                      <c:ptCount val="7"/>
                      <c:pt idx="0">
                        <c:v>Total number of records</c:v>
                      </c:pt>
                      <c:pt idx="1">
                        <c:v>Total number of columns</c:v>
                      </c:pt>
                      <c:pt idx="2">
                        <c:v>Earliest movie year</c:v>
                      </c:pt>
                      <c:pt idx="3">
                        <c:v>Latest movie year</c:v>
                      </c:pt>
                      <c:pt idx="4">
                        <c:v>Average movie year</c:v>
                      </c:pt>
                      <c:pt idx="5">
                        <c:v>Missing Age</c:v>
                      </c:pt>
                      <c:pt idx="6">
                        <c:v>Missing Rotten Tomatoes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DASHBOARD!$C$8:$C$14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708-4AEA-BCD0-0F33CE1C7AE7}"/>
                  </c:ext>
                </c:extLst>
              </c15:ser>
            </c15:filteredBarSeries>
          </c:ext>
        </c:extLst>
      </c:barChart>
      <c:catAx>
        <c:axId val="173320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38896"/>
        <c:crosses val="autoZero"/>
        <c:auto val="1"/>
        <c:lblAlgn val="ctr"/>
        <c:lblOffset val="100"/>
        <c:noMultiLvlLbl val="0"/>
      </c:catAx>
      <c:valAx>
        <c:axId val="13333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20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Rotten Tomatos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DASHBOARD!$A$19:$A$22</c:f>
              <c:strCache>
                <c:ptCount val="4"/>
                <c:pt idx="0">
                  <c:v>Average Rating</c:v>
                </c:pt>
                <c:pt idx="1">
                  <c:v>Highest Rating</c:v>
                </c:pt>
                <c:pt idx="2">
                  <c:v>Lowest Rating</c:v>
                </c:pt>
                <c:pt idx="3">
                  <c:v>Movies rated 8+</c:v>
                </c:pt>
              </c:strCache>
            </c:strRef>
          </c:cat>
          <c:val>
            <c:numRef>
              <c:f>DASHBOARD!$D$19:$D$22</c:f>
              <c:numCache>
                <c:formatCode>General</c:formatCode>
                <c:ptCount val="4"/>
                <c:pt idx="0">
                  <c:v>5.3545014724442543</c:v>
                </c:pt>
                <c:pt idx="1">
                  <c:v>9.8000000000000007</c:v>
                </c:pt>
                <c:pt idx="2">
                  <c:v>1</c:v>
                </c:pt>
                <c:pt idx="3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44-40A7-96BD-E7F66E7A4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820799984"/>
        <c:axId val="1333763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DASHBOARD!$A$19:$A$22</c15:sqref>
                        </c15:formulaRef>
                      </c:ext>
                    </c:extLst>
                    <c:strCache>
                      <c:ptCount val="4"/>
                      <c:pt idx="0">
                        <c:v>Average Rating</c:v>
                      </c:pt>
                      <c:pt idx="1">
                        <c:v>Highest Rating</c:v>
                      </c:pt>
                      <c:pt idx="2">
                        <c:v>Lowest Rating</c:v>
                      </c:pt>
                      <c:pt idx="3">
                        <c:v>Movies rated 8+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DASHBOARD!$B$19:$B$22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944-40A7-96BD-E7F66E7A423C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DASHBOARD!$A$19:$A$22</c15:sqref>
                        </c15:formulaRef>
                      </c:ext>
                    </c:extLst>
                    <c:strCache>
                      <c:ptCount val="4"/>
                      <c:pt idx="0">
                        <c:v>Average Rating</c:v>
                      </c:pt>
                      <c:pt idx="1">
                        <c:v>Highest Rating</c:v>
                      </c:pt>
                      <c:pt idx="2">
                        <c:v>Lowest Rating</c:v>
                      </c:pt>
                      <c:pt idx="3">
                        <c:v>Movies rated 8+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DASHBOARD!$C$19:$C$22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944-40A7-96BD-E7F66E7A423C}"/>
                  </c:ext>
                </c:extLst>
              </c15:ser>
            </c15:filteredBarSeries>
          </c:ext>
        </c:extLst>
      </c:barChart>
      <c:catAx>
        <c:axId val="82079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6336"/>
        <c:crosses val="autoZero"/>
        <c:auto val="1"/>
        <c:lblAlgn val="ctr"/>
        <c:lblOffset val="100"/>
        <c:noMultiLvlLbl val="0"/>
      </c:catAx>
      <c:valAx>
        <c:axId val="13337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9998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Platform</a:t>
            </a:r>
            <a:r>
              <a:rPr lang="en-IN" baseline="0"/>
              <a:t> Percentage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EE7-4E98-BDCD-9DEE19826E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EE7-4E98-BDCD-9DEE19826E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EE7-4E98-BDCD-9DEE19826E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EE7-4E98-BDCD-9DEE19826E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EE7-4E98-BDCD-9DEE19826E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EE7-4E98-BDCD-9DEE19826EE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EE7-4E98-BDCD-9DEE19826EE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DASHBOARD!$A$33:$A$39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0-498A-A00D-550B17EB5C4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EE7-4E98-BDCD-9DEE19826E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EE7-4E98-BDCD-9DEE19826E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EE7-4E98-BDCD-9DEE19826E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2EE7-4E98-BDCD-9DEE19826E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EE7-4E98-BDCD-9DEE19826E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EE7-4E98-BDCD-9DEE19826EE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EE7-4E98-BDCD-9DEE19826EE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DASHBOARD!$B$33:$B$39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D1C0-498A-A00D-550B17EB5C4D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EE7-4E98-BDCD-9DEE19826E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EE7-4E98-BDCD-9DEE19826E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2EE7-4E98-BDCD-9DEE19826E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2EE7-4E98-BDCD-9DEE19826E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2EE7-4E98-BDCD-9DEE19826E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2EE7-4E98-BDCD-9DEE19826EE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2EE7-4E98-BDCD-9DEE19826EE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DASHBOARD!$C$33:$C$39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D1C0-498A-A00D-550B17EB5C4D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2EE7-4E98-BDCD-9DEE19826E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2EE7-4E98-BDCD-9DEE19826E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2EE7-4E98-BDCD-9DEE19826E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2EE7-4E98-BDCD-9DEE19826E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2EE7-4E98-BDCD-9DEE19826E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2EE7-4E98-BDCD-9DEE19826EE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2EE7-4E98-BDCD-9DEE19826EE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DASHBOARD!$D$33:$D$39</c:f>
              <c:numCache>
                <c:formatCode>General</c:formatCode>
                <c:ptCount val="7"/>
                <c:pt idx="1">
                  <c:v>0</c:v>
                </c:pt>
                <c:pt idx="2">
                  <c:v>0.38833420914345768</c:v>
                </c:pt>
                <c:pt idx="3">
                  <c:v>0.11003678402522334</c:v>
                </c:pt>
                <c:pt idx="4">
                  <c:v>0.432264844981608</c:v>
                </c:pt>
                <c:pt idx="5">
                  <c:v>9.689963215974777E-2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C0-498A-A00D-550B17EB5C4D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2EE7-4E98-BDCD-9DEE19826E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2EE7-4E98-BDCD-9DEE19826E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2EE7-4E98-BDCD-9DEE19826E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2EE7-4E98-BDCD-9DEE19826E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2EE7-4E98-BDCD-9DEE19826E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2EE7-4E98-BDCD-9DEE19826EE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2EE7-4E98-BDCD-9DEE19826EE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DASHBOARD!$E$33:$E$39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D1C0-498A-A00D-550B17EB5C4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 w="25400"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accent1">
          <a:alpha val="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RATING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DASHBOARD!$A$46:$A$52</c:f>
              <c:strCache>
                <c:ptCount val="7"/>
                <c:pt idx="0">
                  <c:v>5. Rating Distribution</c:v>
                </c:pt>
                <c:pt idx="1">
                  <c:v>Rating</c:v>
                </c:pt>
                <c:pt idx="2">
                  <c:v>0–2</c:v>
                </c:pt>
                <c:pt idx="3">
                  <c:v>2–4</c:v>
                </c:pt>
                <c:pt idx="4">
                  <c:v>4–6</c:v>
                </c:pt>
                <c:pt idx="5">
                  <c:v>6–8</c:v>
                </c:pt>
                <c:pt idx="6">
                  <c:v>8–10</c:v>
                </c:pt>
              </c:strCache>
            </c:strRef>
          </c:cat>
          <c:val>
            <c:numRef>
              <c:f>DASHBOARD!$B$46:$B$52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50FB-48C4-A518-D00EFB58DF97}"/>
            </c:ext>
          </c:extLst>
        </c:ser>
        <c:ser>
          <c:idx val="1"/>
          <c:order val="1"/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DASHBOARD!$A$46:$A$52</c:f>
              <c:strCache>
                <c:ptCount val="7"/>
                <c:pt idx="0">
                  <c:v>5. Rating Distribution</c:v>
                </c:pt>
                <c:pt idx="1">
                  <c:v>Rating</c:v>
                </c:pt>
                <c:pt idx="2">
                  <c:v>0–2</c:v>
                </c:pt>
                <c:pt idx="3">
                  <c:v>2–4</c:v>
                </c:pt>
                <c:pt idx="4">
                  <c:v>4–6</c:v>
                </c:pt>
                <c:pt idx="5">
                  <c:v>6–8</c:v>
                </c:pt>
                <c:pt idx="6">
                  <c:v>8–10</c:v>
                </c:pt>
              </c:strCache>
            </c:strRef>
          </c:cat>
          <c:val>
            <c:numRef>
              <c:f>DASHBOARD!$C$46:$C$52</c:f>
              <c:numCache>
                <c:formatCode>General</c:formatCode>
                <c:ptCount val="7"/>
                <c:pt idx="1">
                  <c:v>0</c:v>
                </c:pt>
                <c:pt idx="2">
                  <c:v>119</c:v>
                </c:pt>
                <c:pt idx="3">
                  <c:v>1036</c:v>
                </c:pt>
                <c:pt idx="4">
                  <c:v>5429</c:v>
                </c:pt>
                <c:pt idx="5">
                  <c:v>2589</c:v>
                </c:pt>
                <c:pt idx="6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FB-48C4-A518-D00EFB58DF97}"/>
            </c:ext>
          </c:extLst>
        </c:ser>
        <c:ser>
          <c:idx val="2"/>
          <c:order val="2"/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DASHBOARD!$A$46:$A$52</c:f>
              <c:strCache>
                <c:ptCount val="7"/>
                <c:pt idx="0">
                  <c:v>5. Rating Distribution</c:v>
                </c:pt>
                <c:pt idx="1">
                  <c:v>Rating</c:v>
                </c:pt>
                <c:pt idx="2">
                  <c:v>0–2</c:v>
                </c:pt>
                <c:pt idx="3">
                  <c:v>2–4</c:v>
                </c:pt>
                <c:pt idx="4">
                  <c:v>4–6</c:v>
                </c:pt>
                <c:pt idx="5">
                  <c:v>6–8</c:v>
                </c:pt>
                <c:pt idx="6">
                  <c:v>8–10</c:v>
                </c:pt>
              </c:strCache>
            </c:strRef>
          </c:cat>
          <c:val>
            <c:numRef>
              <c:f>DASHBOARD!$D$46:$D$52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50FB-48C4-A518-D00EFB58DF97}"/>
            </c:ext>
          </c:extLst>
        </c:ser>
        <c:ser>
          <c:idx val="3"/>
          <c:order val="3"/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DASHBOARD!$A$46:$A$52</c:f>
              <c:strCache>
                <c:ptCount val="7"/>
                <c:pt idx="0">
                  <c:v>5. Rating Distribution</c:v>
                </c:pt>
                <c:pt idx="1">
                  <c:v>Rating</c:v>
                </c:pt>
                <c:pt idx="2">
                  <c:v>0–2</c:v>
                </c:pt>
                <c:pt idx="3">
                  <c:v>2–4</c:v>
                </c:pt>
                <c:pt idx="4">
                  <c:v>4–6</c:v>
                </c:pt>
                <c:pt idx="5">
                  <c:v>6–8</c:v>
                </c:pt>
                <c:pt idx="6">
                  <c:v>8–10</c:v>
                </c:pt>
              </c:strCache>
            </c:strRef>
          </c:cat>
          <c:val>
            <c:numRef>
              <c:f>DASHBOARD!$E$46:$E$52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50FB-48C4-A518-D00EFB58DF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876702096"/>
        <c:axId val="1847498480"/>
        <c:axId val="0"/>
      </c:bar3DChart>
      <c:catAx>
        <c:axId val="187670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98480"/>
        <c:crosses val="autoZero"/>
        <c:auto val="1"/>
        <c:lblAlgn val="ctr"/>
        <c:lblOffset val="100"/>
        <c:noMultiLvlLbl val="0"/>
      </c:catAx>
      <c:valAx>
        <c:axId val="18474984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7670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60-499E-841E-97AD4301B08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60-499E-841E-97AD4301B08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60-499E-841E-97AD4301B08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60-499E-841E-97AD4301B08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560-499E-841E-97AD4301B08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560-499E-841E-97AD4301B08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560-499E-841E-97AD4301B08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560-499E-841E-97AD4301B089}"/>
              </c:ext>
            </c:extLst>
          </c:dPt>
          <c:cat>
            <c:strRef>
              <c:f>DASHBOARD!$A$59:$A$66</c:f>
              <c:strCache>
                <c:ptCount val="8"/>
                <c:pt idx="0">
                  <c:v>6. Age Rating</c:v>
                </c:pt>
                <c:pt idx="1">
                  <c:v>Age</c:v>
                </c:pt>
                <c:pt idx="2">
                  <c:v>18+</c:v>
                </c:pt>
                <c:pt idx="3">
                  <c:v>16+</c:v>
                </c:pt>
                <c:pt idx="4">
                  <c:v>13+</c:v>
                </c:pt>
                <c:pt idx="5">
                  <c:v>7+</c:v>
                </c:pt>
                <c:pt idx="6">
                  <c:v>all</c:v>
                </c:pt>
                <c:pt idx="7">
                  <c:v>Blank</c:v>
                </c:pt>
              </c:strCache>
            </c:strRef>
          </c:cat>
          <c:val>
            <c:numRef>
              <c:f>DASHBOARD!$B$59:$B$66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FEF2-4359-AA8A-5007B5C830DA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560-499E-841E-97AD4301B08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560-499E-841E-97AD4301B08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560-499E-841E-97AD4301B08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560-499E-841E-97AD4301B08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560-499E-841E-97AD4301B08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560-499E-841E-97AD4301B08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560-499E-841E-97AD4301B08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560-499E-841E-97AD4301B089}"/>
              </c:ext>
            </c:extLst>
          </c:dPt>
          <c:cat>
            <c:strRef>
              <c:f>DASHBOARD!$A$59:$A$66</c:f>
              <c:strCache>
                <c:ptCount val="8"/>
                <c:pt idx="0">
                  <c:v>6. Age Rating</c:v>
                </c:pt>
                <c:pt idx="1">
                  <c:v>Age</c:v>
                </c:pt>
                <c:pt idx="2">
                  <c:v>18+</c:v>
                </c:pt>
                <c:pt idx="3">
                  <c:v>16+</c:v>
                </c:pt>
                <c:pt idx="4">
                  <c:v>13+</c:v>
                </c:pt>
                <c:pt idx="5">
                  <c:v>7+</c:v>
                </c:pt>
                <c:pt idx="6">
                  <c:v>all</c:v>
                </c:pt>
                <c:pt idx="7">
                  <c:v>Blank</c:v>
                </c:pt>
              </c:strCache>
            </c:strRef>
          </c:cat>
          <c:val>
            <c:numRef>
              <c:f>DASHBOARD!$C$59:$C$66</c:f>
              <c:numCache>
                <c:formatCode>General</c:formatCode>
                <c:ptCount val="8"/>
                <c:pt idx="1">
                  <c:v>0</c:v>
                </c:pt>
                <c:pt idx="2">
                  <c:v>2276</c:v>
                </c:pt>
                <c:pt idx="3">
                  <c:v>276</c:v>
                </c:pt>
                <c:pt idx="4">
                  <c:v>998</c:v>
                </c:pt>
                <c:pt idx="5">
                  <c:v>1090</c:v>
                </c:pt>
                <c:pt idx="6">
                  <c:v>698</c:v>
                </c:pt>
                <c:pt idx="7">
                  <c:v>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F2-4359-AA8A-5007B5C830DA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D560-499E-841E-97AD4301B08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D560-499E-841E-97AD4301B08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D560-499E-841E-97AD4301B08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D560-499E-841E-97AD4301B08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D560-499E-841E-97AD4301B08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D560-499E-841E-97AD4301B08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D560-499E-841E-97AD4301B08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D560-499E-841E-97AD4301B089}"/>
              </c:ext>
            </c:extLst>
          </c:dPt>
          <c:cat>
            <c:strRef>
              <c:f>DASHBOARD!$A$59:$A$66</c:f>
              <c:strCache>
                <c:ptCount val="8"/>
                <c:pt idx="0">
                  <c:v>6. Age Rating</c:v>
                </c:pt>
                <c:pt idx="1">
                  <c:v>Age</c:v>
                </c:pt>
                <c:pt idx="2">
                  <c:v>18+</c:v>
                </c:pt>
                <c:pt idx="3">
                  <c:v>16+</c:v>
                </c:pt>
                <c:pt idx="4">
                  <c:v>13+</c:v>
                </c:pt>
                <c:pt idx="5">
                  <c:v>7+</c:v>
                </c:pt>
                <c:pt idx="6">
                  <c:v>all</c:v>
                </c:pt>
                <c:pt idx="7">
                  <c:v>Blank</c:v>
                </c:pt>
              </c:strCache>
            </c:strRef>
          </c:cat>
          <c:val>
            <c:numRef>
              <c:f>DASHBOARD!$D$59:$D$66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FEF2-4359-AA8A-5007B5C83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Highly</a:t>
            </a:r>
            <a:r>
              <a:rPr lang="en-IN" sz="1100" baseline="0"/>
              <a:t> Rated Movies by Platform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DASHBOARD!$A$75:$A$78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DASHBOARD!$B$75:$B$78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55A2-4B78-858A-D5B2577B7F5A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DASHBOARD!$A$75:$A$78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DASHBOARD!$C$75:$C$78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55A2-4B78-858A-D5B2577B7F5A}"/>
            </c:ext>
          </c:extLst>
        </c:ser>
        <c:ser>
          <c:idx val="2"/>
          <c:order val="2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DASHBOARD!$A$75:$A$78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DASHBOARD!$D$75:$D$78</c:f>
              <c:numCache>
                <c:formatCode>General</c:formatCode>
                <c:ptCount val="4"/>
                <c:pt idx="0">
                  <c:v>168</c:v>
                </c:pt>
                <c:pt idx="1">
                  <c:v>49</c:v>
                </c:pt>
                <c:pt idx="2">
                  <c:v>53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2-4B78-858A-D5B2577B7F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7067792"/>
        <c:axId val="1804311824"/>
      </c:barChart>
      <c:catAx>
        <c:axId val="93706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311824"/>
        <c:crosses val="autoZero"/>
        <c:auto val="1"/>
        <c:lblAlgn val="ctr"/>
        <c:lblOffset val="100"/>
        <c:noMultiLvlLbl val="0"/>
      </c:catAx>
      <c:valAx>
        <c:axId val="18043118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3706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A24-49A7-8A3F-95776597FC0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A24-49A7-8A3F-95776597FC0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A24-49A7-8A3F-95776597FC0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A24-49A7-8A3F-95776597FC01}"/>
              </c:ext>
            </c:extLst>
          </c:dPt>
          <c:val>
            <c:numRef>
              <c:f>DASHBOARD!$A$87:$A$90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2-426E-8DC5-83BD22186FCD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AA24-49A7-8A3F-95776597FC0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AA24-49A7-8A3F-95776597FC0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AA24-49A7-8A3F-95776597FC0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AA24-49A7-8A3F-95776597FC01}"/>
              </c:ext>
            </c:extLst>
          </c:dPt>
          <c:val>
            <c:numRef>
              <c:f>DASHBOARD!$B$87:$B$90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87D2-426E-8DC5-83BD22186FCD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AA24-49A7-8A3F-95776597FC0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AA24-49A7-8A3F-95776597FC0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AA24-49A7-8A3F-95776597FC0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AA24-49A7-8A3F-95776597FC01}"/>
              </c:ext>
            </c:extLst>
          </c:dPt>
          <c:val>
            <c:numRef>
              <c:f>DASHBOARD!$C$87:$C$90</c:f>
              <c:numCache>
                <c:formatCode>General</c:formatCode>
                <c:ptCount val="4"/>
                <c:pt idx="0">
                  <c:v>9262</c:v>
                </c:pt>
                <c:pt idx="1">
                  <c:v>245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D2-426E-8DC5-83BD22186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Movies</a:t>
            </a:r>
            <a:r>
              <a:rPr lang="en-IN" baseline="0"/>
              <a:t> Released by year</a:t>
            </a:r>
          </a:p>
        </c:rich>
      </c:tx>
      <c:layout>
        <c:manualLayout>
          <c:xMode val="edge"/>
          <c:yMode val="edge"/>
          <c:x val="0.2979790026246719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DASHBOARD!$O$8:$O$12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DASHBOARD!$R$8:$R$12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9-4063-A96F-AE825F286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6715552"/>
        <c:axId val="18042590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DASHBOARD!$O$8:$O$12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DASHBOARD!$P$8:$P$12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599-4063-A96F-AE825F286903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DASHBOARD!$O$8:$O$12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DASHBOARD!$Q$8:$Q$12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599-4063-A96F-AE825F286903}"/>
                  </c:ext>
                </c:extLst>
              </c15:ser>
            </c15:filteredLineSeries>
          </c:ext>
        </c:extLst>
      </c:lineChart>
      <c:catAx>
        <c:axId val="187671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259024"/>
        <c:crosses val="autoZero"/>
        <c:auto val="1"/>
        <c:lblAlgn val="ctr"/>
        <c:lblOffset val="100"/>
        <c:noMultiLvlLbl val="0"/>
      </c:catAx>
      <c:valAx>
        <c:axId val="180425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71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105103</xdr:colOff>
      <xdr:row>23</xdr:row>
      <xdr:rowOff>10512</xdr:rowOff>
    </xdr:from>
    <xdr:to>
      <xdr:col>11</xdr:col>
      <xdr:colOff>509752</xdr:colOff>
      <xdr:row>31</xdr:row>
      <xdr:rowOff>157656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CD014A-7B74-A8E4-86AE-8B864F4B2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141889</xdr:colOff>
      <xdr:row>3</xdr:row>
      <xdr:rowOff>173419</xdr:rowOff>
    </xdr:from>
    <xdr:to>
      <xdr:col>10</xdr:col>
      <xdr:colOff>333702</xdr:colOff>
      <xdr:row>12</xdr:row>
      <xdr:rowOff>136634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0768CD-46C6-32A8-4770-5B2571FE1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107731</xdr:colOff>
      <xdr:row>13</xdr:row>
      <xdr:rowOff>52552</xdr:rowOff>
    </xdr:from>
    <xdr:to>
      <xdr:col>12</xdr:col>
      <xdr:colOff>394138</xdr:colOff>
      <xdr:row>22</xdr:row>
      <xdr:rowOff>99849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B2A8B3-B003-18E9-C7A0-8D6939A8B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60435</xdr:colOff>
      <xdr:row>31</xdr:row>
      <xdr:rowOff>173420</xdr:rowOff>
    </xdr:from>
    <xdr:to>
      <xdr:col>11</xdr:col>
      <xdr:colOff>341586</xdr:colOff>
      <xdr:row>43</xdr:row>
      <xdr:rowOff>57806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F4E57D-5ED9-DF3A-A8F6-EBD8CC283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63062</xdr:colOff>
      <xdr:row>43</xdr:row>
      <xdr:rowOff>141891</xdr:rowOff>
    </xdr:from>
    <xdr:to>
      <xdr:col>11</xdr:col>
      <xdr:colOff>570186</xdr:colOff>
      <xdr:row>56</xdr:row>
      <xdr:rowOff>36786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7876D91-E3C9-C39C-1D20-9020D1520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57806</xdr:colOff>
      <xdr:row>56</xdr:row>
      <xdr:rowOff>78827</xdr:rowOff>
    </xdr:from>
    <xdr:to>
      <xdr:col>11</xdr:col>
      <xdr:colOff>265386</xdr:colOff>
      <xdr:row>68</xdr:row>
      <xdr:rowOff>178676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15D7EC3-71BF-2BAC-AA0E-41C35AF07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273268</xdr:colOff>
      <xdr:row>70</xdr:row>
      <xdr:rowOff>68318</xdr:rowOff>
    </xdr:from>
    <xdr:to>
      <xdr:col>11</xdr:col>
      <xdr:colOff>433551</xdr:colOff>
      <xdr:row>81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EA1E6DC-7C4C-77D4-4579-06A97FD6D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404647</xdr:colOff>
      <xdr:row>82</xdr:row>
      <xdr:rowOff>120868</xdr:rowOff>
    </xdr:from>
    <xdr:to>
      <xdr:col>11</xdr:col>
      <xdr:colOff>338958</xdr:colOff>
      <xdr:row>94</xdr:row>
      <xdr:rowOff>157655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82AD4C-F0EF-32E2-6834-952C8720E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328448</xdr:colOff>
      <xdr:row>12</xdr:row>
      <xdr:rowOff>99848</xdr:rowOff>
    </xdr:from>
    <xdr:to>
      <xdr:col>24</xdr:col>
      <xdr:colOff>23648</xdr:colOff>
      <xdr:row>25</xdr:row>
      <xdr:rowOff>84082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EFCCFC2-E893-FB82-86DD-83FA78F9A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C049-2CCB-4CDF-A29D-EA36974A9537}">
  <dimension ref="A1:M9516"/>
  <sheetViews>
    <sheetView tabSelected="1" topLeftCell="A16" zoomScale="55" zoomScaleNormal="55" workbookViewId="0">
      <selection activeCell="N25" sqref="N25"/>
    </sheetView>
  </sheetViews>
  <sheetFormatPr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9605</v>
      </c>
      <c r="M1" t="s">
        <v>9630</v>
      </c>
    </row>
    <row r="2" spans="1:13" x14ac:dyDescent="0.3">
      <c r="A2">
        <v>0</v>
      </c>
      <c r="B2">
        <v>1</v>
      </c>
      <c r="C2" t="s">
        <v>10</v>
      </c>
      <c r="D2">
        <v>2019</v>
      </c>
      <c r="E2" t="s">
        <v>11</v>
      </c>
      <c r="F2" t="s">
        <v>12</v>
      </c>
      <c r="G2">
        <v>1</v>
      </c>
      <c r="H2">
        <v>0</v>
      </c>
      <c r="I2">
        <v>0</v>
      </c>
      <c r="J2">
        <v>0</v>
      </c>
      <c r="K2">
        <v>0</v>
      </c>
      <c r="L2">
        <f>IFERROR(VALUE(LEFT(F2,FIND("/",F2)-1))/10,"")</f>
        <v>9.8000000000000007</v>
      </c>
      <c r="M2">
        <f>SUM(G2:J2)</f>
        <v>1</v>
      </c>
    </row>
    <row r="3" spans="1:13" x14ac:dyDescent="0.3">
      <c r="A3">
        <v>1</v>
      </c>
      <c r="B3">
        <v>2</v>
      </c>
      <c r="C3" t="s">
        <v>13</v>
      </c>
      <c r="D3">
        <v>2016</v>
      </c>
      <c r="E3" t="s">
        <v>14</v>
      </c>
      <c r="F3" t="s">
        <v>15</v>
      </c>
      <c r="G3">
        <v>1</v>
      </c>
      <c r="H3">
        <v>0</v>
      </c>
      <c r="I3">
        <v>0</v>
      </c>
      <c r="J3">
        <v>0</v>
      </c>
      <c r="K3">
        <v>0</v>
      </c>
      <c r="L3">
        <f t="shared" ref="L3:L66" si="0">IFERROR(VALUE(LEFT(F3,FIND("/",F3)-1))/10,"")</f>
        <v>9.6999999999999993</v>
      </c>
      <c r="M3">
        <f t="shared" ref="M3:M66" si="1">SUM(G3:J3)</f>
        <v>1</v>
      </c>
    </row>
    <row r="4" spans="1:13" x14ac:dyDescent="0.3">
      <c r="A4">
        <v>2</v>
      </c>
      <c r="B4">
        <v>3</v>
      </c>
      <c r="C4" t="s">
        <v>16</v>
      </c>
      <c r="D4">
        <v>2020</v>
      </c>
      <c r="E4" t="s">
        <v>14</v>
      </c>
      <c r="F4" t="s">
        <v>17</v>
      </c>
      <c r="G4">
        <v>1</v>
      </c>
      <c r="H4">
        <v>0</v>
      </c>
      <c r="I4">
        <v>0</v>
      </c>
      <c r="J4">
        <v>0</v>
      </c>
      <c r="K4">
        <v>0</v>
      </c>
      <c r="L4">
        <f t="shared" si="0"/>
        <v>9.5</v>
      </c>
      <c r="M4">
        <f t="shared" si="1"/>
        <v>1</v>
      </c>
    </row>
    <row r="5" spans="1:13" x14ac:dyDescent="0.3">
      <c r="A5">
        <v>3</v>
      </c>
      <c r="B5">
        <v>4</v>
      </c>
      <c r="C5" t="s">
        <v>18</v>
      </c>
      <c r="D5">
        <v>2001</v>
      </c>
      <c r="E5" t="s">
        <v>14</v>
      </c>
      <c r="F5" t="s">
        <v>19</v>
      </c>
      <c r="G5">
        <v>1</v>
      </c>
      <c r="H5">
        <v>0</v>
      </c>
      <c r="I5">
        <v>0</v>
      </c>
      <c r="J5">
        <v>0</v>
      </c>
      <c r="K5">
        <v>0</v>
      </c>
      <c r="L5">
        <f t="shared" si="0"/>
        <v>9.4</v>
      </c>
      <c r="M5">
        <f t="shared" si="1"/>
        <v>1</v>
      </c>
    </row>
    <row r="6" spans="1:13" x14ac:dyDescent="0.3">
      <c r="A6">
        <v>4</v>
      </c>
      <c r="B6">
        <v>5</v>
      </c>
      <c r="C6" t="s">
        <v>20</v>
      </c>
      <c r="D6">
        <v>2018</v>
      </c>
      <c r="E6" t="s">
        <v>11</v>
      </c>
      <c r="F6" t="s">
        <v>19</v>
      </c>
      <c r="G6">
        <v>1</v>
      </c>
      <c r="H6">
        <v>0</v>
      </c>
      <c r="I6">
        <v>0</v>
      </c>
      <c r="J6">
        <v>0</v>
      </c>
      <c r="K6">
        <v>0</v>
      </c>
      <c r="L6">
        <f t="shared" si="0"/>
        <v>9.4</v>
      </c>
      <c r="M6">
        <f t="shared" si="1"/>
        <v>1</v>
      </c>
    </row>
    <row r="7" spans="1:13" x14ac:dyDescent="0.3">
      <c r="A7">
        <v>5</v>
      </c>
      <c r="B7">
        <v>6</v>
      </c>
      <c r="C7" t="s">
        <v>21</v>
      </c>
      <c r="D7">
        <v>2018</v>
      </c>
      <c r="E7" t="s">
        <v>22</v>
      </c>
      <c r="F7" t="s">
        <v>19</v>
      </c>
      <c r="G7">
        <v>1</v>
      </c>
      <c r="H7">
        <v>0</v>
      </c>
      <c r="I7">
        <v>0</v>
      </c>
      <c r="J7">
        <v>0</v>
      </c>
      <c r="K7">
        <v>0</v>
      </c>
      <c r="L7">
        <f t="shared" si="0"/>
        <v>9.4</v>
      </c>
      <c r="M7">
        <f t="shared" si="1"/>
        <v>1</v>
      </c>
    </row>
    <row r="8" spans="1:13" x14ac:dyDescent="0.3">
      <c r="A8">
        <v>6</v>
      </c>
      <c r="B8">
        <v>7</v>
      </c>
      <c r="C8" t="s">
        <v>23</v>
      </c>
      <c r="D8">
        <v>2020</v>
      </c>
      <c r="E8" t="s">
        <v>22</v>
      </c>
      <c r="F8" t="s">
        <v>24</v>
      </c>
      <c r="G8">
        <v>1</v>
      </c>
      <c r="H8">
        <v>0</v>
      </c>
      <c r="I8">
        <v>0</v>
      </c>
      <c r="J8">
        <v>0</v>
      </c>
      <c r="K8">
        <v>0</v>
      </c>
      <c r="L8">
        <f t="shared" si="0"/>
        <v>9.3000000000000007</v>
      </c>
      <c r="M8">
        <f t="shared" si="1"/>
        <v>1</v>
      </c>
    </row>
    <row r="9" spans="1:13" x14ac:dyDescent="0.3">
      <c r="A9">
        <v>7</v>
      </c>
      <c r="B9">
        <v>8</v>
      </c>
      <c r="C9" t="s">
        <v>25</v>
      </c>
      <c r="D9">
        <v>2017</v>
      </c>
      <c r="E9" t="s">
        <v>22</v>
      </c>
      <c r="F9" t="s">
        <v>26</v>
      </c>
      <c r="G9">
        <v>1</v>
      </c>
      <c r="H9">
        <v>0</v>
      </c>
      <c r="I9">
        <v>0</v>
      </c>
      <c r="J9">
        <v>0</v>
      </c>
      <c r="K9">
        <v>0</v>
      </c>
      <c r="L9">
        <f t="shared" si="0"/>
        <v>9.1999999999999993</v>
      </c>
      <c r="M9">
        <f t="shared" si="1"/>
        <v>1</v>
      </c>
    </row>
    <row r="10" spans="1:13" x14ac:dyDescent="0.3">
      <c r="A10">
        <v>8</v>
      </c>
      <c r="B10">
        <v>9</v>
      </c>
      <c r="C10" t="s">
        <v>27</v>
      </c>
      <c r="D10">
        <v>2018</v>
      </c>
      <c r="E10" t="s">
        <v>28</v>
      </c>
      <c r="F10" t="s">
        <v>26</v>
      </c>
      <c r="G10">
        <v>1</v>
      </c>
      <c r="H10">
        <v>0</v>
      </c>
      <c r="I10">
        <v>0</v>
      </c>
      <c r="J10">
        <v>0</v>
      </c>
      <c r="K10">
        <v>0</v>
      </c>
      <c r="L10">
        <f t="shared" si="0"/>
        <v>9.1999999999999993</v>
      </c>
      <c r="M10">
        <f t="shared" si="1"/>
        <v>1</v>
      </c>
    </row>
    <row r="11" spans="1:13" x14ac:dyDescent="0.3">
      <c r="A11">
        <v>9</v>
      </c>
      <c r="B11">
        <v>10</v>
      </c>
      <c r="C11" t="s">
        <v>29</v>
      </c>
      <c r="D11">
        <v>2020</v>
      </c>
      <c r="E11" t="s">
        <v>11</v>
      </c>
      <c r="F11" t="s">
        <v>26</v>
      </c>
      <c r="G11">
        <v>1</v>
      </c>
      <c r="H11">
        <v>0</v>
      </c>
      <c r="I11">
        <v>0</v>
      </c>
      <c r="J11">
        <v>0</v>
      </c>
      <c r="K11">
        <v>0</v>
      </c>
      <c r="L11">
        <f t="shared" si="0"/>
        <v>9.1999999999999993</v>
      </c>
      <c r="M11">
        <f t="shared" si="1"/>
        <v>1</v>
      </c>
    </row>
    <row r="12" spans="1:13" x14ac:dyDescent="0.3">
      <c r="A12">
        <v>10</v>
      </c>
      <c r="B12">
        <v>11</v>
      </c>
      <c r="C12" t="s">
        <v>30</v>
      </c>
      <c r="D12">
        <v>2019</v>
      </c>
      <c r="E12" t="s">
        <v>11</v>
      </c>
      <c r="F12" t="s">
        <v>26</v>
      </c>
      <c r="G12">
        <v>1</v>
      </c>
      <c r="H12">
        <v>0</v>
      </c>
      <c r="I12">
        <v>0</v>
      </c>
      <c r="J12">
        <v>0</v>
      </c>
      <c r="K12">
        <v>0</v>
      </c>
      <c r="L12">
        <f t="shared" si="0"/>
        <v>9.1999999999999993</v>
      </c>
      <c r="M12">
        <f t="shared" si="1"/>
        <v>1</v>
      </c>
    </row>
    <row r="13" spans="1:13" x14ac:dyDescent="0.3">
      <c r="A13">
        <v>11</v>
      </c>
      <c r="B13">
        <v>12</v>
      </c>
      <c r="C13" t="s">
        <v>31</v>
      </c>
      <c r="D13">
        <v>2017</v>
      </c>
      <c r="E13" t="s">
        <v>11</v>
      </c>
      <c r="F13" t="s">
        <v>26</v>
      </c>
      <c r="G13">
        <v>1</v>
      </c>
      <c r="H13">
        <v>0</v>
      </c>
      <c r="I13">
        <v>0</v>
      </c>
      <c r="J13">
        <v>0</v>
      </c>
      <c r="K13">
        <v>0</v>
      </c>
      <c r="L13">
        <f t="shared" si="0"/>
        <v>9.1999999999999993</v>
      </c>
      <c r="M13">
        <f t="shared" si="1"/>
        <v>1</v>
      </c>
    </row>
    <row r="14" spans="1:13" x14ac:dyDescent="0.3">
      <c r="A14">
        <v>12</v>
      </c>
      <c r="B14">
        <v>13</v>
      </c>
      <c r="C14" t="s">
        <v>32</v>
      </c>
      <c r="D14">
        <v>2019</v>
      </c>
      <c r="E14" t="s">
        <v>11</v>
      </c>
      <c r="F14" t="s">
        <v>26</v>
      </c>
      <c r="G14">
        <v>1</v>
      </c>
      <c r="H14">
        <v>0</v>
      </c>
      <c r="I14">
        <v>0</v>
      </c>
      <c r="J14">
        <v>0</v>
      </c>
      <c r="K14">
        <v>0</v>
      </c>
      <c r="L14">
        <f t="shared" si="0"/>
        <v>9.1999999999999993</v>
      </c>
      <c r="M14">
        <f t="shared" si="1"/>
        <v>1</v>
      </c>
    </row>
    <row r="15" spans="1:13" x14ac:dyDescent="0.3">
      <c r="A15">
        <v>13</v>
      </c>
      <c r="B15">
        <v>14</v>
      </c>
      <c r="C15" t="s">
        <v>33</v>
      </c>
      <c r="D15">
        <v>2017</v>
      </c>
      <c r="E15" t="s">
        <v>11</v>
      </c>
      <c r="F15" t="s">
        <v>34</v>
      </c>
      <c r="G15">
        <v>1</v>
      </c>
      <c r="H15">
        <v>0</v>
      </c>
      <c r="I15">
        <v>0</v>
      </c>
      <c r="J15">
        <v>0</v>
      </c>
      <c r="K15">
        <v>0</v>
      </c>
      <c r="L15">
        <f t="shared" si="0"/>
        <v>9.1</v>
      </c>
      <c r="M15">
        <f t="shared" si="1"/>
        <v>1</v>
      </c>
    </row>
    <row r="16" spans="1:13" x14ac:dyDescent="0.3">
      <c r="A16">
        <v>14</v>
      </c>
      <c r="B16">
        <v>15</v>
      </c>
      <c r="C16" t="s">
        <v>35</v>
      </c>
      <c r="D16">
        <v>2004</v>
      </c>
      <c r="E16" t="s">
        <v>36</v>
      </c>
      <c r="F16" t="s">
        <v>34</v>
      </c>
      <c r="G16">
        <v>1</v>
      </c>
      <c r="H16">
        <v>0</v>
      </c>
      <c r="I16">
        <v>0</v>
      </c>
      <c r="J16">
        <v>0</v>
      </c>
      <c r="K16">
        <v>0</v>
      </c>
      <c r="L16">
        <f t="shared" si="0"/>
        <v>9.1</v>
      </c>
      <c r="M16">
        <f t="shared" si="1"/>
        <v>1</v>
      </c>
    </row>
    <row r="17" spans="1:13" x14ac:dyDescent="0.3">
      <c r="A17">
        <v>15</v>
      </c>
      <c r="B17">
        <v>16</v>
      </c>
      <c r="C17" t="s">
        <v>37</v>
      </c>
      <c r="D17">
        <v>2019</v>
      </c>
      <c r="E17" t="s">
        <v>11</v>
      </c>
      <c r="F17" t="s">
        <v>34</v>
      </c>
      <c r="G17">
        <v>1</v>
      </c>
      <c r="H17">
        <v>0</v>
      </c>
      <c r="I17">
        <v>0</v>
      </c>
      <c r="J17">
        <v>0</v>
      </c>
      <c r="K17">
        <v>0</v>
      </c>
      <c r="L17">
        <f t="shared" si="0"/>
        <v>9.1</v>
      </c>
      <c r="M17">
        <f t="shared" si="1"/>
        <v>1</v>
      </c>
    </row>
    <row r="18" spans="1:13" x14ac:dyDescent="0.3">
      <c r="A18">
        <v>16</v>
      </c>
      <c r="B18">
        <v>17</v>
      </c>
      <c r="C18" t="s">
        <v>38</v>
      </c>
      <c r="D18">
        <v>2020</v>
      </c>
      <c r="E18" t="s">
        <v>11</v>
      </c>
      <c r="F18" t="s">
        <v>39</v>
      </c>
      <c r="G18">
        <v>1</v>
      </c>
      <c r="H18">
        <v>0</v>
      </c>
      <c r="I18">
        <v>0</v>
      </c>
      <c r="J18">
        <v>0</v>
      </c>
      <c r="K18">
        <v>0</v>
      </c>
      <c r="L18">
        <f t="shared" si="0"/>
        <v>9</v>
      </c>
      <c r="M18">
        <f t="shared" si="1"/>
        <v>1</v>
      </c>
    </row>
    <row r="19" spans="1:13" x14ac:dyDescent="0.3">
      <c r="A19">
        <v>17</v>
      </c>
      <c r="B19">
        <v>18</v>
      </c>
      <c r="C19" t="s">
        <v>40</v>
      </c>
      <c r="D19">
        <v>2014</v>
      </c>
      <c r="E19" t="s">
        <v>28</v>
      </c>
      <c r="F19" t="s">
        <v>39</v>
      </c>
      <c r="G19">
        <v>1</v>
      </c>
      <c r="H19">
        <v>0</v>
      </c>
      <c r="I19">
        <v>0</v>
      </c>
      <c r="J19">
        <v>0</v>
      </c>
      <c r="K19">
        <v>0</v>
      </c>
      <c r="L19">
        <f t="shared" si="0"/>
        <v>9</v>
      </c>
      <c r="M19">
        <f t="shared" si="1"/>
        <v>1</v>
      </c>
    </row>
    <row r="20" spans="1:13" x14ac:dyDescent="0.3">
      <c r="A20">
        <v>18</v>
      </c>
      <c r="B20">
        <v>19</v>
      </c>
      <c r="C20" t="s">
        <v>41</v>
      </c>
      <c r="D20">
        <v>2004</v>
      </c>
      <c r="E20" t="s">
        <v>11</v>
      </c>
      <c r="F20" t="s">
        <v>39</v>
      </c>
      <c r="G20">
        <v>1</v>
      </c>
      <c r="H20">
        <v>0</v>
      </c>
      <c r="I20">
        <v>0</v>
      </c>
      <c r="J20">
        <v>0</v>
      </c>
      <c r="K20">
        <v>0</v>
      </c>
      <c r="L20">
        <f t="shared" si="0"/>
        <v>9</v>
      </c>
      <c r="M20">
        <f t="shared" si="1"/>
        <v>1</v>
      </c>
    </row>
    <row r="21" spans="1:13" x14ac:dyDescent="0.3">
      <c r="A21">
        <v>19</v>
      </c>
      <c r="B21">
        <v>20</v>
      </c>
      <c r="C21" t="s">
        <v>42</v>
      </c>
      <c r="D21">
        <v>2015</v>
      </c>
      <c r="E21" t="s">
        <v>14</v>
      </c>
      <c r="F21" t="s">
        <v>39</v>
      </c>
      <c r="G21">
        <v>1</v>
      </c>
      <c r="H21">
        <v>0</v>
      </c>
      <c r="I21">
        <v>0</v>
      </c>
      <c r="J21">
        <v>0</v>
      </c>
      <c r="K21">
        <v>0</v>
      </c>
      <c r="L21">
        <f t="shared" si="0"/>
        <v>9</v>
      </c>
      <c r="M21">
        <f t="shared" si="1"/>
        <v>1</v>
      </c>
    </row>
    <row r="22" spans="1:13" x14ac:dyDescent="0.3">
      <c r="A22">
        <v>20</v>
      </c>
      <c r="B22">
        <v>21</v>
      </c>
      <c r="C22" t="s">
        <v>43</v>
      </c>
      <c r="D22">
        <v>2019</v>
      </c>
      <c r="E22" t="s">
        <v>11</v>
      </c>
      <c r="F22" t="s">
        <v>39</v>
      </c>
      <c r="G22">
        <v>1</v>
      </c>
      <c r="H22">
        <v>0</v>
      </c>
      <c r="I22">
        <v>0</v>
      </c>
      <c r="J22">
        <v>0</v>
      </c>
      <c r="K22">
        <v>0</v>
      </c>
      <c r="L22">
        <f t="shared" si="0"/>
        <v>9</v>
      </c>
      <c r="M22">
        <f t="shared" si="1"/>
        <v>1</v>
      </c>
    </row>
    <row r="23" spans="1:13" x14ac:dyDescent="0.3">
      <c r="A23">
        <v>21</v>
      </c>
      <c r="B23">
        <v>22</v>
      </c>
      <c r="C23" t="s">
        <v>44</v>
      </c>
      <c r="D23">
        <v>2018</v>
      </c>
      <c r="E23" t="s">
        <v>11</v>
      </c>
      <c r="F23" t="s">
        <v>45</v>
      </c>
      <c r="G23">
        <v>1</v>
      </c>
      <c r="H23">
        <v>0</v>
      </c>
      <c r="I23">
        <v>0</v>
      </c>
      <c r="J23">
        <v>0</v>
      </c>
      <c r="K23">
        <v>0</v>
      </c>
      <c r="L23">
        <f t="shared" si="0"/>
        <v>8.9</v>
      </c>
      <c r="M23">
        <f t="shared" si="1"/>
        <v>1</v>
      </c>
    </row>
    <row r="24" spans="1:13" x14ac:dyDescent="0.3">
      <c r="A24">
        <v>22</v>
      </c>
      <c r="B24">
        <v>23</v>
      </c>
      <c r="C24" t="s">
        <v>46</v>
      </c>
      <c r="D24">
        <v>2019</v>
      </c>
      <c r="E24" t="s">
        <v>22</v>
      </c>
      <c r="F24" t="s">
        <v>45</v>
      </c>
      <c r="G24">
        <v>1</v>
      </c>
      <c r="H24">
        <v>0</v>
      </c>
      <c r="I24">
        <v>0</v>
      </c>
      <c r="J24">
        <v>0</v>
      </c>
      <c r="K24">
        <v>0</v>
      </c>
      <c r="L24">
        <f t="shared" si="0"/>
        <v>8.9</v>
      </c>
      <c r="M24">
        <f t="shared" si="1"/>
        <v>1</v>
      </c>
    </row>
    <row r="25" spans="1:13" x14ac:dyDescent="0.3">
      <c r="A25">
        <v>23</v>
      </c>
      <c r="B25">
        <v>24</v>
      </c>
      <c r="C25" t="s">
        <v>47</v>
      </c>
      <c r="D25">
        <v>2019</v>
      </c>
      <c r="E25" t="s">
        <v>11</v>
      </c>
      <c r="F25" t="s">
        <v>45</v>
      </c>
      <c r="G25">
        <v>1</v>
      </c>
      <c r="H25">
        <v>0</v>
      </c>
      <c r="I25">
        <v>0</v>
      </c>
      <c r="J25">
        <v>0</v>
      </c>
      <c r="K25">
        <v>0</v>
      </c>
      <c r="L25">
        <f t="shared" si="0"/>
        <v>8.9</v>
      </c>
      <c r="M25">
        <f t="shared" si="1"/>
        <v>1</v>
      </c>
    </row>
    <row r="26" spans="1:13" x14ac:dyDescent="0.3">
      <c r="A26">
        <v>24</v>
      </c>
      <c r="B26">
        <v>25</v>
      </c>
      <c r="C26" t="s">
        <v>48</v>
      </c>
      <c r="D26">
        <v>2006</v>
      </c>
      <c r="E26" t="s">
        <v>11</v>
      </c>
      <c r="F26" t="s">
        <v>45</v>
      </c>
      <c r="G26">
        <v>1</v>
      </c>
      <c r="H26">
        <v>0</v>
      </c>
      <c r="I26">
        <v>0</v>
      </c>
      <c r="J26">
        <v>0</v>
      </c>
      <c r="K26">
        <v>0</v>
      </c>
      <c r="L26">
        <f t="shared" si="0"/>
        <v>8.9</v>
      </c>
      <c r="M26">
        <f t="shared" si="1"/>
        <v>1</v>
      </c>
    </row>
    <row r="27" spans="1:13" x14ac:dyDescent="0.3">
      <c r="A27">
        <v>25</v>
      </c>
      <c r="B27">
        <v>26</v>
      </c>
      <c r="C27" t="s">
        <v>49</v>
      </c>
      <c r="D27">
        <v>2015</v>
      </c>
      <c r="E27" t="s">
        <v>28</v>
      </c>
      <c r="F27" t="s">
        <v>45</v>
      </c>
      <c r="G27">
        <v>1</v>
      </c>
      <c r="H27">
        <v>0</v>
      </c>
      <c r="I27">
        <v>0</v>
      </c>
      <c r="J27">
        <v>0</v>
      </c>
      <c r="K27">
        <v>0</v>
      </c>
      <c r="L27">
        <f t="shared" si="0"/>
        <v>8.9</v>
      </c>
      <c r="M27">
        <f t="shared" si="1"/>
        <v>1</v>
      </c>
    </row>
    <row r="28" spans="1:13" x14ac:dyDescent="0.3">
      <c r="A28">
        <v>26</v>
      </c>
      <c r="B28">
        <v>27</v>
      </c>
      <c r="C28" t="s">
        <v>50</v>
      </c>
      <c r="D28">
        <v>1991</v>
      </c>
      <c r="E28" t="s">
        <v>11</v>
      </c>
      <c r="F28" t="s">
        <v>45</v>
      </c>
      <c r="G28">
        <v>1</v>
      </c>
      <c r="H28">
        <v>0</v>
      </c>
      <c r="I28">
        <v>0</v>
      </c>
      <c r="J28">
        <v>0</v>
      </c>
      <c r="K28">
        <v>0</v>
      </c>
      <c r="L28">
        <f t="shared" si="0"/>
        <v>8.9</v>
      </c>
      <c r="M28">
        <f t="shared" si="1"/>
        <v>1</v>
      </c>
    </row>
    <row r="29" spans="1:13" x14ac:dyDescent="0.3">
      <c r="A29">
        <v>27</v>
      </c>
      <c r="B29">
        <v>28</v>
      </c>
      <c r="C29" t="s">
        <v>51</v>
      </c>
      <c r="D29">
        <v>2019</v>
      </c>
      <c r="E29" t="s">
        <v>11</v>
      </c>
      <c r="F29" t="s">
        <v>45</v>
      </c>
      <c r="G29">
        <v>1</v>
      </c>
      <c r="H29">
        <v>0</v>
      </c>
      <c r="I29">
        <v>0</v>
      </c>
      <c r="J29">
        <v>0</v>
      </c>
      <c r="K29">
        <v>0</v>
      </c>
      <c r="L29">
        <f t="shared" si="0"/>
        <v>8.9</v>
      </c>
      <c r="M29">
        <f t="shared" si="1"/>
        <v>1</v>
      </c>
    </row>
    <row r="30" spans="1:13" x14ac:dyDescent="0.3">
      <c r="A30">
        <v>28</v>
      </c>
      <c r="B30">
        <v>29</v>
      </c>
      <c r="C30" t="s">
        <v>52</v>
      </c>
      <c r="D30">
        <v>2012</v>
      </c>
      <c r="E30" t="s">
        <v>11</v>
      </c>
      <c r="F30" t="s">
        <v>45</v>
      </c>
      <c r="G30">
        <v>1</v>
      </c>
      <c r="H30">
        <v>0</v>
      </c>
      <c r="I30">
        <v>0</v>
      </c>
      <c r="J30">
        <v>0</v>
      </c>
      <c r="K30">
        <v>0</v>
      </c>
      <c r="L30">
        <f t="shared" si="0"/>
        <v>8.9</v>
      </c>
      <c r="M30">
        <f t="shared" si="1"/>
        <v>1</v>
      </c>
    </row>
    <row r="31" spans="1:13" x14ac:dyDescent="0.3">
      <c r="A31">
        <v>29</v>
      </c>
      <c r="B31">
        <v>30</v>
      </c>
      <c r="C31" t="s">
        <v>53</v>
      </c>
      <c r="D31">
        <v>2020</v>
      </c>
      <c r="E31" t="s">
        <v>22</v>
      </c>
      <c r="F31" t="s">
        <v>45</v>
      </c>
      <c r="G31">
        <v>1</v>
      </c>
      <c r="H31">
        <v>0</v>
      </c>
      <c r="I31">
        <v>0</v>
      </c>
      <c r="J31">
        <v>0</v>
      </c>
      <c r="K31">
        <v>0</v>
      </c>
      <c r="L31">
        <f t="shared" si="0"/>
        <v>8.9</v>
      </c>
      <c r="M31">
        <f t="shared" si="1"/>
        <v>1</v>
      </c>
    </row>
    <row r="32" spans="1:13" x14ac:dyDescent="0.3">
      <c r="A32">
        <v>30</v>
      </c>
      <c r="B32">
        <v>31</v>
      </c>
      <c r="C32" t="s">
        <v>54</v>
      </c>
      <c r="D32">
        <v>2019</v>
      </c>
      <c r="E32" t="s">
        <v>14</v>
      </c>
      <c r="F32" t="s">
        <v>45</v>
      </c>
      <c r="G32">
        <v>1</v>
      </c>
      <c r="H32">
        <v>0</v>
      </c>
      <c r="I32">
        <v>0</v>
      </c>
      <c r="J32">
        <v>0</v>
      </c>
      <c r="K32">
        <v>0</v>
      </c>
      <c r="L32">
        <f t="shared" si="0"/>
        <v>8.9</v>
      </c>
      <c r="M32">
        <f t="shared" si="1"/>
        <v>1</v>
      </c>
    </row>
    <row r="33" spans="1:13" x14ac:dyDescent="0.3">
      <c r="A33">
        <v>31</v>
      </c>
      <c r="B33">
        <v>32</v>
      </c>
      <c r="C33" t="s">
        <v>55</v>
      </c>
      <c r="D33">
        <v>2020</v>
      </c>
      <c r="E33" t="s">
        <v>11</v>
      </c>
      <c r="F33" t="s">
        <v>45</v>
      </c>
      <c r="G33">
        <v>1</v>
      </c>
      <c r="H33">
        <v>0</v>
      </c>
      <c r="I33">
        <v>0</v>
      </c>
      <c r="J33">
        <v>0</v>
      </c>
      <c r="K33">
        <v>0</v>
      </c>
      <c r="L33">
        <f t="shared" si="0"/>
        <v>8.9</v>
      </c>
      <c r="M33">
        <f t="shared" si="1"/>
        <v>1</v>
      </c>
    </row>
    <row r="34" spans="1:13" x14ac:dyDescent="0.3">
      <c r="A34">
        <v>32</v>
      </c>
      <c r="B34">
        <v>33</v>
      </c>
      <c r="C34" t="s">
        <v>56</v>
      </c>
      <c r="D34">
        <v>2016</v>
      </c>
      <c r="E34" t="s">
        <v>11</v>
      </c>
      <c r="F34" t="s">
        <v>45</v>
      </c>
      <c r="G34">
        <v>1</v>
      </c>
      <c r="H34">
        <v>0</v>
      </c>
      <c r="I34">
        <v>0</v>
      </c>
      <c r="J34">
        <v>0</v>
      </c>
      <c r="K34">
        <v>0</v>
      </c>
      <c r="L34">
        <f t="shared" si="0"/>
        <v>8.9</v>
      </c>
      <c r="M34">
        <f t="shared" si="1"/>
        <v>1</v>
      </c>
    </row>
    <row r="35" spans="1:13" x14ac:dyDescent="0.3">
      <c r="A35">
        <v>33</v>
      </c>
      <c r="B35">
        <v>34</v>
      </c>
      <c r="C35" t="s">
        <v>57</v>
      </c>
      <c r="D35">
        <v>2020</v>
      </c>
      <c r="E35" t="s">
        <v>11</v>
      </c>
      <c r="F35" t="s">
        <v>58</v>
      </c>
      <c r="G35">
        <v>1</v>
      </c>
      <c r="H35">
        <v>0</v>
      </c>
      <c r="I35">
        <v>0</v>
      </c>
      <c r="J35">
        <v>0</v>
      </c>
      <c r="K35">
        <v>0</v>
      </c>
      <c r="L35">
        <f t="shared" si="0"/>
        <v>8.8000000000000007</v>
      </c>
      <c r="M35">
        <f t="shared" si="1"/>
        <v>1</v>
      </c>
    </row>
    <row r="36" spans="1:13" x14ac:dyDescent="0.3">
      <c r="A36">
        <v>34</v>
      </c>
      <c r="B36">
        <v>35</v>
      </c>
      <c r="C36" t="s">
        <v>59</v>
      </c>
      <c r="D36">
        <v>2017</v>
      </c>
      <c r="E36" t="s">
        <v>11</v>
      </c>
      <c r="F36" t="s">
        <v>58</v>
      </c>
      <c r="G36">
        <v>1</v>
      </c>
      <c r="H36">
        <v>0</v>
      </c>
      <c r="I36">
        <v>0</v>
      </c>
      <c r="J36">
        <v>0</v>
      </c>
      <c r="K36">
        <v>0</v>
      </c>
      <c r="L36">
        <f t="shared" si="0"/>
        <v>8.8000000000000007</v>
      </c>
      <c r="M36">
        <f t="shared" si="1"/>
        <v>1</v>
      </c>
    </row>
    <row r="37" spans="1:13" x14ac:dyDescent="0.3">
      <c r="A37">
        <v>35</v>
      </c>
      <c r="B37">
        <v>36</v>
      </c>
      <c r="C37" t="s">
        <v>60</v>
      </c>
      <c r="D37">
        <v>2017</v>
      </c>
      <c r="F37" t="s">
        <v>58</v>
      </c>
      <c r="G37">
        <v>1</v>
      </c>
      <c r="H37">
        <v>0</v>
      </c>
      <c r="I37">
        <v>0</v>
      </c>
      <c r="J37">
        <v>0</v>
      </c>
      <c r="K37">
        <v>0</v>
      </c>
      <c r="L37">
        <f t="shared" si="0"/>
        <v>8.8000000000000007</v>
      </c>
      <c r="M37">
        <f t="shared" si="1"/>
        <v>1</v>
      </c>
    </row>
    <row r="38" spans="1:13" x14ac:dyDescent="0.3">
      <c r="A38">
        <v>36</v>
      </c>
      <c r="B38">
        <v>37</v>
      </c>
      <c r="C38" t="s">
        <v>61</v>
      </c>
      <c r="D38">
        <v>2010</v>
      </c>
      <c r="E38" t="s">
        <v>11</v>
      </c>
      <c r="F38" t="s">
        <v>58</v>
      </c>
      <c r="G38">
        <v>1</v>
      </c>
      <c r="H38">
        <v>0</v>
      </c>
      <c r="I38">
        <v>0</v>
      </c>
      <c r="J38">
        <v>0</v>
      </c>
      <c r="K38">
        <v>0</v>
      </c>
      <c r="L38">
        <f t="shared" si="0"/>
        <v>8.8000000000000007</v>
      </c>
      <c r="M38">
        <f t="shared" si="1"/>
        <v>1</v>
      </c>
    </row>
    <row r="39" spans="1:13" x14ac:dyDescent="0.3">
      <c r="A39">
        <v>37</v>
      </c>
      <c r="B39">
        <v>38</v>
      </c>
      <c r="C39" t="s">
        <v>62</v>
      </c>
      <c r="D39">
        <v>2019</v>
      </c>
      <c r="E39" t="s">
        <v>22</v>
      </c>
      <c r="F39" t="s">
        <v>58</v>
      </c>
      <c r="G39">
        <v>1</v>
      </c>
      <c r="H39">
        <v>0</v>
      </c>
      <c r="I39">
        <v>0</v>
      </c>
      <c r="J39">
        <v>0</v>
      </c>
      <c r="K39">
        <v>0</v>
      </c>
      <c r="L39">
        <f t="shared" si="0"/>
        <v>8.8000000000000007</v>
      </c>
      <c r="M39">
        <f t="shared" si="1"/>
        <v>1</v>
      </c>
    </row>
    <row r="40" spans="1:13" x14ac:dyDescent="0.3">
      <c r="A40">
        <v>38</v>
      </c>
      <c r="B40">
        <v>39</v>
      </c>
      <c r="C40" t="s">
        <v>63</v>
      </c>
      <c r="D40">
        <v>2011</v>
      </c>
      <c r="E40" t="s">
        <v>14</v>
      </c>
      <c r="F40" t="s">
        <v>58</v>
      </c>
      <c r="G40">
        <v>1</v>
      </c>
      <c r="H40">
        <v>0</v>
      </c>
      <c r="I40">
        <v>0</v>
      </c>
      <c r="J40">
        <v>0</v>
      </c>
      <c r="K40">
        <v>0</v>
      </c>
      <c r="L40">
        <f t="shared" si="0"/>
        <v>8.8000000000000007</v>
      </c>
      <c r="M40">
        <f t="shared" si="1"/>
        <v>1</v>
      </c>
    </row>
    <row r="41" spans="1:13" x14ac:dyDescent="0.3">
      <c r="A41">
        <v>39</v>
      </c>
      <c r="B41">
        <v>40</v>
      </c>
      <c r="C41" t="s">
        <v>64</v>
      </c>
      <c r="D41">
        <v>2019</v>
      </c>
      <c r="E41" t="s">
        <v>11</v>
      </c>
      <c r="F41" t="s">
        <v>65</v>
      </c>
      <c r="G41">
        <v>1</v>
      </c>
      <c r="H41">
        <v>0</v>
      </c>
      <c r="I41">
        <v>0</v>
      </c>
      <c r="J41">
        <v>0</v>
      </c>
      <c r="K41">
        <v>0</v>
      </c>
      <c r="L41">
        <f t="shared" si="0"/>
        <v>8.6999999999999993</v>
      </c>
      <c r="M41">
        <f t="shared" si="1"/>
        <v>1</v>
      </c>
    </row>
    <row r="42" spans="1:13" x14ac:dyDescent="0.3">
      <c r="A42">
        <v>40</v>
      </c>
      <c r="B42">
        <v>41</v>
      </c>
      <c r="C42" t="s">
        <v>66</v>
      </c>
      <c r="D42">
        <v>2013</v>
      </c>
      <c r="F42" t="s">
        <v>65</v>
      </c>
      <c r="G42">
        <v>1</v>
      </c>
      <c r="H42">
        <v>0</v>
      </c>
      <c r="I42">
        <v>0</v>
      </c>
      <c r="J42">
        <v>0</v>
      </c>
      <c r="K42">
        <v>0</v>
      </c>
      <c r="L42">
        <f t="shared" si="0"/>
        <v>8.6999999999999993</v>
      </c>
      <c r="M42">
        <f t="shared" si="1"/>
        <v>1</v>
      </c>
    </row>
    <row r="43" spans="1:13" x14ac:dyDescent="0.3">
      <c r="A43">
        <v>41</v>
      </c>
      <c r="B43">
        <v>42</v>
      </c>
      <c r="C43" t="s">
        <v>67</v>
      </c>
      <c r="D43">
        <v>2020</v>
      </c>
      <c r="E43" t="s">
        <v>11</v>
      </c>
      <c r="F43" t="s">
        <v>65</v>
      </c>
      <c r="G43">
        <v>1</v>
      </c>
      <c r="H43">
        <v>0</v>
      </c>
      <c r="I43">
        <v>0</v>
      </c>
      <c r="J43">
        <v>0</v>
      </c>
      <c r="K43">
        <v>0</v>
      </c>
      <c r="L43">
        <f t="shared" si="0"/>
        <v>8.6999999999999993</v>
      </c>
      <c r="M43">
        <f t="shared" si="1"/>
        <v>1</v>
      </c>
    </row>
    <row r="44" spans="1:13" x14ac:dyDescent="0.3">
      <c r="A44">
        <v>42</v>
      </c>
      <c r="B44">
        <v>43</v>
      </c>
      <c r="C44" t="s">
        <v>68</v>
      </c>
      <c r="D44">
        <v>2020</v>
      </c>
      <c r="E44" t="s">
        <v>11</v>
      </c>
      <c r="F44" t="s">
        <v>65</v>
      </c>
      <c r="G44">
        <v>1</v>
      </c>
      <c r="H44">
        <v>0</v>
      </c>
      <c r="I44">
        <v>0</v>
      </c>
      <c r="J44">
        <v>0</v>
      </c>
      <c r="K44">
        <v>0</v>
      </c>
      <c r="L44">
        <f t="shared" si="0"/>
        <v>8.6999999999999993</v>
      </c>
      <c r="M44">
        <f t="shared" si="1"/>
        <v>1</v>
      </c>
    </row>
    <row r="45" spans="1:13" x14ac:dyDescent="0.3">
      <c r="A45">
        <v>43</v>
      </c>
      <c r="B45">
        <v>44</v>
      </c>
      <c r="C45" t="s">
        <v>69</v>
      </c>
      <c r="D45">
        <v>2020</v>
      </c>
      <c r="E45" t="s">
        <v>11</v>
      </c>
      <c r="F45" t="s">
        <v>65</v>
      </c>
      <c r="G45">
        <v>1</v>
      </c>
      <c r="H45">
        <v>0</v>
      </c>
      <c r="I45">
        <v>0</v>
      </c>
      <c r="J45">
        <v>0</v>
      </c>
      <c r="K45">
        <v>0</v>
      </c>
      <c r="L45">
        <f t="shared" si="0"/>
        <v>8.6999999999999993</v>
      </c>
      <c r="M45">
        <f t="shared" si="1"/>
        <v>1</v>
      </c>
    </row>
    <row r="46" spans="1:13" x14ac:dyDescent="0.3">
      <c r="A46">
        <v>44</v>
      </c>
      <c r="B46">
        <v>45</v>
      </c>
      <c r="C46" t="s">
        <v>70</v>
      </c>
      <c r="D46">
        <v>2005</v>
      </c>
      <c r="E46" t="s">
        <v>36</v>
      </c>
      <c r="F46" t="s">
        <v>65</v>
      </c>
      <c r="G46">
        <v>1</v>
      </c>
      <c r="H46">
        <v>0</v>
      </c>
      <c r="I46">
        <v>0</v>
      </c>
      <c r="J46">
        <v>0</v>
      </c>
      <c r="K46">
        <v>0</v>
      </c>
      <c r="L46">
        <f t="shared" si="0"/>
        <v>8.6999999999999993</v>
      </c>
      <c r="M46">
        <f t="shared" si="1"/>
        <v>1</v>
      </c>
    </row>
    <row r="47" spans="1:13" x14ac:dyDescent="0.3">
      <c r="A47">
        <v>45</v>
      </c>
      <c r="B47">
        <v>46</v>
      </c>
      <c r="C47" t="s">
        <v>71</v>
      </c>
      <c r="D47">
        <v>2001</v>
      </c>
      <c r="E47" t="s">
        <v>36</v>
      </c>
      <c r="F47" t="s">
        <v>65</v>
      </c>
      <c r="G47">
        <v>1</v>
      </c>
      <c r="H47">
        <v>0</v>
      </c>
      <c r="I47">
        <v>0</v>
      </c>
      <c r="J47">
        <v>0</v>
      </c>
      <c r="K47">
        <v>0</v>
      </c>
      <c r="L47">
        <f t="shared" si="0"/>
        <v>8.6999999999999993</v>
      </c>
      <c r="M47">
        <f t="shared" si="1"/>
        <v>1</v>
      </c>
    </row>
    <row r="48" spans="1:13" x14ac:dyDescent="0.3">
      <c r="A48">
        <v>46</v>
      </c>
      <c r="B48">
        <v>47</v>
      </c>
      <c r="C48" t="s">
        <v>72</v>
      </c>
      <c r="D48">
        <v>2020</v>
      </c>
      <c r="E48" t="s">
        <v>28</v>
      </c>
      <c r="F48" t="s">
        <v>65</v>
      </c>
      <c r="G48">
        <v>1</v>
      </c>
      <c r="H48">
        <v>0</v>
      </c>
      <c r="I48">
        <v>0</v>
      </c>
      <c r="J48">
        <v>0</v>
      </c>
      <c r="K48">
        <v>0</v>
      </c>
      <c r="L48">
        <f t="shared" si="0"/>
        <v>8.6999999999999993</v>
      </c>
      <c r="M48">
        <f t="shared" si="1"/>
        <v>1</v>
      </c>
    </row>
    <row r="49" spans="1:13" x14ac:dyDescent="0.3">
      <c r="A49">
        <v>47</v>
      </c>
      <c r="B49">
        <v>48</v>
      </c>
      <c r="C49" t="s">
        <v>73</v>
      </c>
      <c r="D49">
        <v>2019</v>
      </c>
      <c r="E49" t="s">
        <v>11</v>
      </c>
      <c r="F49" t="s">
        <v>65</v>
      </c>
      <c r="G49">
        <v>1</v>
      </c>
      <c r="H49">
        <v>0</v>
      </c>
      <c r="I49">
        <v>0</v>
      </c>
      <c r="J49">
        <v>0</v>
      </c>
      <c r="K49">
        <v>0</v>
      </c>
      <c r="L49">
        <f t="shared" si="0"/>
        <v>8.6999999999999993</v>
      </c>
      <c r="M49">
        <f t="shared" si="1"/>
        <v>1</v>
      </c>
    </row>
    <row r="50" spans="1:13" x14ac:dyDescent="0.3">
      <c r="A50">
        <v>48</v>
      </c>
      <c r="B50">
        <v>49</v>
      </c>
      <c r="C50" t="s">
        <v>74</v>
      </c>
      <c r="D50">
        <v>2018</v>
      </c>
      <c r="E50" t="s">
        <v>28</v>
      </c>
      <c r="F50" t="s">
        <v>65</v>
      </c>
      <c r="G50">
        <v>1</v>
      </c>
      <c r="H50">
        <v>0</v>
      </c>
      <c r="I50">
        <v>0</v>
      </c>
      <c r="J50">
        <v>0</v>
      </c>
      <c r="K50">
        <v>0</v>
      </c>
      <c r="L50">
        <f t="shared" si="0"/>
        <v>8.6999999999999993</v>
      </c>
      <c r="M50">
        <f t="shared" si="1"/>
        <v>1</v>
      </c>
    </row>
    <row r="51" spans="1:13" x14ac:dyDescent="0.3">
      <c r="A51">
        <v>49</v>
      </c>
      <c r="B51">
        <v>50</v>
      </c>
      <c r="C51" t="s">
        <v>75</v>
      </c>
      <c r="D51">
        <v>2020</v>
      </c>
      <c r="E51" t="s">
        <v>11</v>
      </c>
      <c r="F51" t="s">
        <v>65</v>
      </c>
      <c r="G51">
        <v>1</v>
      </c>
      <c r="H51">
        <v>0</v>
      </c>
      <c r="I51">
        <v>0</v>
      </c>
      <c r="J51">
        <v>0</v>
      </c>
      <c r="K51">
        <v>0</v>
      </c>
      <c r="L51">
        <f t="shared" si="0"/>
        <v>8.6999999999999993</v>
      </c>
      <c r="M51">
        <f t="shared" si="1"/>
        <v>1</v>
      </c>
    </row>
    <row r="52" spans="1:13" x14ac:dyDescent="0.3">
      <c r="A52">
        <v>50</v>
      </c>
      <c r="B52">
        <v>51</v>
      </c>
      <c r="C52" t="s">
        <v>76</v>
      </c>
      <c r="D52">
        <v>2018</v>
      </c>
      <c r="E52" t="s">
        <v>11</v>
      </c>
      <c r="F52" t="s">
        <v>65</v>
      </c>
      <c r="G52">
        <v>1</v>
      </c>
      <c r="H52">
        <v>0</v>
      </c>
      <c r="I52">
        <v>0</v>
      </c>
      <c r="J52">
        <v>0</v>
      </c>
      <c r="K52">
        <v>0</v>
      </c>
      <c r="L52">
        <f t="shared" si="0"/>
        <v>8.6999999999999993</v>
      </c>
      <c r="M52">
        <f t="shared" si="1"/>
        <v>1</v>
      </c>
    </row>
    <row r="53" spans="1:13" x14ac:dyDescent="0.3">
      <c r="A53">
        <v>51</v>
      </c>
      <c r="B53">
        <v>52</v>
      </c>
      <c r="C53" t="s">
        <v>77</v>
      </c>
      <c r="D53">
        <v>1998</v>
      </c>
      <c r="E53" t="s">
        <v>11</v>
      </c>
      <c r="F53" t="s">
        <v>65</v>
      </c>
      <c r="G53">
        <v>1</v>
      </c>
      <c r="H53">
        <v>0</v>
      </c>
      <c r="I53">
        <v>0</v>
      </c>
      <c r="J53">
        <v>0</v>
      </c>
      <c r="K53">
        <v>0</v>
      </c>
      <c r="L53">
        <f t="shared" si="0"/>
        <v>8.6999999999999993</v>
      </c>
      <c r="M53">
        <f t="shared" si="1"/>
        <v>1</v>
      </c>
    </row>
    <row r="54" spans="1:13" x14ac:dyDescent="0.3">
      <c r="A54">
        <v>52</v>
      </c>
      <c r="B54">
        <v>53</v>
      </c>
      <c r="C54" t="s">
        <v>78</v>
      </c>
      <c r="D54">
        <v>2018</v>
      </c>
      <c r="E54" t="s">
        <v>22</v>
      </c>
      <c r="F54" t="s">
        <v>65</v>
      </c>
      <c r="G54">
        <v>1</v>
      </c>
      <c r="H54">
        <v>0</v>
      </c>
      <c r="I54">
        <v>0</v>
      </c>
      <c r="J54">
        <v>0</v>
      </c>
      <c r="K54">
        <v>0</v>
      </c>
      <c r="L54">
        <f t="shared" si="0"/>
        <v>8.6999999999999993</v>
      </c>
      <c r="M54">
        <f t="shared" si="1"/>
        <v>1</v>
      </c>
    </row>
    <row r="55" spans="1:13" x14ac:dyDescent="0.3">
      <c r="A55">
        <v>53</v>
      </c>
      <c r="B55">
        <v>54</v>
      </c>
      <c r="C55" t="s">
        <v>79</v>
      </c>
      <c r="D55">
        <v>2019</v>
      </c>
      <c r="E55" t="s">
        <v>22</v>
      </c>
      <c r="F55" t="s">
        <v>80</v>
      </c>
      <c r="G55">
        <v>1</v>
      </c>
      <c r="H55">
        <v>0</v>
      </c>
      <c r="I55">
        <v>0</v>
      </c>
      <c r="J55">
        <v>0</v>
      </c>
      <c r="K55">
        <v>0</v>
      </c>
      <c r="L55">
        <f t="shared" si="0"/>
        <v>8.6</v>
      </c>
      <c r="M55">
        <f t="shared" si="1"/>
        <v>1</v>
      </c>
    </row>
    <row r="56" spans="1:13" x14ac:dyDescent="0.3">
      <c r="A56">
        <v>54</v>
      </c>
      <c r="B56">
        <v>55</v>
      </c>
      <c r="C56" t="s">
        <v>81</v>
      </c>
      <c r="D56">
        <v>2018</v>
      </c>
      <c r="E56" t="s">
        <v>11</v>
      </c>
      <c r="F56" t="s">
        <v>80</v>
      </c>
      <c r="G56">
        <v>1</v>
      </c>
      <c r="H56">
        <v>0</v>
      </c>
      <c r="I56">
        <v>0</v>
      </c>
      <c r="J56">
        <v>0</v>
      </c>
      <c r="K56">
        <v>0</v>
      </c>
      <c r="L56">
        <f t="shared" si="0"/>
        <v>8.6</v>
      </c>
      <c r="M56">
        <f t="shared" si="1"/>
        <v>1</v>
      </c>
    </row>
    <row r="57" spans="1:13" x14ac:dyDescent="0.3">
      <c r="A57">
        <v>55</v>
      </c>
      <c r="B57">
        <v>56</v>
      </c>
      <c r="C57" t="s">
        <v>82</v>
      </c>
      <c r="D57">
        <v>2002</v>
      </c>
      <c r="E57" t="s">
        <v>11</v>
      </c>
      <c r="F57" t="s">
        <v>80</v>
      </c>
      <c r="G57">
        <v>1</v>
      </c>
      <c r="H57">
        <v>0</v>
      </c>
      <c r="I57">
        <v>0</v>
      </c>
      <c r="J57">
        <v>0</v>
      </c>
      <c r="K57">
        <v>0</v>
      </c>
      <c r="L57">
        <f t="shared" si="0"/>
        <v>8.6</v>
      </c>
      <c r="M57">
        <f t="shared" si="1"/>
        <v>1</v>
      </c>
    </row>
    <row r="58" spans="1:13" x14ac:dyDescent="0.3">
      <c r="A58">
        <v>56</v>
      </c>
      <c r="B58">
        <v>57</v>
      </c>
      <c r="C58" t="s">
        <v>83</v>
      </c>
      <c r="D58">
        <v>2009</v>
      </c>
      <c r="E58" t="s">
        <v>22</v>
      </c>
      <c r="F58" t="s">
        <v>80</v>
      </c>
      <c r="G58">
        <v>1</v>
      </c>
      <c r="H58">
        <v>0</v>
      </c>
      <c r="I58">
        <v>0</v>
      </c>
      <c r="J58">
        <v>0</v>
      </c>
      <c r="K58">
        <v>0</v>
      </c>
      <c r="L58">
        <f t="shared" si="0"/>
        <v>8.6</v>
      </c>
      <c r="M58">
        <f t="shared" si="1"/>
        <v>1</v>
      </c>
    </row>
    <row r="59" spans="1:13" x14ac:dyDescent="0.3">
      <c r="A59">
        <v>57</v>
      </c>
      <c r="B59">
        <v>58</v>
      </c>
      <c r="C59" t="s">
        <v>84</v>
      </c>
      <c r="D59">
        <v>2016</v>
      </c>
      <c r="F59" t="s">
        <v>80</v>
      </c>
      <c r="G59">
        <v>1</v>
      </c>
      <c r="H59">
        <v>0</v>
      </c>
      <c r="I59">
        <v>0</v>
      </c>
      <c r="J59">
        <v>0</v>
      </c>
      <c r="K59">
        <v>0</v>
      </c>
      <c r="L59">
        <f t="shared" si="0"/>
        <v>8.6</v>
      </c>
      <c r="M59">
        <f t="shared" si="1"/>
        <v>1</v>
      </c>
    </row>
    <row r="60" spans="1:13" x14ac:dyDescent="0.3">
      <c r="A60">
        <v>58</v>
      </c>
      <c r="B60">
        <v>59</v>
      </c>
      <c r="C60" t="s">
        <v>85</v>
      </c>
      <c r="D60">
        <v>2019</v>
      </c>
      <c r="E60" t="s">
        <v>36</v>
      </c>
      <c r="F60" t="s">
        <v>80</v>
      </c>
      <c r="G60">
        <v>1</v>
      </c>
      <c r="H60">
        <v>0</v>
      </c>
      <c r="I60">
        <v>0</v>
      </c>
      <c r="J60">
        <v>0</v>
      </c>
      <c r="K60">
        <v>0</v>
      </c>
      <c r="L60">
        <f t="shared" si="0"/>
        <v>8.6</v>
      </c>
      <c r="M60">
        <f t="shared" si="1"/>
        <v>1</v>
      </c>
    </row>
    <row r="61" spans="1:13" x14ac:dyDescent="0.3">
      <c r="A61">
        <v>59</v>
      </c>
      <c r="B61">
        <v>60</v>
      </c>
      <c r="C61" t="s">
        <v>86</v>
      </c>
      <c r="D61">
        <v>1971</v>
      </c>
      <c r="E61" t="s">
        <v>11</v>
      </c>
      <c r="F61" t="s">
        <v>80</v>
      </c>
      <c r="G61">
        <v>1</v>
      </c>
      <c r="H61">
        <v>0</v>
      </c>
      <c r="I61">
        <v>0</v>
      </c>
      <c r="J61">
        <v>0</v>
      </c>
      <c r="K61">
        <v>0</v>
      </c>
      <c r="L61">
        <f t="shared" si="0"/>
        <v>8.6</v>
      </c>
      <c r="M61">
        <f t="shared" si="1"/>
        <v>1</v>
      </c>
    </row>
    <row r="62" spans="1:13" x14ac:dyDescent="0.3">
      <c r="A62">
        <v>60</v>
      </c>
      <c r="B62">
        <v>61</v>
      </c>
      <c r="C62" t="s">
        <v>87</v>
      </c>
      <c r="D62">
        <v>2017</v>
      </c>
      <c r="E62" t="s">
        <v>11</v>
      </c>
      <c r="F62" t="s">
        <v>80</v>
      </c>
      <c r="G62">
        <v>1</v>
      </c>
      <c r="H62">
        <v>0</v>
      </c>
      <c r="I62">
        <v>0</v>
      </c>
      <c r="J62">
        <v>0</v>
      </c>
      <c r="K62">
        <v>0</v>
      </c>
      <c r="L62">
        <f t="shared" si="0"/>
        <v>8.6</v>
      </c>
      <c r="M62">
        <f t="shared" si="1"/>
        <v>1</v>
      </c>
    </row>
    <row r="63" spans="1:13" x14ac:dyDescent="0.3">
      <c r="A63">
        <v>61</v>
      </c>
      <c r="B63">
        <v>62</v>
      </c>
      <c r="C63" t="s">
        <v>88</v>
      </c>
      <c r="D63">
        <v>2015</v>
      </c>
      <c r="E63" t="s">
        <v>11</v>
      </c>
      <c r="F63" t="s">
        <v>80</v>
      </c>
      <c r="G63">
        <v>1</v>
      </c>
      <c r="H63">
        <v>0</v>
      </c>
      <c r="I63">
        <v>0</v>
      </c>
      <c r="J63">
        <v>0</v>
      </c>
      <c r="K63">
        <v>0</v>
      </c>
      <c r="L63">
        <f t="shared" si="0"/>
        <v>8.6</v>
      </c>
      <c r="M63">
        <f t="shared" si="1"/>
        <v>1</v>
      </c>
    </row>
    <row r="64" spans="1:13" x14ac:dyDescent="0.3">
      <c r="A64">
        <v>62</v>
      </c>
      <c r="B64">
        <v>63</v>
      </c>
      <c r="C64" t="s">
        <v>89</v>
      </c>
      <c r="D64">
        <v>2016</v>
      </c>
      <c r="E64" t="s">
        <v>28</v>
      </c>
      <c r="F64" t="s">
        <v>80</v>
      </c>
      <c r="G64">
        <v>1</v>
      </c>
      <c r="H64">
        <v>0</v>
      </c>
      <c r="I64">
        <v>0</v>
      </c>
      <c r="J64">
        <v>0</v>
      </c>
      <c r="K64">
        <v>0</v>
      </c>
      <c r="L64">
        <f t="shared" si="0"/>
        <v>8.6</v>
      </c>
      <c r="M64">
        <f t="shared" si="1"/>
        <v>1</v>
      </c>
    </row>
    <row r="65" spans="1:13" x14ac:dyDescent="0.3">
      <c r="A65">
        <v>63</v>
      </c>
      <c r="B65">
        <v>64</v>
      </c>
      <c r="C65" t="s">
        <v>90</v>
      </c>
      <c r="D65">
        <v>2019</v>
      </c>
      <c r="E65" t="s">
        <v>14</v>
      </c>
      <c r="F65" t="s">
        <v>80</v>
      </c>
      <c r="G65">
        <v>1</v>
      </c>
      <c r="H65">
        <v>0</v>
      </c>
      <c r="I65">
        <v>0</v>
      </c>
      <c r="J65">
        <v>0</v>
      </c>
      <c r="K65">
        <v>0</v>
      </c>
      <c r="L65">
        <f t="shared" si="0"/>
        <v>8.6</v>
      </c>
      <c r="M65">
        <f t="shared" si="1"/>
        <v>1</v>
      </c>
    </row>
    <row r="66" spans="1:13" x14ac:dyDescent="0.3">
      <c r="A66">
        <v>64</v>
      </c>
      <c r="B66">
        <v>65</v>
      </c>
      <c r="C66" t="s">
        <v>91</v>
      </c>
      <c r="D66">
        <v>2018</v>
      </c>
      <c r="E66" t="s">
        <v>22</v>
      </c>
      <c r="F66" t="s">
        <v>92</v>
      </c>
      <c r="G66">
        <v>1</v>
      </c>
      <c r="H66">
        <v>0</v>
      </c>
      <c r="I66">
        <v>0</v>
      </c>
      <c r="J66">
        <v>0</v>
      </c>
      <c r="K66">
        <v>0</v>
      </c>
      <c r="L66">
        <f t="shared" si="0"/>
        <v>8.5</v>
      </c>
      <c r="M66">
        <f t="shared" si="1"/>
        <v>1</v>
      </c>
    </row>
    <row r="67" spans="1:13" x14ac:dyDescent="0.3">
      <c r="A67">
        <v>65</v>
      </c>
      <c r="B67">
        <v>66</v>
      </c>
      <c r="C67" t="s">
        <v>93</v>
      </c>
      <c r="D67">
        <v>2017</v>
      </c>
      <c r="F67" t="s">
        <v>92</v>
      </c>
      <c r="G67">
        <v>1</v>
      </c>
      <c r="H67">
        <v>0</v>
      </c>
      <c r="I67">
        <v>0</v>
      </c>
      <c r="J67">
        <v>0</v>
      </c>
      <c r="K67">
        <v>0</v>
      </c>
      <c r="L67">
        <f t="shared" ref="L67:L130" si="2">IFERROR(VALUE(LEFT(F67,FIND("/",F67)-1))/10,"")</f>
        <v>8.5</v>
      </c>
      <c r="M67">
        <f t="shared" ref="M67:M130" si="3">SUM(G67:J67)</f>
        <v>1</v>
      </c>
    </row>
    <row r="68" spans="1:13" x14ac:dyDescent="0.3">
      <c r="A68">
        <v>66</v>
      </c>
      <c r="B68">
        <v>67</v>
      </c>
      <c r="C68" t="s">
        <v>94</v>
      </c>
      <c r="D68">
        <v>2003</v>
      </c>
      <c r="E68" t="s">
        <v>36</v>
      </c>
      <c r="F68" t="s">
        <v>92</v>
      </c>
      <c r="G68">
        <v>1</v>
      </c>
      <c r="H68">
        <v>0</v>
      </c>
      <c r="I68">
        <v>0</v>
      </c>
      <c r="J68">
        <v>0</v>
      </c>
      <c r="K68">
        <v>0</v>
      </c>
      <c r="L68">
        <f t="shared" si="2"/>
        <v>8.5</v>
      </c>
      <c r="M68">
        <f t="shared" si="3"/>
        <v>1</v>
      </c>
    </row>
    <row r="69" spans="1:13" x14ac:dyDescent="0.3">
      <c r="A69">
        <v>67</v>
      </c>
      <c r="B69">
        <v>68</v>
      </c>
      <c r="C69" t="s">
        <v>95</v>
      </c>
      <c r="D69">
        <v>2006</v>
      </c>
      <c r="E69" t="s">
        <v>11</v>
      </c>
      <c r="F69" t="s">
        <v>92</v>
      </c>
      <c r="G69">
        <v>1</v>
      </c>
      <c r="H69">
        <v>0</v>
      </c>
      <c r="I69">
        <v>0</v>
      </c>
      <c r="J69">
        <v>0</v>
      </c>
      <c r="K69">
        <v>0</v>
      </c>
      <c r="L69">
        <f t="shared" si="2"/>
        <v>8.5</v>
      </c>
      <c r="M69">
        <f t="shared" si="3"/>
        <v>1</v>
      </c>
    </row>
    <row r="70" spans="1:13" x14ac:dyDescent="0.3">
      <c r="A70">
        <v>68</v>
      </c>
      <c r="B70">
        <v>69</v>
      </c>
      <c r="C70" t="s">
        <v>96</v>
      </c>
      <c r="D70">
        <v>2016</v>
      </c>
      <c r="E70" t="s">
        <v>28</v>
      </c>
      <c r="F70" t="s">
        <v>92</v>
      </c>
      <c r="G70">
        <v>1</v>
      </c>
      <c r="H70">
        <v>0</v>
      </c>
      <c r="I70">
        <v>0</v>
      </c>
      <c r="J70">
        <v>0</v>
      </c>
      <c r="K70">
        <v>0</v>
      </c>
      <c r="L70">
        <f t="shared" si="2"/>
        <v>8.5</v>
      </c>
      <c r="M70">
        <f t="shared" si="3"/>
        <v>1</v>
      </c>
    </row>
    <row r="71" spans="1:13" x14ac:dyDescent="0.3">
      <c r="A71">
        <v>69</v>
      </c>
      <c r="B71">
        <v>70</v>
      </c>
      <c r="C71" t="s">
        <v>97</v>
      </c>
      <c r="D71">
        <v>2017</v>
      </c>
      <c r="E71" t="s">
        <v>11</v>
      </c>
      <c r="F71" t="s">
        <v>92</v>
      </c>
      <c r="G71">
        <v>1</v>
      </c>
      <c r="H71">
        <v>0</v>
      </c>
      <c r="I71">
        <v>0</v>
      </c>
      <c r="J71">
        <v>0</v>
      </c>
      <c r="K71">
        <v>0</v>
      </c>
      <c r="L71">
        <f t="shared" si="2"/>
        <v>8.5</v>
      </c>
      <c r="M71">
        <f t="shared" si="3"/>
        <v>1</v>
      </c>
    </row>
    <row r="72" spans="1:13" x14ac:dyDescent="0.3">
      <c r="A72">
        <v>70</v>
      </c>
      <c r="B72">
        <v>71</v>
      </c>
      <c r="C72" t="s">
        <v>98</v>
      </c>
      <c r="D72">
        <v>2006</v>
      </c>
      <c r="E72" t="s">
        <v>22</v>
      </c>
      <c r="F72" t="s">
        <v>92</v>
      </c>
      <c r="G72">
        <v>1</v>
      </c>
      <c r="H72">
        <v>0</v>
      </c>
      <c r="I72">
        <v>0</v>
      </c>
      <c r="J72">
        <v>0</v>
      </c>
      <c r="K72">
        <v>0</v>
      </c>
      <c r="L72">
        <f t="shared" si="2"/>
        <v>8.5</v>
      </c>
      <c r="M72">
        <f t="shared" si="3"/>
        <v>1</v>
      </c>
    </row>
    <row r="73" spans="1:13" x14ac:dyDescent="0.3">
      <c r="A73">
        <v>71</v>
      </c>
      <c r="B73">
        <v>72</v>
      </c>
      <c r="C73" t="s">
        <v>99</v>
      </c>
      <c r="D73">
        <v>2015</v>
      </c>
      <c r="E73" t="s">
        <v>11</v>
      </c>
      <c r="F73" t="s">
        <v>92</v>
      </c>
      <c r="G73">
        <v>1</v>
      </c>
      <c r="H73">
        <v>0</v>
      </c>
      <c r="I73">
        <v>0</v>
      </c>
      <c r="J73">
        <v>0</v>
      </c>
      <c r="K73">
        <v>0</v>
      </c>
      <c r="L73">
        <f t="shared" si="2"/>
        <v>8.5</v>
      </c>
      <c r="M73">
        <f t="shared" si="3"/>
        <v>1</v>
      </c>
    </row>
    <row r="74" spans="1:13" x14ac:dyDescent="0.3">
      <c r="A74">
        <v>72</v>
      </c>
      <c r="B74">
        <v>73</v>
      </c>
      <c r="C74" t="s">
        <v>100</v>
      </c>
      <c r="D74">
        <v>2013</v>
      </c>
      <c r="E74" t="s">
        <v>11</v>
      </c>
      <c r="F74" t="s">
        <v>101</v>
      </c>
      <c r="G74">
        <v>1</v>
      </c>
      <c r="H74">
        <v>0</v>
      </c>
      <c r="I74">
        <v>0</v>
      </c>
      <c r="J74">
        <v>0</v>
      </c>
      <c r="K74">
        <v>0</v>
      </c>
      <c r="L74">
        <f t="shared" si="2"/>
        <v>8.4</v>
      </c>
      <c r="M74">
        <f t="shared" si="3"/>
        <v>1</v>
      </c>
    </row>
    <row r="75" spans="1:13" x14ac:dyDescent="0.3">
      <c r="A75">
        <v>73</v>
      </c>
      <c r="B75">
        <v>74</v>
      </c>
      <c r="C75" t="s">
        <v>102</v>
      </c>
      <c r="D75">
        <v>2009</v>
      </c>
      <c r="E75" t="s">
        <v>11</v>
      </c>
      <c r="F75" t="s">
        <v>101</v>
      </c>
      <c r="G75">
        <v>1</v>
      </c>
      <c r="H75">
        <v>0</v>
      </c>
      <c r="I75">
        <v>0</v>
      </c>
      <c r="J75">
        <v>0</v>
      </c>
      <c r="K75">
        <v>0</v>
      </c>
      <c r="L75">
        <f t="shared" si="2"/>
        <v>8.4</v>
      </c>
      <c r="M75">
        <f t="shared" si="3"/>
        <v>1</v>
      </c>
    </row>
    <row r="76" spans="1:13" x14ac:dyDescent="0.3">
      <c r="A76">
        <v>74</v>
      </c>
      <c r="B76">
        <v>75</v>
      </c>
      <c r="C76" t="s">
        <v>103</v>
      </c>
      <c r="D76">
        <v>2020</v>
      </c>
      <c r="E76" t="s">
        <v>22</v>
      </c>
      <c r="F76" t="s">
        <v>101</v>
      </c>
      <c r="G76">
        <v>1</v>
      </c>
      <c r="H76">
        <v>0</v>
      </c>
      <c r="I76">
        <v>0</v>
      </c>
      <c r="J76">
        <v>0</v>
      </c>
      <c r="K76">
        <v>0</v>
      </c>
      <c r="L76">
        <f t="shared" si="2"/>
        <v>8.4</v>
      </c>
      <c r="M76">
        <f t="shared" si="3"/>
        <v>1</v>
      </c>
    </row>
    <row r="77" spans="1:13" x14ac:dyDescent="0.3">
      <c r="A77">
        <v>75</v>
      </c>
      <c r="B77">
        <v>76</v>
      </c>
      <c r="C77" t="s">
        <v>104</v>
      </c>
      <c r="D77">
        <v>2016</v>
      </c>
      <c r="E77" t="s">
        <v>22</v>
      </c>
      <c r="F77" t="s">
        <v>101</v>
      </c>
      <c r="G77">
        <v>1</v>
      </c>
      <c r="H77">
        <v>0</v>
      </c>
      <c r="I77">
        <v>0</v>
      </c>
      <c r="J77">
        <v>0</v>
      </c>
      <c r="K77">
        <v>0</v>
      </c>
      <c r="L77">
        <f t="shared" si="2"/>
        <v>8.4</v>
      </c>
      <c r="M77">
        <f t="shared" si="3"/>
        <v>1</v>
      </c>
    </row>
    <row r="78" spans="1:13" x14ac:dyDescent="0.3">
      <c r="A78">
        <v>76</v>
      </c>
      <c r="B78">
        <v>77</v>
      </c>
      <c r="C78" t="s">
        <v>105</v>
      </c>
      <c r="D78">
        <v>2018</v>
      </c>
      <c r="E78" t="s">
        <v>11</v>
      </c>
      <c r="F78" t="s">
        <v>101</v>
      </c>
      <c r="G78">
        <v>1</v>
      </c>
      <c r="H78">
        <v>0</v>
      </c>
      <c r="I78">
        <v>0</v>
      </c>
      <c r="J78">
        <v>0</v>
      </c>
      <c r="K78">
        <v>0</v>
      </c>
      <c r="L78">
        <f t="shared" si="2"/>
        <v>8.4</v>
      </c>
      <c r="M78">
        <f t="shared" si="3"/>
        <v>1</v>
      </c>
    </row>
    <row r="79" spans="1:13" x14ac:dyDescent="0.3">
      <c r="A79">
        <v>77</v>
      </c>
      <c r="B79">
        <v>78</v>
      </c>
      <c r="C79" t="s">
        <v>106</v>
      </c>
      <c r="D79">
        <v>2019</v>
      </c>
      <c r="E79" t="s">
        <v>11</v>
      </c>
      <c r="F79" t="s">
        <v>101</v>
      </c>
      <c r="G79">
        <v>1</v>
      </c>
      <c r="H79">
        <v>0</v>
      </c>
      <c r="I79">
        <v>0</v>
      </c>
      <c r="J79">
        <v>0</v>
      </c>
      <c r="K79">
        <v>0</v>
      </c>
      <c r="L79">
        <f t="shared" si="2"/>
        <v>8.4</v>
      </c>
      <c r="M79">
        <f t="shared" si="3"/>
        <v>1</v>
      </c>
    </row>
    <row r="80" spans="1:13" x14ac:dyDescent="0.3">
      <c r="A80">
        <v>78</v>
      </c>
      <c r="B80">
        <v>79</v>
      </c>
      <c r="C80" t="s">
        <v>107</v>
      </c>
      <c r="D80">
        <v>2007</v>
      </c>
      <c r="E80" t="s">
        <v>11</v>
      </c>
      <c r="F80" t="s">
        <v>101</v>
      </c>
      <c r="G80">
        <v>1</v>
      </c>
      <c r="H80">
        <v>0</v>
      </c>
      <c r="I80">
        <v>0</v>
      </c>
      <c r="J80">
        <v>0</v>
      </c>
      <c r="K80">
        <v>0</v>
      </c>
      <c r="L80">
        <f t="shared" si="2"/>
        <v>8.4</v>
      </c>
      <c r="M80">
        <f t="shared" si="3"/>
        <v>1</v>
      </c>
    </row>
    <row r="81" spans="1:13" x14ac:dyDescent="0.3">
      <c r="A81">
        <v>79</v>
      </c>
      <c r="B81">
        <v>80</v>
      </c>
      <c r="C81" t="s">
        <v>108</v>
      </c>
      <c r="D81">
        <v>2004</v>
      </c>
      <c r="E81" t="s">
        <v>22</v>
      </c>
      <c r="F81" t="s">
        <v>101</v>
      </c>
      <c r="G81">
        <v>1</v>
      </c>
      <c r="H81">
        <v>0</v>
      </c>
      <c r="I81">
        <v>0</v>
      </c>
      <c r="J81">
        <v>0</v>
      </c>
      <c r="K81">
        <v>0</v>
      </c>
      <c r="L81">
        <f t="shared" si="2"/>
        <v>8.4</v>
      </c>
      <c r="M81">
        <f t="shared" si="3"/>
        <v>1</v>
      </c>
    </row>
    <row r="82" spans="1:13" x14ac:dyDescent="0.3">
      <c r="A82">
        <v>80</v>
      </c>
      <c r="B82">
        <v>81</v>
      </c>
      <c r="C82" t="s">
        <v>109</v>
      </c>
      <c r="D82">
        <v>2010</v>
      </c>
      <c r="E82" t="s">
        <v>22</v>
      </c>
      <c r="F82" t="s">
        <v>101</v>
      </c>
      <c r="G82">
        <v>1</v>
      </c>
      <c r="H82">
        <v>1</v>
      </c>
      <c r="I82">
        <v>0</v>
      </c>
      <c r="J82">
        <v>0</v>
      </c>
      <c r="K82">
        <v>0</v>
      </c>
      <c r="L82">
        <f t="shared" si="2"/>
        <v>8.4</v>
      </c>
      <c r="M82">
        <f t="shared" si="3"/>
        <v>2</v>
      </c>
    </row>
    <row r="83" spans="1:13" x14ac:dyDescent="0.3">
      <c r="A83">
        <v>81</v>
      </c>
      <c r="B83">
        <v>82</v>
      </c>
      <c r="C83" t="s">
        <v>110</v>
      </c>
      <c r="D83">
        <v>2018</v>
      </c>
      <c r="E83" t="s">
        <v>14</v>
      </c>
      <c r="F83" t="s">
        <v>101</v>
      </c>
      <c r="G83">
        <v>1</v>
      </c>
      <c r="H83">
        <v>0</v>
      </c>
      <c r="I83">
        <v>0</v>
      </c>
      <c r="J83">
        <v>0</v>
      </c>
      <c r="K83">
        <v>0</v>
      </c>
      <c r="L83">
        <f t="shared" si="2"/>
        <v>8.4</v>
      </c>
      <c r="M83">
        <f t="shared" si="3"/>
        <v>1</v>
      </c>
    </row>
    <row r="84" spans="1:13" x14ac:dyDescent="0.3">
      <c r="A84">
        <v>82</v>
      </c>
      <c r="B84">
        <v>83</v>
      </c>
      <c r="C84" t="s">
        <v>111</v>
      </c>
      <c r="D84">
        <v>1975</v>
      </c>
      <c r="E84" t="s">
        <v>14</v>
      </c>
      <c r="F84" t="s">
        <v>101</v>
      </c>
      <c r="G84">
        <v>1</v>
      </c>
      <c r="H84">
        <v>0</v>
      </c>
      <c r="I84">
        <v>0</v>
      </c>
      <c r="J84">
        <v>0</v>
      </c>
      <c r="K84">
        <v>0</v>
      </c>
      <c r="L84">
        <f t="shared" si="2"/>
        <v>8.4</v>
      </c>
      <c r="M84">
        <f t="shared" si="3"/>
        <v>1</v>
      </c>
    </row>
    <row r="85" spans="1:13" x14ac:dyDescent="0.3">
      <c r="A85">
        <v>83</v>
      </c>
      <c r="B85">
        <v>84</v>
      </c>
      <c r="C85" t="s">
        <v>112</v>
      </c>
      <c r="D85">
        <v>2007</v>
      </c>
      <c r="E85" t="s">
        <v>36</v>
      </c>
      <c r="F85" t="s">
        <v>101</v>
      </c>
      <c r="G85">
        <v>1</v>
      </c>
      <c r="H85">
        <v>0</v>
      </c>
      <c r="I85">
        <v>0</v>
      </c>
      <c r="J85">
        <v>0</v>
      </c>
      <c r="K85">
        <v>0</v>
      </c>
      <c r="L85">
        <f t="shared" si="2"/>
        <v>8.4</v>
      </c>
      <c r="M85">
        <f t="shared" si="3"/>
        <v>1</v>
      </c>
    </row>
    <row r="86" spans="1:13" x14ac:dyDescent="0.3">
      <c r="A86">
        <v>84</v>
      </c>
      <c r="B86">
        <v>85</v>
      </c>
      <c r="C86" t="s">
        <v>113</v>
      </c>
      <c r="D86">
        <v>2020</v>
      </c>
      <c r="E86" t="s">
        <v>11</v>
      </c>
      <c r="F86" t="s">
        <v>101</v>
      </c>
      <c r="G86">
        <v>1</v>
      </c>
      <c r="H86">
        <v>0</v>
      </c>
      <c r="I86">
        <v>0</v>
      </c>
      <c r="J86">
        <v>0</v>
      </c>
      <c r="K86">
        <v>0</v>
      </c>
      <c r="L86">
        <f t="shared" si="2"/>
        <v>8.4</v>
      </c>
      <c r="M86">
        <f t="shared" si="3"/>
        <v>1</v>
      </c>
    </row>
    <row r="87" spans="1:13" x14ac:dyDescent="0.3">
      <c r="A87">
        <v>85</v>
      </c>
      <c r="B87">
        <v>86</v>
      </c>
      <c r="C87" t="s">
        <v>114</v>
      </c>
      <c r="D87">
        <v>2018</v>
      </c>
      <c r="E87" t="s">
        <v>11</v>
      </c>
      <c r="F87" t="s">
        <v>101</v>
      </c>
      <c r="G87">
        <v>1</v>
      </c>
      <c r="H87">
        <v>0</v>
      </c>
      <c r="I87">
        <v>0</v>
      </c>
      <c r="J87">
        <v>0</v>
      </c>
      <c r="K87">
        <v>0</v>
      </c>
      <c r="L87">
        <f t="shared" si="2"/>
        <v>8.4</v>
      </c>
      <c r="M87">
        <f t="shared" si="3"/>
        <v>1</v>
      </c>
    </row>
    <row r="88" spans="1:13" x14ac:dyDescent="0.3">
      <c r="A88">
        <v>86</v>
      </c>
      <c r="B88">
        <v>87</v>
      </c>
      <c r="C88" t="s">
        <v>115</v>
      </c>
      <c r="D88">
        <v>2012</v>
      </c>
      <c r="E88" t="s">
        <v>11</v>
      </c>
      <c r="F88" t="s">
        <v>101</v>
      </c>
      <c r="G88">
        <v>1</v>
      </c>
      <c r="H88">
        <v>0</v>
      </c>
      <c r="I88">
        <v>0</v>
      </c>
      <c r="J88">
        <v>0</v>
      </c>
      <c r="K88">
        <v>0</v>
      </c>
      <c r="L88">
        <f t="shared" si="2"/>
        <v>8.4</v>
      </c>
      <c r="M88">
        <f t="shared" si="3"/>
        <v>1</v>
      </c>
    </row>
    <row r="89" spans="1:13" x14ac:dyDescent="0.3">
      <c r="A89">
        <v>87</v>
      </c>
      <c r="B89">
        <v>88</v>
      </c>
      <c r="C89" t="s">
        <v>116</v>
      </c>
      <c r="D89">
        <v>2020</v>
      </c>
      <c r="E89" t="s">
        <v>14</v>
      </c>
      <c r="F89" t="s">
        <v>101</v>
      </c>
      <c r="G89">
        <v>1</v>
      </c>
      <c r="H89">
        <v>0</v>
      </c>
      <c r="I89">
        <v>0</v>
      </c>
      <c r="J89">
        <v>0</v>
      </c>
      <c r="K89">
        <v>0</v>
      </c>
      <c r="L89">
        <f t="shared" si="2"/>
        <v>8.4</v>
      </c>
      <c r="M89">
        <f t="shared" si="3"/>
        <v>1</v>
      </c>
    </row>
    <row r="90" spans="1:13" x14ac:dyDescent="0.3">
      <c r="A90">
        <v>88</v>
      </c>
      <c r="B90">
        <v>89</v>
      </c>
      <c r="C90" t="s">
        <v>117</v>
      </c>
      <c r="D90">
        <v>2015</v>
      </c>
      <c r="F90" t="s">
        <v>101</v>
      </c>
      <c r="G90">
        <v>1</v>
      </c>
      <c r="H90">
        <v>0</v>
      </c>
      <c r="I90">
        <v>0</v>
      </c>
      <c r="J90">
        <v>0</v>
      </c>
      <c r="K90">
        <v>0</v>
      </c>
      <c r="L90">
        <f t="shared" si="2"/>
        <v>8.4</v>
      </c>
      <c r="M90">
        <f t="shared" si="3"/>
        <v>1</v>
      </c>
    </row>
    <row r="91" spans="1:13" x14ac:dyDescent="0.3">
      <c r="A91">
        <v>89</v>
      </c>
      <c r="B91">
        <v>90</v>
      </c>
      <c r="C91" t="s">
        <v>118</v>
      </c>
      <c r="D91">
        <v>2014</v>
      </c>
      <c r="E91" t="s">
        <v>11</v>
      </c>
      <c r="F91" t="s">
        <v>101</v>
      </c>
      <c r="G91">
        <v>1</v>
      </c>
      <c r="H91">
        <v>0</v>
      </c>
      <c r="I91">
        <v>0</v>
      </c>
      <c r="J91">
        <v>0</v>
      </c>
      <c r="K91">
        <v>0</v>
      </c>
      <c r="L91">
        <f t="shared" si="2"/>
        <v>8.4</v>
      </c>
      <c r="M91">
        <f t="shared" si="3"/>
        <v>1</v>
      </c>
    </row>
    <row r="92" spans="1:13" x14ac:dyDescent="0.3">
      <c r="A92">
        <v>90</v>
      </c>
      <c r="B92">
        <v>91</v>
      </c>
      <c r="C92">
        <v>1922</v>
      </c>
      <c r="D92">
        <v>2017</v>
      </c>
      <c r="E92" t="s">
        <v>11</v>
      </c>
      <c r="F92" t="s">
        <v>101</v>
      </c>
      <c r="G92">
        <v>1</v>
      </c>
      <c r="H92">
        <v>0</v>
      </c>
      <c r="I92">
        <v>0</v>
      </c>
      <c r="J92">
        <v>0</v>
      </c>
      <c r="K92">
        <v>0</v>
      </c>
      <c r="L92">
        <f t="shared" si="2"/>
        <v>8.4</v>
      </c>
      <c r="M92">
        <f t="shared" si="3"/>
        <v>1</v>
      </c>
    </row>
    <row r="93" spans="1:13" x14ac:dyDescent="0.3">
      <c r="A93">
        <v>91</v>
      </c>
      <c r="B93">
        <v>92</v>
      </c>
      <c r="C93" t="s">
        <v>119</v>
      </c>
      <c r="D93">
        <v>2019</v>
      </c>
      <c r="E93" t="s">
        <v>11</v>
      </c>
      <c r="F93" t="s">
        <v>101</v>
      </c>
      <c r="G93">
        <v>1</v>
      </c>
      <c r="H93">
        <v>0</v>
      </c>
      <c r="I93">
        <v>0</v>
      </c>
      <c r="J93">
        <v>0</v>
      </c>
      <c r="K93">
        <v>0</v>
      </c>
      <c r="L93">
        <f t="shared" si="2"/>
        <v>8.4</v>
      </c>
      <c r="M93">
        <f t="shared" si="3"/>
        <v>1</v>
      </c>
    </row>
    <row r="94" spans="1:13" x14ac:dyDescent="0.3">
      <c r="A94">
        <v>92</v>
      </c>
      <c r="B94">
        <v>93</v>
      </c>
      <c r="C94" t="s">
        <v>120</v>
      </c>
      <c r="D94">
        <v>2017</v>
      </c>
      <c r="F94" t="s">
        <v>101</v>
      </c>
      <c r="G94">
        <v>1</v>
      </c>
      <c r="H94">
        <v>0</v>
      </c>
      <c r="I94">
        <v>0</v>
      </c>
      <c r="J94">
        <v>0</v>
      </c>
      <c r="K94">
        <v>0</v>
      </c>
      <c r="L94">
        <f t="shared" si="2"/>
        <v>8.4</v>
      </c>
      <c r="M94">
        <f t="shared" si="3"/>
        <v>1</v>
      </c>
    </row>
    <row r="95" spans="1:13" x14ac:dyDescent="0.3">
      <c r="A95">
        <v>93</v>
      </c>
      <c r="B95">
        <v>94</v>
      </c>
      <c r="C95" t="s">
        <v>121</v>
      </c>
      <c r="D95">
        <v>1988</v>
      </c>
      <c r="E95" t="s">
        <v>11</v>
      </c>
      <c r="F95" t="s">
        <v>122</v>
      </c>
      <c r="G95">
        <v>1</v>
      </c>
      <c r="H95">
        <v>0</v>
      </c>
      <c r="I95">
        <v>0</v>
      </c>
      <c r="J95">
        <v>0</v>
      </c>
      <c r="K95">
        <v>0</v>
      </c>
      <c r="L95">
        <f t="shared" si="2"/>
        <v>8.3000000000000007</v>
      </c>
      <c r="M95">
        <f t="shared" si="3"/>
        <v>1</v>
      </c>
    </row>
    <row r="96" spans="1:13" x14ac:dyDescent="0.3">
      <c r="A96">
        <v>94</v>
      </c>
      <c r="B96">
        <v>95</v>
      </c>
      <c r="C96" t="s">
        <v>123</v>
      </c>
      <c r="D96">
        <v>2017</v>
      </c>
      <c r="F96" t="s">
        <v>122</v>
      </c>
      <c r="G96">
        <v>1</v>
      </c>
      <c r="H96">
        <v>0</v>
      </c>
      <c r="I96">
        <v>0</v>
      </c>
      <c r="J96">
        <v>0</v>
      </c>
      <c r="K96">
        <v>0</v>
      </c>
      <c r="L96">
        <f t="shared" si="2"/>
        <v>8.3000000000000007</v>
      </c>
      <c r="M96">
        <f t="shared" si="3"/>
        <v>1</v>
      </c>
    </row>
    <row r="97" spans="1:13" x14ac:dyDescent="0.3">
      <c r="A97">
        <v>95</v>
      </c>
      <c r="B97">
        <v>96</v>
      </c>
      <c r="C97" t="s">
        <v>124</v>
      </c>
      <c r="D97">
        <v>2017</v>
      </c>
      <c r="E97" t="s">
        <v>11</v>
      </c>
      <c r="F97" t="s">
        <v>122</v>
      </c>
      <c r="G97">
        <v>1</v>
      </c>
      <c r="H97">
        <v>0</v>
      </c>
      <c r="I97">
        <v>0</v>
      </c>
      <c r="J97">
        <v>0</v>
      </c>
      <c r="K97">
        <v>0</v>
      </c>
      <c r="L97">
        <f t="shared" si="2"/>
        <v>8.3000000000000007</v>
      </c>
      <c r="M97">
        <f t="shared" si="3"/>
        <v>1</v>
      </c>
    </row>
    <row r="98" spans="1:13" x14ac:dyDescent="0.3">
      <c r="A98">
        <v>96</v>
      </c>
      <c r="B98">
        <v>97</v>
      </c>
      <c r="C98" t="s">
        <v>125</v>
      </c>
      <c r="D98">
        <v>2020</v>
      </c>
      <c r="E98" t="s">
        <v>11</v>
      </c>
      <c r="F98" t="s">
        <v>122</v>
      </c>
      <c r="G98">
        <v>1</v>
      </c>
      <c r="H98">
        <v>0</v>
      </c>
      <c r="I98">
        <v>0</v>
      </c>
      <c r="J98">
        <v>0</v>
      </c>
      <c r="K98">
        <v>0</v>
      </c>
      <c r="L98">
        <f t="shared" si="2"/>
        <v>8.3000000000000007</v>
      </c>
      <c r="M98">
        <f t="shared" si="3"/>
        <v>1</v>
      </c>
    </row>
    <row r="99" spans="1:13" x14ac:dyDescent="0.3">
      <c r="A99">
        <v>97</v>
      </c>
      <c r="B99">
        <v>98</v>
      </c>
      <c r="C99" t="s">
        <v>126</v>
      </c>
      <c r="D99">
        <v>2019</v>
      </c>
      <c r="E99" t="s">
        <v>28</v>
      </c>
      <c r="F99" t="s">
        <v>122</v>
      </c>
      <c r="G99">
        <v>1</v>
      </c>
      <c r="H99">
        <v>0</v>
      </c>
      <c r="I99">
        <v>0</v>
      </c>
      <c r="J99">
        <v>0</v>
      </c>
      <c r="K99">
        <v>0</v>
      </c>
      <c r="L99">
        <f t="shared" si="2"/>
        <v>8.3000000000000007</v>
      </c>
      <c r="M99">
        <f t="shared" si="3"/>
        <v>1</v>
      </c>
    </row>
    <row r="100" spans="1:13" x14ac:dyDescent="0.3">
      <c r="A100">
        <v>98</v>
      </c>
      <c r="B100">
        <v>99</v>
      </c>
      <c r="C100" s="1">
        <v>46225</v>
      </c>
      <c r="D100">
        <v>2018</v>
      </c>
      <c r="E100" t="s">
        <v>11</v>
      </c>
      <c r="F100" t="s">
        <v>122</v>
      </c>
      <c r="G100">
        <v>1</v>
      </c>
      <c r="H100">
        <v>0</v>
      </c>
      <c r="I100">
        <v>0</v>
      </c>
      <c r="J100">
        <v>0</v>
      </c>
      <c r="K100">
        <v>0</v>
      </c>
      <c r="L100">
        <f t="shared" si="2"/>
        <v>8.3000000000000007</v>
      </c>
      <c r="M100">
        <f t="shared" si="3"/>
        <v>1</v>
      </c>
    </row>
    <row r="101" spans="1:13" x14ac:dyDescent="0.3">
      <c r="A101">
        <v>99</v>
      </c>
      <c r="B101">
        <v>100</v>
      </c>
      <c r="C101" t="s">
        <v>127</v>
      </c>
      <c r="D101">
        <v>2018</v>
      </c>
      <c r="E101" t="s">
        <v>11</v>
      </c>
      <c r="F101" t="s">
        <v>122</v>
      </c>
      <c r="G101">
        <v>1</v>
      </c>
      <c r="H101">
        <v>0</v>
      </c>
      <c r="I101">
        <v>0</v>
      </c>
      <c r="J101">
        <v>0</v>
      </c>
      <c r="K101">
        <v>0</v>
      </c>
      <c r="L101">
        <f t="shared" si="2"/>
        <v>8.3000000000000007</v>
      </c>
      <c r="M101">
        <f t="shared" si="3"/>
        <v>1</v>
      </c>
    </row>
    <row r="102" spans="1:13" x14ac:dyDescent="0.3">
      <c r="A102">
        <v>100</v>
      </c>
      <c r="B102">
        <v>101</v>
      </c>
      <c r="C102" t="s">
        <v>128</v>
      </c>
      <c r="D102">
        <v>2007</v>
      </c>
      <c r="E102" t="s">
        <v>22</v>
      </c>
      <c r="F102" t="s">
        <v>122</v>
      </c>
      <c r="G102">
        <v>1</v>
      </c>
      <c r="H102">
        <v>0</v>
      </c>
      <c r="I102">
        <v>0</v>
      </c>
      <c r="J102">
        <v>0</v>
      </c>
      <c r="K102">
        <v>0</v>
      </c>
      <c r="L102">
        <f t="shared" si="2"/>
        <v>8.3000000000000007</v>
      </c>
      <c r="M102">
        <f t="shared" si="3"/>
        <v>1</v>
      </c>
    </row>
    <row r="103" spans="1:13" x14ac:dyDescent="0.3">
      <c r="A103">
        <v>101</v>
      </c>
      <c r="B103">
        <v>102</v>
      </c>
      <c r="C103" t="s">
        <v>129</v>
      </c>
      <c r="D103">
        <v>2018</v>
      </c>
      <c r="E103" t="s">
        <v>11</v>
      </c>
      <c r="F103" t="s">
        <v>122</v>
      </c>
      <c r="G103">
        <v>1</v>
      </c>
      <c r="H103">
        <v>0</v>
      </c>
      <c r="I103">
        <v>0</v>
      </c>
      <c r="J103">
        <v>0</v>
      </c>
      <c r="K103">
        <v>0</v>
      </c>
      <c r="L103">
        <f t="shared" si="2"/>
        <v>8.3000000000000007</v>
      </c>
      <c r="M103">
        <f t="shared" si="3"/>
        <v>1</v>
      </c>
    </row>
    <row r="104" spans="1:13" x14ac:dyDescent="0.3">
      <c r="A104">
        <v>102</v>
      </c>
      <c r="B104">
        <v>103</v>
      </c>
      <c r="C104" t="s">
        <v>130</v>
      </c>
      <c r="D104">
        <v>2018</v>
      </c>
      <c r="E104" t="s">
        <v>22</v>
      </c>
      <c r="F104" t="s">
        <v>122</v>
      </c>
      <c r="G104">
        <v>1</v>
      </c>
      <c r="H104">
        <v>0</v>
      </c>
      <c r="I104">
        <v>0</v>
      </c>
      <c r="J104">
        <v>0</v>
      </c>
      <c r="K104">
        <v>0</v>
      </c>
      <c r="L104">
        <f t="shared" si="2"/>
        <v>8.3000000000000007</v>
      </c>
      <c r="M104">
        <f t="shared" si="3"/>
        <v>1</v>
      </c>
    </row>
    <row r="105" spans="1:13" x14ac:dyDescent="0.3">
      <c r="A105">
        <v>103</v>
      </c>
      <c r="B105">
        <v>104</v>
      </c>
      <c r="C105" t="s">
        <v>131</v>
      </c>
      <c r="D105">
        <v>2013</v>
      </c>
      <c r="E105" t="s">
        <v>11</v>
      </c>
      <c r="F105" t="s">
        <v>122</v>
      </c>
      <c r="G105">
        <v>1</v>
      </c>
      <c r="H105">
        <v>0</v>
      </c>
      <c r="I105">
        <v>0</v>
      </c>
      <c r="J105">
        <v>0</v>
      </c>
      <c r="K105">
        <v>0</v>
      </c>
      <c r="L105">
        <f t="shared" si="2"/>
        <v>8.3000000000000007</v>
      </c>
      <c r="M105">
        <f t="shared" si="3"/>
        <v>1</v>
      </c>
    </row>
    <row r="106" spans="1:13" x14ac:dyDescent="0.3">
      <c r="A106">
        <v>104</v>
      </c>
      <c r="B106">
        <v>105</v>
      </c>
      <c r="C106" t="s">
        <v>132</v>
      </c>
      <c r="D106">
        <v>2019</v>
      </c>
      <c r="E106" t="s">
        <v>11</v>
      </c>
      <c r="F106" t="s">
        <v>122</v>
      </c>
      <c r="G106">
        <v>1</v>
      </c>
      <c r="H106">
        <v>0</v>
      </c>
      <c r="I106">
        <v>0</v>
      </c>
      <c r="J106">
        <v>0</v>
      </c>
      <c r="K106">
        <v>0</v>
      </c>
      <c r="L106">
        <f t="shared" si="2"/>
        <v>8.3000000000000007</v>
      </c>
      <c r="M106">
        <f t="shared" si="3"/>
        <v>1</v>
      </c>
    </row>
    <row r="107" spans="1:13" x14ac:dyDescent="0.3">
      <c r="A107">
        <v>105</v>
      </c>
      <c r="B107">
        <v>106</v>
      </c>
      <c r="C107" t="s">
        <v>133</v>
      </c>
      <c r="D107">
        <v>2020</v>
      </c>
      <c r="E107" t="s">
        <v>36</v>
      </c>
      <c r="F107" t="s">
        <v>122</v>
      </c>
      <c r="G107">
        <v>1</v>
      </c>
      <c r="H107">
        <v>0</v>
      </c>
      <c r="I107">
        <v>0</v>
      </c>
      <c r="J107">
        <v>0</v>
      </c>
      <c r="K107">
        <v>0</v>
      </c>
      <c r="L107">
        <f t="shared" si="2"/>
        <v>8.3000000000000007</v>
      </c>
      <c r="M107">
        <f t="shared" si="3"/>
        <v>1</v>
      </c>
    </row>
    <row r="108" spans="1:13" x14ac:dyDescent="0.3">
      <c r="A108">
        <v>106</v>
      </c>
      <c r="B108">
        <v>107</v>
      </c>
      <c r="C108" t="s">
        <v>134</v>
      </c>
      <c r="D108">
        <v>2013</v>
      </c>
      <c r="E108" t="s">
        <v>22</v>
      </c>
      <c r="F108" t="s">
        <v>122</v>
      </c>
      <c r="G108">
        <v>1</v>
      </c>
      <c r="H108">
        <v>0</v>
      </c>
      <c r="I108">
        <v>0</v>
      </c>
      <c r="J108">
        <v>0</v>
      </c>
      <c r="K108">
        <v>0</v>
      </c>
      <c r="L108">
        <f t="shared" si="2"/>
        <v>8.3000000000000007</v>
      </c>
      <c r="M108">
        <f t="shared" si="3"/>
        <v>1</v>
      </c>
    </row>
    <row r="109" spans="1:13" x14ac:dyDescent="0.3">
      <c r="A109">
        <v>107</v>
      </c>
      <c r="B109">
        <v>108</v>
      </c>
      <c r="C109" t="s">
        <v>135</v>
      </c>
      <c r="D109">
        <v>2017</v>
      </c>
      <c r="E109" t="s">
        <v>14</v>
      </c>
      <c r="F109" t="s">
        <v>122</v>
      </c>
      <c r="G109">
        <v>1</v>
      </c>
      <c r="H109">
        <v>1</v>
      </c>
      <c r="I109">
        <v>0</v>
      </c>
      <c r="J109">
        <v>0</v>
      </c>
      <c r="K109">
        <v>0</v>
      </c>
      <c r="L109">
        <f t="shared" si="2"/>
        <v>8.3000000000000007</v>
      </c>
      <c r="M109">
        <f t="shared" si="3"/>
        <v>2</v>
      </c>
    </row>
    <row r="110" spans="1:13" x14ac:dyDescent="0.3">
      <c r="A110">
        <v>108</v>
      </c>
      <c r="B110">
        <v>109</v>
      </c>
      <c r="C110" t="s">
        <v>136</v>
      </c>
      <c r="D110">
        <v>2008</v>
      </c>
      <c r="E110" t="s">
        <v>14</v>
      </c>
      <c r="F110" t="s">
        <v>122</v>
      </c>
      <c r="G110">
        <v>1</v>
      </c>
      <c r="H110">
        <v>0</v>
      </c>
      <c r="I110">
        <v>0</v>
      </c>
      <c r="J110">
        <v>0</v>
      </c>
      <c r="K110">
        <v>0</v>
      </c>
      <c r="L110">
        <f t="shared" si="2"/>
        <v>8.3000000000000007</v>
      </c>
      <c r="M110">
        <f t="shared" si="3"/>
        <v>1</v>
      </c>
    </row>
    <row r="111" spans="1:13" x14ac:dyDescent="0.3">
      <c r="A111">
        <v>109</v>
      </c>
      <c r="B111">
        <v>110</v>
      </c>
      <c r="C111" t="s">
        <v>137</v>
      </c>
      <c r="D111">
        <v>2007</v>
      </c>
      <c r="E111" t="s">
        <v>11</v>
      </c>
      <c r="F111" t="s">
        <v>122</v>
      </c>
      <c r="G111">
        <v>1</v>
      </c>
      <c r="H111">
        <v>0</v>
      </c>
      <c r="I111">
        <v>0</v>
      </c>
      <c r="J111">
        <v>0</v>
      </c>
      <c r="K111">
        <v>0</v>
      </c>
      <c r="L111">
        <f t="shared" si="2"/>
        <v>8.3000000000000007</v>
      </c>
      <c r="M111">
        <f t="shared" si="3"/>
        <v>1</v>
      </c>
    </row>
    <row r="112" spans="1:13" x14ac:dyDescent="0.3">
      <c r="A112">
        <v>110</v>
      </c>
      <c r="B112">
        <v>111</v>
      </c>
      <c r="C112" t="s">
        <v>138</v>
      </c>
      <c r="D112">
        <v>2016</v>
      </c>
      <c r="E112" t="s">
        <v>11</v>
      </c>
      <c r="F112" t="s">
        <v>122</v>
      </c>
      <c r="G112">
        <v>1</v>
      </c>
      <c r="H112">
        <v>0</v>
      </c>
      <c r="I112">
        <v>0</v>
      </c>
      <c r="J112">
        <v>0</v>
      </c>
      <c r="K112">
        <v>0</v>
      </c>
      <c r="L112">
        <f t="shared" si="2"/>
        <v>8.3000000000000007</v>
      </c>
      <c r="M112">
        <f t="shared" si="3"/>
        <v>1</v>
      </c>
    </row>
    <row r="113" spans="1:13" x14ac:dyDescent="0.3">
      <c r="A113">
        <v>111</v>
      </c>
      <c r="B113">
        <v>112</v>
      </c>
      <c r="C113" t="s">
        <v>139</v>
      </c>
      <c r="D113">
        <v>1974</v>
      </c>
      <c r="E113" t="s">
        <v>11</v>
      </c>
      <c r="F113" t="s">
        <v>140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f t="shared" si="2"/>
        <v>8.1999999999999993</v>
      </c>
      <c r="M113">
        <f t="shared" si="3"/>
        <v>1</v>
      </c>
    </row>
    <row r="114" spans="1:13" x14ac:dyDescent="0.3">
      <c r="A114">
        <v>112</v>
      </c>
      <c r="B114">
        <v>113</v>
      </c>
      <c r="C114" t="s">
        <v>141</v>
      </c>
      <c r="D114">
        <v>2003</v>
      </c>
      <c r="E114" t="s">
        <v>11</v>
      </c>
      <c r="F114" t="s">
        <v>140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f t="shared" si="2"/>
        <v>8.1999999999999993</v>
      </c>
      <c r="M114">
        <f t="shared" si="3"/>
        <v>1</v>
      </c>
    </row>
    <row r="115" spans="1:13" x14ac:dyDescent="0.3">
      <c r="A115">
        <v>113</v>
      </c>
      <c r="B115">
        <v>114</v>
      </c>
      <c r="C115" t="s">
        <v>142</v>
      </c>
      <c r="D115">
        <v>2014</v>
      </c>
      <c r="E115" t="s">
        <v>22</v>
      </c>
      <c r="F115" t="s">
        <v>140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f t="shared" si="2"/>
        <v>8.1999999999999993</v>
      </c>
      <c r="M115">
        <f t="shared" si="3"/>
        <v>1</v>
      </c>
    </row>
    <row r="116" spans="1:13" x14ac:dyDescent="0.3">
      <c r="A116">
        <v>114</v>
      </c>
      <c r="B116">
        <v>115</v>
      </c>
      <c r="C116" t="s">
        <v>143</v>
      </c>
      <c r="D116">
        <v>2018</v>
      </c>
      <c r="F116" t="s">
        <v>140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f t="shared" si="2"/>
        <v>8.1999999999999993</v>
      </c>
      <c r="M116">
        <f t="shared" si="3"/>
        <v>1</v>
      </c>
    </row>
    <row r="117" spans="1:13" x14ac:dyDescent="0.3">
      <c r="A117">
        <v>115</v>
      </c>
      <c r="B117">
        <v>116</v>
      </c>
      <c r="C117" t="s">
        <v>144</v>
      </c>
      <c r="D117">
        <v>2020</v>
      </c>
      <c r="E117" t="s">
        <v>22</v>
      </c>
      <c r="F117" t="s">
        <v>140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f t="shared" si="2"/>
        <v>8.1999999999999993</v>
      </c>
      <c r="M117">
        <f t="shared" si="3"/>
        <v>1</v>
      </c>
    </row>
    <row r="118" spans="1:13" x14ac:dyDescent="0.3">
      <c r="A118">
        <v>116</v>
      </c>
      <c r="B118">
        <v>117</v>
      </c>
      <c r="C118" t="s">
        <v>145</v>
      </c>
      <c r="D118">
        <v>2004</v>
      </c>
      <c r="E118" t="s">
        <v>22</v>
      </c>
      <c r="F118" t="s">
        <v>140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f t="shared" si="2"/>
        <v>8.1999999999999993</v>
      </c>
      <c r="M118">
        <f t="shared" si="3"/>
        <v>2</v>
      </c>
    </row>
    <row r="119" spans="1:13" x14ac:dyDescent="0.3">
      <c r="A119">
        <v>117</v>
      </c>
      <c r="B119">
        <v>118</v>
      </c>
      <c r="C119" t="s">
        <v>146</v>
      </c>
      <c r="D119">
        <v>2010</v>
      </c>
      <c r="E119" t="s">
        <v>22</v>
      </c>
      <c r="F119" t="s">
        <v>140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f t="shared" si="2"/>
        <v>8.1999999999999993</v>
      </c>
      <c r="M119">
        <f t="shared" si="3"/>
        <v>1</v>
      </c>
    </row>
    <row r="120" spans="1:13" x14ac:dyDescent="0.3">
      <c r="A120">
        <v>118</v>
      </c>
      <c r="B120">
        <v>119</v>
      </c>
      <c r="C120" t="s">
        <v>147</v>
      </c>
      <c r="D120">
        <v>2011</v>
      </c>
      <c r="E120" t="s">
        <v>14</v>
      </c>
      <c r="F120" t="s">
        <v>140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f t="shared" si="2"/>
        <v>8.1999999999999993</v>
      </c>
      <c r="M120">
        <f t="shared" si="3"/>
        <v>1</v>
      </c>
    </row>
    <row r="121" spans="1:13" x14ac:dyDescent="0.3">
      <c r="A121">
        <v>119</v>
      </c>
      <c r="B121">
        <v>120</v>
      </c>
      <c r="C121" t="s">
        <v>148</v>
      </c>
      <c r="D121">
        <v>1979</v>
      </c>
      <c r="E121" t="s">
        <v>11</v>
      </c>
      <c r="F121" t="s">
        <v>140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f t="shared" si="2"/>
        <v>8.1999999999999993</v>
      </c>
      <c r="M121">
        <f t="shared" si="3"/>
        <v>1</v>
      </c>
    </row>
    <row r="122" spans="1:13" x14ac:dyDescent="0.3">
      <c r="A122">
        <v>120</v>
      </c>
      <c r="B122">
        <v>121</v>
      </c>
      <c r="C122" t="s">
        <v>149</v>
      </c>
      <c r="D122">
        <v>2018</v>
      </c>
      <c r="E122" t="s">
        <v>11</v>
      </c>
      <c r="F122" t="s">
        <v>140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f t="shared" si="2"/>
        <v>8.1999999999999993</v>
      </c>
      <c r="M122">
        <f t="shared" si="3"/>
        <v>1</v>
      </c>
    </row>
    <row r="123" spans="1:13" x14ac:dyDescent="0.3">
      <c r="A123">
        <v>121</v>
      </c>
      <c r="B123">
        <v>122</v>
      </c>
      <c r="C123" t="s">
        <v>150</v>
      </c>
      <c r="D123">
        <v>2014</v>
      </c>
      <c r="E123" t="s">
        <v>14</v>
      </c>
      <c r="F123" t="s">
        <v>140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f t="shared" si="2"/>
        <v>8.1999999999999993</v>
      </c>
      <c r="M123">
        <f t="shared" si="3"/>
        <v>1</v>
      </c>
    </row>
    <row r="124" spans="1:13" x14ac:dyDescent="0.3">
      <c r="A124">
        <v>122</v>
      </c>
      <c r="B124">
        <v>123</v>
      </c>
      <c r="C124" t="s">
        <v>151</v>
      </c>
      <c r="D124">
        <v>2019</v>
      </c>
      <c r="F124" t="s">
        <v>140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f t="shared" si="2"/>
        <v>8.1999999999999993</v>
      </c>
      <c r="M124">
        <f t="shared" si="3"/>
        <v>1</v>
      </c>
    </row>
    <row r="125" spans="1:13" x14ac:dyDescent="0.3">
      <c r="A125">
        <v>123</v>
      </c>
      <c r="B125">
        <v>124</v>
      </c>
      <c r="C125" t="s">
        <v>152</v>
      </c>
      <c r="D125">
        <v>2010</v>
      </c>
      <c r="F125" t="s">
        <v>140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f t="shared" si="2"/>
        <v>8.1999999999999993</v>
      </c>
      <c r="M125">
        <f t="shared" si="3"/>
        <v>1</v>
      </c>
    </row>
    <row r="126" spans="1:13" x14ac:dyDescent="0.3">
      <c r="A126">
        <v>124</v>
      </c>
      <c r="B126">
        <v>125</v>
      </c>
      <c r="C126" t="s">
        <v>153</v>
      </c>
      <c r="D126">
        <v>2003</v>
      </c>
      <c r="E126" t="s">
        <v>11</v>
      </c>
      <c r="F126" t="s">
        <v>140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f t="shared" si="2"/>
        <v>8.1999999999999993</v>
      </c>
      <c r="M126">
        <f t="shared" si="3"/>
        <v>1</v>
      </c>
    </row>
    <row r="127" spans="1:13" x14ac:dyDescent="0.3">
      <c r="A127">
        <v>125</v>
      </c>
      <c r="B127">
        <v>126</v>
      </c>
      <c r="C127" t="s">
        <v>154</v>
      </c>
      <c r="D127">
        <v>2018</v>
      </c>
      <c r="E127" t="s">
        <v>11</v>
      </c>
      <c r="F127" t="s">
        <v>140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f t="shared" si="2"/>
        <v>8.1999999999999993</v>
      </c>
      <c r="M127">
        <f t="shared" si="3"/>
        <v>1</v>
      </c>
    </row>
    <row r="128" spans="1:13" x14ac:dyDescent="0.3">
      <c r="A128">
        <v>126</v>
      </c>
      <c r="B128">
        <v>127</v>
      </c>
      <c r="C128" t="s">
        <v>155</v>
      </c>
      <c r="D128">
        <v>2018</v>
      </c>
      <c r="E128" t="s">
        <v>11</v>
      </c>
      <c r="F128" t="s">
        <v>140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f t="shared" si="2"/>
        <v>8.1999999999999993</v>
      </c>
      <c r="M128">
        <f t="shared" si="3"/>
        <v>1</v>
      </c>
    </row>
    <row r="129" spans="1:13" x14ac:dyDescent="0.3">
      <c r="A129">
        <v>127</v>
      </c>
      <c r="B129">
        <v>128</v>
      </c>
      <c r="C129" t="s">
        <v>156</v>
      </c>
      <c r="D129">
        <v>2018</v>
      </c>
      <c r="F129" t="s">
        <v>140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f t="shared" si="2"/>
        <v>8.1999999999999993</v>
      </c>
      <c r="M129">
        <f t="shared" si="3"/>
        <v>1</v>
      </c>
    </row>
    <row r="130" spans="1:13" x14ac:dyDescent="0.3">
      <c r="A130">
        <v>128</v>
      </c>
      <c r="B130">
        <v>129</v>
      </c>
      <c r="C130" t="s">
        <v>157</v>
      </c>
      <c r="D130">
        <v>2016</v>
      </c>
      <c r="E130" t="s">
        <v>11</v>
      </c>
      <c r="F130" t="s">
        <v>140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f t="shared" si="2"/>
        <v>8.1999999999999993</v>
      </c>
      <c r="M130">
        <f t="shared" si="3"/>
        <v>1</v>
      </c>
    </row>
    <row r="131" spans="1:13" x14ac:dyDescent="0.3">
      <c r="A131">
        <v>129</v>
      </c>
      <c r="B131">
        <v>130</v>
      </c>
      <c r="C131" t="s">
        <v>158</v>
      </c>
      <c r="D131">
        <v>2017</v>
      </c>
      <c r="E131" t="s">
        <v>11</v>
      </c>
      <c r="F131" t="s">
        <v>159</v>
      </c>
      <c r="G131">
        <v>1</v>
      </c>
      <c r="H131">
        <v>0</v>
      </c>
      <c r="I131">
        <v>0</v>
      </c>
      <c r="J131">
        <v>0</v>
      </c>
      <c r="K131">
        <v>0</v>
      </c>
      <c r="L131">
        <f t="shared" ref="L131:L194" si="4">IFERROR(VALUE(LEFT(F131,FIND("/",F131)-1))/10,"")</f>
        <v>8.1</v>
      </c>
      <c r="M131">
        <f t="shared" ref="M131:M194" si="5">SUM(G131:J131)</f>
        <v>1</v>
      </c>
    </row>
    <row r="132" spans="1:13" x14ac:dyDescent="0.3">
      <c r="A132">
        <v>130</v>
      </c>
      <c r="B132">
        <v>131</v>
      </c>
      <c r="C132" t="s">
        <v>160</v>
      </c>
      <c r="D132">
        <v>2016</v>
      </c>
      <c r="F132" t="s">
        <v>159</v>
      </c>
      <c r="G132">
        <v>1</v>
      </c>
      <c r="H132">
        <v>0</v>
      </c>
      <c r="I132">
        <v>0</v>
      </c>
      <c r="J132">
        <v>0</v>
      </c>
      <c r="K132">
        <v>0</v>
      </c>
      <c r="L132">
        <f t="shared" si="4"/>
        <v>8.1</v>
      </c>
      <c r="M132">
        <f t="shared" si="5"/>
        <v>1</v>
      </c>
    </row>
    <row r="133" spans="1:13" x14ac:dyDescent="0.3">
      <c r="A133">
        <v>131</v>
      </c>
      <c r="B133">
        <v>132</v>
      </c>
      <c r="C133" t="s">
        <v>161</v>
      </c>
      <c r="D133">
        <v>2016</v>
      </c>
      <c r="F133" t="s">
        <v>159</v>
      </c>
      <c r="G133">
        <v>1</v>
      </c>
      <c r="H133">
        <v>0</v>
      </c>
      <c r="I133">
        <v>0</v>
      </c>
      <c r="J133">
        <v>0</v>
      </c>
      <c r="K133">
        <v>0</v>
      </c>
      <c r="L133">
        <f t="shared" si="4"/>
        <v>8.1</v>
      </c>
      <c r="M133">
        <f t="shared" si="5"/>
        <v>1</v>
      </c>
    </row>
    <row r="134" spans="1:13" x14ac:dyDescent="0.3">
      <c r="A134">
        <v>132</v>
      </c>
      <c r="B134">
        <v>133</v>
      </c>
      <c r="C134" t="s">
        <v>162</v>
      </c>
      <c r="D134">
        <v>2018</v>
      </c>
      <c r="E134" t="s">
        <v>11</v>
      </c>
      <c r="F134" t="s">
        <v>159</v>
      </c>
      <c r="G134">
        <v>1</v>
      </c>
      <c r="H134">
        <v>0</v>
      </c>
      <c r="I134">
        <v>0</v>
      </c>
      <c r="J134">
        <v>0</v>
      </c>
      <c r="K134">
        <v>0</v>
      </c>
      <c r="L134">
        <f t="shared" si="4"/>
        <v>8.1</v>
      </c>
      <c r="M134">
        <f t="shared" si="5"/>
        <v>1</v>
      </c>
    </row>
    <row r="135" spans="1:13" x14ac:dyDescent="0.3">
      <c r="A135">
        <v>133</v>
      </c>
      <c r="B135">
        <v>134</v>
      </c>
      <c r="C135" t="s">
        <v>163</v>
      </c>
      <c r="D135">
        <v>2020</v>
      </c>
      <c r="E135" t="s">
        <v>14</v>
      </c>
      <c r="F135" t="s">
        <v>159</v>
      </c>
      <c r="G135">
        <v>1</v>
      </c>
      <c r="H135">
        <v>0</v>
      </c>
      <c r="I135">
        <v>0</v>
      </c>
      <c r="J135">
        <v>0</v>
      </c>
      <c r="K135">
        <v>0</v>
      </c>
      <c r="L135">
        <f t="shared" si="4"/>
        <v>8.1</v>
      </c>
      <c r="M135">
        <f t="shared" si="5"/>
        <v>1</v>
      </c>
    </row>
    <row r="136" spans="1:13" x14ac:dyDescent="0.3">
      <c r="A136">
        <v>134</v>
      </c>
      <c r="B136">
        <v>135</v>
      </c>
      <c r="C136" t="s">
        <v>164</v>
      </c>
      <c r="D136">
        <v>2017</v>
      </c>
      <c r="E136" t="s">
        <v>11</v>
      </c>
      <c r="F136" t="s">
        <v>159</v>
      </c>
      <c r="G136">
        <v>1</v>
      </c>
      <c r="H136">
        <v>0</v>
      </c>
      <c r="I136">
        <v>0</v>
      </c>
      <c r="J136">
        <v>0</v>
      </c>
      <c r="K136">
        <v>0</v>
      </c>
      <c r="L136">
        <f t="shared" si="4"/>
        <v>8.1</v>
      </c>
      <c r="M136">
        <f t="shared" si="5"/>
        <v>1</v>
      </c>
    </row>
    <row r="137" spans="1:13" x14ac:dyDescent="0.3">
      <c r="A137">
        <v>135</v>
      </c>
      <c r="B137">
        <v>136</v>
      </c>
      <c r="C137" t="s">
        <v>165</v>
      </c>
      <c r="D137">
        <v>2002</v>
      </c>
      <c r="E137" t="s">
        <v>11</v>
      </c>
      <c r="F137" t="s">
        <v>159</v>
      </c>
      <c r="G137">
        <v>1</v>
      </c>
      <c r="H137">
        <v>0</v>
      </c>
      <c r="I137">
        <v>0</v>
      </c>
      <c r="J137">
        <v>0</v>
      </c>
      <c r="K137">
        <v>0</v>
      </c>
      <c r="L137">
        <f t="shared" si="4"/>
        <v>8.1</v>
      </c>
      <c r="M137">
        <f t="shared" si="5"/>
        <v>1</v>
      </c>
    </row>
    <row r="138" spans="1:13" x14ac:dyDescent="0.3">
      <c r="A138">
        <v>136</v>
      </c>
      <c r="B138">
        <v>137</v>
      </c>
      <c r="C138" t="s">
        <v>166</v>
      </c>
      <c r="D138">
        <v>1997</v>
      </c>
      <c r="E138" t="s">
        <v>11</v>
      </c>
      <c r="F138" t="s">
        <v>159</v>
      </c>
      <c r="G138">
        <v>1</v>
      </c>
      <c r="H138">
        <v>0</v>
      </c>
      <c r="I138">
        <v>0</v>
      </c>
      <c r="J138">
        <v>0</v>
      </c>
      <c r="K138">
        <v>0</v>
      </c>
      <c r="L138">
        <f t="shared" si="4"/>
        <v>8.1</v>
      </c>
      <c r="M138">
        <f t="shared" si="5"/>
        <v>1</v>
      </c>
    </row>
    <row r="139" spans="1:13" x14ac:dyDescent="0.3">
      <c r="A139">
        <v>137</v>
      </c>
      <c r="B139">
        <v>138</v>
      </c>
      <c r="C139" t="s">
        <v>167</v>
      </c>
      <c r="D139">
        <v>1990</v>
      </c>
      <c r="E139" t="s">
        <v>28</v>
      </c>
      <c r="F139" t="s">
        <v>159</v>
      </c>
      <c r="G139">
        <v>1</v>
      </c>
      <c r="H139">
        <v>0</v>
      </c>
      <c r="I139">
        <v>0</v>
      </c>
      <c r="J139">
        <v>0</v>
      </c>
      <c r="K139">
        <v>0</v>
      </c>
      <c r="L139">
        <f t="shared" si="4"/>
        <v>8.1</v>
      </c>
      <c r="M139">
        <f t="shared" si="5"/>
        <v>1</v>
      </c>
    </row>
    <row r="140" spans="1:13" x14ac:dyDescent="0.3">
      <c r="A140">
        <v>138</v>
      </c>
      <c r="B140">
        <v>139</v>
      </c>
      <c r="C140" t="s">
        <v>168</v>
      </c>
      <c r="D140">
        <v>2021</v>
      </c>
      <c r="E140" t="s">
        <v>11</v>
      </c>
      <c r="F140" t="s">
        <v>159</v>
      </c>
      <c r="G140">
        <v>1</v>
      </c>
      <c r="H140">
        <v>0</v>
      </c>
      <c r="I140">
        <v>0</v>
      </c>
      <c r="J140">
        <v>0</v>
      </c>
      <c r="K140">
        <v>0</v>
      </c>
      <c r="L140">
        <f t="shared" si="4"/>
        <v>8.1</v>
      </c>
      <c r="M140">
        <f t="shared" si="5"/>
        <v>1</v>
      </c>
    </row>
    <row r="141" spans="1:13" x14ac:dyDescent="0.3">
      <c r="A141">
        <v>139</v>
      </c>
      <c r="B141">
        <v>140</v>
      </c>
      <c r="C141" t="s">
        <v>169</v>
      </c>
      <c r="D141">
        <v>2013</v>
      </c>
      <c r="E141" t="s">
        <v>11</v>
      </c>
      <c r="F141" t="s">
        <v>159</v>
      </c>
      <c r="G141">
        <v>1</v>
      </c>
      <c r="H141">
        <v>0</v>
      </c>
      <c r="I141">
        <v>0</v>
      </c>
      <c r="J141">
        <v>0</v>
      </c>
      <c r="K141">
        <v>0</v>
      </c>
      <c r="L141">
        <f t="shared" si="4"/>
        <v>8.1</v>
      </c>
      <c r="M141">
        <f t="shared" si="5"/>
        <v>1</v>
      </c>
    </row>
    <row r="142" spans="1:13" x14ac:dyDescent="0.3">
      <c r="A142">
        <v>140</v>
      </c>
      <c r="B142">
        <v>141</v>
      </c>
      <c r="C142" t="s">
        <v>170</v>
      </c>
      <c r="D142">
        <v>2019</v>
      </c>
      <c r="F142" t="s">
        <v>159</v>
      </c>
      <c r="G142">
        <v>1</v>
      </c>
      <c r="H142">
        <v>0</v>
      </c>
      <c r="I142">
        <v>0</v>
      </c>
      <c r="J142">
        <v>0</v>
      </c>
      <c r="K142">
        <v>0</v>
      </c>
      <c r="L142">
        <f t="shared" si="4"/>
        <v>8.1</v>
      </c>
      <c r="M142">
        <f t="shared" si="5"/>
        <v>1</v>
      </c>
    </row>
    <row r="143" spans="1:13" x14ac:dyDescent="0.3">
      <c r="A143">
        <v>141</v>
      </c>
      <c r="B143">
        <v>142</v>
      </c>
      <c r="C143" t="s">
        <v>171</v>
      </c>
      <c r="D143">
        <v>2016</v>
      </c>
      <c r="F143" t="s">
        <v>159</v>
      </c>
      <c r="G143">
        <v>1</v>
      </c>
      <c r="H143">
        <v>0</v>
      </c>
      <c r="I143">
        <v>0</v>
      </c>
      <c r="J143">
        <v>0</v>
      </c>
      <c r="K143">
        <v>0</v>
      </c>
      <c r="L143">
        <f t="shared" si="4"/>
        <v>8.1</v>
      </c>
      <c r="M143">
        <f t="shared" si="5"/>
        <v>1</v>
      </c>
    </row>
    <row r="144" spans="1:13" x14ac:dyDescent="0.3">
      <c r="A144">
        <v>142</v>
      </c>
      <c r="B144">
        <v>143</v>
      </c>
      <c r="C144" t="s">
        <v>172</v>
      </c>
      <c r="D144">
        <v>2016</v>
      </c>
      <c r="E144" t="s">
        <v>11</v>
      </c>
      <c r="F144" t="s">
        <v>159</v>
      </c>
      <c r="G144">
        <v>1</v>
      </c>
      <c r="H144">
        <v>0</v>
      </c>
      <c r="I144">
        <v>0</v>
      </c>
      <c r="J144">
        <v>0</v>
      </c>
      <c r="K144">
        <v>0</v>
      </c>
      <c r="L144">
        <f t="shared" si="4"/>
        <v>8.1</v>
      </c>
      <c r="M144">
        <f t="shared" si="5"/>
        <v>1</v>
      </c>
    </row>
    <row r="145" spans="1:13" x14ac:dyDescent="0.3">
      <c r="A145">
        <v>143</v>
      </c>
      <c r="B145">
        <v>144</v>
      </c>
      <c r="C145" t="s">
        <v>173</v>
      </c>
      <c r="D145">
        <v>2018</v>
      </c>
      <c r="E145" t="s">
        <v>11</v>
      </c>
      <c r="F145" t="s">
        <v>159</v>
      </c>
      <c r="G145">
        <v>1</v>
      </c>
      <c r="H145">
        <v>0</v>
      </c>
      <c r="I145">
        <v>0</v>
      </c>
      <c r="J145">
        <v>0</v>
      </c>
      <c r="K145">
        <v>0</v>
      </c>
      <c r="L145">
        <f t="shared" si="4"/>
        <v>8.1</v>
      </c>
      <c r="M145">
        <f t="shared" si="5"/>
        <v>1</v>
      </c>
    </row>
    <row r="146" spans="1:13" x14ac:dyDescent="0.3">
      <c r="A146">
        <v>144</v>
      </c>
      <c r="B146">
        <v>145</v>
      </c>
      <c r="C146" t="s">
        <v>174</v>
      </c>
      <c r="D146">
        <v>2016</v>
      </c>
      <c r="E146" t="s">
        <v>11</v>
      </c>
      <c r="F146" t="s">
        <v>159</v>
      </c>
      <c r="G146">
        <v>1</v>
      </c>
      <c r="H146">
        <v>0</v>
      </c>
      <c r="I146">
        <v>0</v>
      </c>
      <c r="J146">
        <v>0</v>
      </c>
      <c r="K146">
        <v>0</v>
      </c>
      <c r="L146">
        <f t="shared" si="4"/>
        <v>8.1</v>
      </c>
      <c r="M146">
        <f t="shared" si="5"/>
        <v>1</v>
      </c>
    </row>
    <row r="147" spans="1:13" x14ac:dyDescent="0.3">
      <c r="A147">
        <v>145</v>
      </c>
      <c r="B147">
        <v>146</v>
      </c>
      <c r="C147" t="s">
        <v>175</v>
      </c>
      <c r="D147">
        <v>2017</v>
      </c>
      <c r="E147" t="s">
        <v>28</v>
      </c>
      <c r="F147" t="s">
        <v>159</v>
      </c>
      <c r="G147">
        <v>1</v>
      </c>
      <c r="H147">
        <v>0</v>
      </c>
      <c r="I147">
        <v>0</v>
      </c>
      <c r="J147">
        <v>0</v>
      </c>
      <c r="K147">
        <v>0</v>
      </c>
      <c r="L147">
        <f t="shared" si="4"/>
        <v>8.1</v>
      </c>
      <c r="M147">
        <f t="shared" si="5"/>
        <v>1</v>
      </c>
    </row>
    <row r="148" spans="1:13" x14ac:dyDescent="0.3">
      <c r="A148">
        <v>146</v>
      </c>
      <c r="B148">
        <v>147</v>
      </c>
      <c r="C148" t="s">
        <v>176</v>
      </c>
      <c r="D148">
        <v>2009</v>
      </c>
      <c r="E148" t="s">
        <v>36</v>
      </c>
      <c r="F148" t="s">
        <v>159</v>
      </c>
      <c r="G148">
        <v>1</v>
      </c>
      <c r="H148">
        <v>0</v>
      </c>
      <c r="I148">
        <v>0</v>
      </c>
      <c r="J148">
        <v>0</v>
      </c>
      <c r="K148">
        <v>0</v>
      </c>
      <c r="L148">
        <f t="shared" si="4"/>
        <v>8.1</v>
      </c>
      <c r="M148">
        <f t="shared" si="5"/>
        <v>1</v>
      </c>
    </row>
    <row r="149" spans="1:13" x14ac:dyDescent="0.3">
      <c r="A149">
        <v>147</v>
      </c>
      <c r="B149">
        <v>148</v>
      </c>
      <c r="C149" t="s">
        <v>177</v>
      </c>
      <c r="D149">
        <v>1990</v>
      </c>
      <c r="E149" t="s">
        <v>22</v>
      </c>
      <c r="F149" t="s">
        <v>178</v>
      </c>
      <c r="G149">
        <v>1</v>
      </c>
      <c r="H149">
        <v>0</v>
      </c>
      <c r="I149">
        <v>0</v>
      </c>
      <c r="J149">
        <v>0</v>
      </c>
      <c r="K149">
        <v>0</v>
      </c>
      <c r="L149">
        <f t="shared" si="4"/>
        <v>8</v>
      </c>
      <c r="M149">
        <f t="shared" si="5"/>
        <v>1</v>
      </c>
    </row>
    <row r="150" spans="1:13" x14ac:dyDescent="0.3">
      <c r="A150">
        <v>148</v>
      </c>
      <c r="B150">
        <v>149</v>
      </c>
      <c r="C150" t="s">
        <v>179</v>
      </c>
      <c r="D150">
        <v>2016</v>
      </c>
      <c r="E150" t="s">
        <v>11</v>
      </c>
      <c r="F150" t="s">
        <v>178</v>
      </c>
      <c r="G150">
        <v>1</v>
      </c>
      <c r="H150">
        <v>0</v>
      </c>
      <c r="I150">
        <v>0</v>
      </c>
      <c r="J150">
        <v>0</v>
      </c>
      <c r="K150">
        <v>0</v>
      </c>
      <c r="L150">
        <f t="shared" si="4"/>
        <v>8</v>
      </c>
      <c r="M150">
        <f t="shared" si="5"/>
        <v>1</v>
      </c>
    </row>
    <row r="151" spans="1:13" x14ac:dyDescent="0.3">
      <c r="A151">
        <v>149</v>
      </c>
      <c r="B151">
        <v>150</v>
      </c>
      <c r="C151" t="s">
        <v>180</v>
      </c>
      <c r="D151">
        <v>2017</v>
      </c>
      <c r="F151" t="s">
        <v>178</v>
      </c>
      <c r="G151">
        <v>1</v>
      </c>
      <c r="H151">
        <v>0</v>
      </c>
      <c r="I151">
        <v>0</v>
      </c>
      <c r="J151">
        <v>0</v>
      </c>
      <c r="K151">
        <v>0</v>
      </c>
      <c r="L151">
        <f t="shared" si="4"/>
        <v>8</v>
      </c>
      <c r="M151">
        <f t="shared" si="5"/>
        <v>1</v>
      </c>
    </row>
    <row r="152" spans="1:13" x14ac:dyDescent="0.3">
      <c r="A152">
        <v>150</v>
      </c>
      <c r="B152">
        <v>151</v>
      </c>
      <c r="C152" t="s">
        <v>181</v>
      </c>
      <c r="D152">
        <v>2016</v>
      </c>
      <c r="F152" t="s">
        <v>178</v>
      </c>
      <c r="G152">
        <v>1</v>
      </c>
      <c r="H152">
        <v>0</v>
      </c>
      <c r="I152">
        <v>0</v>
      </c>
      <c r="J152">
        <v>0</v>
      </c>
      <c r="K152">
        <v>0</v>
      </c>
      <c r="L152">
        <f t="shared" si="4"/>
        <v>8</v>
      </c>
      <c r="M152">
        <f t="shared" si="5"/>
        <v>1</v>
      </c>
    </row>
    <row r="153" spans="1:13" x14ac:dyDescent="0.3">
      <c r="A153">
        <v>151</v>
      </c>
      <c r="B153">
        <v>152</v>
      </c>
      <c r="C153" t="s">
        <v>182</v>
      </c>
      <c r="D153">
        <v>2017</v>
      </c>
      <c r="E153" t="s">
        <v>14</v>
      </c>
      <c r="F153" t="s">
        <v>178</v>
      </c>
      <c r="G153">
        <v>1</v>
      </c>
      <c r="H153">
        <v>0</v>
      </c>
      <c r="I153">
        <v>0</v>
      </c>
      <c r="J153">
        <v>0</v>
      </c>
      <c r="K153">
        <v>0</v>
      </c>
      <c r="L153">
        <f t="shared" si="4"/>
        <v>8</v>
      </c>
      <c r="M153">
        <f t="shared" si="5"/>
        <v>1</v>
      </c>
    </row>
    <row r="154" spans="1:13" x14ac:dyDescent="0.3">
      <c r="A154">
        <v>152</v>
      </c>
      <c r="B154">
        <v>153</v>
      </c>
      <c r="C154" t="s">
        <v>183</v>
      </c>
      <c r="D154">
        <v>2017</v>
      </c>
      <c r="E154" t="s">
        <v>14</v>
      </c>
      <c r="F154" t="s">
        <v>178</v>
      </c>
      <c r="G154">
        <v>1</v>
      </c>
      <c r="H154">
        <v>0</v>
      </c>
      <c r="I154">
        <v>0</v>
      </c>
      <c r="J154">
        <v>0</v>
      </c>
      <c r="K154">
        <v>0</v>
      </c>
      <c r="L154">
        <f t="shared" si="4"/>
        <v>8</v>
      </c>
      <c r="M154">
        <f t="shared" si="5"/>
        <v>1</v>
      </c>
    </row>
    <row r="155" spans="1:13" x14ac:dyDescent="0.3">
      <c r="A155">
        <v>153</v>
      </c>
      <c r="B155">
        <v>154</v>
      </c>
      <c r="C155" t="s">
        <v>184</v>
      </c>
      <c r="D155">
        <v>2018</v>
      </c>
      <c r="E155" t="s">
        <v>11</v>
      </c>
      <c r="F155" t="s">
        <v>178</v>
      </c>
      <c r="G155">
        <v>1</v>
      </c>
      <c r="H155">
        <v>0</v>
      </c>
      <c r="I155">
        <v>0</v>
      </c>
      <c r="J155">
        <v>0</v>
      </c>
      <c r="K155">
        <v>0</v>
      </c>
      <c r="L155">
        <f t="shared" si="4"/>
        <v>8</v>
      </c>
      <c r="M155">
        <f t="shared" si="5"/>
        <v>1</v>
      </c>
    </row>
    <row r="156" spans="1:13" x14ac:dyDescent="0.3">
      <c r="A156">
        <v>154</v>
      </c>
      <c r="B156">
        <v>155</v>
      </c>
      <c r="C156" t="s">
        <v>185</v>
      </c>
      <c r="D156">
        <v>2018</v>
      </c>
      <c r="E156" t="s">
        <v>11</v>
      </c>
      <c r="F156" t="s">
        <v>178</v>
      </c>
      <c r="G156">
        <v>1</v>
      </c>
      <c r="H156">
        <v>0</v>
      </c>
      <c r="I156">
        <v>0</v>
      </c>
      <c r="J156">
        <v>0</v>
      </c>
      <c r="K156">
        <v>0</v>
      </c>
      <c r="L156">
        <f t="shared" si="4"/>
        <v>8</v>
      </c>
      <c r="M156">
        <f t="shared" si="5"/>
        <v>1</v>
      </c>
    </row>
    <row r="157" spans="1:13" x14ac:dyDescent="0.3">
      <c r="A157">
        <v>155</v>
      </c>
      <c r="B157">
        <v>156</v>
      </c>
      <c r="C157" t="s">
        <v>186</v>
      </c>
      <c r="D157">
        <v>2008</v>
      </c>
      <c r="E157" t="s">
        <v>22</v>
      </c>
      <c r="F157" t="s">
        <v>178</v>
      </c>
      <c r="G157">
        <v>1</v>
      </c>
      <c r="H157">
        <v>0</v>
      </c>
      <c r="I157">
        <v>1</v>
      </c>
      <c r="J157">
        <v>0</v>
      </c>
      <c r="K157">
        <v>0</v>
      </c>
      <c r="L157">
        <f t="shared" si="4"/>
        <v>8</v>
      </c>
      <c r="M157">
        <f t="shared" si="5"/>
        <v>2</v>
      </c>
    </row>
    <row r="158" spans="1:13" x14ac:dyDescent="0.3">
      <c r="A158">
        <v>156</v>
      </c>
      <c r="B158">
        <v>157</v>
      </c>
      <c r="C158" t="s">
        <v>187</v>
      </c>
      <c r="D158">
        <v>2019</v>
      </c>
      <c r="E158" t="s">
        <v>11</v>
      </c>
      <c r="F158" t="s">
        <v>178</v>
      </c>
      <c r="G158">
        <v>1</v>
      </c>
      <c r="H158">
        <v>0</v>
      </c>
      <c r="I158">
        <v>0</v>
      </c>
      <c r="J158">
        <v>0</v>
      </c>
      <c r="K158">
        <v>0</v>
      </c>
      <c r="L158">
        <f t="shared" si="4"/>
        <v>8</v>
      </c>
      <c r="M158">
        <f t="shared" si="5"/>
        <v>1</v>
      </c>
    </row>
    <row r="159" spans="1:13" x14ac:dyDescent="0.3">
      <c r="A159">
        <v>157</v>
      </c>
      <c r="B159">
        <v>158</v>
      </c>
      <c r="C159" t="s">
        <v>188</v>
      </c>
      <c r="D159">
        <v>2018</v>
      </c>
      <c r="E159" t="s">
        <v>11</v>
      </c>
      <c r="F159" t="s">
        <v>178</v>
      </c>
      <c r="G159">
        <v>1</v>
      </c>
      <c r="H159">
        <v>0</v>
      </c>
      <c r="I159">
        <v>0</v>
      </c>
      <c r="J159">
        <v>0</v>
      </c>
      <c r="K159">
        <v>0</v>
      </c>
      <c r="L159">
        <f t="shared" si="4"/>
        <v>8</v>
      </c>
      <c r="M159">
        <f t="shared" si="5"/>
        <v>1</v>
      </c>
    </row>
    <row r="160" spans="1:13" x14ac:dyDescent="0.3">
      <c r="A160">
        <v>158</v>
      </c>
      <c r="B160">
        <v>159</v>
      </c>
      <c r="C160" t="s">
        <v>189</v>
      </c>
      <c r="D160">
        <v>2012</v>
      </c>
      <c r="E160" t="s">
        <v>22</v>
      </c>
      <c r="F160" t="s">
        <v>178</v>
      </c>
      <c r="G160">
        <v>1</v>
      </c>
      <c r="H160">
        <v>0</v>
      </c>
      <c r="I160">
        <v>1</v>
      </c>
      <c r="J160">
        <v>0</v>
      </c>
      <c r="K160">
        <v>0</v>
      </c>
      <c r="L160">
        <f t="shared" si="4"/>
        <v>8</v>
      </c>
      <c r="M160">
        <f t="shared" si="5"/>
        <v>2</v>
      </c>
    </row>
    <row r="161" spans="1:13" x14ac:dyDescent="0.3">
      <c r="A161">
        <v>159</v>
      </c>
      <c r="B161">
        <v>160</v>
      </c>
      <c r="C161" t="s">
        <v>190</v>
      </c>
      <c r="D161">
        <v>2019</v>
      </c>
      <c r="F161" t="s">
        <v>178</v>
      </c>
      <c r="G161">
        <v>1</v>
      </c>
      <c r="H161">
        <v>0</v>
      </c>
      <c r="I161">
        <v>0</v>
      </c>
      <c r="J161">
        <v>0</v>
      </c>
      <c r="K161">
        <v>0</v>
      </c>
      <c r="L161">
        <f t="shared" si="4"/>
        <v>8</v>
      </c>
      <c r="M161">
        <f t="shared" si="5"/>
        <v>1</v>
      </c>
    </row>
    <row r="162" spans="1:13" x14ac:dyDescent="0.3">
      <c r="A162">
        <v>160</v>
      </c>
      <c r="B162">
        <v>161</v>
      </c>
      <c r="C162" t="s">
        <v>191</v>
      </c>
      <c r="D162">
        <v>2018</v>
      </c>
      <c r="E162" t="s">
        <v>14</v>
      </c>
      <c r="F162" t="s">
        <v>178</v>
      </c>
      <c r="G162">
        <v>1</v>
      </c>
      <c r="H162">
        <v>0</v>
      </c>
      <c r="I162">
        <v>0</v>
      </c>
      <c r="J162">
        <v>0</v>
      </c>
      <c r="K162">
        <v>0</v>
      </c>
      <c r="L162">
        <f t="shared" si="4"/>
        <v>8</v>
      </c>
      <c r="M162">
        <f t="shared" si="5"/>
        <v>1</v>
      </c>
    </row>
    <row r="163" spans="1:13" x14ac:dyDescent="0.3">
      <c r="A163">
        <v>161</v>
      </c>
      <c r="B163">
        <v>162</v>
      </c>
      <c r="C163" t="s">
        <v>192</v>
      </c>
      <c r="D163">
        <v>2018</v>
      </c>
      <c r="E163" t="s">
        <v>22</v>
      </c>
      <c r="F163" t="s">
        <v>178</v>
      </c>
      <c r="G163">
        <v>1</v>
      </c>
      <c r="H163">
        <v>0</v>
      </c>
      <c r="I163">
        <v>0</v>
      </c>
      <c r="J163">
        <v>0</v>
      </c>
      <c r="K163">
        <v>0</v>
      </c>
      <c r="L163">
        <f t="shared" si="4"/>
        <v>8</v>
      </c>
      <c r="M163">
        <f t="shared" si="5"/>
        <v>1</v>
      </c>
    </row>
    <row r="164" spans="1:13" x14ac:dyDescent="0.3">
      <c r="A164">
        <v>162</v>
      </c>
      <c r="B164">
        <v>163</v>
      </c>
      <c r="C164" t="s">
        <v>193</v>
      </c>
      <c r="D164">
        <v>2017</v>
      </c>
      <c r="F164" t="s">
        <v>178</v>
      </c>
      <c r="G164">
        <v>1</v>
      </c>
      <c r="H164">
        <v>0</v>
      </c>
      <c r="I164">
        <v>0</v>
      </c>
      <c r="J164">
        <v>0</v>
      </c>
      <c r="K164">
        <v>0</v>
      </c>
      <c r="L164">
        <f t="shared" si="4"/>
        <v>8</v>
      </c>
      <c r="M164">
        <f t="shared" si="5"/>
        <v>1</v>
      </c>
    </row>
    <row r="165" spans="1:13" x14ac:dyDescent="0.3">
      <c r="A165">
        <v>163</v>
      </c>
      <c r="B165">
        <v>164</v>
      </c>
      <c r="C165" t="s">
        <v>194</v>
      </c>
      <c r="D165">
        <v>2018</v>
      </c>
      <c r="F165" t="s">
        <v>178</v>
      </c>
      <c r="G165">
        <v>1</v>
      </c>
      <c r="H165">
        <v>0</v>
      </c>
      <c r="I165">
        <v>0</v>
      </c>
      <c r="J165">
        <v>0</v>
      </c>
      <c r="K165">
        <v>0</v>
      </c>
      <c r="L165">
        <f t="shared" si="4"/>
        <v>8</v>
      </c>
      <c r="M165">
        <f t="shared" si="5"/>
        <v>1</v>
      </c>
    </row>
    <row r="166" spans="1:13" x14ac:dyDescent="0.3">
      <c r="A166">
        <v>164</v>
      </c>
      <c r="B166">
        <v>165</v>
      </c>
      <c r="C166" t="s">
        <v>195</v>
      </c>
      <c r="D166">
        <v>2019</v>
      </c>
      <c r="E166" t="s">
        <v>14</v>
      </c>
      <c r="F166" t="s">
        <v>178</v>
      </c>
      <c r="G166">
        <v>1</v>
      </c>
      <c r="H166">
        <v>0</v>
      </c>
      <c r="I166">
        <v>0</v>
      </c>
      <c r="J166">
        <v>0</v>
      </c>
      <c r="K166">
        <v>0</v>
      </c>
      <c r="L166">
        <f t="shared" si="4"/>
        <v>8</v>
      </c>
      <c r="M166">
        <f t="shared" si="5"/>
        <v>1</v>
      </c>
    </row>
    <row r="167" spans="1:13" x14ac:dyDescent="0.3">
      <c r="A167">
        <v>165</v>
      </c>
      <c r="B167">
        <v>166</v>
      </c>
      <c r="C167" t="s">
        <v>196</v>
      </c>
      <c r="D167">
        <v>2018</v>
      </c>
      <c r="E167" t="s">
        <v>14</v>
      </c>
      <c r="F167" t="s">
        <v>178</v>
      </c>
      <c r="G167">
        <v>1</v>
      </c>
      <c r="H167">
        <v>0</v>
      </c>
      <c r="I167">
        <v>0</v>
      </c>
      <c r="J167">
        <v>0</v>
      </c>
      <c r="K167">
        <v>0</v>
      </c>
      <c r="L167">
        <f t="shared" si="4"/>
        <v>8</v>
      </c>
      <c r="M167">
        <f t="shared" si="5"/>
        <v>1</v>
      </c>
    </row>
    <row r="168" spans="1:13" x14ac:dyDescent="0.3">
      <c r="A168">
        <v>166</v>
      </c>
      <c r="B168">
        <v>167</v>
      </c>
      <c r="C168" t="s">
        <v>197</v>
      </c>
      <c r="D168">
        <v>2020</v>
      </c>
      <c r="E168" t="s">
        <v>14</v>
      </c>
      <c r="F168" t="s">
        <v>178</v>
      </c>
      <c r="G168">
        <v>1</v>
      </c>
      <c r="H168">
        <v>0</v>
      </c>
      <c r="I168">
        <v>0</v>
      </c>
      <c r="J168">
        <v>0</v>
      </c>
      <c r="K168">
        <v>0</v>
      </c>
      <c r="L168">
        <f t="shared" si="4"/>
        <v>8</v>
      </c>
      <c r="M168">
        <f t="shared" si="5"/>
        <v>1</v>
      </c>
    </row>
    <row r="169" spans="1:13" x14ac:dyDescent="0.3">
      <c r="A169">
        <v>167</v>
      </c>
      <c r="B169">
        <v>168</v>
      </c>
      <c r="C169" t="s">
        <v>198</v>
      </c>
      <c r="D169">
        <v>2016</v>
      </c>
      <c r="E169" t="s">
        <v>22</v>
      </c>
      <c r="F169" t="s">
        <v>178</v>
      </c>
      <c r="G169">
        <v>1</v>
      </c>
      <c r="H169">
        <v>1</v>
      </c>
      <c r="I169">
        <v>0</v>
      </c>
      <c r="J169">
        <v>0</v>
      </c>
      <c r="K169">
        <v>0</v>
      </c>
      <c r="L169">
        <f t="shared" si="4"/>
        <v>8</v>
      </c>
      <c r="M169">
        <f t="shared" si="5"/>
        <v>2</v>
      </c>
    </row>
    <row r="170" spans="1:13" x14ac:dyDescent="0.3">
      <c r="A170">
        <v>168</v>
      </c>
      <c r="B170">
        <v>169</v>
      </c>
      <c r="C170" t="s">
        <v>199</v>
      </c>
      <c r="D170">
        <v>2007</v>
      </c>
      <c r="E170" t="s">
        <v>22</v>
      </c>
      <c r="F170" t="s">
        <v>200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f t="shared" si="4"/>
        <v>7.9</v>
      </c>
      <c r="M170">
        <f t="shared" si="5"/>
        <v>1</v>
      </c>
    </row>
    <row r="171" spans="1:13" x14ac:dyDescent="0.3">
      <c r="A171">
        <v>169</v>
      </c>
      <c r="B171">
        <v>170</v>
      </c>
      <c r="C171" t="s">
        <v>201</v>
      </c>
      <c r="D171">
        <v>2017</v>
      </c>
      <c r="E171" t="s">
        <v>11</v>
      </c>
      <c r="F171" t="s">
        <v>200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f t="shared" si="4"/>
        <v>7.9</v>
      </c>
      <c r="M171">
        <f t="shared" si="5"/>
        <v>1</v>
      </c>
    </row>
    <row r="172" spans="1:13" x14ac:dyDescent="0.3">
      <c r="A172">
        <v>170</v>
      </c>
      <c r="B172">
        <v>171</v>
      </c>
      <c r="C172" t="s">
        <v>202</v>
      </c>
      <c r="D172">
        <v>2011</v>
      </c>
      <c r="E172" t="s">
        <v>22</v>
      </c>
      <c r="F172" t="s">
        <v>200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f t="shared" si="4"/>
        <v>7.9</v>
      </c>
      <c r="M172">
        <f t="shared" si="5"/>
        <v>2</v>
      </c>
    </row>
    <row r="173" spans="1:13" x14ac:dyDescent="0.3">
      <c r="A173">
        <v>171</v>
      </c>
      <c r="B173">
        <v>172</v>
      </c>
      <c r="C173" t="s">
        <v>203</v>
      </c>
      <c r="D173">
        <v>2018</v>
      </c>
      <c r="E173" t="s">
        <v>11</v>
      </c>
      <c r="F173" t="s">
        <v>200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f t="shared" si="4"/>
        <v>7.9</v>
      </c>
      <c r="M173">
        <f t="shared" si="5"/>
        <v>1</v>
      </c>
    </row>
    <row r="174" spans="1:13" x14ac:dyDescent="0.3">
      <c r="A174">
        <v>172</v>
      </c>
      <c r="B174">
        <v>173</v>
      </c>
      <c r="C174" t="s">
        <v>204</v>
      </c>
      <c r="D174">
        <v>2017</v>
      </c>
      <c r="E174" t="s">
        <v>11</v>
      </c>
      <c r="F174" t="s">
        <v>200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f t="shared" si="4"/>
        <v>7.9</v>
      </c>
      <c r="M174">
        <f t="shared" si="5"/>
        <v>1</v>
      </c>
    </row>
    <row r="175" spans="1:13" x14ac:dyDescent="0.3">
      <c r="A175">
        <v>173</v>
      </c>
      <c r="B175">
        <v>174</v>
      </c>
      <c r="C175" t="s">
        <v>205</v>
      </c>
      <c r="D175">
        <v>2011</v>
      </c>
      <c r="E175" t="s">
        <v>14</v>
      </c>
      <c r="F175" t="s">
        <v>200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f t="shared" si="4"/>
        <v>7.9</v>
      </c>
      <c r="M175">
        <f t="shared" si="5"/>
        <v>1</v>
      </c>
    </row>
    <row r="176" spans="1:13" x14ac:dyDescent="0.3">
      <c r="A176">
        <v>174</v>
      </c>
      <c r="B176">
        <v>175</v>
      </c>
      <c r="C176" t="s">
        <v>206</v>
      </c>
      <c r="D176">
        <v>2012</v>
      </c>
      <c r="E176" t="s">
        <v>22</v>
      </c>
      <c r="F176" t="s">
        <v>200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f t="shared" si="4"/>
        <v>7.9</v>
      </c>
      <c r="M176">
        <f t="shared" si="5"/>
        <v>1</v>
      </c>
    </row>
    <row r="177" spans="1:13" x14ac:dyDescent="0.3">
      <c r="A177">
        <v>175</v>
      </c>
      <c r="B177">
        <v>176</v>
      </c>
      <c r="C177" t="s">
        <v>207</v>
      </c>
      <c r="D177">
        <v>2016</v>
      </c>
      <c r="E177" t="s">
        <v>11</v>
      </c>
      <c r="F177" t="s">
        <v>200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f t="shared" si="4"/>
        <v>7.9</v>
      </c>
      <c r="M177">
        <f t="shared" si="5"/>
        <v>1</v>
      </c>
    </row>
    <row r="178" spans="1:13" x14ac:dyDescent="0.3">
      <c r="A178">
        <v>176</v>
      </c>
      <c r="B178">
        <v>177</v>
      </c>
      <c r="C178" t="s">
        <v>208</v>
      </c>
      <c r="D178">
        <v>2008</v>
      </c>
      <c r="E178" t="s">
        <v>11</v>
      </c>
      <c r="F178" t="s">
        <v>200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f t="shared" si="4"/>
        <v>7.9</v>
      </c>
      <c r="M178">
        <f t="shared" si="5"/>
        <v>1</v>
      </c>
    </row>
    <row r="179" spans="1:13" x14ac:dyDescent="0.3">
      <c r="A179">
        <v>177</v>
      </c>
      <c r="B179">
        <v>178</v>
      </c>
      <c r="C179" t="s">
        <v>209</v>
      </c>
      <c r="D179">
        <v>2020</v>
      </c>
      <c r="F179" t="s">
        <v>200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f t="shared" si="4"/>
        <v>7.9</v>
      </c>
      <c r="M179">
        <f t="shared" si="5"/>
        <v>1</v>
      </c>
    </row>
    <row r="180" spans="1:13" x14ac:dyDescent="0.3">
      <c r="A180">
        <v>178</v>
      </c>
      <c r="B180">
        <v>179</v>
      </c>
      <c r="C180" t="s">
        <v>210</v>
      </c>
      <c r="D180">
        <v>2011</v>
      </c>
      <c r="E180" t="s">
        <v>14</v>
      </c>
      <c r="F180" t="s">
        <v>200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f t="shared" si="4"/>
        <v>7.9</v>
      </c>
      <c r="M180">
        <f t="shared" si="5"/>
        <v>1</v>
      </c>
    </row>
    <row r="181" spans="1:13" x14ac:dyDescent="0.3">
      <c r="A181">
        <v>179</v>
      </c>
      <c r="B181">
        <v>180</v>
      </c>
      <c r="C181" t="s">
        <v>211</v>
      </c>
      <c r="D181">
        <v>2019</v>
      </c>
      <c r="E181" t="s">
        <v>11</v>
      </c>
      <c r="F181" t="s">
        <v>200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f t="shared" si="4"/>
        <v>7.9</v>
      </c>
      <c r="M181">
        <f t="shared" si="5"/>
        <v>1</v>
      </c>
    </row>
    <row r="182" spans="1:13" x14ac:dyDescent="0.3">
      <c r="A182">
        <v>180</v>
      </c>
      <c r="B182">
        <v>181</v>
      </c>
      <c r="C182" t="s">
        <v>212</v>
      </c>
      <c r="D182">
        <v>2018</v>
      </c>
      <c r="F182" t="s">
        <v>200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f t="shared" si="4"/>
        <v>7.9</v>
      </c>
      <c r="M182">
        <f t="shared" si="5"/>
        <v>1</v>
      </c>
    </row>
    <row r="183" spans="1:13" x14ac:dyDescent="0.3">
      <c r="A183">
        <v>181</v>
      </c>
      <c r="B183">
        <v>182</v>
      </c>
      <c r="C183" t="s">
        <v>213</v>
      </c>
      <c r="D183">
        <v>2019</v>
      </c>
      <c r="E183" t="s">
        <v>22</v>
      </c>
      <c r="F183" t="s">
        <v>200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f t="shared" si="4"/>
        <v>7.9</v>
      </c>
      <c r="M183">
        <f t="shared" si="5"/>
        <v>1</v>
      </c>
    </row>
    <row r="184" spans="1:13" x14ac:dyDescent="0.3">
      <c r="A184">
        <v>182</v>
      </c>
      <c r="B184">
        <v>183</v>
      </c>
      <c r="C184" t="s">
        <v>214</v>
      </c>
      <c r="D184">
        <v>2019</v>
      </c>
      <c r="F184" t="s">
        <v>200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f t="shared" si="4"/>
        <v>7.9</v>
      </c>
      <c r="M184">
        <f t="shared" si="5"/>
        <v>1</v>
      </c>
    </row>
    <row r="185" spans="1:13" x14ac:dyDescent="0.3">
      <c r="A185">
        <v>183</v>
      </c>
      <c r="B185">
        <v>184</v>
      </c>
      <c r="C185" t="s">
        <v>215</v>
      </c>
      <c r="D185">
        <v>2019</v>
      </c>
      <c r="E185" t="s">
        <v>11</v>
      </c>
      <c r="F185" t="s">
        <v>200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f t="shared" si="4"/>
        <v>7.9</v>
      </c>
      <c r="M185">
        <f t="shared" si="5"/>
        <v>1</v>
      </c>
    </row>
    <row r="186" spans="1:13" x14ac:dyDescent="0.3">
      <c r="A186">
        <v>184</v>
      </c>
      <c r="B186">
        <v>185</v>
      </c>
      <c r="C186" t="s">
        <v>216</v>
      </c>
      <c r="D186">
        <v>2003</v>
      </c>
      <c r="E186" t="s">
        <v>11</v>
      </c>
      <c r="F186" t="s">
        <v>200</v>
      </c>
      <c r="G186">
        <v>1</v>
      </c>
      <c r="H186">
        <v>1</v>
      </c>
      <c r="I186">
        <v>1</v>
      </c>
      <c r="J186">
        <v>0</v>
      </c>
      <c r="K186">
        <v>0</v>
      </c>
      <c r="L186">
        <f t="shared" si="4"/>
        <v>7.9</v>
      </c>
      <c r="M186">
        <f t="shared" si="5"/>
        <v>3</v>
      </c>
    </row>
    <row r="187" spans="1:13" x14ac:dyDescent="0.3">
      <c r="A187">
        <v>185</v>
      </c>
      <c r="B187">
        <v>186</v>
      </c>
      <c r="C187" t="s">
        <v>217</v>
      </c>
      <c r="D187">
        <v>2002</v>
      </c>
      <c r="E187" t="s">
        <v>22</v>
      </c>
      <c r="F187" t="s">
        <v>200</v>
      </c>
      <c r="G187">
        <v>1</v>
      </c>
      <c r="H187">
        <v>0</v>
      </c>
      <c r="I187">
        <v>1</v>
      </c>
      <c r="J187">
        <v>0</v>
      </c>
      <c r="K187">
        <v>0</v>
      </c>
      <c r="L187">
        <f t="shared" si="4"/>
        <v>7.9</v>
      </c>
      <c r="M187">
        <f t="shared" si="5"/>
        <v>2</v>
      </c>
    </row>
    <row r="188" spans="1:13" x14ac:dyDescent="0.3">
      <c r="A188">
        <v>186</v>
      </c>
      <c r="B188">
        <v>187</v>
      </c>
      <c r="C188" t="s">
        <v>218</v>
      </c>
      <c r="D188">
        <v>2018</v>
      </c>
      <c r="F188" t="s">
        <v>200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f t="shared" si="4"/>
        <v>7.9</v>
      </c>
      <c r="M188">
        <f t="shared" si="5"/>
        <v>1</v>
      </c>
    </row>
    <row r="189" spans="1:13" x14ac:dyDescent="0.3">
      <c r="A189">
        <v>187</v>
      </c>
      <c r="B189">
        <v>188</v>
      </c>
      <c r="C189" t="s">
        <v>219</v>
      </c>
      <c r="D189">
        <v>1984</v>
      </c>
      <c r="E189" t="s">
        <v>14</v>
      </c>
      <c r="F189" t="s">
        <v>200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f t="shared" si="4"/>
        <v>7.9</v>
      </c>
      <c r="M189">
        <f t="shared" si="5"/>
        <v>1</v>
      </c>
    </row>
    <row r="190" spans="1:13" x14ac:dyDescent="0.3">
      <c r="A190">
        <v>188</v>
      </c>
      <c r="B190">
        <v>189</v>
      </c>
      <c r="C190" t="s">
        <v>220</v>
      </c>
      <c r="D190">
        <v>2018</v>
      </c>
      <c r="E190" t="s">
        <v>11</v>
      </c>
      <c r="F190" t="s">
        <v>200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f t="shared" si="4"/>
        <v>7.9</v>
      </c>
      <c r="M190">
        <f t="shared" si="5"/>
        <v>1</v>
      </c>
    </row>
    <row r="191" spans="1:13" x14ac:dyDescent="0.3">
      <c r="A191">
        <v>189</v>
      </c>
      <c r="B191">
        <v>190</v>
      </c>
      <c r="C191" t="s">
        <v>221</v>
      </c>
      <c r="D191">
        <v>2000</v>
      </c>
      <c r="E191" t="s">
        <v>11</v>
      </c>
      <c r="F191" t="s">
        <v>200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f t="shared" si="4"/>
        <v>7.9</v>
      </c>
      <c r="M191">
        <f t="shared" si="5"/>
        <v>1</v>
      </c>
    </row>
    <row r="192" spans="1:13" x14ac:dyDescent="0.3">
      <c r="A192">
        <v>190</v>
      </c>
      <c r="B192">
        <v>191</v>
      </c>
      <c r="C192" t="s">
        <v>222</v>
      </c>
      <c r="D192">
        <v>2019</v>
      </c>
      <c r="E192" t="s">
        <v>11</v>
      </c>
      <c r="F192" t="s">
        <v>200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f t="shared" si="4"/>
        <v>7.9</v>
      </c>
      <c r="M192">
        <f t="shared" si="5"/>
        <v>1</v>
      </c>
    </row>
    <row r="193" spans="1:13" x14ac:dyDescent="0.3">
      <c r="A193">
        <v>191</v>
      </c>
      <c r="B193">
        <v>192</v>
      </c>
      <c r="C193" t="s">
        <v>223</v>
      </c>
      <c r="D193">
        <v>2019</v>
      </c>
      <c r="F193" t="s">
        <v>200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f t="shared" si="4"/>
        <v>7.9</v>
      </c>
      <c r="M193">
        <f t="shared" si="5"/>
        <v>1</v>
      </c>
    </row>
    <row r="194" spans="1:13" x14ac:dyDescent="0.3">
      <c r="A194">
        <v>192</v>
      </c>
      <c r="B194">
        <v>193</v>
      </c>
      <c r="C194" t="s">
        <v>224</v>
      </c>
      <c r="D194">
        <v>2017</v>
      </c>
      <c r="E194" t="s">
        <v>28</v>
      </c>
      <c r="F194" t="s">
        <v>200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f t="shared" si="4"/>
        <v>7.9</v>
      </c>
      <c r="M194">
        <f t="shared" si="5"/>
        <v>1</v>
      </c>
    </row>
    <row r="195" spans="1:13" x14ac:dyDescent="0.3">
      <c r="A195">
        <v>193</v>
      </c>
      <c r="B195">
        <v>194</v>
      </c>
      <c r="C195" t="s">
        <v>225</v>
      </c>
      <c r="D195">
        <v>2019</v>
      </c>
      <c r="F195" t="s">
        <v>226</v>
      </c>
      <c r="G195">
        <v>1</v>
      </c>
      <c r="H195">
        <v>0</v>
      </c>
      <c r="I195">
        <v>0</v>
      </c>
      <c r="J195">
        <v>0</v>
      </c>
      <c r="K195">
        <v>0</v>
      </c>
      <c r="L195">
        <f t="shared" ref="L195:L258" si="6">IFERROR(VALUE(LEFT(F195,FIND("/",F195)-1))/10,"")</f>
        <v>7.8</v>
      </c>
      <c r="M195">
        <f t="shared" ref="M195:M258" si="7">SUM(G195:J195)</f>
        <v>1</v>
      </c>
    </row>
    <row r="196" spans="1:13" x14ac:dyDescent="0.3">
      <c r="A196">
        <v>194</v>
      </c>
      <c r="B196">
        <v>195</v>
      </c>
      <c r="C196" t="s">
        <v>227</v>
      </c>
      <c r="D196">
        <v>2016</v>
      </c>
      <c r="E196" t="s">
        <v>22</v>
      </c>
      <c r="F196" t="s">
        <v>226</v>
      </c>
      <c r="G196">
        <v>1</v>
      </c>
      <c r="H196">
        <v>0</v>
      </c>
      <c r="I196">
        <v>0</v>
      </c>
      <c r="J196">
        <v>0</v>
      </c>
      <c r="K196">
        <v>0</v>
      </c>
      <c r="L196">
        <f t="shared" si="6"/>
        <v>7.8</v>
      </c>
      <c r="M196">
        <f t="shared" si="7"/>
        <v>1</v>
      </c>
    </row>
    <row r="197" spans="1:13" x14ac:dyDescent="0.3">
      <c r="A197">
        <v>195</v>
      </c>
      <c r="B197">
        <v>196</v>
      </c>
      <c r="C197" t="s">
        <v>228</v>
      </c>
      <c r="D197">
        <v>2019</v>
      </c>
      <c r="E197" t="s">
        <v>14</v>
      </c>
      <c r="F197" t="s">
        <v>226</v>
      </c>
      <c r="G197">
        <v>1</v>
      </c>
      <c r="H197">
        <v>0</v>
      </c>
      <c r="I197">
        <v>0</v>
      </c>
      <c r="J197">
        <v>0</v>
      </c>
      <c r="K197">
        <v>0</v>
      </c>
      <c r="L197">
        <f t="shared" si="6"/>
        <v>7.8</v>
      </c>
      <c r="M197">
        <f t="shared" si="7"/>
        <v>1</v>
      </c>
    </row>
    <row r="198" spans="1:13" x14ac:dyDescent="0.3">
      <c r="A198">
        <v>196</v>
      </c>
      <c r="B198">
        <v>197</v>
      </c>
      <c r="C198" t="s">
        <v>229</v>
      </c>
      <c r="D198">
        <v>2016</v>
      </c>
      <c r="E198" t="s">
        <v>11</v>
      </c>
      <c r="F198" t="s">
        <v>226</v>
      </c>
      <c r="G198">
        <v>1</v>
      </c>
      <c r="H198">
        <v>0</v>
      </c>
      <c r="I198">
        <v>0</v>
      </c>
      <c r="J198">
        <v>0</v>
      </c>
      <c r="K198">
        <v>0</v>
      </c>
      <c r="L198">
        <f t="shared" si="6"/>
        <v>7.8</v>
      </c>
      <c r="M198">
        <f t="shared" si="7"/>
        <v>1</v>
      </c>
    </row>
    <row r="199" spans="1:13" x14ac:dyDescent="0.3">
      <c r="A199">
        <v>197</v>
      </c>
      <c r="B199">
        <v>198</v>
      </c>
      <c r="C199" t="s">
        <v>230</v>
      </c>
      <c r="D199">
        <v>2017</v>
      </c>
      <c r="E199" t="s">
        <v>11</v>
      </c>
      <c r="F199" t="s">
        <v>226</v>
      </c>
      <c r="G199">
        <v>1</v>
      </c>
      <c r="H199">
        <v>0</v>
      </c>
      <c r="I199">
        <v>0</v>
      </c>
      <c r="J199">
        <v>0</v>
      </c>
      <c r="K199">
        <v>0</v>
      </c>
      <c r="L199">
        <f t="shared" si="6"/>
        <v>7.8</v>
      </c>
      <c r="M199">
        <f t="shared" si="7"/>
        <v>1</v>
      </c>
    </row>
    <row r="200" spans="1:13" x14ac:dyDescent="0.3">
      <c r="A200">
        <v>198</v>
      </c>
      <c r="B200">
        <v>199</v>
      </c>
      <c r="C200" t="s">
        <v>231</v>
      </c>
      <c r="D200">
        <v>1993</v>
      </c>
      <c r="E200" t="s">
        <v>22</v>
      </c>
      <c r="F200" t="s">
        <v>226</v>
      </c>
      <c r="G200">
        <v>1</v>
      </c>
      <c r="H200">
        <v>0</v>
      </c>
      <c r="I200">
        <v>0</v>
      </c>
      <c r="J200">
        <v>0</v>
      </c>
      <c r="K200">
        <v>0</v>
      </c>
      <c r="L200">
        <f t="shared" si="6"/>
        <v>7.8</v>
      </c>
      <c r="M200">
        <f t="shared" si="7"/>
        <v>1</v>
      </c>
    </row>
    <row r="201" spans="1:13" x14ac:dyDescent="0.3">
      <c r="A201">
        <v>199</v>
      </c>
      <c r="B201">
        <v>200</v>
      </c>
      <c r="C201" t="s">
        <v>232</v>
      </c>
      <c r="D201">
        <v>2006</v>
      </c>
      <c r="E201" t="s">
        <v>22</v>
      </c>
      <c r="F201" t="s">
        <v>226</v>
      </c>
      <c r="G201">
        <v>1</v>
      </c>
      <c r="H201">
        <v>1</v>
      </c>
      <c r="I201">
        <v>0</v>
      </c>
      <c r="J201">
        <v>0</v>
      </c>
      <c r="K201">
        <v>0</v>
      </c>
      <c r="L201">
        <f t="shared" si="6"/>
        <v>7.8</v>
      </c>
      <c r="M201">
        <f t="shared" si="7"/>
        <v>2</v>
      </c>
    </row>
    <row r="202" spans="1:13" x14ac:dyDescent="0.3">
      <c r="A202">
        <v>200</v>
      </c>
      <c r="B202">
        <v>201</v>
      </c>
      <c r="C202" t="s">
        <v>233</v>
      </c>
      <c r="D202">
        <v>2006</v>
      </c>
      <c r="E202" t="s">
        <v>22</v>
      </c>
      <c r="F202" t="s">
        <v>226</v>
      </c>
      <c r="G202">
        <v>1</v>
      </c>
      <c r="H202">
        <v>0</v>
      </c>
      <c r="I202">
        <v>0</v>
      </c>
      <c r="J202">
        <v>0</v>
      </c>
      <c r="K202">
        <v>0</v>
      </c>
      <c r="L202">
        <f t="shared" si="6"/>
        <v>7.8</v>
      </c>
      <c r="M202">
        <f t="shared" si="7"/>
        <v>1</v>
      </c>
    </row>
    <row r="203" spans="1:13" x14ac:dyDescent="0.3">
      <c r="A203">
        <v>201</v>
      </c>
      <c r="B203">
        <v>202</v>
      </c>
      <c r="C203" t="s">
        <v>234</v>
      </c>
      <c r="D203">
        <v>2011</v>
      </c>
      <c r="F203" t="s">
        <v>226</v>
      </c>
      <c r="G203">
        <v>1</v>
      </c>
      <c r="H203">
        <v>0</v>
      </c>
      <c r="I203">
        <v>0</v>
      </c>
      <c r="J203">
        <v>0</v>
      </c>
      <c r="K203">
        <v>0</v>
      </c>
      <c r="L203">
        <f t="shared" si="6"/>
        <v>7.8</v>
      </c>
      <c r="M203">
        <f t="shared" si="7"/>
        <v>1</v>
      </c>
    </row>
    <row r="204" spans="1:13" x14ac:dyDescent="0.3">
      <c r="A204">
        <v>202</v>
      </c>
      <c r="B204">
        <v>203</v>
      </c>
      <c r="C204" t="s">
        <v>235</v>
      </c>
      <c r="D204">
        <v>2013</v>
      </c>
      <c r="F204" t="s">
        <v>226</v>
      </c>
      <c r="G204">
        <v>1</v>
      </c>
      <c r="H204">
        <v>0</v>
      </c>
      <c r="I204">
        <v>0</v>
      </c>
      <c r="J204">
        <v>0</v>
      </c>
      <c r="K204">
        <v>0</v>
      </c>
      <c r="L204">
        <f t="shared" si="6"/>
        <v>7.8</v>
      </c>
      <c r="M204">
        <f t="shared" si="7"/>
        <v>1</v>
      </c>
    </row>
    <row r="205" spans="1:13" x14ac:dyDescent="0.3">
      <c r="A205">
        <v>203</v>
      </c>
      <c r="B205">
        <v>204</v>
      </c>
      <c r="C205" t="s">
        <v>236</v>
      </c>
      <c r="D205">
        <v>2011</v>
      </c>
      <c r="E205" t="s">
        <v>22</v>
      </c>
      <c r="F205" t="s">
        <v>226</v>
      </c>
      <c r="G205">
        <v>1</v>
      </c>
      <c r="H205">
        <v>0</v>
      </c>
      <c r="I205">
        <v>0</v>
      </c>
      <c r="J205">
        <v>0</v>
      </c>
      <c r="K205">
        <v>0</v>
      </c>
      <c r="L205">
        <f t="shared" si="6"/>
        <v>7.8</v>
      </c>
      <c r="M205">
        <f t="shared" si="7"/>
        <v>1</v>
      </c>
    </row>
    <row r="206" spans="1:13" x14ac:dyDescent="0.3">
      <c r="A206">
        <v>204</v>
      </c>
      <c r="B206">
        <v>205</v>
      </c>
      <c r="C206" t="s">
        <v>237</v>
      </c>
      <c r="D206">
        <v>2017</v>
      </c>
      <c r="E206" t="s">
        <v>22</v>
      </c>
      <c r="F206" t="s">
        <v>226</v>
      </c>
      <c r="G206">
        <v>1</v>
      </c>
      <c r="H206">
        <v>0</v>
      </c>
      <c r="I206">
        <v>0</v>
      </c>
      <c r="J206">
        <v>0</v>
      </c>
      <c r="K206">
        <v>0</v>
      </c>
      <c r="L206">
        <f t="shared" si="6"/>
        <v>7.8</v>
      </c>
      <c r="M206">
        <f t="shared" si="7"/>
        <v>1</v>
      </c>
    </row>
    <row r="207" spans="1:13" x14ac:dyDescent="0.3">
      <c r="A207">
        <v>205</v>
      </c>
      <c r="B207">
        <v>206</v>
      </c>
      <c r="C207" t="s">
        <v>238</v>
      </c>
      <c r="D207">
        <v>1994</v>
      </c>
      <c r="E207" t="s">
        <v>22</v>
      </c>
      <c r="F207" t="s">
        <v>226</v>
      </c>
      <c r="G207">
        <v>1</v>
      </c>
      <c r="H207">
        <v>0</v>
      </c>
      <c r="I207">
        <v>0</v>
      </c>
      <c r="J207">
        <v>0</v>
      </c>
      <c r="K207">
        <v>0</v>
      </c>
      <c r="L207">
        <f t="shared" si="6"/>
        <v>7.8</v>
      </c>
      <c r="M207">
        <f t="shared" si="7"/>
        <v>1</v>
      </c>
    </row>
    <row r="208" spans="1:13" x14ac:dyDescent="0.3">
      <c r="A208">
        <v>206</v>
      </c>
      <c r="B208">
        <v>207</v>
      </c>
      <c r="C208" t="s">
        <v>239</v>
      </c>
      <c r="D208">
        <v>2018</v>
      </c>
      <c r="F208" t="s">
        <v>226</v>
      </c>
      <c r="G208">
        <v>1</v>
      </c>
      <c r="H208">
        <v>0</v>
      </c>
      <c r="I208">
        <v>0</v>
      </c>
      <c r="J208">
        <v>0</v>
      </c>
      <c r="K208">
        <v>0</v>
      </c>
      <c r="L208">
        <f t="shared" si="6"/>
        <v>7.8</v>
      </c>
      <c r="M208">
        <f t="shared" si="7"/>
        <v>1</v>
      </c>
    </row>
    <row r="209" spans="1:13" x14ac:dyDescent="0.3">
      <c r="A209">
        <v>207</v>
      </c>
      <c r="B209">
        <v>208</v>
      </c>
      <c r="C209" t="s">
        <v>240</v>
      </c>
      <c r="D209">
        <v>2014</v>
      </c>
      <c r="E209" t="s">
        <v>11</v>
      </c>
      <c r="F209" t="s">
        <v>226</v>
      </c>
      <c r="G209">
        <v>1</v>
      </c>
      <c r="H209">
        <v>0</v>
      </c>
      <c r="I209">
        <v>0</v>
      </c>
      <c r="J209">
        <v>0</v>
      </c>
      <c r="K209">
        <v>0</v>
      </c>
      <c r="L209">
        <f t="shared" si="6"/>
        <v>7.8</v>
      </c>
      <c r="M209">
        <f t="shared" si="7"/>
        <v>1</v>
      </c>
    </row>
    <row r="210" spans="1:13" x14ac:dyDescent="0.3">
      <c r="A210">
        <v>208</v>
      </c>
      <c r="B210">
        <v>209</v>
      </c>
      <c r="C210" t="s">
        <v>241</v>
      </c>
      <c r="D210">
        <v>2013</v>
      </c>
      <c r="F210" t="s">
        <v>226</v>
      </c>
      <c r="G210">
        <v>1</v>
      </c>
      <c r="H210">
        <v>0</v>
      </c>
      <c r="I210">
        <v>0</v>
      </c>
      <c r="J210">
        <v>0</v>
      </c>
      <c r="K210">
        <v>0</v>
      </c>
      <c r="L210">
        <f t="shared" si="6"/>
        <v>7.8</v>
      </c>
      <c r="M210">
        <f t="shared" si="7"/>
        <v>1</v>
      </c>
    </row>
    <row r="211" spans="1:13" x14ac:dyDescent="0.3">
      <c r="A211">
        <v>209</v>
      </c>
      <c r="B211">
        <v>210</v>
      </c>
      <c r="C211" t="s">
        <v>242</v>
      </c>
      <c r="D211">
        <v>1997</v>
      </c>
      <c r="E211" t="s">
        <v>22</v>
      </c>
      <c r="F211" t="s">
        <v>226</v>
      </c>
      <c r="G211">
        <v>1</v>
      </c>
      <c r="H211">
        <v>0</v>
      </c>
      <c r="I211">
        <v>0</v>
      </c>
      <c r="J211">
        <v>0</v>
      </c>
      <c r="K211">
        <v>0</v>
      </c>
      <c r="L211">
        <f t="shared" si="6"/>
        <v>7.8</v>
      </c>
      <c r="M211">
        <f t="shared" si="7"/>
        <v>1</v>
      </c>
    </row>
    <row r="212" spans="1:13" x14ac:dyDescent="0.3">
      <c r="A212">
        <v>210</v>
      </c>
      <c r="B212">
        <v>211</v>
      </c>
      <c r="C212" t="s">
        <v>243</v>
      </c>
      <c r="D212">
        <v>2019</v>
      </c>
      <c r="F212" t="s">
        <v>226</v>
      </c>
      <c r="G212">
        <v>1</v>
      </c>
      <c r="H212">
        <v>0</v>
      </c>
      <c r="I212">
        <v>0</v>
      </c>
      <c r="J212">
        <v>0</v>
      </c>
      <c r="K212">
        <v>0</v>
      </c>
      <c r="L212">
        <f t="shared" si="6"/>
        <v>7.8</v>
      </c>
      <c r="M212">
        <f t="shared" si="7"/>
        <v>1</v>
      </c>
    </row>
    <row r="213" spans="1:13" x14ac:dyDescent="0.3">
      <c r="A213">
        <v>211</v>
      </c>
      <c r="B213">
        <v>212</v>
      </c>
      <c r="C213" t="s">
        <v>244</v>
      </c>
      <c r="D213">
        <v>2010</v>
      </c>
      <c r="E213" t="s">
        <v>22</v>
      </c>
      <c r="F213" t="s">
        <v>226</v>
      </c>
      <c r="G213">
        <v>1</v>
      </c>
      <c r="H213">
        <v>0</v>
      </c>
      <c r="I213">
        <v>0</v>
      </c>
      <c r="J213">
        <v>0</v>
      </c>
      <c r="K213">
        <v>0</v>
      </c>
      <c r="L213">
        <f t="shared" si="6"/>
        <v>7.8</v>
      </c>
      <c r="M213">
        <f t="shared" si="7"/>
        <v>1</v>
      </c>
    </row>
    <row r="214" spans="1:13" x14ac:dyDescent="0.3">
      <c r="A214">
        <v>212</v>
      </c>
      <c r="B214">
        <v>213</v>
      </c>
      <c r="C214" t="s">
        <v>245</v>
      </c>
      <c r="D214">
        <v>2019</v>
      </c>
      <c r="F214" t="s">
        <v>226</v>
      </c>
      <c r="G214">
        <v>1</v>
      </c>
      <c r="H214">
        <v>0</v>
      </c>
      <c r="I214">
        <v>0</v>
      </c>
      <c r="J214">
        <v>0</v>
      </c>
      <c r="K214">
        <v>0</v>
      </c>
      <c r="L214">
        <f t="shared" si="6"/>
        <v>7.8</v>
      </c>
      <c r="M214">
        <f t="shared" si="7"/>
        <v>1</v>
      </c>
    </row>
    <row r="215" spans="1:13" x14ac:dyDescent="0.3">
      <c r="A215">
        <v>213</v>
      </c>
      <c r="B215">
        <v>214</v>
      </c>
      <c r="C215" t="s">
        <v>246</v>
      </c>
      <c r="D215">
        <v>2020</v>
      </c>
      <c r="E215" t="s">
        <v>11</v>
      </c>
      <c r="F215" t="s">
        <v>226</v>
      </c>
      <c r="G215">
        <v>1</v>
      </c>
      <c r="H215">
        <v>0</v>
      </c>
      <c r="I215">
        <v>0</v>
      </c>
      <c r="J215">
        <v>0</v>
      </c>
      <c r="K215">
        <v>0</v>
      </c>
      <c r="L215">
        <f t="shared" si="6"/>
        <v>7.8</v>
      </c>
      <c r="M215">
        <f t="shared" si="7"/>
        <v>1</v>
      </c>
    </row>
    <row r="216" spans="1:13" x14ac:dyDescent="0.3">
      <c r="A216">
        <v>214</v>
      </c>
      <c r="B216">
        <v>215</v>
      </c>
      <c r="C216" t="s">
        <v>247</v>
      </c>
      <c r="D216">
        <v>2011</v>
      </c>
      <c r="E216" t="s">
        <v>14</v>
      </c>
      <c r="F216" t="s">
        <v>226</v>
      </c>
      <c r="G216">
        <v>1</v>
      </c>
      <c r="H216">
        <v>0</v>
      </c>
      <c r="I216">
        <v>0</v>
      </c>
      <c r="J216">
        <v>0</v>
      </c>
      <c r="K216">
        <v>0</v>
      </c>
      <c r="L216">
        <f t="shared" si="6"/>
        <v>7.8</v>
      </c>
      <c r="M216">
        <f t="shared" si="7"/>
        <v>1</v>
      </c>
    </row>
    <row r="217" spans="1:13" x14ac:dyDescent="0.3">
      <c r="A217">
        <v>215</v>
      </c>
      <c r="B217">
        <v>216</v>
      </c>
      <c r="C217" t="s">
        <v>248</v>
      </c>
      <c r="D217">
        <v>2016</v>
      </c>
      <c r="E217" t="s">
        <v>22</v>
      </c>
      <c r="F217" t="s">
        <v>226</v>
      </c>
      <c r="G217">
        <v>1</v>
      </c>
      <c r="H217">
        <v>0</v>
      </c>
      <c r="I217">
        <v>0</v>
      </c>
      <c r="J217">
        <v>0</v>
      </c>
      <c r="K217">
        <v>0</v>
      </c>
      <c r="L217">
        <f t="shared" si="6"/>
        <v>7.8</v>
      </c>
      <c r="M217">
        <f t="shared" si="7"/>
        <v>1</v>
      </c>
    </row>
    <row r="218" spans="1:13" x14ac:dyDescent="0.3">
      <c r="A218">
        <v>216</v>
      </c>
      <c r="B218">
        <v>217</v>
      </c>
      <c r="C218" t="s">
        <v>249</v>
      </c>
      <c r="D218">
        <v>2017</v>
      </c>
      <c r="E218" t="s">
        <v>11</v>
      </c>
      <c r="F218" t="s">
        <v>226</v>
      </c>
      <c r="G218">
        <v>1</v>
      </c>
      <c r="H218">
        <v>0</v>
      </c>
      <c r="I218">
        <v>0</v>
      </c>
      <c r="J218">
        <v>0</v>
      </c>
      <c r="K218">
        <v>0</v>
      </c>
      <c r="L218">
        <f t="shared" si="6"/>
        <v>7.8</v>
      </c>
      <c r="M218">
        <f t="shared" si="7"/>
        <v>1</v>
      </c>
    </row>
    <row r="219" spans="1:13" x14ac:dyDescent="0.3">
      <c r="A219">
        <v>217</v>
      </c>
      <c r="B219">
        <v>218</v>
      </c>
      <c r="C219" t="s">
        <v>250</v>
      </c>
      <c r="D219">
        <v>2013</v>
      </c>
      <c r="E219" t="s">
        <v>11</v>
      </c>
      <c r="F219" t="s">
        <v>251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f t="shared" si="6"/>
        <v>7.7</v>
      </c>
      <c r="M219">
        <f t="shared" si="7"/>
        <v>1</v>
      </c>
    </row>
    <row r="220" spans="1:13" x14ac:dyDescent="0.3">
      <c r="A220">
        <v>218</v>
      </c>
      <c r="B220">
        <v>219</v>
      </c>
      <c r="C220" t="s">
        <v>252</v>
      </c>
      <c r="D220">
        <v>2017</v>
      </c>
      <c r="E220" t="s">
        <v>11</v>
      </c>
      <c r="F220" t="s">
        <v>251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f t="shared" si="6"/>
        <v>7.7</v>
      </c>
      <c r="M220">
        <f t="shared" si="7"/>
        <v>1</v>
      </c>
    </row>
    <row r="221" spans="1:13" x14ac:dyDescent="0.3">
      <c r="A221">
        <v>219</v>
      </c>
      <c r="B221">
        <v>220</v>
      </c>
      <c r="C221" t="s">
        <v>253</v>
      </c>
      <c r="D221">
        <v>2018</v>
      </c>
      <c r="E221" t="s">
        <v>28</v>
      </c>
      <c r="F221" t="s">
        <v>251</v>
      </c>
      <c r="G221">
        <v>1</v>
      </c>
      <c r="H221">
        <v>0</v>
      </c>
      <c r="I221">
        <v>0</v>
      </c>
      <c r="J221">
        <v>0</v>
      </c>
      <c r="K221">
        <v>0</v>
      </c>
      <c r="L221">
        <f t="shared" si="6"/>
        <v>7.7</v>
      </c>
      <c r="M221">
        <f t="shared" si="7"/>
        <v>1</v>
      </c>
    </row>
    <row r="222" spans="1:13" x14ac:dyDescent="0.3">
      <c r="A222">
        <v>220</v>
      </c>
      <c r="B222">
        <v>221</v>
      </c>
      <c r="C222" t="s">
        <v>254</v>
      </c>
      <c r="D222">
        <v>2012</v>
      </c>
      <c r="E222" t="s">
        <v>11</v>
      </c>
      <c r="F222" t="s">
        <v>251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f t="shared" si="6"/>
        <v>7.7</v>
      </c>
      <c r="M222">
        <f t="shared" si="7"/>
        <v>1</v>
      </c>
    </row>
    <row r="223" spans="1:13" x14ac:dyDescent="0.3">
      <c r="A223">
        <v>221</v>
      </c>
      <c r="B223">
        <v>222</v>
      </c>
      <c r="C223" t="s">
        <v>255</v>
      </c>
      <c r="D223">
        <v>2018</v>
      </c>
      <c r="E223" t="s">
        <v>11</v>
      </c>
      <c r="F223" t="s">
        <v>251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f t="shared" si="6"/>
        <v>7.7</v>
      </c>
      <c r="M223">
        <f t="shared" si="7"/>
        <v>1</v>
      </c>
    </row>
    <row r="224" spans="1:13" x14ac:dyDescent="0.3">
      <c r="A224">
        <v>222</v>
      </c>
      <c r="B224">
        <v>223</v>
      </c>
      <c r="C224" t="s">
        <v>256</v>
      </c>
      <c r="D224">
        <v>2016</v>
      </c>
      <c r="F224" t="s">
        <v>251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f t="shared" si="6"/>
        <v>7.7</v>
      </c>
      <c r="M224">
        <f t="shared" si="7"/>
        <v>1</v>
      </c>
    </row>
    <row r="225" spans="1:13" x14ac:dyDescent="0.3">
      <c r="A225">
        <v>223</v>
      </c>
      <c r="B225">
        <v>224</v>
      </c>
      <c r="C225" t="s">
        <v>257</v>
      </c>
      <c r="D225">
        <v>2008</v>
      </c>
      <c r="E225" t="s">
        <v>22</v>
      </c>
      <c r="F225" t="s">
        <v>251</v>
      </c>
      <c r="G225">
        <v>1</v>
      </c>
      <c r="H225">
        <v>0</v>
      </c>
      <c r="I225">
        <v>0</v>
      </c>
      <c r="J225">
        <v>0</v>
      </c>
      <c r="K225">
        <v>0</v>
      </c>
      <c r="L225">
        <f t="shared" si="6"/>
        <v>7.7</v>
      </c>
      <c r="M225">
        <f t="shared" si="7"/>
        <v>1</v>
      </c>
    </row>
    <row r="226" spans="1:13" x14ac:dyDescent="0.3">
      <c r="A226">
        <v>224</v>
      </c>
      <c r="B226">
        <v>225</v>
      </c>
      <c r="C226" t="s">
        <v>258</v>
      </c>
      <c r="D226">
        <v>2012</v>
      </c>
      <c r="E226" t="s">
        <v>11</v>
      </c>
      <c r="F226" t="s">
        <v>251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f t="shared" si="6"/>
        <v>7.7</v>
      </c>
      <c r="M226">
        <f t="shared" si="7"/>
        <v>1</v>
      </c>
    </row>
    <row r="227" spans="1:13" x14ac:dyDescent="0.3">
      <c r="A227">
        <v>225</v>
      </c>
      <c r="B227">
        <v>226</v>
      </c>
      <c r="C227" t="s">
        <v>259</v>
      </c>
      <c r="D227">
        <v>2004</v>
      </c>
      <c r="E227" t="s">
        <v>11</v>
      </c>
      <c r="F227" t="s">
        <v>251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f t="shared" si="6"/>
        <v>7.7</v>
      </c>
      <c r="M227">
        <f t="shared" si="7"/>
        <v>1</v>
      </c>
    </row>
    <row r="228" spans="1:13" x14ac:dyDescent="0.3">
      <c r="A228">
        <v>226</v>
      </c>
      <c r="B228">
        <v>227</v>
      </c>
      <c r="C228" t="s">
        <v>260</v>
      </c>
      <c r="D228">
        <v>2010</v>
      </c>
      <c r="E228" t="s">
        <v>14</v>
      </c>
      <c r="F228" t="s">
        <v>251</v>
      </c>
      <c r="G228">
        <v>1</v>
      </c>
      <c r="H228">
        <v>0</v>
      </c>
      <c r="I228">
        <v>0</v>
      </c>
      <c r="J228">
        <v>0</v>
      </c>
      <c r="K228">
        <v>0</v>
      </c>
      <c r="L228">
        <f t="shared" si="6"/>
        <v>7.7</v>
      </c>
      <c r="M228">
        <f t="shared" si="7"/>
        <v>1</v>
      </c>
    </row>
    <row r="229" spans="1:13" x14ac:dyDescent="0.3">
      <c r="A229">
        <v>227</v>
      </c>
      <c r="B229">
        <v>228</v>
      </c>
      <c r="C229" t="s">
        <v>261</v>
      </c>
      <c r="D229">
        <v>2018</v>
      </c>
      <c r="E229" t="s">
        <v>28</v>
      </c>
      <c r="F229" t="s">
        <v>251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f t="shared" si="6"/>
        <v>7.7</v>
      </c>
      <c r="M229">
        <f t="shared" si="7"/>
        <v>1</v>
      </c>
    </row>
    <row r="230" spans="1:13" x14ac:dyDescent="0.3">
      <c r="A230">
        <v>228</v>
      </c>
      <c r="B230">
        <v>229</v>
      </c>
      <c r="C230" t="s">
        <v>262</v>
      </c>
      <c r="D230">
        <v>2011</v>
      </c>
      <c r="E230" t="s">
        <v>11</v>
      </c>
      <c r="F230" t="s">
        <v>251</v>
      </c>
      <c r="G230">
        <v>1</v>
      </c>
      <c r="H230">
        <v>1</v>
      </c>
      <c r="I230">
        <v>0</v>
      </c>
      <c r="J230">
        <v>0</v>
      </c>
      <c r="K230">
        <v>0</v>
      </c>
      <c r="L230">
        <f t="shared" si="6"/>
        <v>7.7</v>
      </c>
      <c r="M230">
        <f t="shared" si="7"/>
        <v>2</v>
      </c>
    </row>
    <row r="231" spans="1:13" x14ac:dyDescent="0.3">
      <c r="A231">
        <v>229</v>
      </c>
      <c r="B231">
        <v>230</v>
      </c>
      <c r="C231" t="s">
        <v>263</v>
      </c>
      <c r="D231">
        <v>2015</v>
      </c>
      <c r="F231" t="s">
        <v>251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f t="shared" si="6"/>
        <v>7.7</v>
      </c>
      <c r="M231">
        <f t="shared" si="7"/>
        <v>1</v>
      </c>
    </row>
    <row r="232" spans="1:13" x14ac:dyDescent="0.3">
      <c r="A232">
        <v>230</v>
      </c>
      <c r="B232">
        <v>231</v>
      </c>
      <c r="C232" t="s">
        <v>264</v>
      </c>
      <c r="D232">
        <v>2019</v>
      </c>
      <c r="F232" t="s">
        <v>251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f t="shared" si="6"/>
        <v>7.7</v>
      </c>
      <c r="M232">
        <f t="shared" si="7"/>
        <v>1</v>
      </c>
    </row>
    <row r="233" spans="1:13" x14ac:dyDescent="0.3">
      <c r="A233">
        <v>231</v>
      </c>
      <c r="B233">
        <v>232</v>
      </c>
      <c r="C233" t="s">
        <v>265</v>
      </c>
      <c r="D233">
        <v>2020</v>
      </c>
      <c r="E233" t="s">
        <v>22</v>
      </c>
      <c r="F233" t="s">
        <v>251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f t="shared" si="6"/>
        <v>7.7</v>
      </c>
      <c r="M233">
        <f t="shared" si="7"/>
        <v>1</v>
      </c>
    </row>
    <row r="234" spans="1:13" x14ac:dyDescent="0.3">
      <c r="A234">
        <v>232</v>
      </c>
      <c r="B234">
        <v>233</v>
      </c>
      <c r="C234" t="s">
        <v>266</v>
      </c>
      <c r="D234">
        <v>2015</v>
      </c>
      <c r="E234" t="s">
        <v>22</v>
      </c>
      <c r="F234" t="s">
        <v>251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f t="shared" si="6"/>
        <v>7.7</v>
      </c>
      <c r="M234">
        <f t="shared" si="7"/>
        <v>1</v>
      </c>
    </row>
    <row r="235" spans="1:13" x14ac:dyDescent="0.3">
      <c r="A235">
        <v>233</v>
      </c>
      <c r="B235">
        <v>234</v>
      </c>
      <c r="C235" t="s">
        <v>267</v>
      </c>
      <c r="D235">
        <v>2017</v>
      </c>
      <c r="E235" t="s">
        <v>11</v>
      </c>
      <c r="F235" t="s">
        <v>251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f t="shared" si="6"/>
        <v>7.7</v>
      </c>
      <c r="M235">
        <f t="shared" si="7"/>
        <v>1</v>
      </c>
    </row>
    <row r="236" spans="1:13" x14ac:dyDescent="0.3">
      <c r="A236">
        <v>234</v>
      </c>
      <c r="B236">
        <v>235</v>
      </c>
      <c r="C236" t="s">
        <v>268</v>
      </c>
      <c r="D236">
        <v>2010</v>
      </c>
      <c r="E236" t="s">
        <v>22</v>
      </c>
      <c r="F236" t="s">
        <v>251</v>
      </c>
      <c r="G236">
        <v>1</v>
      </c>
      <c r="H236">
        <v>0</v>
      </c>
      <c r="I236">
        <v>0</v>
      </c>
      <c r="J236">
        <v>0</v>
      </c>
      <c r="K236">
        <v>0</v>
      </c>
      <c r="L236">
        <f t="shared" si="6"/>
        <v>7.7</v>
      </c>
      <c r="M236">
        <f t="shared" si="7"/>
        <v>1</v>
      </c>
    </row>
    <row r="237" spans="1:13" x14ac:dyDescent="0.3">
      <c r="A237">
        <v>235</v>
      </c>
      <c r="B237">
        <v>236</v>
      </c>
      <c r="C237" t="s">
        <v>269</v>
      </c>
      <c r="D237">
        <v>2019</v>
      </c>
      <c r="E237" t="s">
        <v>28</v>
      </c>
      <c r="F237" t="s">
        <v>251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f t="shared" si="6"/>
        <v>7.7</v>
      </c>
      <c r="M237">
        <f t="shared" si="7"/>
        <v>1</v>
      </c>
    </row>
    <row r="238" spans="1:13" x14ac:dyDescent="0.3">
      <c r="A238">
        <v>236</v>
      </c>
      <c r="B238">
        <v>237</v>
      </c>
      <c r="C238" t="s">
        <v>270</v>
      </c>
      <c r="D238">
        <v>2007</v>
      </c>
      <c r="E238" t="s">
        <v>14</v>
      </c>
      <c r="F238" t="s">
        <v>251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f t="shared" si="6"/>
        <v>7.7</v>
      </c>
      <c r="M238">
        <f t="shared" si="7"/>
        <v>1</v>
      </c>
    </row>
    <row r="239" spans="1:13" x14ac:dyDescent="0.3">
      <c r="A239">
        <v>237</v>
      </c>
      <c r="B239">
        <v>238</v>
      </c>
      <c r="C239" t="s">
        <v>271</v>
      </c>
      <c r="D239">
        <v>2019</v>
      </c>
      <c r="F239" t="s">
        <v>251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f t="shared" si="6"/>
        <v>7.7</v>
      </c>
      <c r="M239">
        <f t="shared" si="7"/>
        <v>1</v>
      </c>
    </row>
    <row r="240" spans="1:13" x14ac:dyDescent="0.3">
      <c r="A240">
        <v>238</v>
      </c>
      <c r="B240">
        <v>239</v>
      </c>
      <c r="C240" t="s">
        <v>272</v>
      </c>
      <c r="D240">
        <v>2012</v>
      </c>
      <c r="F240" t="s">
        <v>251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f t="shared" si="6"/>
        <v>7.7</v>
      </c>
      <c r="M240">
        <f t="shared" si="7"/>
        <v>1</v>
      </c>
    </row>
    <row r="241" spans="1:13" x14ac:dyDescent="0.3">
      <c r="A241">
        <v>239</v>
      </c>
      <c r="B241">
        <v>240</v>
      </c>
      <c r="C241" t="s">
        <v>273</v>
      </c>
      <c r="D241">
        <v>2019</v>
      </c>
      <c r="F241" t="s">
        <v>251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f t="shared" si="6"/>
        <v>7.7</v>
      </c>
      <c r="M241">
        <f t="shared" si="7"/>
        <v>1</v>
      </c>
    </row>
    <row r="242" spans="1:13" x14ac:dyDescent="0.3">
      <c r="A242">
        <v>240</v>
      </c>
      <c r="B242">
        <v>241</v>
      </c>
      <c r="C242" t="s">
        <v>274</v>
      </c>
      <c r="D242">
        <v>2001</v>
      </c>
      <c r="E242" t="s">
        <v>22</v>
      </c>
      <c r="F242" t="s">
        <v>251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f t="shared" si="6"/>
        <v>7.7</v>
      </c>
      <c r="M242">
        <f t="shared" si="7"/>
        <v>1</v>
      </c>
    </row>
    <row r="243" spans="1:13" x14ac:dyDescent="0.3">
      <c r="A243">
        <v>241</v>
      </c>
      <c r="B243">
        <v>242</v>
      </c>
      <c r="C243" t="s">
        <v>275</v>
      </c>
      <c r="D243">
        <v>2019</v>
      </c>
      <c r="E243" t="s">
        <v>11</v>
      </c>
      <c r="F243" t="s">
        <v>251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f t="shared" si="6"/>
        <v>7.7</v>
      </c>
      <c r="M243">
        <f t="shared" si="7"/>
        <v>1</v>
      </c>
    </row>
    <row r="244" spans="1:13" x14ac:dyDescent="0.3">
      <c r="A244">
        <v>242</v>
      </c>
      <c r="B244">
        <v>243</v>
      </c>
      <c r="C244" t="s">
        <v>276</v>
      </c>
      <c r="D244">
        <v>1997</v>
      </c>
      <c r="E244" t="s">
        <v>11</v>
      </c>
      <c r="F244" t="s">
        <v>251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f t="shared" si="6"/>
        <v>7.7</v>
      </c>
      <c r="M244">
        <f t="shared" si="7"/>
        <v>1</v>
      </c>
    </row>
    <row r="245" spans="1:13" x14ac:dyDescent="0.3">
      <c r="A245">
        <v>243</v>
      </c>
      <c r="B245">
        <v>244</v>
      </c>
      <c r="C245" t="s">
        <v>277</v>
      </c>
      <c r="D245">
        <v>2005</v>
      </c>
      <c r="E245" t="s">
        <v>22</v>
      </c>
      <c r="F245" t="s">
        <v>278</v>
      </c>
      <c r="G245">
        <v>1</v>
      </c>
      <c r="H245">
        <v>0</v>
      </c>
      <c r="I245">
        <v>0</v>
      </c>
      <c r="J245">
        <v>0</v>
      </c>
      <c r="K245">
        <v>0</v>
      </c>
      <c r="L245">
        <f t="shared" si="6"/>
        <v>7.6</v>
      </c>
      <c r="M245">
        <f t="shared" si="7"/>
        <v>1</v>
      </c>
    </row>
    <row r="246" spans="1:13" x14ac:dyDescent="0.3">
      <c r="A246">
        <v>244</v>
      </c>
      <c r="B246">
        <v>245</v>
      </c>
      <c r="C246" t="s">
        <v>279</v>
      </c>
      <c r="D246">
        <v>1979</v>
      </c>
      <c r="E246" t="s">
        <v>11</v>
      </c>
      <c r="F246" t="s">
        <v>278</v>
      </c>
      <c r="G246">
        <v>1</v>
      </c>
      <c r="H246">
        <v>0</v>
      </c>
      <c r="I246">
        <v>0</v>
      </c>
      <c r="J246">
        <v>0</v>
      </c>
      <c r="K246">
        <v>0</v>
      </c>
      <c r="L246">
        <f t="shared" si="6"/>
        <v>7.6</v>
      </c>
      <c r="M246">
        <f t="shared" si="7"/>
        <v>1</v>
      </c>
    </row>
    <row r="247" spans="1:13" x14ac:dyDescent="0.3">
      <c r="A247">
        <v>245</v>
      </c>
      <c r="B247">
        <v>246</v>
      </c>
      <c r="C247" t="s">
        <v>280</v>
      </c>
      <c r="D247">
        <v>2018</v>
      </c>
      <c r="E247" t="s">
        <v>14</v>
      </c>
      <c r="F247" t="s">
        <v>278</v>
      </c>
      <c r="G247">
        <v>1</v>
      </c>
      <c r="H247">
        <v>0</v>
      </c>
      <c r="I247">
        <v>0</v>
      </c>
      <c r="J247">
        <v>0</v>
      </c>
      <c r="K247">
        <v>0</v>
      </c>
      <c r="L247">
        <f t="shared" si="6"/>
        <v>7.6</v>
      </c>
      <c r="M247">
        <f t="shared" si="7"/>
        <v>1</v>
      </c>
    </row>
    <row r="248" spans="1:13" x14ac:dyDescent="0.3">
      <c r="A248">
        <v>246</v>
      </c>
      <c r="B248">
        <v>247</v>
      </c>
      <c r="C248" t="s">
        <v>281</v>
      </c>
      <c r="D248">
        <v>2018</v>
      </c>
      <c r="E248" t="s">
        <v>28</v>
      </c>
      <c r="F248" t="s">
        <v>278</v>
      </c>
      <c r="G248">
        <v>1</v>
      </c>
      <c r="H248">
        <v>0</v>
      </c>
      <c r="I248">
        <v>0</v>
      </c>
      <c r="J248">
        <v>0</v>
      </c>
      <c r="K248">
        <v>0</v>
      </c>
      <c r="L248">
        <f t="shared" si="6"/>
        <v>7.6</v>
      </c>
      <c r="M248">
        <f t="shared" si="7"/>
        <v>1</v>
      </c>
    </row>
    <row r="249" spans="1:13" x14ac:dyDescent="0.3">
      <c r="A249">
        <v>247</v>
      </c>
      <c r="B249">
        <v>248</v>
      </c>
      <c r="C249" t="s">
        <v>282</v>
      </c>
      <c r="D249">
        <v>2017</v>
      </c>
      <c r="E249" t="s">
        <v>11</v>
      </c>
      <c r="F249" t="s">
        <v>278</v>
      </c>
      <c r="G249">
        <v>1</v>
      </c>
      <c r="H249">
        <v>0</v>
      </c>
      <c r="I249">
        <v>0</v>
      </c>
      <c r="J249">
        <v>0</v>
      </c>
      <c r="K249">
        <v>0</v>
      </c>
      <c r="L249">
        <f t="shared" si="6"/>
        <v>7.6</v>
      </c>
      <c r="M249">
        <f t="shared" si="7"/>
        <v>1</v>
      </c>
    </row>
    <row r="250" spans="1:13" x14ac:dyDescent="0.3">
      <c r="A250">
        <v>248</v>
      </c>
      <c r="B250">
        <v>249</v>
      </c>
      <c r="C250" t="s">
        <v>283</v>
      </c>
      <c r="D250">
        <v>2009</v>
      </c>
      <c r="E250" t="s">
        <v>22</v>
      </c>
      <c r="F250" t="s">
        <v>278</v>
      </c>
      <c r="G250">
        <v>1</v>
      </c>
      <c r="H250">
        <v>1</v>
      </c>
      <c r="I250">
        <v>0</v>
      </c>
      <c r="J250">
        <v>0</v>
      </c>
      <c r="K250">
        <v>0</v>
      </c>
      <c r="L250">
        <f t="shared" si="6"/>
        <v>7.6</v>
      </c>
      <c r="M250">
        <f t="shared" si="7"/>
        <v>2</v>
      </c>
    </row>
    <row r="251" spans="1:13" x14ac:dyDescent="0.3">
      <c r="A251">
        <v>249</v>
      </c>
      <c r="B251">
        <v>250</v>
      </c>
      <c r="C251" t="s">
        <v>284</v>
      </c>
      <c r="D251">
        <v>2016</v>
      </c>
      <c r="F251" t="s">
        <v>278</v>
      </c>
      <c r="G251">
        <v>1</v>
      </c>
      <c r="H251">
        <v>0</v>
      </c>
      <c r="I251">
        <v>0</v>
      </c>
      <c r="J251">
        <v>0</v>
      </c>
      <c r="K251">
        <v>0</v>
      </c>
      <c r="L251">
        <f t="shared" si="6"/>
        <v>7.6</v>
      </c>
      <c r="M251">
        <f t="shared" si="7"/>
        <v>1</v>
      </c>
    </row>
    <row r="252" spans="1:13" x14ac:dyDescent="0.3">
      <c r="A252">
        <v>250</v>
      </c>
      <c r="B252">
        <v>251</v>
      </c>
      <c r="C252" t="s">
        <v>285</v>
      </c>
      <c r="D252">
        <v>2017</v>
      </c>
      <c r="E252" t="s">
        <v>11</v>
      </c>
      <c r="F252" t="s">
        <v>278</v>
      </c>
      <c r="G252">
        <v>1</v>
      </c>
      <c r="H252">
        <v>0</v>
      </c>
      <c r="I252">
        <v>0</v>
      </c>
      <c r="J252">
        <v>0</v>
      </c>
      <c r="K252">
        <v>0</v>
      </c>
      <c r="L252">
        <f t="shared" si="6"/>
        <v>7.6</v>
      </c>
      <c r="M252">
        <f t="shared" si="7"/>
        <v>1</v>
      </c>
    </row>
    <row r="253" spans="1:13" x14ac:dyDescent="0.3">
      <c r="A253">
        <v>251</v>
      </c>
      <c r="B253">
        <v>252</v>
      </c>
      <c r="C253" t="s">
        <v>286</v>
      </c>
      <c r="D253">
        <v>2008</v>
      </c>
      <c r="E253" t="s">
        <v>22</v>
      </c>
      <c r="F253" t="s">
        <v>278</v>
      </c>
      <c r="G253">
        <v>1</v>
      </c>
      <c r="H253">
        <v>0</v>
      </c>
      <c r="I253">
        <v>0</v>
      </c>
      <c r="J253">
        <v>0</v>
      </c>
      <c r="K253">
        <v>0</v>
      </c>
      <c r="L253">
        <f t="shared" si="6"/>
        <v>7.6</v>
      </c>
      <c r="M253">
        <f t="shared" si="7"/>
        <v>1</v>
      </c>
    </row>
    <row r="254" spans="1:13" x14ac:dyDescent="0.3">
      <c r="A254">
        <v>252</v>
      </c>
      <c r="B254">
        <v>253</v>
      </c>
      <c r="C254" t="s">
        <v>287</v>
      </c>
      <c r="D254">
        <v>2019</v>
      </c>
      <c r="E254" t="s">
        <v>22</v>
      </c>
      <c r="F254" t="s">
        <v>278</v>
      </c>
      <c r="G254">
        <v>1</v>
      </c>
      <c r="H254">
        <v>0</v>
      </c>
      <c r="I254">
        <v>0</v>
      </c>
      <c r="J254">
        <v>0</v>
      </c>
      <c r="K254">
        <v>0</v>
      </c>
      <c r="L254">
        <f t="shared" si="6"/>
        <v>7.6</v>
      </c>
      <c r="M254">
        <f t="shared" si="7"/>
        <v>1</v>
      </c>
    </row>
    <row r="255" spans="1:13" x14ac:dyDescent="0.3">
      <c r="A255">
        <v>253</v>
      </c>
      <c r="B255">
        <v>254</v>
      </c>
      <c r="C255" t="s">
        <v>288</v>
      </c>
      <c r="D255">
        <v>2016</v>
      </c>
      <c r="F255" t="s">
        <v>278</v>
      </c>
      <c r="G255">
        <v>1</v>
      </c>
      <c r="H255">
        <v>0</v>
      </c>
      <c r="I255">
        <v>0</v>
      </c>
      <c r="J255">
        <v>0</v>
      </c>
      <c r="K255">
        <v>0</v>
      </c>
      <c r="L255">
        <f t="shared" si="6"/>
        <v>7.6</v>
      </c>
      <c r="M255">
        <f t="shared" si="7"/>
        <v>1</v>
      </c>
    </row>
    <row r="256" spans="1:13" x14ac:dyDescent="0.3">
      <c r="A256">
        <v>254</v>
      </c>
      <c r="B256">
        <v>255</v>
      </c>
      <c r="C256" t="s">
        <v>289</v>
      </c>
      <c r="D256">
        <v>2018</v>
      </c>
      <c r="E256" t="s">
        <v>11</v>
      </c>
      <c r="F256" t="s">
        <v>278</v>
      </c>
      <c r="G256">
        <v>1</v>
      </c>
      <c r="H256">
        <v>0</v>
      </c>
      <c r="I256">
        <v>0</v>
      </c>
      <c r="J256">
        <v>0</v>
      </c>
      <c r="K256">
        <v>0</v>
      </c>
      <c r="L256">
        <f t="shared" si="6"/>
        <v>7.6</v>
      </c>
      <c r="M256">
        <f t="shared" si="7"/>
        <v>1</v>
      </c>
    </row>
    <row r="257" spans="1:13" x14ac:dyDescent="0.3">
      <c r="A257">
        <v>255</v>
      </c>
      <c r="B257">
        <v>256</v>
      </c>
      <c r="C257" t="s">
        <v>290</v>
      </c>
      <c r="D257">
        <v>1988</v>
      </c>
      <c r="E257" t="s">
        <v>11</v>
      </c>
      <c r="F257" t="s">
        <v>278</v>
      </c>
      <c r="G257">
        <v>1</v>
      </c>
      <c r="H257">
        <v>0</v>
      </c>
      <c r="I257">
        <v>0</v>
      </c>
      <c r="J257">
        <v>0</v>
      </c>
      <c r="K257">
        <v>0</v>
      </c>
      <c r="L257">
        <f t="shared" si="6"/>
        <v>7.6</v>
      </c>
      <c r="M257">
        <f t="shared" si="7"/>
        <v>1</v>
      </c>
    </row>
    <row r="258" spans="1:13" x14ac:dyDescent="0.3">
      <c r="A258">
        <v>256</v>
      </c>
      <c r="B258">
        <v>257</v>
      </c>
      <c r="C258" t="s">
        <v>291</v>
      </c>
      <c r="D258">
        <v>2018</v>
      </c>
      <c r="E258" t="s">
        <v>22</v>
      </c>
      <c r="F258" t="s">
        <v>278</v>
      </c>
      <c r="G258">
        <v>1</v>
      </c>
      <c r="H258">
        <v>0</v>
      </c>
      <c r="I258">
        <v>0</v>
      </c>
      <c r="J258">
        <v>0</v>
      </c>
      <c r="K258">
        <v>0</v>
      </c>
      <c r="L258">
        <f t="shared" si="6"/>
        <v>7.6</v>
      </c>
      <c r="M258">
        <f t="shared" si="7"/>
        <v>1</v>
      </c>
    </row>
    <row r="259" spans="1:13" x14ac:dyDescent="0.3">
      <c r="A259">
        <v>257</v>
      </c>
      <c r="B259">
        <v>258</v>
      </c>
      <c r="C259" t="s">
        <v>292</v>
      </c>
      <c r="D259">
        <v>2016</v>
      </c>
      <c r="E259" t="s">
        <v>11</v>
      </c>
      <c r="F259" t="s">
        <v>278</v>
      </c>
      <c r="G259">
        <v>1</v>
      </c>
      <c r="H259">
        <v>0</v>
      </c>
      <c r="I259">
        <v>0</v>
      </c>
      <c r="J259">
        <v>0</v>
      </c>
      <c r="K259">
        <v>0</v>
      </c>
      <c r="L259">
        <f t="shared" ref="L259:L322" si="8">IFERROR(VALUE(LEFT(F259,FIND("/",F259)-1))/10,"")</f>
        <v>7.6</v>
      </c>
      <c r="M259">
        <f t="shared" ref="M259:M322" si="9">SUM(G259:J259)</f>
        <v>1</v>
      </c>
    </row>
    <row r="260" spans="1:13" x14ac:dyDescent="0.3">
      <c r="A260">
        <v>258</v>
      </c>
      <c r="B260">
        <v>259</v>
      </c>
      <c r="C260" t="s">
        <v>293</v>
      </c>
      <c r="D260">
        <v>2017</v>
      </c>
      <c r="E260" t="s">
        <v>11</v>
      </c>
      <c r="F260" t="s">
        <v>278</v>
      </c>
      <c r="G260">
        <v>1</v>
      </c>
      <c r="H260">
        <v>0</v>
      </c>
      <c r="I260">
        <v>0</v>
      </c>
      <c r="J260">
        <v>0</v>
      </c>
      <c r="K260">
        <v>0</v>
      </c>
      <c r="L260">
        <f t="shared" si="8"/>
        <v>7.6</v>
      </c>
      <c r="M260">
        <f t="shared" si="9"/>
        <v>1</v>
      </c>
    </row>
    <row r="261" spans="1:13" x14ac:dyDescent="0.3">
      <c r="A261">
        <v>259</v>
      </c>
      <c r="B261">
        <v>260</v>
      </c>
      <c r="C261" t="s">
        <v>294</v>
      </c>
      <c r="D261">
        <v>1999</v>
      </c>
      <c r="E261" t="s">
        <v>22</v>
      </c>
      <c r="F261" t="s">
        <v>278</v>
      </c>
      <c r="G261">
        <v>1</v>
      </c>
      <c r="H261">
        <v>0</v>
      </c>
      <c r="I261">
        <v>0</v>
      </c>
      <c r="J261">
        <v>0</v>
      </c>
      <c r="K261">
        <v>0</v>
      </c>
      <c r="L261">
        <f t="shared" si="8"/>
        <v>7.6</v>
      </c>
      <c r="M261">
        <f t="shared" si="9"/>
        <v>1</v>
      </c>
    </row>
    <row r="262" spans="1:13" x14ac:dyDescent="0.3">
      <c r="A262">
        <v>260</v>
      </c>
      <c r="B262">
        <v>261</v>
      </c>
      <c r="C262" t="s">
        <v>295</v>
      </c>
      <c r="D262">
        <v>2003</v>
      </c>
      <c r="E262" t="s">
        <v>11</v>
      </c>
      <c r="F262" t="s">
        <v>278</v>
      </c>
      <c r="G262">
        <v>1</v>
      </c>
      <c r="H262">
        <v>0</v>
      </c>
      <c r="I262">
        <v>0</v>
      </c>
      <c r="J262">
        <v>0</v>
      </c>
      <c r="K262">
        <v>0</v>
      </c>
      <c r="L262">
        <f t="shared" si="8"/>
        <v>7.6</v>
      </c>
      <c r="M262">
        <f t="shared" si="9"/>
        <v>1</v>
      </c>
    </row>
    <row r="263" spans="1:13" x14ac:dyDescent="0.3">
      <c r="A263">
        <v>261</v>
      </c>
      <c r="B263">
        <v>262</v>
      </c>
      <c r="C263" t="s">
        <v>296</v>
      </c>
      <c r="D263">
        <v>2016</v>
      </c>
      <c r="F263" t="s">
        <v>278</v>
      </c>
      <c r="G263">
        <v>1</v>
      </c>
      <c r="H263">
        <v>0</v>
      </c>
      <c r="I263">
        <v>0</v>
      </c>
      <c r="J263">
        <v>0</v>
      </c>
      <c r="K263">
        <v>0</v>
      </c>
      <c r="L263">
        <f t="shared" si="8"/>
        <v>7.6</v>
      </c>
      <c r="M263">
        <f t="shared" si="9"/>
        <v>1</v>
      </c>
    </row>
    <row r="264" spans="1:13" x14ac:dyDescent="0.3">
      <c r="A264">
        <v>262</v>
      </c>
      <c r="B264">
        <v>263</v>
      </c>
      <c r="C264" t="s">
        <v>297</v>
      </c>
      <c r="D264">
        <v>2004</v>
      </c>
      <c r="E264" t="s">
        <v>11</v>
      </c>
      <c r="F264" t="s">
        <v>278</v>
      </c>
      <c r="G264">
        <v>1</v>
      </c>
      <c r="H264">
        <v>0</v>
      </c>
      <c r="I264">
        <v>0</v>
      </c>
      <c r="J264">
        <v>0</v>
      </c>
      <c r="K264">
        <v>0</v>
      </c>
      <c r="L264">
        <f t="shared" si="8"/>
        <v>7.6</v>
      </c>
      <c r="M264">
        <f t="shared" si="9"/>
        <v>1</v>
      </c>
    </row>
    <row r="265" spans="1:13" x14ac:dyDescent="0.3">
      <c r="A265">
        <v>263</v>
      </c>
      <c r="B265">
        <v>264</v>
      </c>
      <c r="C265" t="s">
        <v>298</v>
      </c>
      <c r="D265">
        <v>2019</v>
      </c>
      <c r="E265" t="s">
        <v>22</v>
      </c>
      <c r="F265" t="s">
        <v>278</v>
      </c>
      <c r="G265">
        <v>1</v>
      </c>
      <c r="H265">
        <v>0</v>
      </c>
      <c r="I265">
        <v>0</v>
      </c>
      <c r="J265">
        <v>0</v>
      </c>
      <c r="K265">
        <v>0</v>
      </c>
      <c r="L265">
        <f t="shared" si="8"/>
        <v>7.6</v>
      </c>
      <c r="M265">
        <f t="shared" si="9"/>
        <v>1</v>
      </c>
    </row>
    <row r="266" spans="1:13" x14ac:dyDescent="0.3">
      <c r="A266">
        <v>264</v>
      </c>
      <c r="B266">
        <v>265</v>
      </c>
      <c r="C266" t="s">
        <v>299</v>
      </c>
      <c r="D266">
        <v>2019</v>
      </c>
      <c r="E266" t="s">
        <v>22</v>
      </c>
      <c r="F266" t="s">
        <v>278</v>
      </c>
      <c r="G266">
        <v>1</v>
      </c>
      <c r="H266">
        <v>0</v>
      </c>
      <c r="I266">
        <v>0</v>
      </c>
      <c r="J266">
        <v>0</v>
      </c>
      <c r="K266">
        <v>0</v>
      </c>
      <c r="L266">
        <f t="shared" si="8"/>
        <v>7.6</v>
      </c>
      <c r="M266">
        <f t="shared" si="9"/>
        <v>1</v>
      </c>
    </row>
    <row r="267" spans="1:13" x14ac:dyDescent="0.3">
      <c r="A267">
        <v>265</v>
      </c>
      <c r="B267">
        <v>266</v>
      </c>
      <c r="C267" t="s">
        <v>300</v>
      </c>
      <c r="D267">
        <v>2007</v>
      </c>
      <c r="F267" t="s">
        <v>278</v>
      </c>
      <c r="G267">
        <v>1</v>
      </c>
      <c r="H267">
        <v>0</v>
      </c>
      <c r="I267">
        <v>0</v>
      </c>
      <c r="J267">
        <v>0</v>
      </c>
      <c r="K267">
        <v>0</v>
      </c>
      <c r="L267">
        <f t="shared" si="8"/>
        <v>7.6</v>
      </c>
      <c r="M267">
        <f t="shared" si="9"/>
        <v>1</v>
      </c>
    </row>
    <row r="268" spans="1:13" x14ac:dyDescent="0.3">
      <c r="A268">
        <v>266</v>
      </c>
      <c r="B268">
        <v>267</v>
      </c>
      <c r="C268" t="s">
        <v>301</v>
      </c>
      <c r="D268">
        <v>2019</v>
      </c>
      <c r="E268" t="s">
        <v>11</v>
      </c>
      <c r="F268" t="s">
        <v>278</v>
      </c>
      <c r="G268">
        <v>1</v>
      </c>
      <c r="H268">
        <v>0</v>
      </c>
      <c r="I268">
        <v>0</v>
      </c>
      <c r="J268">
        <v>0</v>
      </c>
      <c r="K268">
        <v>0</v>
      </c>
      <c r="L268">
        <f t="shared" si="8"/>
        <v>7.6</v>
      </c>
      <c r="M268">
        <f t="shared" si="9"/>
        <v>1</v>
      </c>
    </row>
    <row r="269" spans="1:13" x14ac:dyDescent="0.3">
      <c r="A269">
        <v>267</v>
      </c>
      <c r="B269">
        <v>268</v>
      </c>
      <c r="C269" t="s">
        <v>302</v>
      </c>
      <c r="D269">
        <v>2017</v>
      </c>
      <c r="F269" t="s">
        <v>278</v>
      </c>
      <c r="G269">
        <v>1</v>
      </c>
      <c r="H269">
        <v>0</v>
      </c>
      <c r="I269">
        <v>0</v>
      </c>
      <c r="J269">
        <v>0</v>
      </c>
      <c r="K269">
        <v>0</v>
      </c>
      <c r="L269">
        <f t="shared" si="8"/>
        <v>7.6</v>
      </c>
      <c r="M269">
        <f t="shared" si="9"/>
        <v>1</v>
      </c>
    </row>
    <row r="270" spans="1:13" x14ac:dyDescent="0.3">
      <c r="A270">
        <v>268</v>
      </c>
      <c r="B270">
        <v>269</v>
      </c>
      <c r="C270" t="s">
        <v>303</v>
      </c>
      <c r="D270">
        <v>2017</v>
      </c>
      <c r="F270" t="s">
        <v>278</v>
      </c>
      <c r="G270">
        <v>1</v>
      </c>
      <c r="H270">
        <v>0</v>
      </c>
      <c r="I270">
        <v>0</v>
      </c>
      <c r="J270">
        <v>0</v>
      </c>
      <c r="K270">
        <v>0</v>
      </c>
      <c r="L270">
        <f t="shared" si="8"/>
        <v>7.6</v>
      </c>
      <c r="M270">
        <f t="shared" si="9"/>
        <v>1</v>
      </c>
    </row>
    <row r="271" spans="1:13" x14ac:dyDescent="0.3">
      <c r="A271">
        <v>269</v>
      </c>
      <c r="B271">
        <v>270</v>
      </c>
      <c r="C271" t="s">
        <v>304</v>
      </c>
      <c r="D271">
        <v>2015</v>
      </c>
      <c r="E271" t="s">
        <v>11</v>
      </c>
      <c r="F271" t="s">
        <v>278</v>
      </c>
      <c r="G271">
        <v>1</v>
      </c>
      <c r="H271">
        <v>0</v>
      </c>
      <c r="I271">
        <v>0</v>
      </c>
      <c r="J271">
        <v>0</v>
      </c>
      <c r="K271">
        <v>0</v>
      </c>
      <c r="L271">
        <f t="shared" si="8"/>
        <v>7.6</v>
      </c>
      <c r="M271">
        <f t="shared" si="9"/>
        <v>1</v>
      </c>
    </row>
    <row r="272" spans="1:13" x14ac:dyDescent="0.3">
      <c r="A272">
        <v>270</v>
      </c>
      <c r="B272">
        <v>271</v>
      </c>
      <c r="C272" t="s">
        <v>305</v>
      </c>
      <c r="D272">
        <v>2018</v>
      </c>
      <c r="E272" t="s">
        <v>14</v>
      </c>
      <c r="F272" t="s">
        <v>278</v>
      </c>
      <c r="G272">
        <v>1</v>
      </c>
      <c r="H272">
        <v>0</v>
      </c>
      <c r="I272">
        <v>0</v>
      </c>
      <c r="J272">
        <v>1</v>
      </c>
      <c r="K272">
        <v>0</v>
      </c>
      <c r="L272">
        <f t="shared" si="8"/>
        <v>7.6</v>
      </c>
      <c r="M272">
        <f t="shared" si="9"/>
        <v>2</v>
      </c>
    </row>
    <row r="273" spans="1:13" x14ac:dyDescent="0.3">
      <c r="A273">
        <v>271</v>
      </c>
      <c r="B273">
        <v>272</v>
      </c>
      <c r="C273" t="s">
        <v>306</v>
      </c>
      <c r="D273">
        <v>2016</v>
      </c>
      <c r="E273" t="s">
        <v>22</v>
      </c>
      <c r="F273" t="s">
        <v>278</v>
      </c>
      <c r="G273">
        <v>1</v>
      </c>
      <c r="H273">
        <v>0</v>
      </c>
      <c r="I273">
        <v>0</v>
      </c>
      <c r="J273">
        <v>0</v>
      </c>
      <c r="K273">
        <v>0</v>
      </c>
      <c r="L273">
        <f t="shared" si="8"/>
        <v>7.6</v>
      </c>
      <c r="M273">
        <f t="shared" si="9"/>
        <v>1</v>
      </c>
    </row>
    <row r="274" spans="1:13" x14ac:dyDescent="0.3">
      <c r="A274">
        <v>272</v>
      </c>
      <c r="B274">
        <v>273</v>
      </c>
      <c r="C274" t="s">
        <v>307</v>
      </c>
      <c r="D274">
        <v>2013</v>
      </c>
      <c r="E274" t="s">
        <v>11</v>
      </c>
      <c r="F274" t="s">
        <v>278</v>
      </c>
      <c r="G274">
        <v>1</v>
      </c>
      <c r="H274">
        <v>0</v>
      </c>
      <c r="I274">
        <v>0</v>
      </c>
      <c r="J274">
        <v>0</v>
      </c>
      <c r="K274">
        <v>0</v>
      </c>
      <c r="L274">
        <f t="shared" si="8"/>
        <v>7.6</v>
      </c>
      <c r="M274">
        <f t="shared" si="9"/>
        <v>1</v>
      </c>
    </row>
    <row r="275" spans="1:13" x14ac:dyDescent="0.3">
      <c r="A275">
        <v>273</v>
      </c>
      <c r="B275">
        <v>274</v>
      </c>
      <c r="C275" t="s">
        <v>308</v>
      </c>
      <c r="D275">
        <v>2006</v>
      </c>
      <c r="E275" t="s">
        <v>22</v>
      </c>
      <c r="F275" t="s">
        <v>278</v>
      </c>
      <c r="G275">
        <v>1</v>
      </c>
      <c r="H275">
        <v>0</v>
      </c>
      <c r="I275">
        <v>0</v>
      </c>
      <c r="J275">
        <v>0</v>
      </c>
      <c r="K275">
        <v>0</v>
      </c>
      <c r="L275">
        <f t="shared" si="8"/>
        <v>7.6</v>
      </c>
      <c r="M275">
        <f t="shared" si="9"/>
        <v>1</v>
      </c>
    </row>
    <row r="276" spans="1:13" x14ac:dyDescent="0.3">
      <c r="A276">
        <v>274</v>
      </c>
      <c r="B276">
        <v>275</v>
      </c>
      <c r="C276" t="s">
        <v>309</v>
      </c>
      <c r="D276">
        <v>2009</v>
      </c>
      <c r="E276" t="s">
        <v>22</v>
      </c>
      <c r="F276" t="s">
        <v>278</v>
      </c>
      <c r="G276">
        <v>1</v>
      </c>
      <c r="H276">
        <v>0</v>
      </c>
      <c r="I276">
        <v>0</v>
      </c>
      <c r="J276">
        <v>0</v>
      </c>
      <c r="K276">
        <v>0</v>
      </c>
      <c r="L276">
        <f t="shared" si="8"/>
        <v>7.6</v>
      </c>
      <c r="M276">
        <f t="shared" si="9"/>
        <v>1</v>
      </c>
    </row>
    <row r="277" spans="1:13" x14ac:dyDescent="0.3">
      <c r="A277">
        <v>275</v>
      </c>
      <c r="B277">
        <v>276</v>
      </c>
      <c r="C277" t="s">
        <v>310</v>
      </c>
      <c r="D277">
        <v>2009</v>
      </c>
      <c r="E277" t="s">
        <v>22</v>
      </c>
      <c r="F277" t="s">
        <v>278</v>
      </c>
      <c r="G277">
        <v>1</v>
      </c>
      <c r="H277">
        <v>0</v>
      </c>
      <c r="I277">
        <v>0</v>
      </c>
      <c r="J277">
        <v>0</v>
      </c>
      <c r="K277">
        <v>0</v>
      </c>
      <c r="L277">
        <f t="shared" si="8"/>
        <v>7.6</v>
      </c>
      <c r="M277">
        <f t="shared" si="9"/>
        <v>1</v>
      </c>
    </row>
    <row r="278" spans="1:13" x14ac:dyDescent="0.3">
      <c r="A278">
        <v>276</v>
      </c>
      <c r="B278">
        <v>277</v>
      </c>
      <c r="C278" t="s">
        <v>311</v>
      </c>
      <c r="D278">
        <v>1976</v>
      </c>
      <c r="E278" t="s">
        <v>14</v>
      </c>
      <c r="F278" t="s">
        <v>278</v>
      </c>
      <c r="G278">
        <v>1</v>
      </c>
      <c r="H278">
        <v>0</v>
      </c>
      <c r="I278">
        <v>0</v>
      </c>
      <c r="J278">
        <v>0</v>
      </c>
      <c r="K278">
        <v>0</v>
      </c>
      <c r="L278">
        <f t="shared" si="8"/>
        <v>7.6</v>
      </c>
      <c r="M278">
        <f t="shared" si="9"/>
        <v>1</v>
      </c>
    </row>
    <row r="279" spans="1:13" x14ac:dyDescent="0.3">
      <c r="A279">
        <v>277</v>
      </c>
      <c r="B279">
        <v>278</v>
      </c>
      <c r="C279" t="s">
        <v>312</v>
      </c>
      <c r="D279">
        <v>2008</v>
      </c>
      <c r="E279" t="s">
        <v>11</v>
      </c>
      <c r="F279" t="s">
        <v>278</v>
      </c>
      <c r="G279">
        <v>1</v>
      </c>
      <c r="H279">
        <v>0</v>
      </c>
      <c r="I279">
        <v>0</v>
      </c>
      <c r="J279">
        <v>0</v>
      </c>
      <c r="K279">
        <v>0</v>
      </c>
      <c r="L279">
        <f t="shared" si="8"/>
        <v>7.6</v>
      </c>
      <c r="M279">
        <f t="shared" si="9"/>
        <v>1</v>
      </c>
    </row>
    <row r="280" spans="1:13" x14ac:dyDescent="0.3">
      <c r="A280">
        <v>278</v>
      </c>
      <c r="B280">
        <v>279</v>
      </c>
      <c r="C280" t="s">
        <v>313</v>
      </c>
      <c r="D280">
        <v>2016</v>
      </c>
      <c r="E280" t="s">
        <v>11</v>
      </c>
      <c r="F280" t="s">
        <v>278</v>
      </c>
      <c r="G280">
        <v>1</v>
      </c>
      <c r="H280">
        <v>0</v>
      </c>
      <c r="I280">
        <v>0</v>
      </c>
      <c r="J280">
        <v>0</v>
      </c>
      <c r="K280">
        <v>0</v>
      </c>
      <c r="L280">
        <f t="shared" si="8"/>
        <v>7.6</v>
      </c>
      <c r="M280">
        <f t="shared" si="9"/>
        <v>1</v>
      </c>
    </row>
    <row r="281" spans="1:13" x14ac:dyDescent="0.3">
      <c r="A281">
        <v>279</v>
      </c>
      <c r="B281">
        <v>280</v>
      </c>
      <c r="C281" t="s">
        <v>314</v>
      </c>
      <c r="D281">
        <v>2011</v>
      </c>
      <c r="E281" t="s">
        <v>22</v>
      </c>
      <c r="F281" t="s">
        <v>315</v>
      </c>
      <c r="G281">
        <v>1</v>
      </c>
      <c r="H281">
        <v>0</v>
      </c>
      <c r="I281">
        <v>0</v>
      </c>
      <c r="J281">
        <v>0</v>
      </c>
      <c r="K281">
        <v>0</v>
      </c>
      <c r="L281">
        <f t="shared" si="8"/>
        <v>7.5</v>
      </c>
      <c r="M281">
        <f t="shared" si="9"/>
        <v>1</v>
      </c>
    </row>
    <row r="282" spans="1:13" x14ac:dyDescent="0.3">
      <c r="A282">
        <v>280</v>
      </c>
      <c r="B282">
        <v>281</v>
      </c>
      <c r="C282" t="s">
        <v>316</v>
      </c>
      <c r="D282">
        <v>2019</v>
      </c>
      <c r="E282" t="s">
        <v>11</v>
      </c>
      <c r="F282" t="s">
        <v>315</v>
      </c>
      <c r="G282">
        <v>1</v>
      </c>
      <c r="H282">
        <v>0</v>
      </c>
      <c r="I282">
        <v>0</v>
      </c>
      <c r="J282">
        <v>0</v>
      </c>
      <c r="K282">
        <v>0</v>
      </c>
      <c r="L282">
        <f t="shared" si="8"/>
        <v>7.5</v>
      </c>
      <c r="M282">
        <f t="shared" si="9"/>
        <v>1</v>
      </c>
    </row>
    <row r="283" spans="1:13" x14ac:dyDescent="0.3">
      <c r="A283">
        <v>281</v>
      </c>
      <c r="B283">
        <v>282</v>
      </c>
      <c r="C283" t="s">
        <v>317</v>
      </c>
      <c r="D283">
        <v>2020</v>
      </c>
      <c r="E283" t="s">
        <v>22</v>
      </c>
      <c r="F283" t="s">
        <v>315</v>
      </c>
      <c r="G283">
        <v>1</v>
      </c>
      <c r="H283">
        <v>0</v>
      </c>
      <c r="I283">
        <v>0</v>
      </c>
      <c r="J283">
        <v>0</v>
      </c>
      <c r="K283">
        <v>0</v>
      </c>
      <c r="L283">
        <f t="shared" si="8"/>
        <v>7.5</v>
      </c>
      <c r="M283">
        <f t="shared" si="9"/>
        <v>1</v>
      </c>
    </row>
    <row r="284" spans="1:13" x14ac:dyDescent="0.3">
      <c r="A284">
        <v>282</v>
      </c>
      <c r="B284">
        <v>283</v>
      </c>
      <c r="C284" t="s">
        <v>318</v>
      </c>
      <c r="D284">
        <v>2019</v>
      </c>
      <c r="F284" t="s">
        <v>315</v>
      </c>
      <c r="G284">
        <v>1</v>
      </c>
      <c r="H284">
        <v>0</v>
      </c>
      <c r="I284">
        <v>0</v>
      </c>
      <c r="J284">
        <v>0</v>
      </c>
      <c r="K284">
        <v>0</v>
      </c>
      <c r="L284">
        <f t="shared" si="8"/>
        <v>7.5</v>
      </c>
      <c r="M284">
        <f t="shared" si="9"/>
        <v>1</v>
      </c>
    </row>
    <row r="285" spans="1:13" x14ac:dyDescent="0.3">
      <c r="A285">
        <v>283</v>
      </c>
      <c r="B285">
        <v>284</v>
      </c>
      <c r="C285" t="s">
        <v>319</v>
      </c>
      <c r="D285">
        <v>2016</v>
      </c>
      <c r="F285" t="s">
        <v>315</v>
      </c>
      <c r="G285">
        <v>1</v>
      </c>
      <c r="H285">
        <v>0</v>
      </c>
      <c r="I285">
        <v>0</v>
      </c>
      <c r="J285">
        <v>0</v>
      </c>
      <c r="K285">
        <v>0</v>
      </c>
      <c r="L285">
        <f t="shared" si="8"/>
        <v>7.5</v>
      </c>
      <c r="M285">
        <f t="shared" si="9"/>
        <v>1</v>
      </c>
    </row>
    <row r="286" spans="1:13" x14ac:dyDescent="0.3">
      <c r="A286">
        <v>284</v>
      </c>
      <c r="B286">
        <v>285</v>
      </c>
      <c r="C286" t="s">
        <v>320</v>
      </c>
      <c r="D286">
        <v>1964</v>
      </c>
      <c r="E286" t="s">
        <v>36</v>
      </c>
      <c r="F286" t="s">
        <v>315</v>
      </c>
      <c r="G286">
        <v>1</v>
      </c>
      <c r="H286">
        <v>0</v>
      </c>
      <c r="I286">
        <v>0</v>
      </c>
      <c r="J286">
        <v>0</v>
      </c>
      <c r="K286">
        <v>0</v>
      </c>
      <c r="L286">
        <f t="shared" si="8"/>
        <v>7.5</v>
      </c>
      <c r="M286">
        <f t="shared" si="9"/>
        <v>1</v>
      </c>
    </row>
    <row r="287" spans="1:13" x14ac:dyDescent="0.3">
      <c r="A287">
        <v>285</v>
      </c>
      <c r="B287">
        <v>286</v>
      </c>
      <c r="C287" t="s">
        <v>321</v>
      </c>
      <c r="D287">
        <v>2019</v>
      </c>
      <c r="E287" t="s">
        <v>11</v>
      </c>
      <c r="F287" t="s">
        <v>315</v>
      </c>
      <c r="G287">
        <v>1</v>
      </c>
      <c r="H287">
        <v>0</v>
      </c>
      <c r="I287">
        <v>0</v>
      </c>
      <c r="J287">
        <v>0</v>
      </c>
      <c r="K287">
        <v>0</v>
      </c>
      <c r="L287">
        <f t="shared" si="8"/>
        <v>7.5</v>
      </c>
      <c r="M287">
        <f t="shared" si="9"/>
        <v>1</v>
      </c>
    </row>
    <row r="288" spans="1:13" x14ac:dyDescent="0.3">
      <c r="A288">
        <v>286</v>
      </c>
      <c r="B288">
        <v>287</v>
      </c>
      <c r="C288" t="s">
        <v>322</v>
      </c>
      <c r="D288">
        <v>2018</v>
      </c>
      <c r="E288" t="s">
        <v>11</v>
      </c>
      <c r="F288" t="s">
        <v>315</v>
      </c>
      <c r="G288">
        <v>1</v>
      </c>
      <c r="H288">
        <v>0</v>
      </c>
      <c r="I288">
        <v>0</v>
      </c>
      <c r="J288">
        <v>0</v>
      </c>
      <c r="K288">
        <v>0</v>
      </c>
      <c r="L288">
        <f t="shared" si="8"/>
        <v>7.5</v>
      </c>
      <c r="M288">
        <f t="shared" si="9"/>
        <v>1</v>
      </c>
    </row>
    <row r="289" spans="1:13" x14ac:dyDescent="0.3">
      <c r="A289">
        <v>287</v>
      </c>
      <c r="B289">
        <v>288</v>
      </c>
      <c r="C289" t="s">
        <v>323</v>
      </c>
      <c r="D289">
        <v>2021</v>
      </c>
      <c r="E289" t="s">
        <v>22</v>
      </c>
      <c r="F289" t="s">
        <v>315</v>
      </c>
      <c r="G289">
        <v>1</v>
      </c>
      <c r="H289">
        <v>0</v>
      </c>
      <c r="I289">
        <v>0</v>
      </c>
      <c r="J289">
        <v>0</v>
      </c>
      <c r="K289">
        <v>0</v>
      </c>
      <c r="L289">
        <f t="shared" si="8"/>
        <v>7.5</v>
      </c>
      <c r="M289">
        <f t="shared" si="9"/>
        <v>1</v>
      </c>
    </row>
    <row r="290" spans="1:13" x14ac:dyDescent="0.3">
      <c r="A290">
        <v>288</v>
      </c>
      <c r="B290">
        <v>289</v>
      </c>
      <c r="C290" t="s">
        <v>324</v>
      </c>
      <c r="D290">
        <v>2001</v>
      </c>
      <c r="E290" t="s">
        <v>22</v>
      </c>
      <c r="F290" t="s">
        <v>315</v>
      </c>
      <c r="G290">
        <v>1</v>
      </c>
      <c r="H290">
        <v>0</v>
      </c>
      <c r="I290">
        <v>0</v>
      </c>
      <c r="J290">
        <v>0</v>
      </c>
      <c r="K290">
        <v>0</v>
      </c>
      <c r="L290">
        <f t="shared" si="8"/>
        <v>7.5</v>
      </c>
      <c r="M290">
        <f t="shared" si="9"/>
        <v>1</v>
      </c>
    </row>
    <row r="291" spans="1:13" x14ac:dyDescent="0.3">
      <c r="A291">
        <v>289</v>
      </c>
      <c r="B291">
        <v>290</v>
      </c>
      <c r="C291" t="s">
        <v>325</v>
      </c>
      <c r="D291">
        <v>2015</v>
      </c>
      <c r="E291" t="s">
        <v>11</v>
      </c>
      <c r="F291" t="s">
        <v>315</v>
      </c>
      <c r="G291">
        <v>1</v>
      </c>
      <c r="H291">
        <v>0</v>
      </c>
      <c r="I291">
        <v>0</v>
      </c>
      <c r="J291">
        <v>0</v>
      </c>
      <c r="K291">
        <v>0</v>
      </c>
      <c r="L291">
        <f t="shared" si="8"/>
        <v>7.5</v>
      </c>
      <c r="M291">
        <f t="shared" si="9"/>
        <v>1</v>
      </c>
    </row>
    <row r="292" spans="1:13" x14ac:dyDescent="0.3">
      <c r="A292">
        <v>290</v>
      </c>
      <c r="B292">
        <v>291</v>
      </c>
      <c r="C292" t="s">
        <v>326</v>
      </c>
      <c r="D292">
        <v>2016</v>
      </c>
      <c r="F292" t="s">
        <v>315</v>
      </c>
      <c r="G292">
        <v>1</v>
      </c>
      <c r="H292">
        <v>0</v>
      </c>
      <c r="I292">
        <v>0</v>
      </c>
      <c r="J292">
        <v>0</v>
      </c>
      <c r="K292">
        <v>0</v>
      </c>
      <c r="L292">
        <f t="shared" si="8"/>
        <v>7.5</v>
      </c>
      <c r="M292">
        <f t="shared" si="9"/>
        <v>1</v>
      </c>
    </row>
    <row r="293" spans="1:13" x14ac:dyDescent="0.3">
      <c r="A293">
        <v>291</v>
      </c>
      <c r="B293">
        <v>292</v>
      </c>
      <c r="C293" t="s">
        <v>327</v>
      </c>
      <c r="D293">
        <v>2018</v>
      </c>
      <c r="E293" t="s">
        <v>28</v>
      </c>
      <c r="F293" t="s">
        <v>315</v>
      </c>
      <c r="G293">
        <v>1</v>
      </c>
      <c r="H293">
        <v>0</v>
      </c>
      <c r="I293">
        <v>0</v>
      </c>
      <c r="J293">
        <v>0</v>
      </c>
      <c r="K293">
        <v>0</v>
      </c>
      <c r="L293">
        <f t="shared" si="8"/>
        <v>7.5</v>
      </c>
      <c r="M293">
        <f t="shared" si="9"/>
        <v>1</v>
      </c>
    </row>
    <row r="294" spans="1:13" x14ac:dyDescent="0.3">
      <c r="A294">
        <v>292</v>
      </c>
      <c r="B294">
        <v>293</v>
      </c>
      <c r="C294" t="s">
        <v>328</v>
      </c>
      <c r="D294">
        <v>2016</v>
      </c>
      <c r="F294" t="s">
        <v>315</v>
      </c>
      <c r="G294">
        <v>1</v>
      </c>
      <c r="H294">
        <v>0</v>
      </c>
      <c r="I294">
        <v>0</v>
      </c>
      <c r="J294">
        <v>0</v>
      </c>
      <c r="K294">
        <v>0</v>
      </c>
      <c r="L294">
        <f t="shared" si="8"/>
        <v>7.5</v>
      </c>
      <c r="M294">
        <f t="shared" si="9"/>
        <v>1</v>
      </c>
    </row>
    <row r="295" spans="1:13" x14ac:dyDescent="0.3">
      <c r="A295">
        <v>293</v>
      </c>
      <c r="B295">
        <v>294</v>
      </c>
      <c r="C295" t="s">
        <v>329</v>
      </c>
      <c r="D295">
        <v>2014</v>
      </c>
      <c r="F295" t="s">
        <v>315</v>
      </c>
      <c r="G295">
        <v>1</v>
      </c>
      <c r="H295">
        <v>0</v>
      </c>
      <c r="I295">
        <v>0</v>
      </c>
      <c r="J295">
        <v>0</v>
      </c>
      <c r="K295">
        <v>0</v>
      </c>
      <c r="L295">
        <f t="shared" si="8"/>
        <v>7.5</v>
      </c>
      <c r="M295">
        <f t="shared" si="9"/>
        <v>1</v>
      </c>
    </row>
    <row r="296" spans="1:13" x14ac:dyDescent="0.3">
      <c r="A296">
        <v>294</v>
      </c>
      <c r="B296">
        <v>295</v>
      </c>
      <c r="C296" t="s">
        <v>330</v>
      </c>
      <c r="D296">
        <v>2018</v>
      </c>
      <c r="E296" t="s">
        <v>11</v>
      </c>
      <c r="F296" t="s">
        <v>315</v>
      </c>
      <c r="G296">
        <v>1</v>
      </c>
      <c r="H296">
        <v>0</v>
      </c>
      <c r="I296">
        <v>0</v>
      </c>
      <c r="J296">
        <v>0</v>
      </c>
      <c r="K296">
        <v>0</v>
      </c>
      <c r="L296">
        <f t="shared" si="8"/>
        <v>7.5</v>
      </c>
      <c r="M296">
        <f t="shared" si="9"/>
        <v>1</v>
      </c>
    </row>
    <row r="297" spans="1:13" x14ac:dyDescent="0.3">
      <c r="A297">
        <v>295</v>
      </c>
      <c r="B297">
        <v>296</v>
      </c>
      <c r="C297" t="s">
        <v>331</v>
      </c>
      <c r="D297">
        <v>2013</v>
      </c>
      <c r="E297" t="s">
        <v>22</v>
      </c>
      <c r="F297" t="s">
        <v>315</v>
      </c>
      <c r="G297">
        <v>1</v>
      </c>
      <c r="H297">
        <v>0</v>
      </c>
      <c r="I297">
        <v>0</v>
      </c>
      <c r="J297">
        <v>0</v>
      </c>
      <c r="K297">
        <v>0</v>
      </c>
      <c r="L297">
        <f t="shared" si="8"/>
        <v>7.5</v>
      </c>
      <c r="M297">
        <f t="shared" si="9"/>
        <v>1</v>
      </c>
    </row>
    <row r="298" spans="1:13" x14ac:dyDescent="0.3">
      <c r="A298">
        <v>296</v>
      </c>
      <c r="B298">
        <v>297</v>
      </c>
      <c r="C298" t="s">
        <v>332</v>
      </c>
      <c r="D298">
        <v>2017</v>
      </c>
      <c r="E298" t="s">
        <v>28</v>
      </c>
      <c r="F298" t="s">
        <v>315</v>
      </c>
      <c r="G298">
        <v>1</v>
      </c>
      <c r="H298">
        <v>0</v>
      </c>
      <c r="I298">
        <v>0</v>
      </c>
      <c r="J298">
        <v>0</v>
      </c>
      <c r="K298">
        <v>0</v>
      </c>
      <c r="L298">
        <f t="shared" si="8"/>
        <v>7.5</v>
      </c>
      <c r="M298">
        <f t="shared" si="9"/>
        <v>1</v>
      </c>
    </row>
    <row r="299" spans="1:13" x14ac:dyDescent="0.3">
      <c r="A299">
        <v>297</v>
      </c>
      <c r="B299">
        <v>298</v>
      </c>
      <c r="C299" t="s">
        <v>333</v>
      </c>
      <c r="D299">
        <v>1997</v>
      </c>
      <c r="E299" t="s">
        <v>11</v>
      </c>
      <c r="F299" t="s">
        <v>315</v>
      </c>
      <c r="G299">
        <v>1</v>
      </c>
      <c r="H299">
        <v>0</v>
      </c>
      <c r="I299">
        <v>0</v>
      </c>
      <c r="J299">
        <v>0</v>
      </c>
      <c r="K299">
        <v>0</v>
      </c>
      <c r="L299">
        <f t="shared" si="8"/>
        <v>7.5</v>
      </c>
      <c r="M299">
        <f t="shared" si="9"/>
        <v>1</v>
      </c>
    </row>
    <row r="300" spans="1:13" x14ac:dyDescent="0.3">
      <c r="A300">
        <v>298</v>
      </c>
      <c r="B300">
        <v>299</v>
      </c>
      <c r="C300" t="s">
        <v>334</v>
      </c>
      <c r="D300">
        <v>2017</v>
      </c>
      <c r="E300" t="s">
        <v>11</v>
      </c>
      <c r="F300" t="s">
        <v>315</v>
      </c>
      <c r="G300">
        <v>1</v>
      </c>
      <c r="H300">
        <v>0</v>
      </c>
      <c r="I300">
        <v>0</v>
      </c>
      <c r="J300">
        <v>0</v>
      </c>
      <c r="K300">
        <v>0</v>
      </c>
      <c r="L300">
        <f t="shared" si="8"/>
        <v>7.5</v>
      </c>
      <c r="M300">
        <f t="shared" si="9"/>
        <v>1</v>
      </c>
    </row>
    <row r="301" spans="1:13" x14ac:dyDescent="0.3">
      <c r="A301">
        <v>299</v>
      </c>
      <c r="B301">
        <v>300</v>
      </c>
      <c r="C301" t="s">
        <v>335</v>
      </c>
      <c r="D301">
        <v>1998</v>
      </c>
      <c r="E301" t="s">
        <v>22</v>
      </c>
      <c r="F301" t="s">
        <v>315</v>
      </c>
      <c r="G301">
        <v>1</v>
      </c>
      <c r="H301">
        <v>0</v>
      </c>
      <c r="I301">
        <v>0</v>
      </c>
      <c r="J301">
        <v>0</v>
      </c>
      <c r="K301">
        <v>0</v>
      </c>
      <c r="L301">
        <f t="shared" si="8"/>
        <v>7.5</v>
      </c>
      <c r="M301">
        <f t="shared" si="9"/>
        <v>1</v>
      </c>
    </row>
    <row r="302" spans="1:13" x14ac:dyDescent="0.3">
      <c r="A302">
        <v>300</v>
      </c>
      <c r="B302">
        <v>301</v>
      </c>
      <c r="C302" t="s">
        <v>336</v>
      </c>
      <c r="D302">
        <v>2019</v>
      </c>
      <c r="E302" t="s">
        <v>11</v>
      </c>
      <c r="F302" t="s">
        <v>315</v>
      </c>
      <c r="G302">
        <v>1</v>
      </c>
      <c r="H302">
        <v>0</v>
      </c>
      <c r="I302">
        <v>0</v>
      </c>
      <c r="J302">
        <v>0</v>
      </c>
      <c r="K302">
        <v>0</v>
      </c>
      <c r="L302">
        <f t="shared" si="8"/>
        <v>7.5</v>
      </c>
      <c r="M302">
        <f t="shared" si="9"/>
        <v>1</v>
      </c>
    </row>
    <row r="303" spans="1:13" x14ac:dyDescent="0.3">
      <c r="A303">
        <v>301</v>
      </c>
      <c r="B303">
        <v>302</v>
      </c>
      <c r="C303" t="s">
        <v>337</v>
      </c>
      <c r="D303">
        <v>2015</v>
      </c>
      <c r="E303" t="s">
        <v>11</v>
      </c>
      <c r="F303" t="s">
        <v>315</v>
      </c>
      <c r="G303">
        <v>1</v>
      </c>
      <c r="H303">
        <v>0</v>
      </c>
      <c r="I303">
        <v>0</v>
      </c>
      <c r="J303">
        <v>0</v>
      </c>
      <c r="K303">
        <v>0</v>
      </c>
      <c r="L303">
        <f t="shared" si="8"/>
        <v>7.5</v>
      </c>
      <c r="M303">
        <f t="shared" si="9"/>
        <v>1</v>
      </c>
    </row>
    <row r="304" spans="1:13" x14ac:dyDescent="0.3">
      <c r="A304">
        <v>302</v>
      </c>
      <c r="B304">
        <v>303</v>
      </c>
      <c r="C304" t="s">
        <v>338</v>
      </c>
      <c r="D304">
        <v>2004</v>
      </c>
      <c r="E304" t="s">
        <v>14</v>
      </c>
      <c r="F304" t="s">
        <v>315</v>
      </c>
      <c r="G304">
        <v>1</v>
      </c>
      <c r="H304">
        <v>0</v>
      </c>
      <c r="I304">
        <v>0</v>
      </c>
      <c r="J304">
        <v>0</v>
      </c>
      <c r="K304">
        <v>0</v>
      </c>
      <c r="L304">
        <f t="shared" si="8"/>
        <v>7.5</v>
      </c>
      <c r="M304">
        <f t="shared" si="9"/>
        <v>1</v>
      </c>
    </row>
    <row r="305" spans="1:13" x14ac:dyDescent="0.3">
      <c r="A305">
        <v>303</v>
      </c>
      <c r="B305">
        <v>304</v>
      </c>
      <c r="C305" t="s">
        <v>339</v>
      </c>
      <c r="D305">
        <v>2019</v>
      </c>
      <c r="E305" t="s">
        <v>11</v>
      </c>
      <c r="F305" t="s">
        <v>315</v>
      </c>
      <c r="G305">
        <v>1</v>
      </c>
      <c r="H305">
        <v>0</v>
      </c>
      <c r="I305">
        <v>0</v>
      </c>
      <c r="J305">
        <v>0</v>
      </c>
      <c r="K305">
        <v>0</v>
      </c>
      <c r="L305">
        <f t="shared" si="8"/>
        <v>7.5</v>
      </c>
      <c r="M305">
        <f t="shared" si="9"/>
        <v>1</v>
      </c>
    </row>
    <row r="306" spans="1:13" x14ac:dyDescent="0.3">
      <c r="A306">
        <v>304</v>
      </c>
      <c r="B306">
        <v>305</v>
      </c>
      <c r="C306" t="s">
        <v>340</v>
      </c>
      <c r="D306">
        <v>2018</v>
      </c>
      <c r="E306" t="s">
        <v>11</v>
      </c>
      <c r="F306" t="s">
        <v>315</v>
      </c>
      <c r="G306">
        <v>1</v>
      </c>
      <c r="H306">
        <v>0</v>
      </c>
      <c r="I306">
        <v>0</v>
      </c>
      <c r="J306">
        <v>0</v>
      </c>
      <c r="K306">
        <v>0</v>
      </c>
      <c r="L306">
        <f t="shared" si="8"/>
        <v>7.5</v>
      </c>
      <c r="M306">
        <f t="shared" si="9"/>
        <v>1</v>
      </c>
    </row>
    <row r="307" spans="1:13" x14ac:dyDescent="0.3">
      <c r="A307">
        <v>305</v>
      </c>
      <c r="B307">
        <v>306</v>
      </c>
      <c r="C307" t="s">
        <v>341</v>
      </c>
      <c r="D307">
        <v>2021</v>
      </c>
      <c r="E307" t="s">
        <v>11</v>
      </c>
      <c r="F307" t="s">
        <v>315</v>
      </c>
      <c r="G307">
        <v>1</v>
      </c>
      <c r="H307">
        <v>0</v>
      </c>
      <c r="I307">
        <v>0</v>
      </c>
      <c r="J307">
        <v>0</v>
      </c>
      <c r="K307">
        <v>0</v>
      </c>
      <c r="L307">
        <f t="shared" si="8"/>
        <v>7.5</v>
      </c>
      <c r="M307">
        <f t="shared" si="9"/>
        <v>1</v>
      </c>
    </row>
    <row r="308" spans="1:13" x14ac:dyDescent="0.3">
      <c r="A308">
        <v>306</v>
      </c>
      <c r="B308">
        <v>307</v>
      </c>
      <c r="C308" t="s">
        <v>342</v>
      </c>
      <c r="D308">
        <v>2012</v>
      </c>
      <c r="E308" t="s">
        <v>14</v>
      </c>
      <c r="F308" t="s">
        <v>315</v>
      </c>
      <c r="G308">
        <v>1</v>
      </c>
      <c r="H308">
        <v>0</v>
      </c>
      <c r="I308">
        <v>0</v>
      </c>
      <c r="J308">
        <v>0</v>
      </c>
      <c r="K308">
        <v>0</v>
      </c>
      <c r="L308">
        <f t="shared" si="8"/>
        <v>7.5</v>
      </c>
      <c r="M308">
        <f t="shared" si="9"/>
        <v>1</v>
      </c>
    </row>
    <row r="309" spans="1:13" x14ac:dyDescent="0.3">
      <c r="A309">
        <v>307</v>
      </c>
      <c r="B309">
        <v>308</v>
      </c>
      <c r="C309" t="s">
        <v>343</v>
      </c>
      <c r="D309">
        <v>2017</v>
      </c>
      <c r="E309" t="s">
        <v>11</v>
      </c>
      <c r="F309" t="s">
        <v>315</v>
      </c>
      <c r="G309">
        <v>1</v>
      </c>
      <c r="H309">
        <v>0</v>
      </c>
      <c r="I309">
        <v>0</v>
      </c>
      <c r="J309">
        <v>0</v>
      </c>
      <c r="K309">
        <v>0</v>
      </c>
      <c r="L309">
        <f t="shared" si="8"/>
        <v>7.5</v>
      </c>
      <c r="M309">
        <f t="shared" si="9"/>
        <v>1</v>
      </c>
    </row>
    <row r="310" spans="1:13" x14ac:dyDescent="0.3">
      <c r="A310">
        <v>308</v>
      </c>
      <c r="B310">
        <v>309</v>
      </c>
      <c r="C310" t="s">
        <v>344</v>
      </c>
      <c r="D310">
        <v>2016</v>
      </c>
      <c r="E310" t="s">
        <v>22</v>
      </c>
      <c r="F310" t="s">
        <v>315</v>
      </c>
      <c r="G310">
        <v>1</v>
      </c>
      <c r="H310">
        <v>0</v>
      </c>
      <c r="I310">
        <v>0</v>
      </c>
      <c r="J310">
        <v>0</v>
      </c>
      <c r="K310">
        <v>0</v>
      </c>
      <c r="L310">
        <f t="shared" si="8"/>
        <v>7.5</v>
      </c>
      <c r="M310">
        <f t="shared" si="9"/>
        <v>1</v>
      </c>
    </row>
    <row r="311" spans="1:13" x14ac:dyDescent="0.3">
      <c r="A311">
        <v>309</v>
      </c>
      <c r="B311">
        <v>310</v>
      </c>
      <c r="C311" t="s">
        <v>345</v>
      </c>
      <c r="D311">
        <v>2015</v>
      </c>
      <c r="E311" t="s">
        <v>11</v>
      </c>
      <c r="F311" t="s">
        <v>315</v>
      </c>
      <c r="G311">
        <v>1</v>
      </c>
      <c r="H311">
        <v>0</v>
      </c>
      <c r="I311">
        <v>0</v>
      </c>
      <c r="J311">
        <v>0</v>
      </c>
      <c r="K311">
        <v>0</v>
      </c>
      <c r="L311">
        <f t="shared" si="8"/>
        <v>7.5</v>
      </c>
      <c r="M311">
        <f t="shared" si="9"/>
        <v>1</v>
      </c>
    </row>
    <row r="312" spans="1:13" x14ac:dyDescent="0.3">
      <c r="A312">
        <v>310</v>
      </c>
      <c r="B312">
        <v>311</v>
      </c>
      <c r="C312" t="s">
        <v>346</v>
      </c>
      <c r="D312">
        <v>2010</v>
      </c>
      <c r="E312" t="s">
        <v>11</v>
      </c>
      <c r="F312" t="s">
        <v>315</v>
      </c>
      <c r="G312">
        <v>1</v>
      </c>
      <c r="H312">
        <v>0</v>
      </c>
      <c r="I312">
        <v>1</v>
      </c>
      <c r="J312">
        <v>0</v>
      </c>
      <c r="K312">
        <v>0</v>
      </c>
      <c r="L312">
        <f t="shared" si="8"/>
        <v>7.5</v>
      </c>
      <c r="M312">
        <f t="shared" si="9"/>
        <v>2</v>
      </c>
    </row>
    <row r="313" spans="1:13" x14ac:dyDescent="0.3">
      <c r="A313">
        <v>311</v>
      </c>
      <c r="B313">
        <v>312</v>
      </c>
      <c r="C313" t="s">
        <v>347</v>
      </c>
      <c r="D313">
        <v>2012</v>
      </c>
      <c r="E313" t="s">
        <v>11</v>
      </c>
      <c r="F313" t="s">
        <v>315</v>
      </c>
      <c r="G313">
        <v>1</v>
      </c>
      <c r="H313">
        <v>0</v>
      </c>
      <c r="I313">
        <v>0</v>
      </c>
      <c r="J313">
        <v>0</v>
      </c>
      <c r="K313">
        <v>0</v>
      </c>
      <c r="L313">
        <f t="shared" si="8"/>
        <v>7.5</v>
      </c>
      <c r="M313">
        <f t="shared" si="9"/>
        <v>1</v>
      </c>
    </row>
    <row r="314" spans="1:13" x14ac:dyDescent="0.3">
      <c r="A314">
        <v>312</v>
      </c>
      <c r="B314">
        <v>313</v>
      </c>
      <c r="C314" t="s">
        <v>348</v>
      </c>
      <c r="D314">
        <v>2017</v>
      </c>
      <c r="F314" t="s">
        <v>315</v>
      </c>
      <c r="G314">
        <v>1</v>
      </c>
      <c r="H314">
        <v>0</v>
      </c>
      <c r="I314">
        <v>0</v>
      </c>
      <c r="J314">
        <v>0</v>
      </c>
      <c r="K314">
        <v>0</v>
      </c>
      <c r="L314">
        <f t="shared" si="8"/>
        <v>7.5</v>
      </c>
      <c r="M314">
        <f t="shared" si="9"/>
        <v>1</v>
      </c>
    </row>
    <row r="315" spans="1:13" x14ac:dyDescent="0.3">
      <c r="A315">
        <v>313</v>
      </c>
      <c r="B315">
        <v>314</v>
      </c>
      <c r="C315" t="s">
        <v>349</v>
      </c>
      <c r="D315">
        <v>2021</v>
      </c>
      <c r="E315" t="s">
        <v>11</v>
      </c>
      <c r="F315" t="s">
        <v>315</v>
      </c>
      <c r="G315">
        <v>1</v>
      </c>
      <c r="H315">
        <v>0</v>
      </c>
      <c r="I315">
        <v>0</v>
      </c>
      <c r="J315">
        <v>0</v>
      </c>
      <c r="K315">
        <v>0</v>
      </c>
      <c r="L315">
        <f t="shared" si="8"/>
        <v>7.5</v>
      </c>
      <c r="M315">
        <f t="shared" si="9"/>
        <v>1</v>
      </c>
    </row>
    <row r="316" spans="1:13" x14ac:dyDescent="0.3">
      <c r="A316">
        <v>314</v>
      </c>
      <c r="B316">
        <v>315</v>
      </c>
      <c r="C316" t="s">
        <v>350</v>
      </c>
      <c r="D316">
        <v>2008</v>
      </c>
      <c r="E316" t="s">
        <v>11</v>
      </c>
      <c r="F316" t="s">
        <v>315</v>
      </c>
      <c r="G316">
        <v>1</v>
      </c>
      <c r="H316">
        <v>0</v>
      </c>
      <c r="I316">
        <v>0</v>
      </c>
      <c r="J316">
        <v>0</v>
      </c>
      <c r="K316">
        <v>0</v>
      </c>
      <c r="L316">
        <f t="shared" si="8"/>
        <v>7.5</v>
      </c>
      <c r="M316">
        <f t="shared" si="9"/>
        <v>1</v>
      </c>
    </row>
    <row r="317" spans="1:13" x14ac:dyDescent="0.3">
      <c r="A317">
        <v>315</v>
      </c>
      <c r="B317">
        <v>316</v>
      </c>
      <c r="C317" t="s">
        <v>351</v>
      </c>
      <c r="D317">
        <v>2018</v>
      </c>
      <c r="E317" t="s">
        <v>28</v>
      </c>
      <c r="F317" t="s">
        <v>315</v>
      </c>
      <c r="G317">
        <v>1</v>
      </c>
      <c r="H317">
        <v>0</v>
      </c>
      <c r="I317">
        <v>0</v>
      </c>
      <c r="J317">
        <v>0</v>
      </c>
      <c r="K317">
        <v>0</v>
      </c>
      <c r="L317">
        <f t="shared" si="8"/>
        <v>7.5</v>
      </c>
      <c r="M317">
        <f t="shared" si="9"/>
        <v>1</v>
      </c>
    </row>
    <row r="318" spans="1:13" x14ac:dyDescent="0.3">
      <c r="A318">
        <v>316</v>
      </c>
      <c r="B318">
        <v>317</v>
      </c>
      <c r="C318" t="s">
        <v>352</v>
      </c>
      <c r="D318">
        <v>2017</v>
      </c>
      <c r="E318" t="s">
        <v>11</v>
      </c>
      <c r="F318" t="s">
        <v>315</v>
      </c>
      <c r="G318">
        <v>1</v>
      </c>
      <c r="H318">
        <v>0</v>
      </c>
      <c r="I318">
        <v>0</v>
      </c>
      <c r="J318">
        <v>0</v>
      </c>
      <c r="K318">
        <v>0</v>
      </c>
      <c r="L318">
        <f t="shared" si="8"/>
        <v>7.5</v>
      </c>
      <c r="M318">
        <f t="shared" si="9"/>
        <v>1</v>
      </c>
    </row>
    <row r="319" spans="1:13" x14ac:dyDescent="0.3">
      <c r="A319">
        <v>317</v>
      </c>
      <c r="B319">
        <v>318</v>
      </c>
      <c r="C319">
        <v>2012</v>
      </c>
      <c r="D319">
        <v>2009</v>
      </c>
      <c r="E319" t="s">
        <v>22</v>
      </c>
      <c r="F319" t="s">
        <v>315</v>
      </c>
      <c r="G319">
        <v>1</v>
      </c>
      <c r="H319">
        <v>1</v>
      </c>
      <c r="I319">
        <v>0</v>
      </c>
      <c r="J319">
        <v>0</v>
      </c>
      <c r="K319">
        <v>0</v>
      </c>
      <c r="L319">
        <f t="shared" si="8"/>
        <v>7.5</v>
      </c>
      <c r="M319">
        <f t="shared" si="9"/>
        <v>2</v>
      </c>
    </row>
    <row r="320" spans="1:13" x14ac:dyDescent="0.3">
      <c r="A320">
        <v>318</v>
      </c>
      <c r="B320">
        <v>319</v>
      </c>
      <c r="C320" t="s">
        <v>353</v>
      </c>
      <c r="D320">
        <v>2012</v>
      </c>
      <c r="E320" t="s">
        <v>11</v>
      </c>
      <c r="F320" t="s">
        <v>354</v>
      </c>
      <c r="G320">
        <v>1</v>
      </c>
      <c r="H320">
        <v>1</v>
      </c>
      <c r="I320">
        <v>0</v>
      </c>
      <c r="J320">
        <v>0</v>
      </c>
      <c r="K320">
        <v>0</v>
      </c>
      <c r="L320">
        <f t="shared" si="8"/>
        <v>7.4</v>
      </c>
      <c r="M320">
        <f t="shared" si="9"/>
        <v>2</v>
      </c>
    </row>
    <row r="321" spans="1:13" x14ac:dyDescent="0.3">
      <c r="A321">
        <v>319</v>
      </c>
      <c r="B321">
        <v>320</v>
      </c>
      <c r="C321" t="s">
        <v>355</v>
      </c>
      <c r="D321">
        <v>2013</v>
      </c>
      <c r="E321" t="s">
        <v>22</v>
      </c>
      <c r="F321" t="s">
        <v>354</v>
      </c>
      <c r="G321">
        <v>1</v>
      </c>
      <c r="H321">
        <v>0</v>
      </c>
      <c r="I321">
        <v>0</v>
      </c>
      <c r="J321">
        <v>0</v>
      </c>
      <c r="K321">
        <v>0</v>
      </c>
      <c r="L321">
        <f t="shared" si="8"/>
        <v>7.4</v>
      </c>
      <c r="M321">
        <f t="shared" si="9"/>
        <v>1</v>
      </c>
    </row>
    <row r="322" spans="1:13" x14ac:dyDescent="0.3">
      <c r="A322">
        <v>320</v>
      </c>
      <c r="B322">
        <v>321</v>
      </c>
      <c r="C322" t="s">
        <v>356</v>
      </c>
      <c r="D322">
        <v>2018</v>
      </c>
      <c r="E322" t="s">
        <v>11</v>
      </c>
      <c r="F322" t="s">
        <v>354</v>
      </c>
      <c r="G322">
        <v>1</v>
      </c>
      <c r="H322">
        <v>0</v>
      </c>
      <c r="I322">
        <v>0</v>
      </c>
      <c r="J322">
        <v>0</v>
      </c>
      <c r="K322">
        <v>0</v>
      </c>
      <c r="L322">
        <f t="shared" si="8"/>
        <v>7.4</v>
      </c>
      <c r="M322">
        <f t="shared" si="9"/>
        <v>1</v>
      </c>
    </row>
    <row r="323" spans="1:13" x14ac:dyDescent="0.3">
      <c r="A323">
        <v>321</v>
      </c>
      <c r="B323">
        <v>322</v>
      </c>
      <c r="C323" t="s">
        <v>357</v>
      </c>
      <c r="D323">
        <v>2018</v>
      </c>
      <c r="E323" t="s">
        <v>11</v>
      </c>
      <c r="F323" t="s">
        <v>354</v>
      </c>
      <c r="G323">
        <v>1</v>
      </c>
      <c r="H323">
        <v>0</v>
      </c>
      <c r="I323">
        <v>0</v>
      </c>
      <c r="J323">
        <v>0</v>
      </c>
      <c r="K323">
        <v>0</v>
      </c>
      <c r="L323">
        <f t="shared" ref="L323:L386" si="10">IFERROR(VALUE(LEFT(F323,FIND("/",F323)-1))/10,"")</f>
        <v>7.4</v>
      </c>
      <c r="M323">
        <f t="shared" ref="M323:M386" si="11">SUM(G323:J323)</f>
        <v>1</v>
      </c>
    </row>
    <row r="324" spans="1:13" x14ac:dyDescent="0.3">
      <c r="A324">
        <v>322</v>
      </c>
      <c r="B324">
        <v>323</v>
      </c>
      <c r="C324" t="s">
        <v>358</v>
      </c>
      <c r="D324">
        <v>2021</v>
      </c>
      <c r="E324" t="s">
        <v>11</v>
      </c>
      <c r="F324" t="s">
        <v>354</v>
      </c>
      <c r="G324">
        <v>1</v>
      </c>
      <c r="H324">
        <v>0</v>
      </c>
      <c r="I324">
        <v>0</v>
      </c>
      <c r="J324">
        <v>0</v>
      </c>
      <c r="K324">
        <v>0</v>
      </c>
      <c r="L324">
        <f t="shared" si="10"/>
        <v>7.4</v>
      </c>
      <c r="M324">
        <f t="shared" si="11"/>
        <v>1</v>
      </c>
    </row>
    <row r="325" spans="1:13" x14ac:dyDescent="0.3">
      <c r="A325">
        <v>323</v>
      </c>
      <c r="B325">
        <v>324</v>
      </c>
      <c r="C325" t="s">
        <v>359</v>
      </c>
      <c r="D325">
        <v>2013</v>
      </c>
      <c r="E325" t="s">
        <v>22</v>
      </c>
      <c r="F325" t="s">
        <v>354</v>
      </c>
      <c r="G325">
        <v>1</v>
      </c>
      <c r="H325">
        <v>0</v>
      </c>
      <c r="I325">
        <v>0</v>
      </c>
      <c r="J325">
        <v>0</v>
      </c>
      <c r="K325">
        <v>0</v>
      </c>
      <c r="L325">
        <f t="shared" si="10"/>
        <v>7.4</v>
      </c>
      <c r="M325">
        <f t="shared" si="11"/>
        <v>1</v>
      </c>
    </row>
    <row r="326" spans="1:13" x14ac:dyDescent="0.3">
      <c r="A326">
        <v>324</v>
      </c>
      <c r="B326">
        <v>325</v>
      </c>
      <c r="C326" t="s">
        <v>360</v>
      </c>
      <c r="D326">
        <v>2017</v>
      </c>
      <c r="F326" t="s">
        <v>354</v>
      </c>
      <c r="G326">
        <v>1</v>
      </c>
      <c r="H326">
        <v>0</v>
      </c>
      <c r="I326">
        <v>0</v>
      </c>
      <c r="J326">
        <v>0</v>
      </c>
      <c r="K326">
        <v>0</v>
      </c>
      <c r="L326">
        <f t="shared" si="10"/>
        <v>7.4</v>
      </c>
      <c r="M326">
        <f t="shared" si="11"/>
        <v>1</v>
      </c>
    </row>
    <row r="327" spans="1:13" x14ac:dyDescent="0.3">
      <c r="A327">
        <v>325</v>
      </c>
      <c r="B327">
        <v>326</v>
      </c>
      <c r="C327" t="s">
        <v>361</v>
      </c>
      <c r="D327">
        <v>2009</v>
      </c>
      <c r="E327" t="s">
        <v>11</v>
      </c>
      <c r="F327" t="s">
        <v>354</v>
      </c>
      <c r="G327">
        <v>1</v>
      </c>
      <c r="H327">
        <v>0</v>
      </c>
      <c r="I327">
        <v>0</v>
      </c>
      <c r="J327">
        <v>0</v>
      </c>
      <c r="K327">
        <v>0</v>
      </c>
      <c r="L327">
        <f t="shared" si="10"/>
        <v>7.4</v>
      </c>
      <c r="M327">
        <f t="shared" si="11"/>
        <v>1</v>
      </c>
    </row>
    <row r="328" spans="1:13" x14ac:dyDescent="0.3">
      <c r="A328">
        <v>326</v>
      </c>
      <c r="B328">
        <v>327</v>
      </c>
      <c r="C328" t="s">
        <v>362</v>
      </c>
      <c r="D328">
        <v>2015</v>
      </c>
      <c r="E328" t="s">
        <v>14</v>
      </c>
      <c r="F328" t="s">
        <v>354</v>
      </c>
      <c r="G328">
        <v>1</v>
      </c>
      <c r="H328">
        <v>0</v>
      </c>
      <c r="I328">
        <v>1</v>
      </c>
      <c r="J328">
        <v>0</v>
      </c>
      <c r="K328">
        <v>0</v>
      </c>
      <c r="L328">
        <f t="shared" si="10"/>
        <v>7.4</v>
      </c>
      <c r="M328">
        <f t="shared" si="11"/>
        <v>2</v>
      </c>
    </row>
    <row r="329" spans="1:13" x14ac:dyDescent="0.3">
      <c r="A329">
        <v>327</v>
      </c>
      <c r="B329">
        <v>328</v>
      </c>
      <c r="C329" t="s">
        <v>363</v>
      </c>
      <c r="D329">
        <v>2008</v>
      </c>
      <c r="E329" t="s">
        <v>11</v>
      </c>
      <c r="F329" t="s">
        <v>354</v>
      </c>
      <c r="G329">
        <v>1</v>
      </c>
      <c r="H329">
        <v>1</v>
      </c>
      <c r="I329">
        <v>1</v>
      </c>
      <c r="J329">
        <v>0</v>
      </c>
      <c r="K329">
        <v>0</v>
      </c>
      <c r="L329">
        <f t="shared" si="10"/>
        <v>7.4</v>
      </c>
      <c r="M329">
        <f t="shared" si="11"/>
        <v>3</v>
      </c>
    </row>
    <row r="330" spans="1:13" x14ac:dyDescent="0.3">
      <c r="A330">
        <v>328</v>
      </c>
      <c r="B330">
        <v>329</v>
      </c>
      <c r="C330" t="s">
        <v>364</v>
      </c>
      <c r="D330">
        <v>2018</v>
      </c>
      <c r="E330" t="s">
        <v>28</v>
      </c>
      <c r="F330" t="s">
        <v>354</v>
      </c>
      <c r="G330">
        <v>1</v>
      </c>
      <c r="H330">
        <v>0</v>
      </c>
      <c r="I330">
        <v>0</v>
      </c>
      <c r="J330">
        <v>0</v>
      </c>
      <c r="K330">
        <v>0</v>
      </c>
      <c r="L330">
        <f t="shared" si="10"/>
        <v>7.4</v>
      </c>
      <c r="M330">
        <f t="shared" si="11"/>
        <v>1</v>
      </c>
    </row>
    <row r="331" spans="1:13" x14ac:dyDescent="0.3">
      <c r="A331">
        <v>329</v>
      </c>
      <c r="B331">
        <v>330</v>
      </c>
      <c r="C331" t="s">
        <v>365</v>
      </c>
      <c r="D331">
        <v>2008</v>
      </c>
      <c r="E331" t="s">
        <v>22</v>
      </c>
      <c r="F331" t="s">
        <v>354</v>
      </c>
      <c r="G331">
        <v>1</v>
      </c>
      <c r="H331">
        <v>0</v>
      </c>
      <c r="I331">
        <v>0</v>
      </c>
      <c r="J331">
        <v>0</v>
      </c>
      <c r="K331">
        <v>0</v>
      </c>
      <c r="L331">
        <f t="shared" si="10"/>
        <v>7.4</v>
      </c>
      <c r="M331">
        <f t="shared" si="11"/>
        <v>1</v>
      </c>
    </row>
    <row r="332" spans="1:13" x14ac:dyDescent="0.3">
      <c r="A332">
        <v>330</v>
      </c>
      <c r="B332">
        <v>331</v>
      </c>
      <c r="C332" t="s">
        <v>366</v>
      </c>
      <c r="D332">
        <v>2010</v>
      </c>
      <c r="E332" t="s">
        <v>22</v>
      </c>
      <c r="F332" t="s">
        <v>354</v>
      </c>
      <c r="G332">
        <v>1</v>
      </c>
      <c r="H332">
        <v>0</v>
      </c>
      <c r="I332">
        <v>0</v>
      </c>
      <c r="J332">
        <v>0</v>
      </c>
      <c r="K332">
        <v>0</v>
      </c>
      <c r="L332">
        <f t="shared" si="10"/>
        <v>7.4</v>
      </c>
      <c r="M332">
        <f t="shared" si="11"/>
        <v>1</v>
      </c>
    </row>
    <row r="333" spans="1:13" x14ac:dyDescent="0.3">
      <c r="A333">
        <v>331</v>
      </c>
      <c r="B333">
        <v>332</v>
      </c>
      <c r="C333" t="s">
        <v>367</v>
      </c>
      <c r="D333">
        <v>2009</v>
      </c>
      <c r="E333" t="s">
        <v>11</v>
      </c>
      <c r="F333" t="s">
        <v>354</v>
      </c>
      <c r="G333">
        <v>1</v>
      </c>
      <c r="H333">
        <v>0</v>
      </c>
      <c r="I333">
        <v>0</v>
      </c>
      <c r="J333">
        <v>0</v>
      </c>
      <c r="K333">
        <v>0</v>
      </c>
      <c r="L333">
        <f t="shared" si="10"/>
        <v>7.4</v>
      </c>
      <c r="M333">
        <f t="shared" si="11"/>
        <v>1</v>
      </c>
    </row>
    <row r="334" spans="1:13" x14ac:dyDescent="0.3">
      <c r="A334">
        <v>332</v>
      </c>
      <c r="B334">
        <v>333</v>
      </c>
      <c r="C334" t="s">
        <v>368</v>
      </c>
      <c r="D334">
        <v>2009</v>
      </c>
      <c r="E334" t="s">
        <v>22</v>
      </c>
      <c r="F334" t="s">
        <v>354</v>
      </c>
      <c r="G334">
        <v>1</v>
      </c>
      <c r="H334">
        <v>0</v>
      </c>
      <c r="I334">
        <v>0</v>
      </c>
      <c r="J334">
        <v>0</v>
      </c>
      <c r="K334">
        <v>0</v>
      </c>
      <c r="L334">
        <f t="shared" si="10"/>
        <v>7.4</v>
      </c>
      <c r="M334">
        <f t="shared" si="11"/>
        <v>1</v>
      </c>
    </row>
    <row r="335" spans="1:13" x14ac:dyDescent="0.3">
      <c r="A335">
        <v>333</v>
      </c>
      <c r="B335">
        <v>334</v>
      </c>
      <c r="C335" t="s">
        <v>369</v>
      </c>
      <c r="D335">
        <v>2008</v>
      </c>
      <c r="E335" t="s">
        <v>14</v>
      </c>
      <c r="F335" t="s">
        <v>354</v>
      </c>
      <c r="G335">
        <v>1</v>
      </c>
      <c r="H335">
        <v>0</v>
      </c>
      <c r="I335">
        <v>0</v>
      </c>
      <c r="J335">
        <v>0</v>
      </c>
      <c r="K335">
        <v>0</v>
      </c>
      <c r="L335">
        <f t="shared" si="10"/>
        <v>7.4</v>
      </c>
      <c r="M335">
        <f t="shared" si="11"/>
        <v>1</v>
      </c>
    </row>
    <row r="336" spans="1:13" x14ac:dyDescent="0.3">
      <c r="A336">
        <v>334</v>
      </c>
      <c r="B336">
        <v>335</v>
      </c>
      <c r="C336" t="s">
        <v>370</v>
      </c>
      <c r="D336">
        <v>2011</v>
      </c>
      <c r="E336" t="s">
        <v>11</v>
      </c>
      <c r="F336" t="s">
        <v>354</v>
      </c>
      <c r="G336">
        <v>1</v>
      </c>
      <c r="H336">
        <v>0</v>
      </c>
      <c r="I336">
        <v>1</v>
      </c>
      <c r="J336">
        <v>0</v>
      </c>
      <c r="K336">
        <v>0</v>
      </c>
      <c r="L336">
        <f t="shared" si="10"/>
        <v>7.4</v>
      </c>
      <c r="M336">
        <f t="shared" si="11"/>
        <v>2</v>
      </c>
    </row>
    <row r="337" spans="1:13" x14ac:dyDescent="0.3">
      <c r="A337">
        <v>335</v>
      </c>
      <c r="B337">
        <v>336</v>
      </c>
      <c r="C337" t="s">
        <v>371</v>
      </c>
      <c r="D337">
        <v>2017</v>
      </c>
      <c r="F337" t="s">
        <v>354</v>
      </c>
      <c r="G337">
        <v>1</v>
      </c>
      <c r="H337">
        <v>0</v>
      </c>
      <c r="I337">
        <v>0</v>
      </c>
      <c r="J337">
        <v>0</v>
      </c>
      <c r="K337">
        <v>0</v>
      </c>
      <c r="L337">
        <f t="shared" si="10"/>
        <v>7.4</v>
      </c>
      <c r="M337">
        <f t="shared" si="11"/>
        <v>1</v>
      </c>
    </row>
    <row r="338" spans="1:13" x14ac:dyDescent="0.3">
      <c r="A338">
        <v>336</v>
      </c>
      <c r="B338">
        <v>337</v>
      </c>
      <c r="C338" t="s">
        <v>372</v>
      </c>
      <c r="D338">
        <v>2017</v>
      </c>
      <c r="E338" t="s">
        <v>11</v>
      </c>
      <c r="F338" t="s">
        <v>354</v>
      </c>
      <c r="G338">
        <v>1</v>
      </c>
      <c r="H338">
        <v>0</v>
      </c>
      <c r="I338">
        <v>0</v>
      </c>
      <c r="J338">
        <v>0</v>
      </c>
      <c r="K338">
        <v>0</v>
      </c>
      <c r="L338">
        <f t="shared" si="10"/>
        <v>7.4</v>
      </c>
      <c r="M338">
        <f t="shared" si="11"/>
        <v>1</v>
      </c>
    </row>
    <row r="339" spans="1:13" x14ac:dyDescent="0.3">
      <c r="A339">
        <v>337</v>
      </c>
      <c r="B339">
        <v>338</v>
      </c>
      <c r="C339" t="s">
        <v>373</v>
      </c>
      <c r="D339">
        <v>2012</v>
      </c>
      <c r="E339" t="s">
        <v>11</v>
      </c>
      <c r="F339" t="s">
        <v>354</v>
      </c>
      <c r="G339">
        <v>1</v>
      </c>
      <c r="H339">
        <v>0</v>
      </c>
      <c r="I339">
        <v>0</v>
      </c>
      <c r="J339">
        <v>0</v>
      </c>
      <c r="K339">
        <v>0</v>
      </c>
      <c r="L339">
        <f t="shared" si="10"/>
        <v>7.4</v>
      </c>
      <c r="M339">
        <f t="shared" si="11"/>
        <v>1</v>
      </c>
    </row>
    <row r="340" spans="1:13" x14ac:dyDescent="0.3">
      <c r="A340">
        <v>338</v>
      </c>
      <c r="B340">
        <v>339</v>
      </c>
      <c r="C340" t="s">
        <v>374</v>
      </c>
      <c r="D340">
        <v>2019</v>
      </c>
      <c r="E340" t="s">
        <v>22</v>
      </c>
      <c r="F340" t="s">
        <v>354</v>
      </c>
      <c r="G340">
        <v>1</v>
      </c>
      <c r="H340">
        <v>0</v>
      </c>
      <c r="I340">
        <v>0</v>
      </c>
      <c r="J340">
        <v>0</v>
      </c>
      <c r="K340">
        <v>0</v>
      </c>
      <c r="L340">
        <f t="shared" si="10"/>
        <v>7.4</v>
      </c>
      <c r="M340">
        <f t="shared" si="11"/>
        <v>1</v>
      </c>
    </row>
    <row r="341" spans="1:13" x14ac:dyDescent="0.3">
      <c r="A341">
        <v>339</v>
      </c>
      <c r="B341">
        <v>340</v>
      </c>
      <c r="C341" t="s">
        <v>375</v>
      </c>
      <c r="D341">
        <v>2018</v>
      </c>
      <c r="E341" t="s">
        <v>11</v>
      </c>
      <c r="F341" t="s">
        <v>354</v>
      </c>
      <c r="G341">
        <v>1</v>
      </c>
      <c r="H341">
        <v>0</v>
      </c>
      <c r="I341">
        <v>0</v>
      </c>
      <c r="J341">
        <v>0</v>
      </c>
      <c r="K341">
        <v>0</v>
      </c>
      <c r="L341">
        <f t="shared" si="10"/>
        <v>7.4</v>
      </c>
      <c r="M341">
        <f t="shared" si="11"/>
        <v>1</v>
      </c>
    </row>
    <row r="342" spans="1:13" x14ac:dyDescent="0.3">
      <c r="A342">
        <v>340</v>
      </c>
      <c r="B342">
        <v>341</v>
      </c>
      <c r="C342" t="s">
        <v>376</v>
      </c>
      <c r="D342">
        <v>2020</v>
      </c>
      <c r="E342" t="s">
        <v>11</v>
      </c>
      <c r="F342" t="s">
        <v>354</v>
      </c>
      <c r="G342">
        <v>1</v>
      </c>
      <c r="H342">
        <v>0</v>
      </c>
      <c r="I342">
        <v>0</v>
      </c>
      <c r="J342">
        <v>0</v>
      </c>
      <c r="K342">
        <v>0</v>
      </c>
      <c r="L342">
        <f t="shared" si="10"/>
        <v>7.4</v>
      </c>
      <c r="M342">
        <f t="shared" si="11"/>
        <v>1</v>
      </c>
    </row>
    <row r="343" spans="1:13" x14ac:dyDescent="0.3">
      <c r="A343">
        <v>341</v>
      </c>
      <c r="B343">
        <v>342</v>
      </c>
      <c r="C343" t="s">
        <v>377</v>
      </c>
      <c r="D343">
        <v>2015</v>
      </c>
      <c r="E343" t="s">
        <v>11</v>
      </c>
      <c r="F343" t="s">
        <v>354</v>
      </c>
      <c r="G343">
        <v>1</v>
      </c>
      <c r="H343">
        <v>0</v>
      </c>
      <c r="I343">
        <v>0</v>
      </c>
      <c r="J343">
        <v>0</v>
      </c>
      <c r="K343">
        <v>0</v>
      </c>
      <c r="L343">
        <f t="shared" si="10"/>
        <v>7.4</v>
      </c>
      <c r="M343">
        <f t="shared" si="11"/>
        <v>1</v>
      </c>
    </row>
    <row r="344" spans="1:13" x14ac:dyDescent="0.3">
      <c r="A344">
        <v>342</v>
      </c>
      <c r="B344">
        <v>343</v>
      </c>
      <c r="C344" t="s">
        <v>378</v>
      </c>
      <c r="D344">
        <v>2018</v>
      </c>
      <c r="E344" t="s">
        <v>11</v>
      </c>
      <c r="F344" t="s">
        <v>354</v>
      </c>
      <c r="G344">
        <v>1</v>
      </c>
      <c r="H344">
        <v>0</v>
      </c>
      <c r="I344">
        <v>0</v>
      </c>
      <c r="J344">
        <v>0</v>
      </c>
      <c r="K344">
        <v>0</v>
      </c>
      <c r="L344">
        <f t="shared" si="10"/>
        <v>7.4</v>
      </c>
      <c r="M344">
        <f t="shared" si="11"/>
        <v>1</v>
      </c>
    </row>
    <row r="345" spans="1:13" x14ac:dyDescent="0.3">
      <c r="A345">
        <v>343</v>
      </c>
      <c r="B345">
        <v>344</v>
      </c>
      <c r="C345" t="s">
        <v>379</v>
      </c>
      <c r="D345">
        <v>2020</v>
      </c>
      <c r="E345" t="s">
        <v>11</v>
      </c>
      <c r="F345" t="s">
        <v>354</v>
      </c>
      <c r="G345">
        <v>1</v>
      </c>
      <c r="H345">
        <v>0</v>
      </c>
      <c r="I345">
        <v>0</v>
      </c>
      <c r="J345">
        <v>0</v>
      </c>
      <c r="K345">
        <v>0</v>
      </c>
      <c r="L345">
        <f t="shared" si="10"/>
        <v>7.4</v>
      </c>
      <c r="M345">
        <f t="shared" si="11"/>
        <v>1</v>
      </c>
    </row>
    <row r="346" spans="1:13" x14ac:dyDescent="0.3">
      <c r="A346">
        <v>344</v>
      </c>
      <c r="B346">
        <v>345</v>
      </c>
      <c r="C346" t="s">
        <v>380</v>
      </c>
      <c r="D346">
        <v>2016</v>
      </c>
      <c r="E346" t="s">
        <v>11</v>
      </c>
      <c r="F346" t="s">
        <v>354</v>
      </c>
      <c r="G346">
        <v>1</v>
      </c>
      <c r="H346">
        <v>0</v>
      </c>
      <c r="I346">
        <v>0</v>
      </c>
      <c r="J346">
        <v>0</v>
      </c>
      <c r="K346">
        <v>0</v>
      </c>
      <c r="L346">
        <f t="shared" si="10"/>
        <v>7.4</v>
      </c>
      <c r="M346">
        <f t="shared" si="11"/>
        <v>1</v>
      </c>
    </row>
    <row r="347" spans="1:13" x14ac:dyDescent="0.3">
      <c r="A347">
        <v>345</v>
      </c>
      <c r="B347">
        <v>346</v>
      </c>
      <c r="C347" t="s">
        <v>381</v>
      </c>
      <c r="D347">
        <v>2017</v>
      </c>
      <c r="E347" t="s">
        <v>11</v>
      </c>
      <c r="F347" t="s">
        <v>354</v>
      </c>
      <c r="G347">
        <v>1</v>
      </c>
      <c r="H347">
        <v>0</v>
      </c>
      <c r="I347">
        <v>0</v>
      </c>
      <c r="J347">
        <v>0</v>
      </c>
      <c r="K347">
        <v>0</v>
      </c>
      <c r="L347">
        <f t="shared" si="10"/>
        <v>7.4</v>
      </c>
      <c r="M347">
        <f t="shared" si="11"/>
        <v>1</v>
      </c>
    </row>
    <row r="348" spans="1:13" x14ac:dyDescent="0.3">
      <c r="A348">
        <v>346</v>
      </c>
      <c r="B348">
        <v>347</v>
      </c>
      <c r="C348" t="s">
        <v>382</v>
      </c>
      <c r="D348">
        <v>2016</v>
      </c>
      <c r="E348" t="s">
        <v>11</v>
      </c>
      <c r="F348" t="s">
        <v>354</v>
      </c>
      <c r="G348">
        <v>1</v>
      </c>
      <c r="H348">
        <v>0</v>
      </c>
      <c r="I348">
        <v>0</v>
      </c>
      <c r="J348">
        <v>0</v>
      </c>
      <c r="K348">
        <v>0</v>
      </c>
      <c r="L348">
        <f t="shared" si="10"/>
        <v>7.4</v>
      </c>
      <c r="M348">
        <f t="shared" si="11"/>
        <v>1</v>
      </c>
    </row>
    <row r="349" spans="1:13" x14ac:dyDescent="0.3">
      <c r="A349">
        <v>347</v>
      </c>
      <c r="B349">
        <v>348</v>
      </c>
      <c r="C349" t="s">
        <v>383</v>
      </c>
      <c r="D349">
        <v>2020</v>
      </c>
      <c r="E349" t="s">
        <v>11</v>
      </c>
      <c r="F349" t="s">
        <v>354</v>
      </c>
      <c r="G349">
        <v>1</v>
      </c>
      <c r="H349">
        <v>0</v>
      </c>
      <c r="I349">
        <v>0</v>
      </c>
      <c r="J349">
        <v>0</v>
      </c>
      <c r="K349">
        <v>0</v>
      </c>
      <c r="L349">
        <f t="shared" si="10"/>
        <v>7.4</v>
      </c>
      <c r="M349">
        <f t="shared" si="11"/>
        <v>1</v>
      </c>
    </row>
    <row r="350" spans="1:13" x14ac:dyDescent="0.3">
      <c r="A350">
        <v>348</v>
      </c>
      <c r="B350">
        <v>349</v>
      </c>
      <c r="C350" t="s">
        <v>384</v>
      </c>
      <c r="D350">
        <v>2019</v>
      </c>
      <c r="E350" t="s">
        <v>11</v>
      </c>
      <c r="F350" t="s">
        <v>354</v>
      </c>
      <c r="G350">
        <v>1</v>
      </c>
      <c r="H350">
        <v>0</v>
      </c>
      <c r="I350">
        <v>0</v>
      </c>
      <c r="J350">
        <v>0</v>
      </c>
      <c r="K350">
        <v>0</v>
      </c>
      <c r="L350">
        <f t="shared" si="10"/>
        <v>7.4</v>
      </c>
      <c r="M350">
        <f t="shared" si="11"/>
        <v>1</v>
      </c>
    </row>
    <row r="351" spans="1:13" x14ac:dyDescent="0.3">
      <c r="A351">
        <v>349</v>
      </c>
      <c r="B351">
        <v>350</v>
      </c>
      <c r="C351" t="s">
        <v>385</v>
      </c>
      <c r="D351">
        <v>2010</v>
      </c>
      <c r="E351" t="s">
        <v>11</v>
      </c>
      <c r="F351" t="s">
        <v>354</v>
      </c>
      <c r="G351">
        <v>1</v>
      </c>
      <c r="H351">
        <v>0</v>
      </c>
      <c r="I351">
        <v>0</v>
      </c>
      <c r="J351">
        <v>0</v>
      </c>
      <c r="K351">
        <v>0</v>
      </c>
      <c r="L351">
        <f t="shared" si="10"/>
        <v>7.4</v>
      </c>
      <c r="M351">
        <f t="shared" si="11"/>
        <v>1</v>
      </c>
    </row>
    <row r="352" spans="1:13" x14ac:dyDescent="0.3">
      <c r="A352">
        <v>350</v>
      </c>
      <c r="B352">
        <v>351</v>
      </c>
      <c r="C352" t="s">
        <v>386</v>
      </c>
      <c r="D352">
        <v>2019</v>
      </c>
      <c r="E352" t="s">
        <v>11</v>
      </c>
      <c r="F352" t="s">
        <v>354</v>
      </c>
      <c r="G352">
        <v>1</v>
      </c>
      <c r="H352">
        <v>0</v>
      </c>
      <c r="I352">
        <v>0</v>
      </c>
      <c r="J352">
        <v>0</v>
      </c>
      <c r="K352">
        <v>0</v>
      </c>
      <c r="L352">
        <f t="shared" si="10"/>
        <v>7.4</v>
      </c>
      <c r="M352">
        <f t="shared" si="11"/>
        <v>1</v>
      </c>
    </row>
    <row r="353" spans="1:13" x14ac:dyDescent="0.3">
      <c r="A353">
        <v>351</v>
      </c>
      <c r="B353">
        <v>352</v>
      </c>
      <c r="C353" t="s">
        <v>387</v>
      </c>
      <c r="D353">
        <v>2010</v>
      </c>
      <c r="E353" t="s">
        <v>11</v>
      </c>
      <c r="F353" t="s">
        <v>354</v>
      </c>
      <c r="G353">
        <v>1</v>
      </c>
      <c r="H353">
        <v>0</v>
      </c>
      <c r="I353">
        <v>0</v>
      </c>
      <c r="J353">
        <v>0</v>
      </c>
      <c r="K353">
        <v>0</v>
      </c>
      <c r="L353">
        <f t="shared" si="10"/>
        <v>7.4</v>
      </c>
      <c r="M353">
        <f t="shared" si="11"/>
        <v>1</v>
      </c>
    </row>
    <row r="354" spans="1:13" x14ac:dyDescent="0.3">
      <c r="A354">
        <v>352</v>
      </c>
      <c r="B354">
        <v>353</v>
      </c>
      <c r="C354" t="s">
        <v>388</v>
      </c>
      <c r="D354">
        <v>2018</v>
      </c>
      <c r="E354" t="s">
        <v>11</v>
      </c>
      <c r="F354" t="s">
        <v>354</v>
      </c>
      <c r="G354">
        <v>1</v>
      </c>
      <c r="H354">
        <v>0</v>
      </c>
      <c r="I354">
        <v>0</v>
      </c>
      <c r="J354">
        <v>0</v>
      </c>
      <c r="K354">
        <v>0</v>
      </c>
      <c r="L354">
        <f t="shared" si="10"/>
        <v>7.4</v>
      </c>
      <c r="M354">
        <f t="shared" si="11"/>
        <v>1</v>
      </c>
    </row>
    <row r="355" spans="1:13" x14ac:dyDescent="0.3">
      <c r="A355">
        <v>353</v>
      </c>
      <c r="B355">
        <v>354</v>
      </c>
      <c r="C355" t="s">
        <v>389</v>
      </c>
      <c r="D355">
        <v>2011</v>
      </c>
      <c r="E355" t="s">
        <v>14</v>
      </c>
      <c r="F355" t="s">
        <v>354</v>
      </c>
      <c r="G355">
        <v>1</v>
      </c>
      <c r="H355">
        <v>0</v>
      </c>
      <c r="I355">
        <v>0</v>
      </c>
      <c r="J355">
        <v>0</v>
      </c>
      <c r="K355">
        <v>0</v>
      </c>
      <c r="L355">
        <f t="shared" si="10"/>
        <v>7.4</v>
      </c>
      <c r="M355">
        <f t="shared" si="11"/>
        <v>1</v>
      </c>
    </row>
    <row r="356" spans="1:13" x14ac:dyDescent="0.3">
      <c r="A356">
        <v>354</v>
      </c>
      <c r="B356">
        <v>355</v>
      </c>
      <c r="C356" t="s">
        <v>390</v>
      </c>
      <c r="D356">
        <v>2002</v>
      </c>
      <c r="E356" t="s">
        <v>22</v>
      </c>
      <c r="F356" t="s">
        <v>354</v>
      </c>
      <c r="G356">
        <v>1</v>
      </c>
      <c r="H356">
        <v>0</v>
      </c>
      <c r="I356">
        <v>0</v>
      </c>
      <c r="J356">
        <v>0</v>
      </c>
      <c r="K356">
        <v>0</v>
      </c>
      <c r="L356">
        <f t="shared" si="10"/>
        <v>7.4</v>
      </c>
      <c r="M356">
        <f t="shared" si="11"/>
        <v>1</v>
      </c>
    </row>
    <row r="357" spans="1:13" x14ac:dyDescent="0.3">
      <c r="A357">
        <v>355</v>
      </c>
      <c r="B357">
        <v>356</v>
      </c>
      <c r="C357" t="s">
        <v>391</v>
      </c>
      <c r="D357">
        <v>2018</v>
      </c>
      <c r="E357" t="s">
        <v>28</v>
      </c>
      <c r="F357" t="s">
        <v>392</v>
      </c>
      <c r="G357">
        <v>1</v>
      </c>
      <c r="H357">
        <v>0</v>
      </c>
      <c r="I357">
        <v>0</v>
      </c>
      <c r="J357">
        <v>0</v>
      </c>
      <c r="K357">
        <v>0</v>
      </c>
      <c r="L357">
        <f t="shared" si="10"/>
        <v>7.3</v>
      </c>
      <c r="M357">
        <f t="shared" si="11"/>
        <v>1</v>
      </c>
    </row>
    <row r="358" spans="1:13" x14ac:dyDescent="0.3">
      <c r="A358">
        <v>356</v>
      </c>
      <c r="B358">
        <v>357</v>
      </c>
      <c r="C358" t="s">
        <v>393</v>
      </c>
      <c r="D358">
        <v>2016</v>
      </c>
      <c r="E358" t="s">
        <v>11</v>
      </c>
      <c r="F358" t="s">
        <v>392</v>
      </c>
      <c r="G358">
        <v>1</v>
      </c>
      <c r="H358">
        <v>0</v>
      </c>
      <c r="I358">
        <v>0</v>
      </c>
      <c r="J358">
        <v>0</v>
      </c>
      <c r="K358">
        <v>0</v>
      </c>
      <c r="L358">
        <f t="shared" si="10"/>
        <v>7.3</v>
      </c>
      <c r="M358">
        <f t="shared" si="11"/>
        <v>1</v>
      </c>
    </row>
    <row r="359" spans="1:13" x14ac:dyDescent="0.3">
      <c r="A359">
        <v>357</v>
      </c>
      <c r="B359">
        <v>358</v>
      </c>
      <c r="C359" t="s">
        <v>394</v>
      </c>
      <c r="D359">
        <v>2020</v>
      </c>
      <c r="E359" t="s">
        <v>11</v>
      </c>
      <c r="F359" t="s">
        <v>392</v>
      </c>
      <c r="G359">
        <v>1</v>
      </c>
      <c r="H359">
        <v>0</v>
      </c>
      <c r="I359">
        <v>0</v>
      </c>
      <c r="J359">
        <v>0</v>
      </c>
      <c r="K359">
        <v>0</v>
      </c>
      <c r="L359">
        <f t="shared" si="10"/>
        <v>7.3</v>
      </c>
      <c r="M359">
        <f t="shared" si="11"/>
        <v>1</v>
      </c>
    </row>
    <row r="360" spans="1:13" x14ac:dyDescent="0.3">
      <c r="A360">
        <v>358</v>
      </c>
      <c r="B360">
        <v>359</v>
      </c>
      <c r="C360" t="s">
        <v>395</v>
      </c>
      <c r="D360">
        <v>2001</v>
      </c>
      <c r="E360" t="s">
        <v>36</v>
      </c>
      <c r="F360" t="s">
        <v>392</v>
      </c>
      <c r="G360">
        <v>1</v>
      </c>
      <c r="H360">
        <v>0</v>
      </c>
      <c r="I360">
        <v>0</v>
      </c>
      <c r="J360">
        <v>0</v>
      </c>
      <c r="K360">
        <v>0</v>
      </c>
      <c r="L360">
        <f t="shared" si="10"/>
        <v>7.3</v>
      </c>
      <c r="M360">
        <f t="shared" si="11"/>
        <v>1</v>
      </c>
    </row>
    <row r="361" spans="1:13" x14ac:dyDescent="0.3">
      <c r="A361">
        <v>359</v>
      </c>
      <c r="B361">
        <v>360</v>
      </c>
      <c r="C361" t="s">
        <v>396</v>
      </c>
      <c r="D361">
        <v>1999</v>
      </c>
      <c r="E361" t="s">
        <v>11</v>
      </c>
      <c r="F361" t="s">
        <v>392</v>
      </c>
      <c r="G361">
        <v>1</v>
      </c>
      <c r="H361">
        <v>0</v>
      </c>
      <c r="I361">
        <v>1</v>
      </c>
      <c r="J361">
        <v>0</v>
      </c>
      <c r="K361">
        <v>0</v>
      </c>
      <c r="L361">
        <f t="shared" si="10"/>
        <v>7.3</v>
      </c>
      <c r="M361">
        <f t="shared" si="11"/>
        <v>2</v>
      </c>
    </row>
    <row r="362" spans="1:13" x14ac:dyDescent="0.3">
      <c r="A362">
        <v>360</v>
      </c>
      <c r="B362">
        <v>361</v>
      </c>
      <c r="C362" t="s">
        <v>397</v>
      </c>
      <c r="D362">
        <v>2019</v>
      </c>
      <c r="E362" t="s">
        <v>11</v>
      </c>
      <c r="F362" t="s">
        <v>392</v>
      </c>
      <c r="G362">
        <v>1</v>
      </c>
      <c r="H362">
        <v>0</v>
      </c>
      <c r="I362">
        <v>0</v>
      </c>
      <c r="J362">
        <v>0</v>
      </c>
      <c r="K362">
        <v>0</v>
      </c>
      <c r="L362">
        <f t="shared" si="10"/>
        <v>7.3</v>
      </c>
      <c r="M362">
        <f t="shared" si="11"/>
        <v>1</v>
      </c>
    </row>
    <row r="363" spans="1:13" x14ac:dyDescent="0.3">
      <c r="A363">
        <v>361</v>
      </c>
      <c r="B363">
        <v>362</v>
      </c>
      <c r="C363" t="s">
        <v>398</v>
      </c>
      <c r="D363">
        <v>2015</v>
      </c>
      <c r="E363" t="s">
        <v>22</v>
      </c>
      <c r="F363" t="s">
        <v>392</v>
      </c>
      <c r="G363">
        <v>1</v>
      </c>
      <c r="H363">
        <v>0</v>
      </c>
      <c r="I363">
        <v>0</v>
      </c>
      <c r="J363">
        <v>0</v>
      </c>
      <c r="K363">
        <v>0</v>
      </c>
      <c r="L363">
        <f t="shared" si="10"/>
        <v>7.3</v>
      </c>
      <c r="M363">
        <f t="shared" si="11"/>
        <v>1</v>
      </c>
    </row>
    <row r="364" spans="1:13" x14ac:dyDescent="0.3">
      <c r="A364">
        <v>362</v>
      </c>
      <c r="B364">
        <v>363</v>
      </c>
      <c r="C364" t="s">
        <v>399</v>
      </c>
      <c r="D364">
        <v>2012</v>
      </c>
      <c r="E364" t="s">
        <v>11</v>
      </c>
      <c r="F364" t="s">
        <v>392</v>
      </c>
      <c r="G364">
        <v>1</v>
      </c>
      <c r="H364">
        <v>0</v>
      </c>
      <c r="I364">
        <v>0</v>
      </c>
      <c r="J364">
        <v>0</v>
      </c>
      <c r="K364">
        <v>0</v>
      </c>
      <c r="L364">
        <f t="shared" si="10"/>
        <v>7.3</v>
      </c>
      <c r="M364">
        <f t="shared" si="11"/>
        <v>1</v>
      </c>
    </row>
    <row r="365" spans="1:13" x14ac:dyDescent="0.3">
      <c r="A365">
        <v>363</v>
      </c>
      <c r="B365">
        <v>364</v>
      </c>
      <c r="C365" t="s">
        <v>400</v>
      </c>
      <c r="D365">
        <v>2001</v>
      </c>
      <c r="E365" t="s">
        <v>11</v>
      </c>
      <c r="F365" t="s">
        <v>392</v>
      </c>
      <c r="G365">
        <v>1</v>
      </c>
      <c r="H365">
        <v>0</v>
      </c>
      <c r="I365">
        <v>0</v>
      </c>
      <c r="J365">
        <v>0</v>
      </c>
      <c r="K365">
        <v>0</v>
      </c>
      <c r="L365">
        <f t="shared" si="10"/>
        <v>7.3</v>
      </c>
      <c r="M365">
        <f t="shared" si="11"/>
        <v>1</v>
      </c>
    </row>
    <row r="366" spans="1:13" x14ac:dyDescent="0.3">
      <c r="A366">
        <v>364</v>
      </c>
      <c r="B366">
        <v>365</v>
      </c>
      <c r="C366" t="s">
        <v>401</v>
      </c>
      <c r="D366">
        <v>2021</v>
      </c>
      <c r="E366" t="s">
        <v>14</v>
      </c>
      <c r="F366" t="s">
        <v>392</v>
      </c>
      <c r="G366">
        <v>1</v>
      </c>
      <c r="H366">
        <v>0</v>
      </c>
      <c r="I366">
        <v>0</v>
      </c>
      <c r="J366">
        <v>0</v>
      </c>
      <c r="K366">
        <v>0</v>
      </c>
      <c r="L366">
        <f t="shared" si="10"/>
        <v>7.3</v>
      </c>
      <c r="M366">
        <f t="shared" si="11"/>
        <v>1</v>
      </c>
    </row>
    <row r="367" spans="1:13" x14ac:dyDescent="0.3">
      <c r="A367">
        <v>365</v>
      </c>
      <c r="B367">
        <v>366</v>
      </c>
      <c r="C367" t="s">
        <v>402</v>
      </c>
      <c r="D367">
        <v>2017</v>
      </c>
      <c r="E367" t="s">
        <v>11</v>
      </c>
      <c r="F367" t="s">
        <v>392</v>
      </c>
      <c r="G367">
        <v>1</v>
      </c>
      <c r="H367">
        <v>0</v>
      </c>
      <c r="I367">
        <v>0</v>
      </c>
      <c r="J367">
        <v>0</v>
      </c>
      <c r="K367">
        <v>0</v>
      </c>
      <c r="L367">
        <f t="shared" si="10"/>
        <v>7.3</v>
      </c>
      <c r="M367">
        <f t="shared" si="11"/>
        <v>1</v>
      </c>
    </row>
    <row r="368" spans="1:13" x14ac:dyDescent="0.3">
      <c r="A368">
        <v>366</v>
      </c>
      <c r="B368">
        <v>367</v>
      </c>
      <c r="C368" t="s">
        <v>403</v>
      </c>
      <c r="D368">
        <v>2019</v>
      </c>
      <c r="E368" t="s">
        <v>22</v>
      </c>
      <c r="F368" t="s">
        <v>392</v>
      </c>
      <c r="G368">
        <v>1</v>
      </c>
      <c r="H368">
        <v>0</v>
      </c>
      <c r="I368">
        <v>0</v>
      </c>
      <c r="J368">
        <v>0</v>
      </c>
      <c r="K368">
        <v>0</v>
      </c>
      <c r="L368">
        <f t="shared" si="10"/>
        <v>7.3</v>
      </c>
      <c r="M368">
        <f t="shared" si="11"/>
        <v>1</v>
      </c>
    </row>
    <row r="369" spans="1:13" x14ac:dyDescent="0.3">
      <c r="A369">
        <v>367</v>
      </c>
      <c r="B369">
        <v>368</v>
      </c>
      <c r="C369" t="s">
        <v>404</v>
      </c>
      <c r="D369">
        <v>2020</v>
      </c>
      <c r="F369" t="s">
        <v>392</v>
      </c>
      <c r="G369">
        <v>1</v>
      </c>
      <c r="H369">
        <v>0</v>
      </c>
      <c r="I369">
        <v>0</v>
      </c>
      <c r="J369">
        <v>0</v>
      </c>
      <c r="K369">
        <v>0</v>
      </c>
      <c r="L369">
        <f t="shared" si="10"/>
        <v>7.3</v>
      </c>
      <c r="M369">
        <f t="shared" si="11"/>
        <v>1</v>
      </c>
    </row>
    <row r="370" spans="1:13" x14ac:dyDescent="0.3">
      <c r="A370">
        <v>368</v>
      </c>
      <c r="B370">
        <v>369</v>
      </c>
      <c r="C370" t="s">
        <v>405</v>
      </c>
      <c r="D370">
        <v>2015</v>
      </c>
      <c r="E370" t="s">
        <v>11</v>
      </c>
      <c r="F370" t="s">
        <v>392</v>
      </c>
      <c r="G370">
        <v>1</v>
      </c>
      <c r="H370">
        <v>0</v>
      </c>
      <c r="I370">
        <v>0</v>
      </c>
      <c r="J370">
        <v>0</v>
      </c>
      <c r="K370">
        <v>0</v>
      </c>
      <c r="L370">
        <f t="shared" si="10"/>
        <v>7.3</v>
      </c>
      <c r="M370">
        <f t="shared" si="11"/>
        <v>1</v>
      </c>
    </row>
    <row r="371" spans="1:13" x14ac:dyDescent="0.3">
      <c r="A371">
        <v>369</v>
      </c>
      <c r="B371">
        <v>370</v>
      </c>
      <c r="C371" t="s">
        <v>406</v>
      </c>
      <c r="D371">
        <v>2018</v>
      </c>
      <c r="E371" t="s">
        <v>28</v>
      </c>
      <c r="F371" t="s">
        <v>392</v>
      </c>
      <c r="G371">
        <v>1</v>
      </c>
      <c r="H371">
        <v>0</v>
      </c>
      <c r="I371">
        <v>0</v>
      </c>
      <c r="J371">
        <v>0</v>
      </c>
      <c r="K371">
        <v>0</v>
      </c>
      <c r="L371">
        <f t="shared" si="10"/>
        <v>7.3</v>
      </c>
      <c r="M371">
        <f t="shared" si="11"/>
        <v>1</v>
      </c>
    </row>
    <row r="372" spans="1:13" x14ac:dyDescent="0.3">
      <c r="A372">
        <v>370</v>
      </c>
      <c r="B372">
        <v>371</v>
      </c>
      <c r="C372" t="s">
        <v>407</v>
      </c>
      <c r="D372">
        <v>2020</v>
      </c>
      <c r="E372" t="s">
        <v>36</v>
      </c>
      <c r="F372" t="s">
        <v>392</v>
      </c>
      <c r="G372">
        <v>1</v>
      </c>
      <c r="H372">
        <v>0</v>
      </c>
      <c r="I372">
        <v>0</v>
      </c>
      <c r="J372">
        <v>0</v>
      </c>
      <c r="K372">
        <v>0</v>
      </c>
      <c r="L372">
        <f t="shared" si="10"/>
        <v>7.3</v>
      </c>
      <c r="M372">
        <f t="shared" si="11"/>
        <v>1</v>
      </c>
    </row>
    <row r="373" spans="1:13" x14ac:dyDescent="0.3">
      <c r="A373">
        <v>371</v>
      </c>
      <c r="B373">
        <v>372</v>
      </c>
      <c r="C373" t="s">
        <v>408</v>
      </c>
      <c r="D373">
        <v>2019</v>
      </c>
      <c r="E373" t="s">
        <v>14</v>
      </c>
      <c r="F373" t="s">
        <v>392</v>
      </c>
      <c r="G373">
        <v>1</v>
      </c>
      <c r="H373">
        <v>0</v>
      </c>
      <c r="I373">
        <v>0</v>
      </c>
      <c r="J373">
        <v>0</v>
      </c>
      <c r="K373">
        <v>0</v>
      </c>
      <c r="L373">
        <f t="shared" si="10"/>
        <v>7.3</v>
      </c>
      <c r="M373">
        <f t="shared" si="11"/>
        <v>1</v>
      </c>
    </row>
    <row r="374" spans="1:13" x14ac:dyDescent="0.3">
      <c r="A374">
        <v>372</v>
      </c>
      <c r="B374">
        <v>373</v>
      </c>
      <c r="C374" t="s">
        <v>409</v>
      </c>
      <c r="D374">
        <v>2007</v>
      </c>
      <c r="E374" t="s">
        <v>11</v>
      </c>
      <c r="F374" t="s">
        <v>392</v>
      </c>
      <c r="G374">
        <v>1</v>
      </c>
      <c r="H374">
        <v>1</v>
      </c>
      <c r="I374">
        <v>0</v>
      </c>
      <c r="J374">
        <v>0</v>
      </c>
      <c r="K374">
        <v>0</v>
      </c>
      <c r="L374">
        <f t="shared" si="10"/>
        <v>7.3</v>
      </c>
      <c r="M374">
        <f t="shared" si="11"/>
        <v>2</v>
      </c>
    </row>
    <row r="375" spans="1:13" x14ac:dyDescent="0.3">
      <c r="A375">
        <v>373</v>
      </c>
      <c r="B375">
        <v>374</v>
      </c>
      <c r="C375" t="s">
        <v>410</v>
      </c>
      <c r="D375">
        <v>2019</v>
      </c>
      <c r="E375" t="s">
        <v>11</v>
      </c>
      <c r="F375" t="s">
        <v>392</v>
      </c>
      <c r="G375">
        <v>1</v>
      </c>
      <c r="H375">
        <v>0</v>
      </c>
      <c r="I375">
        <v>0</v>
      </c>
      <c r="J375">
        <v>0</v>
      </c>
      <c r="K375">
        <v>0</v>
      </c>
      <c r="L375">
        <f t="shared" si="10"/>
        <v>7.3</v>
      </c>
      <c r="M375">
        <f t="shared" si="11"/>
        <v>1</v>
      </c>
    </row>
    <row r="376" spans="1:13" x14ac:dyDescent="0.3">
      <c r="A376">
        <v>374</v>
      </c>
      <c r="B376">
        <v>375</v>
      </c>
      <c r="C376" t="s">
        <v>411</v>
      </c>
      <c r="D376">
        <v>2017</v>
      </c>
      <c r="E376" t="s">
        <v>14</v>
      </c>
      <c r="F376" t="s">
        <v>392</v>
      </c>
      <c r="G376">
        <v>1</v>
      </c>
      <c r="H376">
        <v>0</v>
      </c>
      <c r="I376">
        <v>0</v>
      </c>
      <c r="J376">
        <v>0</v>
      </c>
      <c r="K376">
        <v>0</v>
      </c>
      <c r="L376">
        <f t="shared" si="10"/>
        <v>7.3</v>
      </c>
      <c r="M376">
        <f t="shared" si="11"/>
        <v>1</v>
      </c>
    </row>
    <row r="377" spans="1:13" x14ac:dyDescent="0.3">
      <c r="A377">
        <v>375</v>
      </c>
      <c r="B377">
        <v>376</v>
      </c>
      <c r="C377" t="s">
        <v>412</v>
      </c>
      <c r="D377">
        <v>2017</v>
      </c>
      <c r="F377" t="s">
        <v>392</v>
      </c>
      <c r="G377">
        <v>1</v>
      </c>
      <c r="H377">
        <v>0</v>
      </c>
      <c r="I377">
        <v>0</v>
      </c>
      <c r="J377">
        <v>0</v>
      </c>
      <c r="K377">
        <v>0</v>
      </c>
      <c r="L377">
        <f t="shared" si="10"/>
        <v>7.3</v>
      </c>
      <c r="M377">
        <f t="shared" si="11"/>
        <v>1</v>
      </c>
    </row>
    <row r="378" spans="1:13" x14ac:dyDescent="0.3">
      <c r="A378">
        <v>376</v>
      </c>
      <c r="B378">
        <v>377</v>
      </c>
      <c r="C378" t="s">
        <v>413</v>
      </c>
      <c r="D378">
        <v>2021</v>
      </c>
      <c r="E378" t="s">
        <v>14</v>
      </c>
      <c r="F378" t="s">
        <v>392</v>
      </c>
      <c r="G378">
        <v>1</v>
      </c>
      <c r="H378">
        <v>0</v>
      </c>
      <c r="I378">
        <v>0</v>
      </c>
      <c r="J378">
        <v>0</v>
      </c>
      <c r="K378">
        <v>0</v>
      </c>
      <c r="L378">
        <f t="shared" si="10"/>
        <v>7.3</v>
      </c>
      <c r="M378">
        <f t="shared" si="11"/>
        <v>1</v>
      </c>
    </row>
    <row r="379" spans="1:13" x14ac:dyDescent="0.3">
      <c r="A379">
        <v>377</v>
      </c>
      <c r="B379">
        <v>378</v>
      </c>
      <c r="C379" t="s">
        <v>414</v>
      </c>
      <c r="D379">
        <v>2020</v>
      </c>
      <c r="E379" t="s">
        <v>11</v>
      </c>
      <c r="F379" t="s">
        <v>392</v>
      </c>
      <c r="G379">
        <v>1</v>
      </c>
      <c r="H379">
        <v>0</v>
      </c>
      <c r="I379">
        <v>0</v>
      </c>
      <c r="J379">
        <v>0</v>
      </c>
      <c r="K379">
        <v>0</v>
      </c>
      <c r="L379">
        <f t="shared" si="10"/>
        <v>7.3</v>
      </c>
      <c r="M379">
        <f t="shared" si="11"/>
        <v>1</v>
      </c>
    </row>
    <row r="380" spans="1:13" x14ac:dyDescent="0.3">
      <c r="A380">
        <v>378</v>
      </c>
      <c r="B380">
        <v>379</v>
      </c>
      <c r="C380" t="s">
        <v>415</v>
      </c>
      <c r="D380">
        <v>2018</v>
      </c>
      <c r="F380" t="s">
        <v>392</v>
      </c>
      <c r="G380">
        <v>1</v>
      </c>
      <c r="H380">
        <v>0</v>
      </c>
      <c r="I380">
        <v>0</v>
      </c>
      <c r="J380">
        <v>0</v>
      </c>
      <c r="K380">
        <v>0</v>
      </c>
      <c r="L380">
        <f t="shared" si="10"/>
        <v>7.3</v>
      </c>
      <c r="M380">
        <f t="shared" si="11"/>
        <v>1</v>
      </c>
    </row>
    <row r="381" spans="1:13" x14ac:dyDescent="0.3">
      <c r="A381">
        <v>379</v>
      </c>
      <c r="B381">
        <v>380</v>
      </c>
      <c r="C381" t="s">
        <v>416</v>
      </c>
      <c r="D381">
        <v>2009</v>
      </c>
      <c r="E381" t="s">
        <v>14</v>
      </c>
      <c r="F381" t="s">
        <v>392</v>
      </c>
      <c r="G381">
        <v>1</v>
      </c>
      <c r="H381">
        <v>0</v>
      </c>
      <c r="I381">
        <v>0</v>
      </c>
      <c r="J381">
        <v>0</v>
      </c>
      <c r="K381">
        <v>0</v>
      </c>
      <c r="L381">
        <f t="shared" si="10"/>
        <v>7.3</v>
      </c>
      <c r="M381">
        <f t="shared" si="11"/>
        <v>1</v>
      </c>
    </row>
    <row r="382" spans="1:13" x14ac:dyDescent="0.3">
      <c r="A382">
        <v>380</v>
      </c>
      <c r="B382">
        <v>381</v>
      </c>
      <c r="C382" t="s">
        <v>417</v>
      </c>
      <c r="D382">
        <v>2008</v>
      </c>
      <c r="E382" t="s">
        <v>22</v>
      </c>
      <c r="F382" t="s">
        <v>392</v>
      </c>
      <c r="G382">
        <v>1</v>
      </c>
      <c r="H382">
        <v>0</v>
      </c>
      <c r="I382">
        <v>1</v>
      </c>
      <c r="J382">
        <v>0</v>
      </c>
      <c r="K382">
        <v>0</v>
      </c>
      <c r="L382">
        <f t="shared" si="10"/>
        <v>7.3</v>
      </c>
      <c r="M382">
        <f t="shared" si="11"/>
        <v>2</v>
      </c>
    </row>
    <row r="383" spans="1:13" x14ac:dyDescent="0.3">
      <c r="A383">
        <v>381</v>
      </c>
      <c r="B383">
        <v>382</v>
      </c>
      <c r="C383" t="s">
        <v>418</v>
      </c>
      <c r="D383">
        <v>2015</v>
      </c>
      <c r="E383" t="s">
        <v>22</v>
      </c>
      <c r="F383" t="s">
        <v>392</v>
      </c>
      <c r="G383">
        <v>1</v>
      </c>
      <c r="H383">
        <v>0</v>
      </c>
      <c r="I383">
        <v>0</v>
      </c>
      <c r="J383">
        <v>0</v>
      </c>
      <c r="K383">
        <v>0</v>
      </c>
      <c r="L383">
        <f t="shared" si="10"/>
        <v>7.3</v>
      </c>
      <c r="M383">
        <f t="shared" si="11"/>
        <v>1</v>
      </c>
    </row>
    <row r="384" spans="1:13" x14ac:dyDescent="0.3">
      <c r="A384">
        <v>382</v>
      </c>
      <c r="B384">
        <v>383</v>
      </c>
      <c r="C384" t="s">
        <v>419</v>
      </c>
      <c r="D384">
        <v>2019</v>
      </c>
      <c r="E384" t="s">
        <v>11</v>
      </c>
      <c r="F384" t="s">
        <v>392</v>
      </c>
      <c r="G384">
        <v>1</v>
      </c>
      <c r="H384">
        <v>0</v>
      </c>
      <c r="I384">
        <v>0</v>
      </c>
      <c r="J384">
        <v>0</v>
      </c>
      <c r="K384">
        <v>0</v>
      </c>
      <c r="L384">
        <f t="shared" si="10"/>
        <v>7.3</v>
      </c>
      <c r="M384">
        <f t="shared" si="11"/>
        <v>1</v>
      </c>
    </row>
    <row r="385" spans="1:13" x14ac:dyDescent="0.3">
      <c r="A385">
        <v>383</v>
      </c>
      <c r="B385">
        <v>384</v>
      </c>
      <c r="C385" t="s">
        <v>420</v>
      </c>
      <c r="D385">
        <v>2012</v>
      </c>
      <c r="E385" t="s">
        <v>14</v>
      </c>
      <c r="F385" t="s">
        <v>392</v>
      </c>
      <c r="G385">
        <v>1</v>
      </c>
      <c r="H385">
        <v>0</v>
      </c>
      <c r="I385">
        <v>0</v>
      </c>
      <c r="J385">
        <v>0</v>
      </c>
      <c r="K385">
        <v>0</v>
      </c>
      <c r="L385">
        <f t="shared" si="10"/>
        <v>7.3</v>
      </c>
      <c r="M385">
        <f t="shared" si="11"/>
        <v>1</v>
      </c>
    </row>
    <row r="386" spans="1:13" x14ac:dyDescent="0.3">
      <c r="A386">
        <v>384</v>
      </c>
      <c r="B386">
        <v>385</v>
      </c>
      <c r="C386" t="s">
        <v>421</v>
      </c>
      <c r="D386">
        <v>2020</v>
      </c>
      <c r="F386" t="s">
        <v>392</v>
      </c>
      <c r="G386">
        <v>1</v>
      </c>
      <c r="H386">
        <v>0</v>
      </c>
      <c r="I386">
        <v>0</v>
      </c>
      <c r="J386">
        <v>0</v>
      </c>
      <c r="K386">
        <v>0</v>
      </c>
      <c r="L386">
        <f t="shared" si="10"/>
        <v>7.3</v>
      </c>
      <c r="M386">
        <f t="shared" si="11"/>
        <v>1</v>
      </c>
    </row>
    <row r="387" spans="1:13" x14ac:dyDescent="0.3">
      <c r="A387">
        <v>385</v>
      </c>
      <c r="B387">
        <v>386</v>
      </c>
      <c r="C387" t="s">
        <v>422</v>
      </c>
      <c r="D387">
        <v>2021</v>
      </c>
      <c r="E387" t="s">
        <v>11</v>
      </c>
      <c r="F387" t="s">
        <v>392</v>
      </c>
      <c r="G387">
        <v>1</v>
      </c>
      <c r="H387">
        <v>0</v>
      </c>
      <c r="I387">
        <v>0</v>
      </c>
      <c r="J387">
        <v>0</v>
      </c>
      <c r="K387">
        <v>0</v>
      </c>
      <c r="L387">
        <f t="shared" ref="L387:L450" si="12">IFERROR(VALUE(LEFT(F387,FIND("/",F387)-1))/10,"")</f>
        <v>7.3</v>
      </c>
      <c r="M387">
        <f t="shared" ref="M387:M450" si="13">SUM(G387:J387)</f>
        <v>1</v>
      </c>
    </row>
    <row r="388" spans="1:13" x14ac:dyDescent="0.3">
      <c r="A388">
        <v>386</v>
      </c>
      <c r="B388">
        <v>387</v>
      </c>
      <c r="C388" t="s">
        <v>423</v>
      </c>
      <c r="D388">
        <v>2016</v>
      </c>
      <c r="E388" t="s">
        <v>14</v>
      </c>
      <c r="F388" t="s">
        <v>392</v>
      </c>
      <c r="G388">
        <v>1</v>
      </c>
      <c r="H388">
        <v>0</v>
      </c>
      <c r="I388">
        <v>0</v>
      </c>
      <c r="J388">
        <v>0</v>
      </c>
      <c r="K388">
        <v>0</v>
      </c>
      <c r="L388">
        <f t="shared" si="12"/>
        <v>7.3</v>
      </c>
      <c r="M388">
        <f t="shared" si="13"/>
        <v>1</v>
      </c>
    </row>
    <row r="389" spans="1:13" x14ac:dyDescent="0.3">
      <c r="A389">
        <v>387</v>
      </c>
      <c r="B389">
        <v>388</v>
      </c>
      <c r="C389" t="s">
        <v>424</v>
      </c>
      <c r="D389">
        <v>2021</v>
      </c>
      <c r="E389" t="s">
        <v>11</v>
      </c>
      <c r="F389" t="s">
        <v>392</v>
      </c>
      <c r="G389">
        <v>1</v>
      </c>
      <c r="H389">
        <v>0</v>
      </c>
      <c r="I389">
        <v>0</v>
      </c>
      <c r="J389">
        <v>0</v>
      </c>
      <c r="K389">
        <v>0</v>
      </c>
      <c r="L389">
        <f t="shared" si="12"/>
        <v>7.3</v>
      </c>
      <c r="M389">
        <f t="shared" si="13"/>
        <v>1</v>
      </c>
    </row>
    <row r="390" spans="1:13" x14ac:dyDescent="0.3">
      <c r="A390">
        <v>388</v>
      </c>
      <c r="B390">
        <v>389</v>
      </c>
      <c r="C390" t="s">
        <v>425</v>
      </c>
      <c r="D390">
        <v>2017</v>
      </c>
      <c r="E390" t="s">
        <v>11</v>
      </c>
      <c r="F390" t="s">
        <v>392</v>
      </c>
      <c r="G390">
        <v>1</v>
      </c>
      <c r="H390">
        <v>0</v>
      </c>
      <c r="I390">
        <v>0</v>
      </c>
      <c r="J390">
        <v>0</v>
      </c>
      <c r="K390">
        <v>0</v>
      </c>
      <c r="L390">
        <f t="shared" si="12"/>
        <v>7.3</v>
      </c>
      <c r="M390">
        <f t="shared" si="13"/>
        <v>1</v>
      </c>
    </row>
    <row r="391" spans="1:13" x14ac:dyDescent="0.3">
      <c r="A391">
        <v>389</v>
      </c>
      <c r="B391">
        <v>390</v>
      </c>
      <c r="C391" t="s">
        <v>426</v>
      </c>
      <c r="D391">
        <v>2017</v>
      </c>
      <c r="E391" t="s">
        <v>11</v>
      </c>
      <c r="F391" t="s">
        <v>392</v>
      </c>
      <c r="G391">
        <v>1</v>
      </c>
      <c r="H391">
        <v>1</v>
      </c>
      <c r="I391">
        <v>0</v>
      </c>
      <c r="J391">
        <v>0</v>
      </c>
      <c r="K391">
        <v>0</v>
      </c>
      <c r="L391">
        <f t="shared" si="12"/>
        <v>7.3</v>
      </c>
      <c r="M391">
        <f t="shared" si="13"/>
        <v>2</v>
      </c>
    </row>
    <row r="392" spans="1:13" x14ac:dyDescent="0.3">
      <c r="A392">
        <v>390</v>
      </c>
      <c r="B392">
        <v>391</v>
      </c>
      <c r="C392" t="s">
        <v>427</v>
      </c>
      <c r="D392">
        <v>2016</v>
      </c>
      <c r="E392" t="s">
        <v>22</v>
      </c>
      <c r="F392" t="s">
        <v>392</v>
      </c>
      <c r="G392">
        <v>1</v>
      </c>
      <c r="H392">
        <v>0</v>
      </c>
      <c r="I392">
        <v>0</v>
      </c>
      <c r="J392">
        <v>0</v>
      </c>
      <c r="K392">
        <v>0</v>
      </c>
      <c r="L392">
        <f t="shared" si="12"/>
        <v>7.3</v>
      </c>
      <c r="M392">
        <f t="shared" si="13"/>
        <v>1</v>
      </c>
    </row>
    <row r="393" spans="1:13" x14ac:dyDescent="0.3">
      <c r="A393">
        <v>391</v>
      </c>
      <c r="B393">
        <v>392</v>
      </c>
      <c r="C393" t="s">
        <v>428</v>
      </c>
      <c r="D393">
        <v>2016</v>
      </c>
      <c r="F393" t="s">
        <v>392</v>
      </c>
      <c r="G393">
        <v>1</v>
      </c>
      <c r="H393">
        <v>0</v>
      </c>
      <c r="I393">
        <v>0</v>
      </c>
      <c r="J393">
        <v>0</v>
      </c>
      <c r="K393">
        <v>0</v>
      </c>
      <c r="L393">
        <f t="shared" si="12"/>
        <v>7.3</v>
      </c>
      <c r="M393">
        <f t="shared" si="13"/>
        <v>1</v>
      </c>
    </row>
    <row r="394" spans="1:13" x14ac:dyDescent="0.3">
      <c r="A394">
        <v>392</v>
      </c>
      <c r="B394">
        <v>393</v>
      </c>
      <c r="C394" t="s">
        <v>429</v>
      </c>
      <c r="D394">
        <v>2013</v>
      </c>
      <c r="E394" t="s">
        <v>11</v>
      </c>
      <c r="F394" t="s">
        <v>392</v>
      </c>
      <c r="G394">
        <v>1</v>
      </c>
      <c r="H394">
        <v>0</v>
      </c>
      <c r="I394">
        <v>0</v>
      </c>
      <c r="J394">
        <v>0</v>
      </c>
      <c r="K394">
        <v>0</v>
      </c>
      <c r="L394">
        <f t="shared" si="12"/>
        <v>7.3</v>
      </c>
      <c r="M394">
        <f t="shared" si="13"/>
        <v>1</v>
      </c>
    </row>
    <row r="395" spans="1:13" x14ac:dyDescent="0.3">
      <c r="A395">
        <v>393</v>
      </c>
      <c r="B395">
        <v>394</v>
      </c>
      <c r="C395" t="s">
        <v>430</v>
      </c>
      <c r="D395">
        <v>2005</v>
      </c>
      <c r="E395" t="s">
        <v>11</v>
      </c>
      <c r="F395" t="s">
        <v>392</v>
      </c>
      <c r="G395">
        <v>1</v>
      </c>
      <c r="H395">
        <v>0</v>
      </c>
      <c r="I395">
        <v>0</v>
      </c>
      <c r="J395">
        <v>0</v>
      </c>
      <c r="K395">
        <v>0</v>
      </c>
      <c r="L395">
        <f t="shared" si="12"/>
        <v>7.3</v>
      </c>
      <c r="M395">
        <f t="shared" si="13"/>
        <v>1</v>
      </c>
    </row>
    <row r="396" spans="1:13" x14ac:dyDescent="0.3">
      <c r="A396">
        <v>394</v>
      </c>
      <c r="B396">
        <v>395</v>
      </c>
      <c r="C396" t="s">
        <v>431</v>
      </c>
      <c r="D396">
        <v>2002</v>
      </c>
      <c r="E396" t="s">
        <v>11</v>
      </c>
      <c r="F396" t="s">
        <v>392</v>
      </c>
      <c r="G396">
        <v>1</v>
      </c>
      <c r="H396">
        <v>0</v>
      </c>
      <c r="I396">
        <v>0</v>
      </c>
      <c r="J396">
        <v>0</v>
      </c>
      <c r="K396">
        <v>0</v>
      </c>
      <c r="L396">
        <f t="shared" si="12"/>
        <v>7.3</v>
      </c>
      <c r="M396">
        <f t="shared" si="13"/>
        <v>1</v>
      </c>
    </row>
    <row r="397" spans="1:13" x14ac:dyDescent="0.3">
      <c r="A397">
        <v>395</v>
      </c>
      <c r="B397">
        <v>396</v>
      </c>
      <c r="C397" t="s">
        <v>432</v>
      </c>
      <c r="D397">
        <v>2015</v>
      </c>
      <c r="E397" t="s">
        <v>11</v>
      </c>
      <c r="F397" t="s">
        <v>392</v>
      </c>
      <c r="G397">
        <v>1</v>
      </c>
      <c r="H397">
        <v>0</v>
      </c>
      <c r="I397">
        <v>0</v>
      </c>
      <c r="J397">
        <v>0</v>
      </c>
      <c r="K397">
        <v>0</v>
      </c>
      <c r="L397">
        <f t="shared" si="12"/>
        <v>7.3</v>
      </c>
      <c r="M397">
        <f t="shared" si="13"/>
        <v>1</v>
      </c>
    </row>
    <row r="398" spans="1:13" x14ac:dyDescent="0.3">
      <c r="A398">
        <v>396</v>
      </c>
      <c r="B398">
        <v>397</v>
      </c>
      <c r="C398" t="s">
        <v>433</v>
      </c>
      <c r="D398">
        <v>2018</v>
      </c>
      <c r="F398" t="s">
        <v>392</v>
      </c>
      <c r="G398">
        <v>1</v>
      </c>
      <c r="H398">
        <v>0</v>
      </c>
      <c r="I398">
        <v>0</v>
      </c>
      <c r="J398">
        <v>0</v>
      </c>
      <c r="K398">
        <v>0</v>
      </c>
      <c r="L398">
        <f t="shared" si="12"/>
        <v>7.3</v>
      </c>
      <c r="M398">
        <f t="shared" si="13"/>
        <v>1</v>
      </c>
    </row>
    <row r="399" spans="1:13" x14ac:dyDescent="0.3">
      <c r="A399">
        <v>397</v>
      </c>
      <c r="B399">
        <v>398</v>
      </c>
      <c r="C399" t="s">
        <v>434</v>
      </c>
      <c r="D399">
        <v>2019</v>
      </c>
      <c r="F399" t="s">
        <v>392</v>
      </c>
      <c r="G399">
        <v>1</v>
      </c>
      <c r="H399">
        <v>0</v>
      </c>
      <c r="I399">
        <v>0</v>
      </c>
      <c r="J399">
        <v>0</v>
      </c>
      <c r="K399">
        <v>0</v>
      </c>
      <c r="L399">
        <f t="shared" si="12"/>
        <v>7.3</v>
      </c>
      <c r="M399">
        <f t="shared" si="13"/>
        <v>1</v>
      </c>
    </row>
    <row r="400" spans="1:13" x14ac:dyDescent="0.3">
      <c r="A400">
        <v>398</v>
      </c>
      <c r="B400">
        <v>399</v>
      </c>
      <c r="C400" t="s">
        <v>435</v>
      </c>
      <c r="D400">
        <v>2016</v>
      </c>
      <c r="F400" t="s">
        <v>392</v>
      </c>
      <c r="G400">
        <v>1</v>
      </c>
      <c r="H400">
        <v>0</v>
      </c>
      <c r="I400">
        <v>0</v>
      </c>
      <c r="J400">
        <v>0</v>
      </c>
      <c r="K400">
        <v>0</v>
      </c>
      <c r="L400">
        <f t="shared" si="12"/>
        <v>7.3</v>
      </c>
      <c r="M400">
        <f t="shared" si="13"/>
        <v>1</v>
      </c>
    </row>
    <row r="401" spans="1:13" x14ac:dyDescent="0.3">
      <c r="A401">
        <v>399</v>
      </c>
      <c r="B401">
        <v>400</v>
      </c>
      <c r="C401" t="s">
        <v>436</v>
      </c>
      <c r="D401">
        <v>2013</v>
      </c>
      <c r="E401" t="s">
        <v>22</v>
      </c>
      <c r="F401" t="s">
        <v>392</v>
      </c>
      <c r="G401">
        <v>1</v>
      </c>
      <c r="H401">
        <v>0</v>
      </c>
      <c r="I401">
        <v>0</v>
      </c>
      <c r="J401">
        <v>0</v>
      </c>
      <c r="K401">
        <v>0</v>
      </c>
      <c r="L401">
        <f t="shared" si="12"/>
        <v>7.3</v>
      </c>
      <c r="M401">
        <f t="shared" si="13"/>
        <v>1</v>
      </c>
    </row>
    <row r="402" spans="1:13" x14ac:dyDescent="0.3">
      <c r="A402">
        <v>400</v>
      </c>
      <c r="B402">
        <v>401</v>
      </c>
      <c r="C402" t="s">
        <v>437</v>
      </c>
      <c r="D402">
        <v>2019</v>
      </c>
      <c r="E402" t="s">
        <v>11</v>
      </c>
      <c r="F402" t="s">
        <v>392</v>
      </c>
      <c r="G402">
        <v>1</v>
      </c>
      <c r="H402">
        <v>0</v>
      </c>
      <c r="I402">
        <v>1</v>
      </c>
      <c r="J402">
        <v>0</v>
      </c>
      <c r="K402">
        <v>0</v>
      </c>
      <c r="L402">
        <f t="shared" si="12"/>
        <v>7.3</v>
      </c>
      <c r="M402">
        <f t="shared" si="13"/>
        <v>2</v>
      </c>
    </row>
    <row r="403" spans="1:13" x14ac:dyDescent="0.3">
      <c r="A403">
        <v>401</v>
      </c>
      <c r="B403">
        <v>402</v>
      </c>
      <c r="C403" t="s">
        <v>438</v>
      </c>
      <c r="D403">
        <v>2006</v>
      </c>
      <c r="E403" t="s">
        <v>22</v>
      </c>
      <c r="F403" t="s">
        <v>392</v>
      </c>
      <c r="G403">
        <v>1</v>
      </c>
      <c r="H403">
        <v>0</v>
      </c>
      <c r="I403">
        <v>0</v>
      </c>
      <c r="J403">
        <v>0</v>
      </c>
      <c r="K403">
        <v>0</v>
      </c>
      <c r="L403">
        <f t="shared" si="12"/>
        <v>7.3</v>
      </c>
      <c r="M403">
        <f t="shared" si="13"/>
        <v>1</v>
      </c>
    </row>
    <row r="404" spans="1:13" x14ac:dyDescent="0.3">
      <c r="A404">
        <v>402</v>
      </c>
      <c r="B404">
        <v>403</v>
      </c>
      <c r="C404" t="s">
        <v>439</v>
      </c>
      <c r="D404">
        <v>2000</v>
      </c>
      <c r="E404" t="s">
        <v>11</v>
      </c>
      <c r="F404" t="s">
        <v>440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f t="shared" si="12"/>
        <v>7.2</v>
      </c>
      <c r="M404">
        <f t="shared" si="13"/>
        <v>1</v>
      </c>
    </row>
    <row r="405" spans="1:13" x14ac:dyDescent="0.3">
      <c r="A405">
        <v>403</v>
      </c>
      <c r="B405">
        <v>404</v>
      </c>
      <c r="C405" t="s">
        <v>441</v>
      </c>
      <c r="D405">
        <v>2014</v>
      </c>
      <c r="F405" t="s">
        <v>440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f t="shared" si="12"/>
        <v>7.2</v>
      </c>
      <c r="M405">
        <f t="shared" si="13"/>
        <v>1</v>
      </c>
    </row>
    <row r="406" spans="1:13" x14ac:dyDescent="0.3">
      <c r="A406">
        <v>404</v>
      </c>
      <c r="B406">
        <v>405</v>
      </c>
      <c r="C406" t="s">
        <v>442</v>
      </c>
      <c r="D406">
        <v>2017</v>
      </c>
      <c r="E406" t="s">
        <v>11</v>
      </c>
      <c r="F406" t="s">
        <v>440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f t="shared" si="12"/>
        <v>7.2</v>
      </c>
      <c r="M406">
        <f t="shared" si="13"/>
        <v>1</v>
      </c>
    </row>
    <row r="407" spans="1:13" x14ac:dyDescent="0.3">
      <c r="A407">
        <v>405</v>
      </c>
      <c r="B407">
        <v>406</v>
      </c>
      <c r="C407" t="s">
        <v>443</v>
      </c>
      <c r="D407">
        <v>2008</v>
      </c>
      <c r="E407" t="s">
        <v>11</v>
      </c>
      <c r="F407" t="s">
        <v>440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f t="shared" si="12"/>
        <v>7.2</v>
      </c>
      <c r="M407">
        <f t="shared" si="13"/>
        <v>1</v>
      </c>
    </row>
    <row r="408" spans="1:13" x14ac:dyDescent="0.3">
      <c r="A408">
        <v>406</v>
      </c>
      <c r="B408">
        <v>407</v>
      </c>
      <c r="C408" t="s">
        <v>444</v>
      </c>
      <c r="D408">
        <v>2014</v>
      </c>
      <c r="E408" t="s">
        <v>14</v>
      </c>
      <c r="F408" t="s">
        <v>440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f t="shared" si="12"/>
        <v>7.2</v>
      </c>
      <c r="M408">
        <f t="shared" si="13"/>
        <v>1</v>
      </c>
    </row>
    <row r="409" spans="1:13" x14ac:dyDescent="0.3">
      <c r="A409">
        <v>407</v>
      </c>
      <c r="B409">
        <v>408</v>
      </c>
      <c r="C409" t="s">
        <v>445</v>
      </c>
      <c r="D409">
        <v>2010</v>
      </c>
      <c r="E409" t="s">
        <v>11</v>
      </c>
      <c r="F409" t="s">
        <v>440</v>
      </c>
      <c r="G409">
        <v>1</v>
      </c>
      <c r="H409">
        <v>0</v>
      </c>
      <c r="I409">
        <v>1</v>
      </c>
      <c r="J409">
        <v>0</v>
      </c>
      <c r="K409">
        <v>0</v>
      </c>
      <c r="L409">
        <f t="shared" si="12"/>
        <v>7.2</v>
      </c>
      <c r="M409">
        <f t="shared" si="13"/>
        <v>2</v>
      </c>
    </row>
    <row r="410" spans="1:13" x14ac:dyDescent="0.3">
      <c r="A410">
        <v>408</v>
      </c>
      <c r="B410">
        <v>409</v>
      </c>
      <c r="C410" t="s">
        <v>446</v>
      </c>
      <c r="D410">
        <v>2017</v>
      </c>
      <c r="E410" t="s">
        <v>11</v>
      </c>
      <c r="F410" t="s">
        <v>440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f t="shared" si="12"/>
        <v>7.2</v>
      </c>
      <c r="M410">
        <f t="shared" si="13"/>
        <v>1</v>
      </c>
    </row>
    <row r="411" spans="1:13" x14ac:dyDescent="0.3">
      <c r="A411">
        <v>409</v>
      </c>
      <c r="B411">
        <v>410</v>
      </c>
      <c r="C411" t="s">
        <v>447</v>
      </c>
      <c r="D411">
        <v>2017</v>
      </c>
      <c r="E411" t="s">
        <v>11</v>
      </c>
      <c r="F411" t="s">
        <v>440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f t="shared" si="12"/>
        <v>7.2</v>
      </c>
      <c r="M411">
        <f t="shared" si="13"/>
        <v>1</v>
      </c>
    </row>
    <row r="412" spans="1:13" x14ac:dyDescent="0.3">
      <c r="A412">
        <v>410</v>
      </c>
      <c r="B412">
        <v>411</v>
      </c>
      <c r="C412" t="s">
        <v>448</v>
      </c>
      <c r="D412">
        <v>2004</v>
      </c>
      <c r="E412" t="s">
        <v>11</v>
      </c>
      <c r="F412" t="s">
        <v>440</v>
      </c>
      <c r="G412">
        <v>1</v>
      </c>
      <c r="H412">
        <v>0</v>
      </c>
      <c r="I412">
        <v>1</v>
      </c>
      <c r="J412">
        <v>0</v>
      </c>
      <c r="K412">
        <v>0</v>
      </c>
      <c r="L412">
        <f t="shared" si="12"/>
        <v>7.2</v>
      </c>
      <c r="M412">
        <f t="shared" si="13"/>
        <v>2</v>
      </c>
    </row>
    <row r="413" spans="1:13" x14ac:dyDescent="0.3">
      <c r="A413">
        <v>411</v>
      </c>
      <c r="B413">
        <v>412</v>
      </c>
      <c r="C413" t="s">
        <v>449</v>
      </c>
      <c r="D413">
        <v>2017</v>
      </c>
      <c r="F413" t="s">
        <v>440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f t="shared" si="12"/>
        <v>7.2</v>
      </c>
      <c r="M413">
        <f t="shared" si="13"/>
        <v>1</v>
      </c>
    </row>
    <row r="414" spans="1:13" x14ac:dyDescent="0.3">
      <c r="A414">
        <v>412</v>
      </c>
      <c r="B414">
        <v>413</v>
      </c>
      <c r="C414" t="s">
        <v>450</v>
      </c>
      <c r="D414">
        <v>2007</v>
      </c>
      <c r="E414" t="s">
        <v>22</v>
      </c>
      <c r="F414" t="s">
        <v>440</v>
      </c>
      <c r="G414">
        <v>1</v>
      </c>
      <c r="H414">
        <v>0</v>
      </c>
      <c r="I414">
        <v>1</v>
      </c>
      <c r="J414">
        <v>0</v>
      </c>
      <c r="K414">
        <v>0</v>
      </c>
      <c r="L414">
        <f t="shared" si="12"/>
        <v>7.2</v>
      </c>
      <c r="M414">
        <f t="shared" si="13"/>
        <v>2</v>
      </c>
    </row>
    <row r="415" spans="1:13" x14ac:dyDescent="0.3">
      <c r="A415">
        <v>413</v>
      </c>
      <c r="B415">
        <v>414</v>
      </c>
      <c r="C415" t="s">
        <v>451</v>
      </c>
      <c r="D415">
        <v>2016</v>
      </c>
      <c r="E415" t="s">
        <v>14</v>
      </c>
      <c r="F415" t="s">
        <v>440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f t="shared" si="12"/>
        <v>7.2</v>
      </c>
      <c r="M415">
        <f t="shared" si="13"/>
        <v>1</v>
      </c>
    </row>
    <row r="416" spans="1:13" x14ac:dyDescent="0.3">
      <c r="A416">
        <v>414</v>
      </c>
      <c r="B416">
        <v>415</v>
      </c>
      <c r="C416" t="s">
        <v>452</v>
      </c>
      <c r="D416">
        <v>2018</v>
      </c>
      <c r="E416" t="s">
        <v>22</v>
      </c>
      <c r="F416" t="s">
        <v>440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f t="shared" si="12"/>
        <v>7.2</v>
      </c>
      <c r="M416">
        <f t="shared" si="13"/>
        <v>1</v>
      </c>
    </row>
    <row r="417" spans="1:13" x14ac:dyDescent="0.3">
      <c r="A417">
        <v>415</v>
      </c>
      <c r="B417">
        <v>416</v>
      </c>
      <c r="C417" t="s">
        <v>453</v>
      </c>
      <c r="D417">
        <v>2012</v>
      </c>
      <c r="E417" t="s">
        <v>14</v>
      </c>
      <c r="F417" t="s">
        <v>440</v>
      </c>
      <c r="G417">
        <v>1</v>
      </c>
      <c r="H417">
        <v>1</v>
      </c>
      <c r="I417">
        <v>0</v>
      </c>
      <c r="J417">
        <v>0</v>
      </c>
      <c r="K417">
        <v>0</v>
      </c>
      <c r="L417">
        <f t="shared" si="12"/>
        <v>7.2</v>
      </c>
      <c r="M417">
        <f t="shared" si="13"/>
        <v>2</v>
      </c>
    </row>
    <row r="418" spans="1:13" x14ac:dyDescent="0.3">
      <c r="A418">
        <v>416</v>
      </c>
      <c r="B418">
        <v>417</v>
      </c>
      <c r="C418" t="s">
        <v>454</v>
      </c>
      <c r="D418">
        <v>2017</v>
      </c>
      <c r="E418" t="s">
        <v>11</v>
      </c>
      <c r="F418" t="s">
        <v>440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f t="shared" si="12"/>
        <v>7.2</v>
      </c>
      <c r="M418">
        <f t="shared" si="13"/>
        <v>1</v>
      </c>
    </row>
    <row r="419" spans="1:13" x14ac:dyDescent="0.3">
      <c r="A419">
        <v>417</v>
      </c>
      <c r="B419">
        <v>418</v>
      </c>
      <c r="C419" t="s">
        <v>455</v>
      </c>
      <c r="D419">
        <v>2018</v>
      </c>
      <c r="E419" t="s">
        <v>11</v>
      </c>
      <c r="F419" t="s">
        <v>440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f t="shared" si="12"/>
        <v>7.2</v>
      </c>
      <c r="M419">
        <f t="shared" si="13"/>
        <v>1</v>
      </c>
    </row>
    <row r="420" spans="1:13" x14ac:dyDescent="0.3">
      <c r="A420">
        <v>418</v>
      </c>
      <c r="B420">
        <v>419</v>
      </c>
      <c r="C420" t="s">
        <v>456</v>
      </c>
      <c r="D420">
        <v>2006</v>
      </c>
      <c r="E420" t="s">
        <v>11</v>
      </c>
      <c r="F420" t="s">
        <v>440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f t="shared" si="12"/>
        <v>7.2</v>
      </c>
      <c r="M420">
        <f t="shared" si="13"/>
        <v>1</v>
      </c>
    </row>
    <row r="421" spans="1:13" x14ac:dyDescent="0.3">
      <c r="A421">
        <v>419</v>
      </c>
      <c r="B421">
        <v>420</v>
      </c>
      <c r="C421" t="s">
        <v>457</v>
      </c>
      <c r="D421">
        <v>2002</v>
      </c>
      <c r="E421" t="s">
        <v>22</v>
      </c>
      <c r="F421" t="s">
        <v>440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f t="shared" si="12"/>
        <v>7.2</v>
      </c>
      <c r="M421">
        <f t="shared" si="13"/>
        <v>1</v>
      </c>
    </row>
    <row r="422" spans="1:13" x14ac:dyDescent="0.3">
      <c r="A422">
        <v>420</v>
      </c>
      <c r="B422">
        <v>421</v>
      </c>
      <c r="C422" t="s">
        <v>458</v>
      </c>
      <c r="D422">
        <v>2004</v>
      </c>
      <c r="E422" t="s">
        <v>22</v>
      </c>
      <c r="F422" t="s">
        <v>440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f t="shared" si="12"/>
        <v>7.2</v>
      </c>
      <c r="M422">
        <f t="shared" si="13"/>
        <v>1</v>
      </c>
    </row>
    <row r="423" spans="1:13" x14ac:dyDescent="0.3">
      <c r="A423">
        <v>421</v>
      </c>
      <c r="B423">
        <v>422</v>
      </c>
      <c r="C423" t="s">
        <v>459</v>
      </c>
      <c r="D423">
        <v>2019</v>
      </c>
      <c r="E423" t="s">
        <v>28</v>
      </c>
      <c r="F423" t="s">
        <v>440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f t="shared" si="12"/>
        <v>7.2</v>
      </c>
      <c r="M423">
        <f t="shared" si="13"/>
        <v>1</v>
      </c>
    </row>
    <row r="424" spans="1:13" x14ac:dyDescent="0.3">
      <c r="A424">
        <v>422</v>
      </c>
      <c r="B424">
        <v>423</v>
      </c>
      <c r="C424" t="s">
        <v>460</v>
      </c>
      <c r="D424">
        <v>2019</v>
      </c>
      <c r="F424" t="s">
        <v>440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f t="shared" si="12"/>
        <v>7.2</v>
      </c>
      <c r="M424">
        <f t="shared" si="13"/>
        <v>1</v>
      </c>
    </row>
    <row r="425" spans="1:13" x14ac:dyDescent="0.3">
      <c r="A425">
        <v>423</v>
      </c>
      <c r="B425">
        <v>424</v>
      </c>
      <c r="C425" t="s">
        <v>461</v>
      </c>
      <c r="D425">
        <v>2014</v>
      </c>
      <c r="F425" t="s">
        <v>440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f t="shared" si="12"/>
        <v>7.2</v>
      </c>
      <c r="M425">
        <f t="shared" si="13"/>
        <v>1</v>
      </c>
    </row>
    <row r="426" spans="1:13" x14ac:dyDescent="0.3">
      <c r="A426">
        <v>424</v>
      </c>
      <c r="B426">
        <v>425</v>
      </c>
      <c r="C426" t="s">
        <v>462</v>
      </c>
      <c r="D426">
        <v>2010</v>
      </c>
      <c r="E426" t="s">
        <v>22</v>
      </c>
      <c r="F426" t="s">
        <v>440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f t="shared" si="12"/>
        <v>7.2</v>
      </c>
      <c r="M426">
        <f t="shared" si="13"/>
        <v>1</v>
      </c>
    </row>
    <row r="427" spans="1:13" x14ac:dyDescent="0.3">
      <c r="A427">
        <v>425</v>
      </c>
      <c r="B427">
        <v>426</v>
      </c>
      <c r="C427" t="s">
        <v>463</v>
      </c>
      <c r="D427">
        <v>2017</v>
      </c>
      <c r="E427" t="s">
        <v>11</v>
      </c>
      <c r="F427" t="s">
        <v>440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f t="shared" si="12"/>
        <v>7.2</v>
      </c>
      <c r="M427">
        <f t="shared" si="13"/>
        <v>1</v>
      </c>
    </row>
    <row r="428" spans="1:13" x14ac:dyDescent="0.3">
      <c r="A428">
        <v>426</v>
      </c>
      <c r="B428">
        <v>427</v>
      </c>
      <c r="C428" t="s">
        <v>464</v>
      </c>
      <c r="D428">
        <v>2013</v>
      </c>
      <c r="E428" t="s">
        <v>11</v>
      </c>
      <c r="F428" t="s">
        <v>440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f t="shared" si="12"/>
        <v>7.2</v>
      </c>
      <c r="M428">
        <f t="shared" si="13"/>
        <v>1</v>
      </c>
    </row>
    <row r="429" spans="1:13" x14ac:dyDescent="0.3">
      <c r="A429">
        <v>427</v>
      </c>
      <c r="B429">
        <v>428</v>
      </c>
      <c r="C429" t="s">
        <v>465</v>
      </c>
      <c r="D429">
        <v>1998</v>
      </c>
      <c r="E429" t="s">
        <v>36</v>
      </c>
      <c r="F429" t="s">
        <v>440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f t="shared" si="12"/>
        <v>7.2</v>
      </c>
      <c r="M429">
        <f t="shared" si="13"/>
        <v>1</v>
      </c>
    </row>
    <row r="430" spans="1:13" x14ac:dyDescent="0.3">
      <c r="A430">
        <v>428</v>
      </c>
      <c r="B430">
        <v>429</v>
      </c>
      <c r="C430" t="s">
        <v>466</v>
      </c>
      <c r="D430">
        <v>2014</v>
      </c>
      <c r="F430" t="s">
        <v>440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f t="shared" si="12"/>
        <v>7.2</v>
      </c>
      <c r="M430">
        <f t="shared" si="13"/>
        <v>1</v>
      </c>
    </row>
    <row r="431" spans="1:13" x14ac:dyDescent="0.3">
      <c r="A431">
        <v>429</v>
      </c>
      <c r="B431">
        <v>430</v>
      </c>
      <c r="C431" t="s">
        <v>467</v>
      </c>
      <c r="D431">
        <v>2016</v>
      </c>
      <c r="E431" t="s">
        <v>11</v>
      </c>
      <c r="F431" t="s">
        <v>440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f t="shared" si="12"/>
        <v>7.2</v>
      </c>
      <c r="M431">
        <f t="shared" si="13"/>
        <v>1</v>
      </c>
    </row>
    <row r="432" spans="1:13" x14ac:dyDescent="0.3">
      <c r="A432">
        <v>430</v>
      </c>
      <c r="B432">
        <v>431</v>
      </c>
      <c r="C432" t="s">
        <v>468</v>
      </c>
      <c r="D432">
        <v>2008</v>
      </c>
      <c r="F432" t="s">
        <v>440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f t="shared" si="12"/>
        <v>7.2</v>
      </c>
      <c r="M432">
        <f t="shared" si="13"/>
        <v>1</v>
      </c>
    </row>
    <row r="433" spans="1:13" x14ac:dyDescent="0.3">
      <c r="A433">
        <v>431</v>
      </c>
      <c r="B433">
        <v>432</v>
      </c>
      <c r="C433" t="s">
        <v>469</v>
      </c>
      <c r="D433">
        <v>2013</v>
      </c>
      <c r="E433" t="s">
        <v>28</v>
      </c>
      <c r="F433" t="s">
        <v>440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f t="shared" si="12"/>
        <v>7.2</v>
      </c>
      <c r="M433">
        <f t="shared" si="13"/>
        <v>1</v>
      </c>
    </row>
    <row r="434" spans="1:13" x14ac:dyDescent="0.3">
      <c r="A434">
        <v>432</v>
      </c>
      <c r="B434">
        <v>433</v>
      </c>
      <c r="C434" t="s">
        <v>470</v>
      </c>
      <c r="D434">
        <v>2013</v>
      </c>
      <c r="E434" t="s">
        <v>22</v>
      </c>
      <c r="F434" t="s">
        <v>440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f t="shared" si="12"/>
        <v>7.2</v>
      </c>
      <c r="M434">
        <f t="shared" si="13"/>
        <v>1</v>
      </c>
    </row>
    <row r="435" spans="1:13" x14ac:dyDescent="0.3">
      <c r="A435">
        <v>433</v>
      </c>
      <c r="B435">
        <v>434</v>
      </c>
      <c r="C435" t="s">
        <v>471</v>
      </c>
      <c r="D435">
        <v>2017</v>
      </c>
      <c r="E435" t="s">
        <v>14</v>
      </c>
      <c r="F435" t="s">
        <v>440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f t="shared" si="12"/>
        <v>7.2</v>
      </c>
      <c r="M435">
        <f t="shared" si="13"/>
        <v>1</v>
      </c>
    </row>
    <row r="436" spans="1:13" x14ac:dyDescent="0.3">
      <c r="A436">
        <v>434</v>
      </c>
      <c r="B436">
        <v>435</v>
      </c>
      <c r="C436" t="s">
        <v>472</v>
      </c>
      <c r="D436">
        <v>2018</v>
      </c>
      <c r="E436" t="s">
        <v>11</v>
      </c>
      <c r="F436" t="s">
        <v>440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f t="shared" si="12"/>
        <v>7.2</v>
      </c>
      <c r="M436">
        <f t="shared" si="13"/>
        <v>1</v>
      </c>
    </row>
    <row r="437" spans="1:13" x14ac:dyDescent="0.3">
      <c r="A437">
        <v>435</v>
      </c>
      <c r="B437">
        <v>436</v>
      </c>
      <c r="C437" t="s">
        <v>473</v>
      </c>
      <c r="D437">
        <v>2013</v>
      </c>
      <c r="E437" t="s">
        <v>14</v>
      </c>
      <c r="F437" t="s">
        <v>440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f t="shared" si="12"/>
        <v>7.2</v>
      </c>
      <c r="M437">
        <f t="shared" si="13"/>
        <v>1</v>
      </c>
    </row>
    <row r="438" spans="1:13" x14ac:dyDescent="0.3">
      <c r="A438">
        <v>436</v>
      </c>
      <c r="B438">
        <v>437</v>
      </c>
      <c r="C438" t="s">
        <v>474</v>
      </c>
      <c r="D438">
        <v>2013</v>
      </c>
      <c r="E438" t="s">
        <v>14</v>
      </c>
      <c r="F438" t="s">
        <v>440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f t="shared" si="12"/>
        <v>7.2</v>
      </c>
      <c r="M438">
        <f t="shared" si="13"/>
        <v>1</v>
      </c>
    </row>
    <row r="439" spans="1:13" x14ac:dyDescent="0.3">
      <c r="A439">
        <v>437</v>
      </c>
      <c r="B439">
        <v>438</v>
      </c>
      <c r="C439" t="s">
        <v>475</v>
      </c>
      <c r="D439">
        <v>2009</v>
      </c>
      <c r="E439" t="s">
        <v>22</v>
      </c>
      <c r="F439" t="s">
        <v>440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f t="shared" si="12"/>
        <v>7.2</v>
      </c>
      <c r="M439">
        <f t="shared" si="13"/>
        <v>1</v>
      </c>
    </row>
    <row r="440" spans="1:13" x14ac:dyDescent="0.3">
      <c r="A440">
        <v>438</v>
      </c>
      <c r="B440">
        <v>439</v>
      </c>
      <c r="C440" t="s">
        <v>476</v>
      </c>
      <c r="D440">
        <v>2013</v>
      </c>
      <c r="E440" t="s">
        <v>11</v>
      </c>
      <c r="F440" t="s">
        <v>440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f t="shared" si="12"/>
        <v>7.2</v>
      </c>
      <c r="M440">
        <f t="shared" si="13"/>
        <v>1</v>
      </c>
    </row>
    <row r="441" spans="1:13" x14ac:dyDescent="0.3">
      <c r="A441">
        <v>439</v>
      </c>
      <c r="B441">
        <v>440</v>
      </c>
      <c r="C441" t="s">
        <v>477</v>
      </c>
      <c r="D441">
        <v>2015</v>
      </c>
      <c r="E441" t="s">
        <v>11</v>
      </c>
      <c r="F441" t="s">
        <v>440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f t="shared" si="12"/>
        <v>7.2</v>
      </c>
      <c r="M441">
        <f t="shared" si="13"/>
        <v>1</v>
      </c>
    </row>
    <row r="442" spans="1:13" x14ac:dyDescent="0.3">
      <c r="A442">
        <v>440</v>
      </c>
      <c r="B442">
        <v>441</v>
      </c>
      <c r="C442" t="s">
        <v>478</v>
      </c>
      <c r="D442">
        <v>2019</v>
      </c>
      <c r="E442" t="s">
        <v>11</v>
      </c>
      <c r="F442" t="s">
        <v>440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f t="shared" si="12"/>
        <v>7.2</v>
      </c>
      <c r="M442">
        <f t="shared" si="13"/>
        <v>1</v>
      </c>
    </row>
    <row r="443" spans="1:13" x14ac:dyDescent="0.3">
      <c r="A443">
        <v>441</v>
      </c>
      <c r="B443">
        <v>442</v>
      </c>
      <c r="C443" t="s">
        <v>479</v>
      </c>
      <c r="D443">
        <v>2016</v>
      </c>
      <c r="E443" t="s">
        <v>22</v>
      </c>
      <c r="F443" t="s">
        <v>440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f t="shared" si="12"/>
        <v>7.2</v>
      </c>
      <c r="M443">
        <f t="shared" si="13"/>
        <v>1</v>
      </c>
    </row>
    <row r="444" spans="1:13" x14ac:dyDescent="0.3">
      <c r="A444">
        <v>442</v>
      </c>
      <c r="B444">
        <v>443</v>
      </c>
      <c r="C444" t="s">
        <v>480</v>
      </c>
      <c r="D444">
        <v>2021</v>
      </c>
      <c r="E444" t="s">
        <v>22</v>
      </c>
      <c r="F444" t="s">
        <v>440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f t="shared" si="12"/>
        <v>7.2</v>
      </c>
      <c r="M444">
        <f t="shared" si="13"/>
        <v>1</v>
      </c>
    </row>
    <row r="445" spans="1:13" x14ac:dyDescent="0.3">
      <c r="A445">
        <v>443</v>
      </c>
      <c r="B445">
        <v>444</v>
      </c>
      <c r="C445" t="s">
        <v>481</v>
      </c>
      <c r="D445">
        <v>2006</v>
      </c>
      <c r="E445" t="s">
        <v>14</v>
      </c>
      <c r="F445" t="s">
        <v>440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f t="shared" si="12"/>
        <v>7.2</v>
      </c>
      <c r="M445">
        <f t="shared" si="13"/>
        <v>1</v>
      </c>
    </row>
    <row r="446" spans="1:13" x14ac:dyDescent="0.3">
      <c r="A446">
        <v>444</v>
      </c>
      <c r="B446">
        <v>445</v>
      </c>
      <c r="C446" t="s">
        <v>482</v>
      </c>
      <c r="D446">
        <v>2019</v>
      </c>
      <c r="E446" t="s">
        <v>11</v>
      </c>
      <c r="F446" t="s">
        <v>440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f t="shared" si="12"/>
        <v>7.2</v>
      </c>
      <c r="M446">
        <f t="shared" si="13"/>
        <v>1</v>
      </c>
    </row>
    <row r="447" spans="1:13" x14ac:dyDescent="0.3">
      <c r="A447">
        <v>445</v>
      </c>
      <c r="B447">
        <v>446</v>
      </c>
      <c r="C447" t="s">
        <v>483</v>
      </c>
      <c r="D447">
        <v>2008</v>
      </c>
      <c r="E447" t="s">
        <v>11</v>
      </c>
      <c r="F447" t="s">
        <v>440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f t="shared" si="12"/>
        <v>7.2</v>
      </c>
      <c r="M447">
        <f t="shared" si="13"/>
        <v>1</v>
      </c>
    </row>
    <row r="448" spans="1:13" x14ac:dyDescent="0.3">
      <c r="A448">
        <v>446</v>
      </c>
      <c r="B448">
        <v>447</v>
      </c>
      <c r="C448" t="s">
        <v>484</v>
      </c>
      <c r="D448">
        <v>2020</v>
      </c>
      <c r="E448" t="s">
        <v>11</v>
      </c>
      <c r="F448" t="s">
        <v>440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f t="shared" si="12"/>
        <v>7.2</v>
      </c>
      <c r="M448">
        <f t="shared" si="13"/>
        <v>1</v>
      </c>
    </row>
    <row r="449" spans="1:13" x14ac:dyDescent="0.3">
      <c r="A449">
        <v>447</v>
      </c>
      <c r="B449">
        <v>448</v>
      </c>
      <c r="C449" t="s">
        <v>485</v>
      </c>
      <c r="D449">
        <v>2017</v>
      </c>
      <c r="E449" t="s">
        <v>14</v>
      </c>
      <c r="F449" t="s">
        <v>440</v>
      </c>
      <c r="G449">
        <v>1</v>
      </c>
      <c r="H449">
        <v>0</v>
      </c>
      <c r="I449">
        <v>1</v>
      </c>
      <c r="J449">
        <v>0</v>
      </c>
      <c r="K449">
        <v>0</v>
      </c>
      <c r="L449">
        <f t="shared" si="12"/>
        <v>7.2</v>
      </c>
      <c r="M449">
        <f t="shared" si="13"/>
        <v>2</v>
      </c>
    </row>
    <row r="450" spans="1:13" x14ac:dyDescent="0.3">
      <c r="A450">
        <v>448</v>
      </c>
      <c r="B450">
        <v>449</v>
      </c>
      <c r="C450" t="s">
        <v>486</v>
      </c>
      <c r="D450">
        <v>2020</v>
      </c>
      <c r="E450" t="s">
        <v>11</v>
      </c>
      <c r="F450" t="s">
        <v>440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f t="shared" si="12"/>
        <v>7.2</v>
      </c>
      <c r="M450">
        <f t="shared" si="13"/>
        <v>1</v>
      </c>
    </row>
    <row r="451" spans="1:13" x14ac:dyDescent="0.3">
      <c r="A451">
        <v>449</v>
      </c>
      <c r="B451">
        <v>450</v>
      </c>
      <c r="C451" t="s">
        <v>487</v>
      </c>
      <c r="D451">
        <v>2015</v>
      </c>
      <c r="E451" t="s">
        <v>11</v>
      </c>
      <c r="F451" t="s">
        <v>440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f t="shared" ref="L451:L514" si="14">IFERROR(VALUE(LEFT(F451,FIND("/",F451)-1))/10,"")</f>
        <v>7.2</v>
      </c>
      <c r="M451">
        <f t="shared" ref="M451:M514" si="15">SUM(G451:J451)</f>
        <v>1</v>
      </c>
    </row>
    <row r="452" spans="1:13" x14ac:dyDescent="0.3">
      <c r="A452">
        <v>450</v>
      </c>
      <c r="B452">
        <v>451</v>
      </c>
      <c r="C452" t="s">
        <v>488</v>
      </c>
      <c r="D452">
        <v>2018</v>
      </c>
      <c r="E452" t="s">
        <v>11</v>
      </c>
      <c r="F452" t="s">
        <v>440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f t="shared" si="14"/>
        <v>7.2</v>
      </c>
      <c r="M452">
        <f t="shared" si="15"/>
        <v>1</v>
      </c>
    </row>
    <row r="453" spans="1:13" x14ac:dyDescent="0.3">
      <c r="A453">
        <v>451</v>
      </c>
      <c r="B453">
        <v>452</v>
      </c>
      <c r="C453" t="s">
        <v>489</v>
      </c>
      <c r="D453">
        <v>1993</v>
      </c>
      <c r="E453" t="s">
        <v>22</v>
      </c>
      <c r="F453" t="s">
        <v>440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f t="shared" si="14"/>
        <v>7.2</v>
      </c>
      <c r="M453">
        <f t="shared" si="15"/>
        <v>1</v>
      </c>
    </row>
    <row r="454" spans="1:13" x14ac:dyDescent="0.3">
      <c r="A454">
        <v>452</v>
      </c>
      <c r="B454">
        <v>453</v>
      </c>
      <c r="C454" t="s">
        <v>490</v>
      </c>
      <c r="D454">
        <v>2010</v>
      </c>
      <c r="E454" t="s">
        <v>22</v>
      </c>
      <c r="F454" t="s">
        <v>440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f t="shared" si="14"/>
        <v>7.2</v>
      </c>
      <c r="M454">
        <f t="shared" si="15"/>
        <v>1</v>
      </c>
    </row>
    <row r="455" spans="1:13" x14ac:dyDescent="0.3">
      <c r="A455">
        <v>453</v>
      </c>
      <c r="B455">
        <v>454</v>
      </c>
      <c r="C455" t="s">
        <v>491</v>
      </c>
      <c r="D455">
        <v>2017</v>
      </c>
      <c r="E455" t="s">
        <v>28</v>
      </c>
      <c r="F455" t="s">
        <v>440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f t="shared" si="14"/>
        <v>7.2</v>
      </c>
      <c r="M455">
        <f t="shared" si="15"/>
        <v>1</v>
      </c>
    </row>
    <row r="456" spans="1:13" x14ac:dyDescent="0.3">
      <c r="A456">
        <v>454</v>
      </c>
      <c r="B456">
        <v>455</v>
      </c>
      <c r="C456" t="s">
        <v>492</v>
      </c>
      <c r="D456">
        <v>2020</v>
      </c>
      <c r="E456" t="s">
        <v>11</v>
      </c>
      <c r="F456" t="s">
        <v>493</v>
      </c>
      <c r="G456">
        <v>1</v>
      </c>
      <c r="H456">
        <v>0</v>
      </c>
      <c r="I456">
        <v>0</v>
      </c>
      <c r="J456">
        <v>0</v>
      </c>
      <c r="K456">
        <v>0</v>
      </c>
      <c r="L456">
        <f t="shared" si="14"/>
        <v>7.1</v>
      </c>
      <c r="M456">
        <f t="shared" si="15"/>
        <v>1</v>
      </c>
    </row>
    <row r="457" spans="1:13" x14ac:dyDescent="0.3">
      <c r="A457">
        <v>455</v>
      </c>
      <c r="B457">
        <v>456</v>
      </c>
      <c r="C457" t="s">
        <v>494</v>
      </c>
      <c r="D457">
        <v>2004</v>
      </c>
      <c r="E457" t="s">
        <v>11</v>
      </c>
      <c r="F457" t="s">
        <v>493</v>
      </c>
      <c r="G457">
        <v>1</v>
      </c>
      <c r="H457">
        <v>0</v>
      </c>
      <c r="I457">
        <v>0</v>
      </c>
      <c r="J457">
        <v>0</v>
      </c>
      <c r="K457">
        <v>0</v>
      </c>
      <c r="L457">
        <f t="shared" si="14"/>
        <v>7.1</v>
      </c>
      <c r="M457">
        <f t="shared" si="15"/>
        <v>1</v>
      </c>
    </row>
    <row r="458" spans="1:13" x14ac:dyDescent="0.3">
      <c r="A458">
        <v>456</v>
      </c>
      <c r="B458">
        <v>457</v>
      </c>
      <c r="C458" t="s">
        <v>495</v>
      </c>
      <c r="D458">
        <v>2007</v>
      </c>
      <c r="E458" t="s">
        <v>14</v>
      </c>
      <c r="F458" t="s">
        <v>493</v>
      </c>
      <c r="G458">
        <v>1</v>
      </c>
      <c r="H458">
        <v>0</v>
      </c>
      <c r="I458">
        <v>1</v>
      </c>
      <c r="J458">
        <v>0</v>
      </c>
      <c r="K458">
        <v>0</v>
      </c>
      <c r="L458">
        <f t="shared" si="14"/>
        <v>7.1</v>
      </c>
      <c r="M458">
        <f t="shared" si="15"/>
        <v>2</v>
      </c>
    </row>
    <row r="459" spans="1:13" x14ac:dyDescent="0.3">
      <c r="A459">
        <v>457</v>
      </c>
      <c r="B459">
        <v>458</v>
      </c>
      <c r="C459" t="s">
        <v>496</v>
      </c>
      <c r="D459">
        <v>2012</v>
      </c>
      <c r="E459" t="s">
        <v>22</v>
      </c>
      <c r="F459" t="s">
        <v>493</v>
      </c>
      <c r="G459">
        <v>1</v>
      </c>
      <c r="H459">
        <v>0</v>
      </c>
      <c r="I459">
        <v>0</v>
      </c>
      <c r="J459">
        <v>0</v>
      </c>
      <c r="K459">
        <v>0</v>
      </c>
      <c r="L459">
        <f t="shared" si="14"/>
        <v>7.1</v>
      </c>
      <c r="M459">
        <f t="shared" si="15"/>
        <v>1</v>
      </c>
    </row>
    <row r="460" spans="1:13" x14ac:dyDescent="0.3">
      <c r="A460">
        <v>458</v>
      </c>
      <c r="B460">
        <v>459</v>
      </c>
      <c r="C460" t="s">
        <v>497</v>
      </c>
      <c r="D460">
        <v>2017</v>
      </c>
      <c r="E460" t="s">
        <v>14</v>
      </c>
      <c r="F460" t="s">
        <v>493</v>
      </c>
      <c r="G460">
        <v>1</v>
      </c>
      <c r="H460">
        <v>0</v>
      </c>
      <c r="I460">
        <v>0</v>
      </c>
      <c r="J460">
        <v>0</v>
      </c>
      <c r="K460">
        <v>0</v>
      </c>
      <c r="L460">
        <f t="shared" si="14"/>
        <v>7.1</v>
      </c>
      <c r="M460">
        <f t="shared" si="15"/>
        <v>1</v>
      </c>
    </row>
    <row r="461" spans="1:13" x14ac:dyDescent="0.3">
      <c r="A461">
        <v>459</v>
      </c>
      <c r="B461">
        <v>460</v>
      </c>
      <c r="C461" t="s">
        <v>498</v>
      </c>
      <c r="D461">
        <v>2018</v>
      </c>
      <c r="F461" t="s">
        <v>493</v>
      </c>
      <c r="G461">
        <v>1</v>
      </c>
      <c r="H461">
        <v>0</v>
      </c>
      <c r="I461">
        <v>0</v>
      </c>
      <c r="J461">
        <v>0</v>
      </c>
      <c r="K461">
        <v>0</v>
      </c>
      <c r="L461">
        <f t="shared" si="14"/>
        <v>7.1</v>
      </c>
      <c r="M461">
        <f t="shared" si="15"/>
        <v>1</v>
      </c>
    </row>
    <row r="462" spans="1:13" x14ac:dyDescent="0.3">
      <c r="A462">
        <v>460</v>
      </c>
      <c r="B462">
        <v>461</v>
      </c>
      <c r="C462" t="s">
        <v>499</v>
      </c>
      <c r="D462">
        <v>1997</v>
      </c>
      <c r="E462" t="s">
        <v>22</v>
      </c>
      <c r="F462" t="s">
        <v>493</v>
      </c>
      <c r="G462">
        <v>1</v>
      </c>
      <c r="H462">
        <v>0</v>
      </c>
      <c r="I462">
        <v>0</v>
      </c>
      <c r="J462">
        <v>0</v>
      </c>
      <c r="K462">
        <v>0</v>
      </c>
      <c r="L462">
        <f t="shared" si="14"/>
        <v>7.1</v>
      </c>
      <c r="M462">
        <f t="shared" si="15"/>
        <v>1</v>
      </c>
    </row>
    <row r="463" spans="1:13" x14ac:dyDescent="0.3">
      <c r="A463">
        <v>461</v>
      </c>
      <c r="B463">
        <v>462</v>
      </c>
      <c r="C463" t="s">
        <v>500</v>
      </c>
      <c r="D463">
        <v>2007</v>
      </c>
      <c r="E463" t="s">
        <v>14</v>
      </c>
      <c r="F463" t="s">
        <v>493</v>
      </c>
      <c r="G463">
        <v>1</v>
      </c>
      <c r="H463">
        <v>0</v>
      </c>
      <c r="I463">
        <v>0</v>
      </c>
      <c r="J463">
        <v>0</v>
      </c>
      <c r="K463">
        <v>0</v>
      </c>
      <c r="L463">
        <f t="shared" si="14"/>
        <v>7.1</v>
      </c>
      <c r="M463">
        <f t="shared" si="15"/>
        <v>1</v>
      </c>
    </row>
    <row r="464" spans="1:13" x14ac:dyDescent="0.3">
      <c r="A464">
        <v>462</v>
      </c>
      <c r="B464">
        <v>463</v>
      </c>
      <c r="C464" t="s">
        <v>501</v>
      </c>
      <c r="D464">
        <v>2015</v>
      </c>
      <c r="E464" t="s">
        <v>11</v>
      </c>
      <c r="F464" t="s">
        <v>493</v>
      </c>
      <c r="G464">
        <v>1</v>
      </c>
      <c r="H464">
        <v>0</v>
      </c>
      <c r="I464">
        <v>0</v>
      </c>
      <c r="J464">
        <v>0</v>
      </c>
      <c r="K464">
        <v>0</v>
      </c>
      <c r="L464">
        <f t="shared" si="14"/>
        <v>7.1</v>
      </c>
      <c r="M464">
        <f t="shared" si="15"/>
        <v>1</v>
      </c>
    </row>
    <row r="465" spans="1:13" x14ac:dyDescent="0.3">
      <c r="A465">
        <v>463</v>
      </c>
      <c r="B465">
        <v>464</v>
      </c>
      <c r="C465" t="s">
        <v>502</v>
      </c>
      <c r="D465">
        <v>2017</v>
      </c>
      <c r="E465" t="s">
        <v>22</v>
      </c>
      <c r="F465" t="s">
        <v>493</v>
      </c>
      <c r="G465">
        <v>1</v>
      </c>
      <c r="H465">
        <v>0</v>
      </c>
      <c r="I465">
        <v>0</v>
      </c>
      <c r="J465">
        <v>0</v>
      </c>
      <c r="K465">
        <v>0</v>
      </c>
      <c r="L465">
        <f t="shared" si="14"/>
        <v>7.1</v>
      </c>
      <c r="M465">
        <f t="shared" si="15"/>
        <v>1</v>
      </c>
    </row>
    <row r="466" spans="1:13" x14ac:dyDescent="0.3">
      <c r="A466">
        <v>464</v>
      </c>
      <c r="B466">
        <v>465</v>
      </c>
      <c r="C466" t="s">
        <v>503</v>
      </c>
      <c r="D466">
        <v>2017</v>
      </c>
      <c r="E466" t="s">
        <v>11</v>
      </c>
      <c r="F466" t="s">
        <v>493</v>
      </c>
      <c r="G466">
        <v>1</v>
      </c>
      <c r="H466">
        <v>0</v>
      </c>
      <c r="I466">
        <v>0</v>
      </c>
      <c r="J466">
        <v>0</v>
      </c>
      <c r="K466">
        <v>0</v>
      </c>
      <c r="L466">
        <f t="shared" si="14"/>
        <v>7.1</v>
      </c>
      <c r="M466">
        <f t="shared" si="15"/>
        <v>1</v>
      </c>
    </row>
    <row r="467" spans="1:13" x14ac:dyDescent="0.3">
      <c r="A467">
        <v>465</v>
      </c>
      <c r="B467">
        <v>466</v>
      </c>
      <c r="C467" t="s">
        <v>504</v>
      </c>
      <c r="D467">
        <v>2019</v>
      </c>
      <c r="E467" t="s">
        <v>22</v>
      </c>
      <c r="F467" t="s">
        <v>493</v>
      </c>
      <c r="G467">
        <v>1</v>
      </c>
      <c r="H467">
        <v>0</v>
      </c>
      <c r="I467">
        <v>0</v>
      </c>
      <c r="J467">
        <v>0</v>
      </c>
      <c r="K467">
        <v>0</v>
      </c>
      <c r="L467">
        <f t="shared" si="14"/>
        <v>7.1</v>
      </c>
      <c r="M467">
        <f t="shared" si="15"/>
        <v>1</v>
      </c>
    </row>
    <row r="468" spans="1:13" x14ac:dyDescent="0.3">
      <c r="A468">
        <v>466</v>
      </c>
      <c r="B468">
        <v>467</v>
      </c>
      <c r="C468" t="s">
        <v>505</v>
      </c>
      <c r="D468">
        <v>2014</v>
      </c>
      <c r="E468" t="s">
        <v>11</v>
      </c>
      <c r="F468" t="s">
        <v>493</v>
      </c>
      <c r="G468">
        <v>1</v>
      </c>
      <c r="H468">
        <v>0</v>
      </c>
      <c r="I468">
        <v>0</v>
      </c>
      <c r="J468">
        <v>0</v>
      </c>
      <c r="K468">
        <v>0</v>
      </c>
      <c r="L468">
        <f t="shared" si="14"/>
        <v>7.1</v>
      </c>
      <c r="M468">
        <f t="shared" si="15"/>
        <v>1</v>
      </c>
    </row>
    <row r="469" spans="1:13" x14ac:dyDescent="0.3">
      <c r="A469">
        <v>467</v>
      </c>
      <c r="B469">
        <v>468</v>
      </c>
      <c r="C469" t="s">
        <v>506</v>
      </c>
      <c r="D469">
        <v>2013</v>
      </c>
      <c r="E469" t="s">
        <v>11</v>
      </c>
      <c r="F469" t="s">
        <v>493</v>
      </c>
      <c r="G469">
        <v>1</v>
      </c>
      <c r="H469">
        <v>0</v>
      </c>
      <c r="I469">
        <v>0</v>
      </c>
      <c r="J469">
        <v>0</v>
      </c>
      <c r="K469">
        <v>0</v>
      </c>
      <c r="L469">
        <f t="shared" si="14"/>
        <v>7.1</v>
      </c>
      <c r="M469">
        <f t="shared" si="15"/>
        <v>1</v>
      </c>
    </row>
    <row r="470" spans="1:13" x14ac:dyDescent="0.3">
      <c r="A470">
        <v>468</v>
      </c>
      <c r="B470">
        <v>469</v>
      </c>
      <c r="C470" t="s">
        <v>507</v>
      </c>
      <c r="D470">
        <v>2018</v>
      </c>
      <c r="F470" t="s">
        <v>493</v>
      </c>
      <c r="G470">
        <v>1</v>
      </c>
      <c r="H470">
        <v>0</v>
      </c>
      <c r="I470">
        <v>1</v>
      </c>
      <c r="J470">
        <v>0</v>
      </c>
      <c r="K470">
        <v>0</v>
      </c>
      <c r="L470">
        <f t="shared" si="14"/>
        <v>7.1</v>
      </c>
      <c r="M470">
        <f t="shared" si="15"/>
        <v>2</v>
      </c>
    </row>
    <row r="471" spans="1:13" x14ac:dyDescent="0.3">
      <c r="A471">
        <v>469</v>
      </c>
      <c r="B471">
        <v>470</v>
      </c>
      <c r="C471" t="s">
        <v>508</v>
      </c>
      <c r="D471">
        <v>2019</v>
      </c>
      <c r="E471" t="s">
        <v>11</v>
      </c>
      <c r="F471" t="s">
        <v>493</v>
      </c>
      <c r="G471">
        <v>1</v>
      </c>
      <c r="H471">
        <v>0</v>
      </c>
      <c r="I471">
        <v>0</v>
      </c>
      <c r="J471">
        <v>0</v>
      </c>
      <c r="K471">
        <v>0</v>
      </c>
      <c r="L471">
        <f t="shared" si="14"/>
        <v>7.1</v>
      </c>
      <c r="M471">
        <f t="shared" si="15"/>
        <v>1</v>
      </c>
    </row>
    <row r="472" spans="1:13" x14ac:dyDescent="0.3">
      <c r="A472">
        <v>470</v>
      </c>
      <c r="B472">
        <v>471</v>
      </c>
      <c r="C472" t="s">
        <v>509</v>
      </c>
      <c r="D472">
        <v>2012</v>
      </c>
      <c r="E472" t="s">
        <v>11</v>
      </c>
      <c r="F472" t="s">
        <v>493</v>
      </c>
      <c r="G472">
        <v>1</v>
      </c>
      <c r="H472">
        <v>0</v>
      </c>
      <c r="I472">
        <v>0</v>
      </c>
      <c r="J472">
        <v>0</v>
      </c>
      <c r="K472">
        <v>0</v>
      </c>
      <c r="L472">
        <f t="shared" si="14"/>
        <v>7.1</v>
      </c>
      <c r="M472">
        <f t="shared" si="15"/>
        <v>1</v>
      </c>
    </row>
    <row r="473" spans="1:13" x14ac:dyDescent="0.3">
      <c r="A473">
        <v>471</v>
      </c>
      <c r="B473">
        <v>472</v>
      </c>
      <c r="C473" t="s">
        <v>510</v>
      </c>
      <c r="D473">
        <v>2015</v>
      </c>
      <c r="E473" t="s">
        <v>22</v>
      </c>
      <c r="F473" t="s">
        <v>493</v>
      </c>
      <c r="G473">
        <v>1</v>
      </c>
      <c r="H473">
        <v>0</v>
      </c>
      <c r="I473">
        <v>0</v>
      </c>
      <c r="J473">
        <v>0</v>
      </c>
      <c r="K473">
        <v>0</v>
      </c>
      <c r="L473">
        <f t="shared" si="14"/>
        <v>7.1</v>
      </c>
      <c r="M473">
        <f t="shared" si="15"/>
        <v>1</v>
      </c>
    </row>
    <row r="474" spans="1:13" x14ac:dyDescent="0.3">
      <c r="A474">
        <v>472</v>
      </c>
      <c r="B474">
        <v>473</v>
      </c>
      <c r="C474" t="s">
        <v>511</v>
      </c>
      <c r="D474">
        <v>2016</v>
      </c>
      <c r="E474" t="s">
        <v>22</v>
      </c>
      <c r="F474" t="s">
        <v>493</v>
      </c>
      <c r="G474">
        <v>1</v>
      </c>
      <c r="H474">
        <v>0</v>
      </c>
      <c r="I474">
        <v>0</v>
      </c>
      <c r="J474">
        <v>0</v>
      </c>
      <c r="K474">
        <v>0</v>
      </c>
      <c r="L474">
        <f t="shared" si="14"/>
        <v>7.1</v>
      </c>
      <c r="M474">
        <f t="shared" si="15"/>
        <v>1</v>
      </c>
    </row>
    <row r="475" spans="1:13" x14ac:dyDescent="0.3">
      <c r="A475">
        <v>473</v>
      </c>
      <c r="B475">
        <v>474</v>
      </c>
      <c r="C475" t="s">
        <v>512</v>
      </c>
      <c r="D475">
        <v>2010</v>
      </c>
      <c r="E475" t="s">
        <v>11</v>
      </c>
      <c r="F475" t="s">
        <v>493</v>
      </c>
      <c r="G475">
        <v>1</v>
      </c>
      <c r="H475">
        <v>1</v>
      </c>
      <c r="I475">
        <v>0</v>
      </c>
      <c r="J475">
        <v>0</v>
      </c>
      <c r="K475">
        <v>0</v>
      </c>
      <c r="L475">
        <f t="shared" si="14"/>
        <v>7.1</v>
      </c>
      <c r="M475">
        <f t="shared" si="15"/>
        <v>2</v>
      </c>
    </row>
    <row r="476" spans="1:13" x14ac:dyDescent="0.3">
      <c r="A476">
        <v>474</v>
      </c>
      <c r="B476">
        <v>475</v>
      </c>
      <c r="C476" t="s">
        <v>513</v>
      </c>
      <c r="D476">
        <v>2006</v>
      </c>
      <c r="E476" t="s">
        <v>22</v>
      </c>
      <c r="F476" t="s">
        <v>493</v>
      </c>
      <c r="G476">
        <v>1</v>
      </c>
      <c r="H476">
        <v>0</v>
      </c>
      <c r="I476">
        <v>0</v>
      </c>
      <c r="J476">
        <v>0</v>
      </c>
      <c r="K476">
        <v>0</v>
      </c>
      <c r="L476">
        <f t="shared" si="14"/>
        <v>7.1</v>
      </c>
      <c r="M476">
        <f t="shared" si="15"/>
        <v>1</v>
      </c>
    </row>
    <row r="477" spans="1:13" x14ac:dyDescent="0.3">
      <c r="A477">
        <v>475</v>
      </c>
      <c r="B477">
        <v>476</v>
      </c>
      <c r="C477" t="s">
        <v>514</v>
      </c>
      <c r="D477">
        <v>2019</v>
      </c>
      <c r="E477" t="s">
        <v>11</v>
      </c>
      <c r="F477" t="s">
        <v>493</v>
      </c>
      <c r="G477">
        <v>1</v>
      </c>
      <c r="H477">
        <v>0</v>
      </c>
      <c r="I477">
        <v>0</v>
      </c>
      <c r="J477">
        <v>0</v>
      </c>
      <c r="K477">
        <v>0</v>
      </c>
      <c r="L477">
        <f t="shared" si="14"/>
        <v>7.1</v>
      </c>
      <c r="M477">
        <f t="shared" si="15"/>
        <v>1</v>
      </c>
    </row>
    <row r="478" spans="1:13" x14ac:dyDescent="0.3">
      <c r="A478">
        <v>476</v>
      </c>
      <c r="B478">
        <v>477</v>
      </c>
      <c r="C478" t="s">
        <v>515</v>
      </c>
      <c r="D478">
        <v>2018</v>
      </c>
      <c r="E478" t="s">
        <v>11</v>
      </c>
      <c r="F478" t="s">
        <v>493</v>
      </c>
      <c r="G478">
        <v>1</v>
      </c>
      <c r="H478">
        <v>0</v>
      </c>
      <c r="I478">
        <v>0</v>
      </c>
      <c r="J478">
        <v>0</v>
      </c>
      <c r="K478">
        <v>0</v>
      </c>
      <c r="L478">
        <f t="shared" si="14"/>
        <v>7.1</v>
      </c>
      <c r="M478">
        <f t="shared" si="15"/>
        <v>1</v>
      </c>
    </row>
    <row r="479" spans="1:13" x14ac:dyDescent="0.3">
      <c r="A479">
        <v>477</v>
      </c>
      <c r="B479">
        <v>478</v>
      </c>
      <c r="C479" t="s">
        <v>516</v>
      </c>
      <c r="D479">
        <v>2011</v>
      </c>
      <c r="E479" t="s">
        <v>14</v>
      </c>
      <c r="F479" t="s">
        <v>493</v>
      </c>
      <c r="G479">
        <v>1</v>
      </c>
      <c r="H479">
        <v>0</v>
      </c>
      <c r="I479">
        <v>0</v>
      </c>
      <c r="J479">
        <v>0</v>
      </c>
      <c r="K479">
        <v>0</v>
      </c>
      <c r="L479">
        <f t="shared" si="14"/>
        <v>7.1</v>
      </c>
      <c r="M479">
        <f t="shared" si="15"/>
        <v>1</v>
      </c>
    </row>
    <row r="480" spans="1:13" x14ac:dyDescent="0.3">
      <c r="A480">
        <v>478</v>
      </c>
      <c r="B480">
        <v>479</v>
      </c>
      <c r="C480" t="s">
        <v>517</v>
      </c>
      <c r="D480">
        <v>2017</v>
      </c>
      <c r="E480" t="s">
        <v>11</v>
      </c>
      <c r="F480" t="s">
        <v>493</v>
      </c>
      <c r="G480">
        <v>1</v>
      </c>
      <c r="H480">
        <v>0</v>
      </c>
      <c r="I480">
        <v>0</v>
      </c>
      <c r="J480">
        <v>0</v>
      </c>
      <c r="K480">
        <v>0</v>
      </c>
      <c r="L480">
        <f t="shared" si="14"/>
        <v>7.1</v>
      </c>
      <c r="M480">
        <f t="shared" si="15"/>
        <v>1</v>
      </c>
    </row>
    <row r="481" spans="1:13" x14ac:dyDescent="0.3">
      <c r="A481">
        <v>479</v>
      </c>
      <c r="B481">
        <v>480</v>
      </c>
      <c r="C481" t="s">
        <v>518</v>
      </c>
      <c r="D481">
        <v>2018</v>
      </c>
      <c r="E481" t="s">
        <v>22</v>
      </c>
      <c r="F481" t="s">
        <v>493</v>
      </c>
      <c r="G481">
        <v>1</v>
      </c>
      <c r="H481">
        <v>0</v>
      </c>
      <c r="I481">
        <v>0</v>
      </c>
      <c r="J481">
        <v>0</v>
      </c>
      <c r="K481">
        <v>0</v>
      </c>
      <c r="L481">
        <f t="shared" si="14"/>
        <v>7.1</v>
      </c>
      <c r="M481">
        <f t="shared" si="15"/>
        <v>1</v>
      </c>
    </row>
    <row r="482" spans="1:13" x14ac:dyDescent="0.3">
      <c r="A482">
        <v>480</v>
      </c>
      <c r="B482">
        <v>481</v>
      </c>
      <c r="C482" t="s">
        <v>519</v>
      </c>
      <c r="D482">
        <v>2017</v>
      </c>
      <c r="E482" t="s">
        <v>22</v>
      </c>
      <c r="F482" t="s">
        <v>493</v>
      </c>
      <c r="G482">
        <v>1</v>
      </c>
      <c r="H482">
        <v>0</v>
      </c>
      <c r="I482">
        <v>0</v>
      </c>
      <c r="J482">
        <v>0</v>
      </c>
      <c r="K482">
        <v>0</v>
      </c>
      <c r="L482">
        <f t="shared" si="14"/>
        <v>7.1</v>
      </c>
      <c r="M482">
        <f t="shared" si="15"/>
        <v>1</v>
      </c>
    </row>
    <row r="483" spans="1:13" x14ac:dyDescent="0.3">
      <c r="A483">
        <v>481</v>
      </c>
      <c r="B483">
        <v>482</v>
      </c>
      <c r="C483" t="s">
        <v>520</v>
      </c>
      <c r="D483">
        <v>2018</v>
      </c>
      <c r="E483" t="s">
        <v>11</v>
      </c>
      <c r="F483" t="s">
        <v>493</v>
      </c>
      <c r="G483">
        <v>1</v>
      </c>
      <c r="H483">
        <v>0</v>
      </c>
      <c r="I483">
        <v>0</v>
      </c>
      <c r="J483">
        <v>0</v>
      </c>
      <c r="K483">
        <v>0</v>
      </c>
      <c r="L483">
        <f t="shared" si="14"/>
        <v>7.1</v>
      </c>
      <c r="M483">
        <f t="shared" si="15"/>
        <v>1</v>
      </c>
    </row>
    <row r="484" spans="1:13" x14ac:dyDescent="0.3">
      <c r="A484">
        <v>482</v>
      </c>
      <c r="B484">
        <v>483</v>
      </c>
      <c r="C484" t="s">
        <v>521</v>
      </c>
      <c r="D484">
        <v>2019</v>
      </c>
      <c r="E484" t="s">
        <v>11</v>
      </c>
      <c r="F484" t="s">
        <v>493</v>
      </c>
      <c r="G484">
        <v>1</v>
      </c>
      <c r="H484">
        <v>0</v>
      </c>
      <c r="I484">
        <v>0</v>
      </c>
      <c r="J484">
        <v>0</v>
      </c>
      <c r="K484">
        <v>0</v>
      </c>
      <c r="L484">
        <f t="shared" si="14"/>
        <v>7.1</v>
      </c>
      <c r="M484">
        <f t="shared" si="15"/>
        <v>1</v>
      </c>
    </row>
    <row r="485" spans="1:13" x14ac:dyDescent="0.3">
      <c r="A485">
        <v>483</v>
      </c>
      <c r="B485">
        <v>484</v>
      </c>
      <c r="C485" t="s">
        <v>522</v>
      </c>
      <c r="D485">
        <v>2019</v>
      </c>
      <c r="F485" t="s">
        <v>493</v>
      </c>
      <c r="G485">
        <v>1</v>
      </c>
      <c r="H485">
        <v>0</v>
      </c>
      <c r="I485">
        <v>0</v>
      </c>
      <c r="J485">
        <v>0</v>
      </c>
      <c r="K485">
        <v>0</v>
      </c>
      <c r="L485">
        <f t="shared" si="14"/>
        <v>7.1</v>
      </c>
      <c r="M485">
        <f t="shared" si="15"/>
        <v>1</v>
      </c>
    </row>
    <row r="486" spans="1:13" x14ac:dyDescent="0.3">
      <c r="A486">
        <v>484</v>
      </c>
      <c r="B486">
        <v>485</v>
      </c>
      <c r="C486" t="s">
        <v>523</v>
      </c>
      <c r="D486">
        <v>2019</v>
      </c>
      <c r="E486" t="s">
        <v>22</v>
      </c>
      <c r="F486" t="s">
        <v>493</v>
      </c>
      <c r="G486">
        <v>1</v>
      </c>
      <c r="H486">
        <v>0</v>
      </c>
      <c r="I486">
        <v>0</v>
      </c>
      <c r="J486">
        <v>0</v>
      </c>
      <c r="K486">
        <v>0</v>
      </c>
      <c r="L486">
        <f t="shared" si="14"/>
        <v>7.1</v>
      </c>
      <c r="M486">
        <f t="shared" si="15"/>
        <v>1</v>
      </c>
    </row>
    <row r="487" spans="1:13" x14ac:dyDescent="0.3">
      <c r="A487">
        <v>485</v>
      </c>
      <c r="B487">
        <v>486</v>
      </c>
      <c r="C487" t="s">
        <v>524</v>
      </c>
      <c r="D487">
        <v>2020</v>
      </c>
      <c r="E487" t="s">
        <v>14</v>
      </c>
      <c r="F487" t="s">
        <v>493</v>
      </c>
      <c r="G487">
        <v>1</v>
      </c>
      <c r="H487">
        <v>0</v>
      </c>
      <c r="I487">
        <v>0</v>
      </c>
      <c r="J487">
        <v>0</v>
      </c>
      <c r="K487">
        <v>0</v>
      </c>
      <c r="L487">
        <f t="shared" si="14"/>
        <v>7.1</v>
      </c>
      <c r="M487">
        <f t="shared" si="15"/>
        <v>1</v>
      </c>
    </row>
    <row r="488" spans="1:13" x14ac:dyDescent="0.3">
      <c r="A488">
        <v>486</v>
      </c>
      <c r="B488">
        <v>487</v>
      </c>
      <c r="C488" t="s">
        <v>525</v>
      </c>
      <c r="D488">
        <v>2019</v>
      </c>
      <c r="E488" t="s">
        <v>28</v>
      </c>
      <c r="F488" t="s">
        <v>493</v>
      </c>
      <c r="G488">
        <v>1</v>
      </c>
      <c r="H488">
        <v>0</v>
      </c>
      <c r="I488">
        <v>0</v>
      </c>
      <c r="J488">
        <v>0</v>
      </c>
      <c r="K488">
        <v>0</v>
      </c>
      <c r="L488">
        <f t="shared" si="14"/>
        <v>7.1</v>
      </c>
      <c r="M488">
        <f t="shared" si="15"/>
        <v>1</v>
      </c>
    </row>
    <row r="489" spans="1:13" x14ac:dyDescent="0.3">
      <c r="A489">
        <v>487</v>
      </c>
      <c r="B489">
        <v>488</v>
      </c>
      <c r="C489" t="s">
        <v>526</v>
      </c>
      <c r="D489">
        <v>2019</v>
      </c>
      <c r="E489" t="s">
        <v>11</v>
      </c>
      <c r="F489" t="s">
        <v>493</v>
      </c>
      <c r="G489">
        <v>1</v>
      </c>
      <c r="H489">
        <v>0</v>
      </c>
      <c r="I489">
        <v>0</v>
      </c>
      <c r="J489">
        <v>0</v>
      </c>
      <c r="K489">
        <v>0</v>
      </c>
      <c r="L489">
        <f t="shared" si="14"/>
        <v>7.1</v>
      </c>
      <c r="M489">
        <f t="shared" si="15"/>
        <v>1</v>
      </c>
    </row>
    <row r="490" spans="1:13" x14ac:dyDescent="0.3">
      <c r="A490">
        <v>488</v>
      </c>
      <c r="B490">
        <v>489</v>
      </c>
      <c r="C490" t="s">
        <v>527</v>
      </c>
      <c r="D490">
        <v>2017</v>
      </c>
      <c r="F490" t="s">
        <v>493</v>
      </c>
      <c r="G490">
        <v>1</v>
      </c>
      <c r="H490">
        <v>1</v>
      </c>
      <c r="I490">
        <v>0</v>
      </c>
      <c r="J490">
        <v>0</v>
      </c>
      <c r="K490">
        <v>0</v>
      </c>
      <c r="L490">
        <f t="shared" si="14"/>
        <v>7.1</v>
      </c>
      <c r="M490">
        <f t="shared" si="15"/>
        <v>2</v>
      </c>
    </row>
    <row r="491" spans="1:13" x14ac:dyDescent="0.3">
      <c r="A491">
        <v>489</v>
      </c>
      <c r="B491">
        <v>490</v>
      </c>
      <c r="C491" t="s">
        <v>528</v>
      </c>
      <c r="D491">
        <v>2020</v>
      </c>
      <c r="E491" t="s">
        <v>11</v>
      </c>
      <c r="F491" t="s">
        <v>493</v>
      </c>
      <c r="G491">
        <v>1</v>
      </c>
      <c r="H491">
        <v>0</v>
      </c>
      <c r="I491">
        <v>0</v>
      </c>
      <c r="J491">
        <v>0</v>
      </c>
      <c r="K491">
        <v>0</v>
      </c>
      <c r="L491">
        <f t="shared" si="14"/>
        <v>7.1</v>
      </c>
      <c r="M491">
        <f t="shared" si="15"/>
        <v>1</v>
      </c>
    </row>
    <row r="492" spans="1:13" x14ac:dyDescent="0.3">
      <c r="A492">
        <v>490</v>
      </c>
      <c r="B492">
        <v>491</v>
      </c>
      <c r="C492" t="s">
        <v>529</v>
      </c>
      <c r="D492">
        <v>2014</v>
      </c>
      <c r="E492" t="s">
        <v>14</v>
      </c>
      <c r="F492" t="s">
        <v>493</v>
      </c>
      <c r="G492">
        <v>1</v>
      </c>
      <c r="H492">
        <v>0</v>
      </c>
      <c r="I492">
        <v>0</v>
      </c>
      <c r="J492">
        <v>0</v>
      </c>
      <c r="K492">
        <v>0</v>
      </c>
      <c r="L492">
        <f t="shared" si="14"/>
        <v>7.1</v>
      </c>
      <c r="M492">
        <f t="shared" si="15"/>
        <v>1</v>
      </c>
    </row>
    <row r="493" spans="1:13" x14ac:dyDescent="0.3">
      <c r="A493">
        <v>491</v>
      </c>
      <c r="B493">
        <v>492</v>
      </c>
      <c r="C493" t="s">
        <v>530</v>
      </c>
      <c r="D493">
        <v>2015</v>
      </c>
      <c r="E493" t="s">
        <v>22</v>
      </c>
      <c r="F493" t="s">
        <v>493</v>
      </c>
      <c r="G493">
        <v>1</v>
      </c>
      <c r="H493">
        <v>0</v>
      </c>
      <c r="I493">
        <v>0</v>
      </c>
      <c r="J493">
        <v>0</v>
      </c>
      <c r="K493">
        <v>0</v>
      </c>
      <c r="L493">
        <f t="shared" si="14"/>
        <v>7.1</v>
      </c>
      <c r="M493">
        <f t="shared" si="15"/>
        <v>1</v>
      </c>
    </row>
    <row r="494" spans="1:13" x14ac:dyDescent="0.3">
      <c r="A494">
        <v>492</v>
      </c>
      <c r="B494">
        <v>493</v>
      </c>
      <c r="C494" t="s">
        <v>531</v>
      </c>
      <c r="D494">
        <v>2006</v>
      </c>
      <c r="E494" t="s">
        <v>22</v>
      </c>
      <c r="F494" t="s">
        <v>493</v>
      </c>
      <c r="G494">
        <v>1</v>
      </c>
      <c r="H494">
        <v>0</v>
      </c>
      <c r="I494">
        <v>0</v>
      </c>
      <c r="J494">
        <v>0</v>
      </c>
      <c r="K494">
        <v>0</v>
      </c>
      <c r="L494">
        <f t="shared" si="14"/>
        <v>7.1</v>
      </c>
      <c r="M494">
        <f t="shared" si="15"/>
        <v>1</v>
      </c>
    </row>
    <row r="495" spans="1:13" x14ac:dyDescent="0.3">
      <c r="A495">
        <v>493</v>
      </c>
      <c r="B495">
        <v>494</v>
      </c>
      <c r="C495" t="s">
        <v>532</v>
      </c>
      <c r="D495">
        <v>2020</v>
      </c>
      <c r="E495" t="s">
        <v>22</v>
      </c>
      <c r="F495" t="s">
        <v>493</v>
      </c>
      <c r="G495">
        <v>1</v>
      </c>
      <c r="H495">
        <v>0</v>
      </c>
      <c r="I495">
        <v>0</v>
      </c>
      <c r="J495">
        <v>0</v>
      </c>
      <c r="K495">
        <v>0</v>
      </c>
      <c r="L495">
        <f t="shared" si="14"/>
        <v>7.1</v>
      </c>
      <c r="M495">
        <f t="shared" si="15"/>
        <v>1</v>
      </c>
    </row>
    <row r="496" spans="1:13" x14ac:dyDescent="0.3">
      <c r="A496">
        <v>494</v>
      </c>
      <c r="B496">
        <v>495</v>
      </c>
      <c r="C496" t="s">
        <v>533</v>
      </c>
      <c r="D496">
        <v>2016</v>
      </c>
      <c r="E496" t="s">
        <v>11</v>
      </c>
      <c r="F496" t="s">
        <v>493</v>
      </c>
      <c r="G496">
        <v>1</v>
      </c>
      <c r="H496">
        <v>0</v>
      </c>
      <c r="I496">
        <v>0</v>
      </c>
      <c r="J496">
        <v>0</v>
      </c>
      <c r="K496">
        <v>0</v>
      </c>
      <c r="L496">
        <f t="shared" si="14"/>
        <v>7.1</v>
      </c>
      <c r="M496">
        <f t="shared" si="15"/>
        <v>1</v>
      </c>
    </row>
    <row r="497" spans="1:13" x14ac:dyDescent="0.3">
      <c r="A497">
        <v>495</v>
      </c>
      <c r="B497">
        <v>496</v>
      </c>
      <c r="C497" t="s">
        <v>534</v>
      </c>
      <c r="D497">
        <v>1954</v>
      </c>
      <c r="F497" t="s">
        <v>493</v>
      </c>
      <c r="G497">
        <v>1</v>
      </c>
      <c r="H497">
        <v>0</v>
      </c>
      <c r="I497">
        <v>0</v>
      </c>
      <c r="J497">
        <v>0</v>
      </c>
      <c r="K497">
        <v>0</v>
      </c>
      <c r="L497">
        <f t="shared" si="14"/>
        <v>7.1</v>
      </c>
      <c r="M497">
        <f t="shared" si="15"/>
        <v>1</v>
      </c>
    </row>
    <row r="498" spans="1:13" x14ac:dyDescent="0.3">
      <c r="A498">
        <v>496</v>
      </c>
      <c r="B498">
        <v>497</v>
      </c>
      <c r="C498" t="s">
        <v>535</v>
      </c>
      <c r="D498">
        <v>2020</v>
      </c>
      <c r="E498" t="s">
        <v>11</v>
      </c>
      <c r="F498" t="s">
        <v>493</v>
      </c>
      <c r="G498">
        <v>1</v>
      </c>
      <c r="H498">
        <v>0</v>
      </c>
      <c r="I498">
        <v>0</v>
      </c>
      <c r="J498">
        <v>0</v>
      </c>
      <c r="K498">
        <v>0</v>
      </c>
      <c r="L498">
        <f t="shared" si="14"/>
        <v>7.1</v>
      </c>
      <c r="M498">
        <f t="shared" si="15"/>
        <v>1</v>
      </c>
    </row>
    <row r="499" spans="1:13" x14ac:dyDescent="0.3">
      <c r="A499">
        <v>497</v>
      </c>
      <c r="B499">
        <v>498</v>
      </c>
      <c r="C499" t="s">
        <v>536</v>
      </c>
      <c r="D499">
        <v>2018</v>
      </c>
      <c r="E499" t="s">
        <v>22</v>
      </c>
      <c r="F499" t="s">
        <v>537</v>
      </c>
      <c r="G499">
        <v>1</v>
      </c>
      <c r="H499">
        <v>0</v>
      </c>
      <c r="I499">
        <v>0</v>
      </c>
      <c r="J499">
        <v>0</v>
      </c>
      <c r="K499">
        <v>0</v>
      </c>
      <c r="L499">
        <f t="shared" si="14"/>
        <v>7</v>
      </c>
      <c r="M499">
        <f t="shared" si="15"/>
        <v>1</v>
      </c>
    </row>
    <row r="500" spans="1:13" x14ac:dyDescent="0.3">
      <c r="A500">
        <v>498</v>
      </c>
      <c r="B500">
        <v>499</v>
      </c>
      <c r="C500" t="s">
        <v>538</v>
      </c>
      <c r="D500">
        <v>2019</v>
      </c>
      <c r="F500" t="s">
        <v>537</v>
      </c>
      <c r="G500">
        <v>1</v>
      </c>
      <c r="H500">
        <v>0</v>
      </c>
      <c r="I500">
        <v>0</v>
      </c>
      <c r="J500">
        <v>0</v>
      </c>
      <c r="K500">
        <v>0</v>
      </c>
      <c r="L500">
        <f t="shared" si="14"/>
        <v>7</v>
      </c>
      <c r="M500">
        <f t="shared" si="15"/>
        <v>1</v>
      </c>
    </row>
    <row r="501" spans="1:13" x14ac:dyDescent="0.3">
      <c r="A501">
        <v>499</v>
      </c>
      <c r="B501">
        <v>500</v>
      </c>
      <c r="C501" t="s">
        <v>539</v>
      </c>
      <c r="D501">
        <v>2019</v>
      </c>
      <c r="F501" t="s">
        <v>537</v>
      </c>
      <c r="G501">
        <v>1</v>
      </c>
      <c r="H501">
        <v>0</v>
      </c>
      <c r="I501">
        <v>0</v>
      </c>
      <c r="J501">
        <v>0</v>
      </c>
      <c r="K501">
        <v>0</v>
      </c>
      <c r="L501">
        <f t="shared" si="14"/>
        <v>7</v>
      </c>
      <c r="M501">
        <f t="shared" si="15"/>
        <v>1</v>
      </c>
    </row>
    <row r="502" spans="1:13" x14ac:dyDescent="0.3">
      <c r="A502">
        <v>500</v>
      </c>
      <c r="B502">
        <v>501</v>
      </c>
      <c r="C502" t="s">
        <v>540</v>
      </c>
      <c r="D502">
        <v>2020</v>
      </c>
      <c r="E502" t="s">
        <v>11</v>
      </c>
      <c r="F502" t="s">
        <v>537</v>
      </c>
      <c r="G502">
        <v>1</v>
      </c>
      <c r="H502">
        <v>0</v>
      </c>
      <c r="I502">
        <v>0</v>
      </c>
      <c r="J502">
        <v>0</v>
      </c>
      <c r="K502">
        <v>0</v>
      </c>
      <c r="L502">
        <f t="shared" si="14"/>
        <v>7</v>
      </c>
      <c r="M502">
        <f t="shared" si="15"/>
        <v>1</v>
      </c>
    </row>
    <row r="503" spans="1:13" x14ac:dyDescent="0.3">
      <c r="A503">
        <v>501</v>
      </c>
      <c r="B503">
        <v>502</v>
      </c>
      <c r="C503" t="s">
        <v>541</v>
      </c>
      <c r="D503">
        <v>2010</v>
      </c>
      <c r="E503" t="s">
        <v>11</v>
      </c>
      <c r="F503" t="s">
        <v>537</v>
      </c>
      <c r="G503">
        <v>1</v>
      </c>
      <c r="H503">
        <v>0</v>
      </c>
      <c r="I503">
        <v>1</v>
      </c>
      <c r="J503">
        <v>0</v>
      </c>
      <c r="K503">
        <v>0</v>
      </c>
      <c r="L503">
        <f t="shared" si="14"/>
        <v>7</v>
      </c>
      <c r="M503">
        <f t="shared" si="15"/>
        <v>2</v>
      </c>
    </row>
    <row r="504" spans="1:13" x14ac:dyDescent="0.3">
      <c r="A504">
        <v>502</v>
      </c>
      <c r="B504">
        <v>503</v>
      </c>
      <c r="C504" t="s">
        <v>542</v>
      </c>
      <c r="D504">
        <v>2019</v>
      </c>
      <c r="E504" t="s">
        <v>22</v>
      </c>
      <c r="F504" t="s">
        <v>537</v>
      </c>
      <c r="G504">
        <v>1</v>
      </c>
      <c r="H504">
        <v>0</v>
      </c>
      <c r="I504">
        <v>0</v>
      </c>
      <c r="J504">
        <v>0</v>
      </c>
      <c r="K504">
        <v>0</v>
      </c>
      <c r="L504">
        <f t="shared" si="14"/>
        <v>7</v>
      </c>
      <c r="M504">
        <f t="shared" si="15"/>
        <v>1</v>
      </c>
    </row>
    <row r="505" spans="1:13" x14ac:dyDescent="0.3">
      <c r="A505">
        <v>503</v>
      </c>
      <c r="B505">
        <v>504</v>
      </c>
      <c r="C505" t="s">
        <v>543</v>
      </c>
      <c r="D505">
        <v>2017</v>
      </c>
      <c r="E505" t="s">
        <v>11</v>
      </c>
      <c r="F505" t="s">
        <v>537</v>
      </c>
      <c r="G505">
        <v>1</v>
      </c>
      <c r="H505">
        <v>0</v>
      </c>
      <c r="I505">
        <v>1</v>
      </c>
      <c r="J505">
        <v>0</v>
      </c>
      <c r="K505">
        <v>0</v>
      </c>
      <c r="L505">
        <f t="shared" si="14"/>
        <v>7</v>
      </c>
      <c r="M505">
        <f t="shared" si="15"/>
        <v>2</v>
      </c>
    </row>
    <row r="506" spans="1:13" x14ac:dyDescent="0.3">
      <c r="A506">
        <v>504</v>
      </c>
      <c r="B506">
        <v>505</v>
      </c>
      <c r="C506" t="s">
        <v>544</v>
      </c>
      <c r="D506">
        <v>2017</v>
      </c>
      <c r="E506" t="s">
        <v>11</v>
      </c>
      <c r="F506" t="s">
        <v>537</v>
      </c>
      <c r="G506">
        <v>1</v>
      </c>
      <c r="H506">
        <v>0</v>
      </c>
      <c r="I506">
        <v>0</v>
      </c>
      <c r="J506">
        <v>0</v>
      </c>
      <c r="K506">
        <v>0</v>
      </c>
      <c r="L506">
        <f t="shared" si="14"/>
        <v>7</v>
      </c>
      <c r="M506">
        <f t="shared" si="15"/>
        <v>1</v>
      </c>
    </row>
    <row r="507" spans="1:13" x14ac:dyDescent="0.3">
      <c r="A507">
        <v>505</v>
      </c>
      <c r="B507">
        <v>506</v>
      </c>
      <c r="C507" t="s">
        <v>545</v>
      </c>
      <c r="D507">
        <v>1979</v>
      </c>
      <c r="E507" t="s">
        <v>14</v>
      </c>
      <c r="F507" t="s">
        <v>537</v>
      </c>
      <c r="G507">
        <v>1</v>
      </c>
      <c r="H507">
        <v>0</v>
      </c>
      <c r="I507">
        <v>0</v>
      </c>
      <c r="J507">
        <v>0</v>
      </c>
      <c r="K507">
        <v>0</v>
      </c>
      <c r="L507">
        <f t="shared" si="14"/>
        <v>7</v>
      </c>
      <c r="M507">
        <f t="shared" si="15"/>
        <v>1</v>
      </c>
    </row>
    <row r="508" spans="1:13" x14ac:dyDescent="0.3">
      <c r="A508">
        <v>506</v>
      </c>
      <c r="B508">
        <v>507</v>
      </c>
      <c r="C508" t="s">
        <v>546</v>
      </c>
      <c r="D508">
        <v>2008</v>
      </c>
      <c r="E508" t="s">
        <v>22</v>
      </c>
      <c r="F508" t="s">
        <v>537</v>
      </c>
      <c r="G508">
        <v>1</v>
      </c>
      <c r="H508">
        <v>0</v>
      </c>
      <c r="I508">
        <v>0</v>
      </c>
      <c r="J508">
        <v>0</v>
      </c>
      <c r="K508">
        <v>0</v>
      </c>
      <c r="L508">
        <f t="shared" si="14"/>
        <v>7</v>
      </c>
      <c r="M508">
        <f t="shared" si="15"/>
        <v>1</v>
      </c>
    </row>
    <row r="509" spans="1:13" x14ac:dyDescent="0.3">
      <c r="A509">
        <v>507</v>
      </c>
      <c r="B509">
        <v>508</v>
      </c>
      <c r="C509" t="s">
        <v>547</v>
      </c>
      <c r="D509">
        <v>2021</v>
      </c>
      <c r="E509" t="s">
        <v>11</v>
      </c>
      <c r="F509" t="s">
        <v>537</v>
      </c>
      <c r="G509">
        <v>1</v>
      </c>
      <c r="H509">
        <v>0</v>
      </c>
      <c r="I509">
        <v>0</v>
      </c>
      <c r="J509">
        <v>0</v>
      </c>
      <c r="K509">
        <v>0</v>
      </c>
      <c r="L509">
        <f t="shared" si="14"/>
        <v>7</v>
      </c>
      <c r="M509">
        <f t="shared" si="15"/>
        <v>1</v>
      </c>
    </row>
    <row r="510" spans="1:13" x14ac:dyDescent="0.3">
      <c r="A510">
        <v>508</v>
      </c>
      <c r="B510">
        <v>509</v>
      </c>
      <c r="C510" t="s">
        <v>548</v>
      </c>
      <c r="D510">
        <v>2005</v>
      </c>
      <c r="E510" t="s">
        <v>14</v>
      </c>
      <c r="F510" t="s">
        <v>537</v>
      </c>
      <c r="G510">
        <v>1</v>
      </c>
      <c r="H510">
        <v>0</v>
      </c>
      <c r="I510">
        <v>0</v>
      </c>
      <c r="J510">
        <v>0</v>
      </c>
      <c r="K510">
        <v>0</v>
      </c>
      <c r="L510">
        <f t="shared" si="14"/>
        <v>7</v>
      </c>
      <c r="M510">
        <f t="shared" si="15"/>
        <v>1</v>
      </c>
    </row>
    <row r="511" spans="1:13" x14ac:dyDescent="0.3">
      <c r="A511">
        <v>509</v>
      </c>
      <c r="B511">
        <v>510</v>
      </c>
      <c r="C511" t="s">
        <v>549</v>
      </c>
      <c r="D511">
        <v>2019</v>
      </c>
      <c r="E511" t="s">
        <v>14</v>
      </c>
      <c r="F511" t="s">
        <v>537</v>
      </c>
      <c r="G511">
        <v>1</v>
      </c>
      <c r="H511">
        <v>0</v>
      </c>
      <c r="I511">
        <v>0</v>
      </c>
      <c r="J511">
        <v>0</v>
      </c>
      <c r="K511">
        <v>0</v>
      </c>
      <c r="L511">
        <f t="shared" si="14"/>
        <v>7</v>
      </c>
      <c r="M511">
        <f t="shared" si="15"/>
        <v>1</v>
      </c>
    </row>
    <row r="512" spans="1:13" x14ac:dyDescent="0.3">
      <c r="A512">
        <v>510</v>
      </c>
      <c r="B512">
        <v>511</v>
      </c>
      <c r="C512" t="s">
        <v>550</v>
      </c>
      <c r="D512">
        <v>2014</v>
      </c>
      <c r="E512" t="s">
        <v>14</v>
      </c>
      <c r="F512" t="s">
        <v>537</v>
      </c>
      <c r="G512">
        <v>1</v>
      </c>
      <c r="H512">
        <v>0</v>
      </c>
      <c r="I512">
        <v>0</v>
      </c>
      <c r="J512">
        <v>0</v>
      </c>
      <c r="K512">
        <v>0</v>
      </c>
      <c r="L512">
        <f t="shared" si="14"/>
        <v>7</v>
      </c>
      <c r="M512">
        <f t="shared" si="15"/>
        <v>1</v>
      </c>
    </row>
    <row r="513" spans="1:13" x14ac:dyDescent="0.3">
      <c r="A513">
        <v>511</v>
      </c>
      <c r="B513">
        <v>512</v>
      </c>
      <c r="C513" t="s">
        <v>551</v>
      </c>
      <c r="D513">
        <v>2019</v>
      </c>
      <c r="F513" t="s">
        <v>537</v>
      </c>
      <c r="G513">
        <v>1</v>
      </c>
      <c r="H513">
        <v>0</v>
      </c>
      <c r="I513">
        <v>0</v>
      </c>
      <c r="J513">
        <v>0</v>
      </c>
      <c r="K513">
        <v>0</v>
      </c>
      <c r="L513">
        <f t="shared" si="14"/>
        <v>7</v>
      </c>
      <c r="M513">
        <f t="shared" si="15"/>
        <v>1</v>
      </c>
    </row>
    <row r="514" spans="1:13" x14ac:dyDescent="0.3">
      <c r="A514">
        <v>512</v>
      </c>
      <c r="B514">
        <v>513</v>
      </c>
      <c r="C514" t="s">
        <v>552</v>
      </c>
      <c r="D514">
        <v>2018</v>
      </c>
      <c r="E514" t="s">
        <v>11</v>
      </c>
      <c r="F514" t="s">
        <v>537</v>
      </c>
      <c r="G514">
        <v>1</v>
      </c>
      <c r="H514">
        <v>0</v>
      </c>
      <c r="I514">
        <v>0</v>
      </c>
      <c r="J514">
        <v>0</v>
      </c>
      <c r="K514">
        <v>0</v>
      </c>
      <c r="L514">
        <f t="shared" si="14"/>
        <v>7</v>
      </c>
      <c r="M514">
        <f t="shared" si="15"/>
        <v>1</v>
      </c>
    </row>
    <row r="515" spans="1:13" x14ac:dyDescent="0.3">
      <c r="A515">
        <v>513</v>
      </c>
      <c r="B515">
        <v>514</v>
      </c>
      <c r="C515" t="s">
        <v>553</v>
      </c>
      <c r="D515">
        <v>1999</v>
      </c>
      <c r="E515" t="s">
        <v>11</v>
      </c>
      <c r="F515" t="s">
        <v>537</v>
      </c>
      <c r="G515">
        <v>1</v>
      </c>
      <c r="H515">
        <v>0</v>
      </c>
      <c r="I515">
        <v>0</v>
      </c>
      <c r="J515">
        <v>0</v>
      </c>
      <c r="K515">
        <v>0</v>
      </c>
      <c r="L515">
        <f t="shared" ref="L515:L578" si="16">IFERROR(VALUE(LEFT(F515,FIND("/",F515)-1))/10,"")</f>
        <v>7</v>
      </c>
      <c r="M515">
        <f t="shared" ref="M515:M578" si="17">SUM(G515:J515)</f>
        <v>1</v>
      </c>
    </row>
    <row r="516" spans="1:13" x14ac:dyDescent="0.3">
      <c r="A516">
        <v>514</v>
      </c>
      <c r="B516">
        <v>515</v>
      </c>
      <c r="C516" t="s">
        <v>554</v>
      </c>
      <c r="D516">
        <v>2020</v>
      </c>
      <c r="E516" t="s">
        <v>11</v>
      </c>
      <c r="F516" t="s">
        <v>537</v>
      </c>
      <c r="G516">
        <v>1</v>
      </c>
      <c r="H516">
        <v>0</v>
      </c>
      <c r="I516">
        <v>0</v>
      </c>
      <c r="J516">
        <v>0</v>
      </c>
      <c r="K516">
        <v>0</v>
      </c>
      <c r="L516">
        <f t="shared" si="16"/>
        <v>7</v>
      </c>
      <c r="M516">
        <f t="shared" si="17"/>
        <v>1</v>
      </c>
    </row>
    <row r="517" spans="1:13" x14ac:dyDescent="0.3">
      <c r="A517">
        <v>515</v>
      </c>
      <c r="B517">
        <v>516</v>
      </c>
      <c r="C517" t="s">
        <v>555</v>
      </c>
      <c r="D517">
        <v>2012</v>
      </c>
      <c r="E517" t="s">
        <v>36</v>
      </c>
      <c r="F517" t="s">
        <v>537</v>
      </c>
      <c r="G517">
        <v>1</v>
      </c>
      <c r="H517">
        <v>0</v>
      </c>
      <c r="I517">
        <v>0</v>
      </c>
      <c r="J517">
        <v>0</v>
      </c>
      <c r="K517">
        <v>0</v>
      </c>
      <c r="L517">
        <f t="shared" si="16"/>
        <v>7</v>
      </c>
      <c r="M517">
        <f t="shared" si="17"/>
        <v>1</v>
      </c>
    </row>
    <row r="518" spans="1:13" x14ac:dyDescent="0.3">
      <c r="A518">
        <v>516</v>
      </c>
      <c r="B518">
        <v>517</v>
      </c>
      <c r="C518" t="s">
        <v>556</v>
      </c>
      <c r="D518">
        <v>2016</v>
      </c>
      <c r="F518" t="s">
        <v>537</v>
      </c>
      <c r="G518">
        <v>1</v>
      </c>
      <c r="H518">
        <v>0</v>
      </c>
      <c r="I518">
        <v>0</v>
      </c>
      <c r="J518">
        <v>0</v>
      </c>
      <c r="K518">
        <v>0</v>
      </c>
      <c r="L518">
        <f t="shared" si="16"/>
        <v>7</v>
      </c>
      <c r="M518">
        <f t="shared" si="17"/>
        <v>1</v>
      </c>
    </row>
    <row r="519" spans="1:13" x14ac:dyDescent="0.3">
      <c r="A519">
        <v>517</v>
      </c>
      <c r="B519">
        <v>518</v>
      </c>
      <c r="C519" t="s">
        <v>557</v>
      </c>
      <c r="D519">
        <v>2020</v>
      </c>
      <c r="F519" t="s">
        <v>537</v>
      </c>
      <c r="G519">
        <v>1</v>
      </c>
      <c r="H519">
        <v>0</v>
      </c>
      <c r="I519">
        <v>0</v>
      </c>
      <c r="J519">
        <v>0</v>
      </c>
      <c r="K519">
        <v>0</v>
      </c>
      <c r="L519">
        <f t="shared" si="16"/>
        <v>7</v>
      </c>
      <c r="M519">
        <f t="shared" si="17"/>
        <v>1</v>
      </c>
    </row>
    <row r="520" spans="1:13" x14ac:dyDescent="0.3">
      <c r="A520">
        <v>518</v>
      </c>
      <c r="B520">
        <v>519</v>
      </c>
      <c r="C520" t="s">
        <v>558</v>
      </c>
      <c r="D520">
        <v>2009</v>
      </c>
      <c r="E520" t="s">
        <v>22</v>
      </c>
      <c r="F520" t="s">
        <v>537</v>
      </c>
      <c r="G520">
        <v>1</v>
      </c>
      <c r="H520">
        <v>0</v>
      </c>
      <c r="I520">
        <v>0</v>
      </c>
      <c r="J520">
        <v>0</v>
      </c>
      <c r="K520">
        <v>0</v>
      </c>
      <c r="L520">
        <f t="shared" si="16"/>
        <v>7</v>
      </c>
      <c r="M520">
        <f t="shared" si="17"/>
        <v>1</v>
      </c>
    </row>
    <row r="521" spans="1:13" x14ac:dyDescent="0.3">
      <c r="A521">
        <v>519</v>
      </c>
      <c r="B521">
        <v>520</v>
      </c>
      <c r="C521" t="s">
        <v>559</v>
      </c>
      <c r="D521">
        <v>1982</v>
      </c>
      <c r="E521" t="s">
        <v>11</v>
      </c>
      <c r="F521" t="s">
        <v>537</v>
      </c>
      <c r="G521">
        <v>1</v>
      </c>
      <c r="H521">
        <v>0</v>
      </c>
      <c r="I521">
        <v>0</v>
      </c>
      <c r="J521">
        <v>0</v>
      </c>
      <c r="K521">
        <v>0</v>
      </c>
      <c r="L521">
        <f t="shared" si="16"/>
        <v>7</v>
      </c>
      <c r="M521">
        <f t="shared" si="17"/>
        <v>1</v>
      </c>
    </row>
    <row r="522" spans="1:13" x14ac:dyDescent="0.3">
      <c r="A522">
        <v>520</v>
      </c>
      <c r="B522">
        <v>521</v>
      </c>
      <c r="C522" t="s">
        <v>560</v>
      </c>
      <c r="D522">
        <v>2013</v>
      </c>
      <c r="E522" t="s">
        <v>11</v>
      </c>
      <c r="F522" t="s">
        <v>537</v>
      </c>
      <c r="G522">
        <v>1</v>
      </c>
      <c r="H522">
        <v>0</v>
      </c>
      <c r="I522">
        <v>0</v>
      </c>
      <c r="J522">
        <v>0</v>
      </c>
      <c r="K522">
        <v>0</v>
      </c>
      <c r="L522">
        <f t="shared" si="16"/>
        <v>7</v>
      </c>
      <c r="M522">
        <f t="shared" si="17"/>
        <v>1</v>
      </c>
    </row>
    <row r="523" spans="1:13" x14ac:dyDescent="0.3">
      <c r="A523">
        <v>521</v>
      </c>
      <c r="B523">
        <v>522</v>
      </c>
      <c r="C523" t="s">
        <v>561</v>
      </c>
      <c r="D523">
        <v>1986</v>
      </c>
      <c r="E523" t="s">
        <v>14</v>
      </c>
      <c r="F523" t="s">
        <v>537</v>
      </c>
      <c r="G523">
        <v>1</v>
      </c>
      <c r="H523">
        <v>0</v>
      </c>
      <c r="I523">
        <v>0</v>
      </c>
      <c r="J523">
        <v>0</v>
      </c>
      <c r="K523">
        <v>0</v>
      </c>
      <c r="L523">
        <f t="shared" si="16"/>
        <v>7</v>
      </c>
      <c r="M523">
        <f t="shared" si="17"/>
        <v>1</v>
      </c>
    </row>
    <row r="524" spans="1:13" x14ac:dyDescent="0.3">
      <c r="A524">
        <v>522</v>
      </c>
      <c r="B524">
        <v>523</v>
      </c>
      <c r="C524" t="s">
        <v>562</v>
      </c>
      <c r="D524">
        <v>2019</v>
      </c>
      <c r="F524" t="s">
        <v>537</v>
      </c>
      <c r="G524">
        <v>1</v>
      </c>
      <c r="H524">
        <v>0</v>
      </c>
      <c r="I524">
        <v>0</v>
      </c>
      <c r="J524">
        <v>0</v>
      </c>
      <c r="K524">
        <v>0</v>
      </c>
      <c r="L524">
        <f t="shared" si="16"/>
        <v>7</v>
      </c>
      <c r="M524">
        <f t="shared" si="17"/>
        <v>1</v>
      </c>
    </row>
    <row r="525" spans="1:13" x14ac:dyDescent="0.3">
      <c r="A525">
        <v>523</v>
      </c>
      <c r="B525">
        <v>524</v>
      </c>
      <c r="C525" t="s">
        <v>563</v>
      </c>
      <c r="D525">
        <v>1992</v>
      </c>
      <c r="E525" t="s">
        <v>11</v>
      </c>
      <c r="F525" t="s">
        <v>537</v>
      </c>
      <c r="G525">
        <v>1</v>
      </c>
      <c r="H525">
        <v>0</v>
      </c>
      <c r="I525">
        <v>0</v>
      </c>
      <c r="J525">
        <v>0</v>
      </c>
      <c r="K525">
        <v>0</v>
      </c>
      <c r="L525">
        <f t="shared" si="16"/>
        <v>7</v>
      </c>
      <c r="M525">
        <f t="shared" si="17"/>
        <v>1</v>
      </c>
    </row>
    <row r="526" spans="1:13" x14ac:dyDescent="0.3">
      <c r="A526">
        <v>524</v>
      </c>
      <c r="B526">
        <v>525</v>
      </c>
      <c r="C526" t="s">
        <v>564</v>
      </c>
      <c r="D526">
        <v>2017</v>
      </c>
      <c r="E526" t="s">
        <v>22</v>
      </c>
      <c r="F526" t="s">
        <v>537</v>
      </c>
      <c r="G526">
        <v>1</v>
      </c>
      <c r="H526">
        <v>0</v>
      </c>
      <c r="I526">
        <v>0</v>
      </c>
      <c r="J526">
        <v>0</v>
      </c>
      <c r="K526">
        <v>0</v>
      </c>
      <c r="L526">
        <f t="shared" si="16"/>
        <v>7</v>
      </c>
      <c r="M526">
        <f t="shared" si="17"/>
        <v>1</v>
      </c>
    </row>
    <row r="527" spans="1:13" x14ac:dyDescent="0.3">
      <c r="A527">
        <v>525</v>
      </c>
      <c r="B527">
        <v>526</v>
      </c>
      <c r="C527" t="s">
        <v>565</v>
      </c>
      <c r="D527">
        <v>2013</v>
      </c>
      <c r="E527" t="s">
        <v>22</v>
      </c>
      <c r="F527" t="s">
        <v>537</v>
      </c>
      <c r="G527">
        <v>1</v>
      </c>
      <c r="H527">
        <v>0</v>
      </c>
      <c r="I527">
        <v>0</v>
      </c>
      <c r="J527">
        <v>0</v>
      </c>
      <c r="K527">
        <v>0</v>
      </c>
      <c r="L527">
        <f t="shared" si="16"/>
        <v>7</v>
      </c>
      <c r="M527">
        <f t="shared" si="17"/>
        <v>1</v>
      </c>
    </row>
    <row r="528" spans="1:13" x14ac:dyDescent="0.3">
      <c r="A528">
        <v>526</v>
      </c>
      <c r="B528">
        <v>527</v>
      </c>
      <c r="C528" t="s">
        <v>566</v>
      </c>
      <c r="D528">
        <v>2020</v>
      </c>
      <c r="E528" t="s">
        <v>11</v>
      </c>
      <c r="F528" t="s">
        <v>537</v>
      </c>
      <c r="G528">
        <v>1</v>
      </c>
      <c r="H528">
        <v>0</v>
      </c>
      <c r="I528">
        <v>0</v>
      </c>
      <c r="J528">
        <v>0</v>
      </c>
      <c r="K528">
        <v>0</v>
      </c>
      <c r="L528">
        <f t="shared" si="16"/>
        <v>7</v>
      </c>
      <c r="M528">
        <f t="shared" si="17"/>
        <v>1</v>
      </c>
    </row>
    <row r="529" spans="1:13" x14ac:dyDescent="0.3">
      <c r="A529">
        <v>527</v>
      </c>
      <c r="B529">
        <v>528</v>
      </c>
      <c r="C529" t="s">
        <v>567</v>
      </c>
      <c r="D529">
        <v>2011</v>
      </c>
      <c r="E529" t="s">
        <v>22</v>
      </c>
      <c r="F529" t="s">
        <v>537</v>
      </c>
      <c r="G529">
        <v>1</v>
      </c>
      <c r="H529">
        <v>0</v>
      </c>
      <c r="I529">
        <v>0</v>
      </c>
      <c r="J529">
        <v>0</v>
      </c>
      <c r="K529">
        <v>0</v>
      </c>
      <c r="L529">
        <f t="shared" si="16"/>
        <v>7</v>
      </c>
      <c r="M529">
        <f t="shared" si="17"/>
        <v>1</v>
      </c>
    </row>
    <row r="530" spans="1:13" x14ac:dyDescent="0.3">
      <c r="A530">
        <v>528</v>
      </c>
      <c r="B530">
        <v>529</v>
      </c>
      <c r="C530" t="s">
        <v>568</v>
      </c>
      <c r="D530">
        <v>2018</v>
      </c>
      <c r="E530" t="s">
        <v>22</v>
      </c>
      <c r="F530" t="s">
        <v>537</v>
      </c>
      <c r="G530">
        <v>1</v>
      </c>
      <c r="H530">
        <v>0</v>
      </c>
      <c r="I530">
        <v>1</v>
      </c>
      <c r="J530">
        <v>0</v>
      </c>
      <c r="K530">
        <v>0</v>
      </c>
      <c r="L530">
        <f t="shared" si="16"/>
        <v>7</v>
      </c>
      <c r="M530">
        <f t="shared" si="17"/>
        <v>2</v>
      </c>
    </row>
    <row r="531" spans="1:13" x14ac:dyDescent="0.3">
      <c r="A531">
        <v>529</v>
      </c>
      <c r="B531">
        <v>530</v>
      </c>
      <c r="C531" t="s">
        <v>569</v>
      </c>
      <c r="D531">
        <v>2017</v>
      </c>
      <c r="E531" t="s">
        <v>11</v>
      </c>
      <c r="F531" t="s">
        <v>537</v>
      </c>
      <c r="G531">
        <v>1</v>
      </c>
      <c r="H531">
        <v>0</v>
      </c>
      <c r="I531">
        <v>0</v>
      </c>
      <c r="J531">
        <v>0</v>
      </c>
      <c r="K531">
        <v>0</v>
      </c>
      <c r="L531">
        <f t="shared" si="16"/>
        <v>7</v>
      </c>
      <c r="M531">
        <f t="shared" si="17"/>
        <v>1</v>
      </c>
    </row>
    <row r="532" spans="1:13" x14ac:dyDescent="0.3">
      <c r="A532">
        <v>530</v>
      </c>
      <c r="B532">
        <v>531</v>
      </c>
      <c r="C532" t="s">
        <v>570</v>
      </c>
      <c r="D532">
        <v>2016</v>
      </c>
      <c r="E532" t="s">
        <v>11</v>
      </c>
      <c r="F532" t="s">
        <v>537</v>
      </c>
      <c r="G532">
        <v>1</v>
      </c>
      <c r="H532">
        <v>0</v>
      </c>
      <c r="I532">
        <v>0</v>
      </c>
      <c r="J532">
        <v>0</v>
      </c>
      <c r="K532">
        <v>0</v>
      </c>
      <c r="L532">
        <f t="shared" si="16"/>
        <v>7</v>
      </c>
      <c r="M532">
        <f t="shared" si="17"/>
        <v>1</v>
      </c>
    </row>
    <row r="533" spans="1:13" x14ac:dyDescent="0.3">
      <c r="A533">
        <v>531</v>
      </c>
      <c r="B533">
        <v>532</v>
      </c>
      <c r="C533" t="s">
        <v>571</v>
      </c>
      <c r="D533">
        <v>2008</v>
      </c>
      <c r="E533" t="s">
        <v>11</v>
      </c>
      <c r="F533" t="s">
        <v>537</v>
      </c>
      <c r="G533">
        <v>1</v>
      </c>
      <c r="H533">
        <v>0</v>
      </c>
      <c r="I533">
        <v>0</v>
      </c>
      <c r="J533">
        <v>0</v>
      </c>
      <c r="K533">
        <v>0</v>
      </c>
      <c r="L533">
        <f t="shared" si="16"/>
        <v>7</v>
      </c>
      <c r="M533">
        <f t="shared" si="17"/>
        <v>1</v>
      </c>
    </row>
    <row r="534" spans="1:13" x14ac:dyDescent="0.3">
      <c r="A534">
        <v>532</v>
      </c>
      <c r="B534">
        <v>533</v>
      </c>
      <c r="C534" t="s">
        <v>572</v>
      </c>
      <c r="D534">
        <v>2020</v>
      </c>
      <c r="F534" t="s">
        <v>537</v>
      </c>
      <c r="G534">
        <v>1</v>
      </c>
      <c r="H534">
        <v>0</v>
      </c>
      <c r="I534">
        <v>0</v>
      </c>
      <c r="J534">
        <v>0</v>
      </c>
      <c r="K534">
        <v>0</v>
      </c>
      <c r="L534">
        <f t="shared" si="16"/>
        <v>7</v>
      </c>
      <c r="M534">
        <f t="shared" si="17"/>
        <v>1</v>
      </c>
    </row>
    <row r="535" spans="1:13" x14ac:dyDescent="0.3">
      <c r="A535">
        <v>533</v>
      </c>
      <c r="B535">
        <v>534</v>
      </c>
      <c r="C535" t="s">
        <v>573</v>
      </c>
      <c r="D535">
        <v>2018</v>
      </c>
      <c r="E535" t="s">
        <v>36</v>
      </c>
      <c r="F535" t="s">
        <v>537</v>
      </c>
      <c r="G535">
        <v>1</v>
      </c>
      <c r="H535">
        <v>0</v>
      </c>
      <c r="I535">
        <v>0</v>
      </c>
      <c r="J535">
        <v>0</v>
      </c>
      <c r="K535">
        <v>0</v>
      </c>
      <c r="L535">
        <f t="shared" si="16"/>
        <v>7</v>
      </c>
      <c r="M535">
        <f t="shared" si="17"/>
        <v>1</v>
      </c>
    </row>
    <row r="536" spans="1:13" x14ac:dyDescent="0.3">
      <c r="A536">
        <v>534</v>
      </c>
      <c r="B536">
        <v>535</v>
      </c>
      <c r="C536" t="s">
        <v>574</v>
      </c>
      <c r="D536">
        <v>2013</v>
      </c>
      <c r="E536" t="s">
        <v>14</v>
      </c>
      <c r="F536" t="s">
        <v>537</v>
      </c>
      <c r="G536">
        <v>1</v>
      </c>
      <c r="H536">
        <v>0</v>
      </c>
      <c r="I536">
        <v>1</v>
      </c>
      <c r="J536">
        <v>0</v>
      </c>
      <c r="K536">
        <v>0</v>
      </c>
      <c r="L536">
        <f t="shared" si="16"/>
        <v>7</v>
      </c>
      <c r="M536">
        <f t="shared" si="17"/>
        <v>2</v>
      </c>
    </row>
    <row r="537" spans="1:13" x14ac:dyDescent="0.3">
      <c r="A537">
        <v>535</v>
      </c>
      <c r="B537">
        <v>536</v>
      </c>
      <c r="C537" t="s">
        <v>575</v>
      </c>
      <c r="D537">
        <v>1994</v>
      </c>
      <c r="E537" t="s">
        <v>14</v>
      </c>
      <c r="F537" t="s">
        <v>537</v>
      </c>
      <c r="G537">
        <v>1</v>
      </c>
      <c r="H537">
        <v>0</v>
      </c>
      <c r="I537">
        <v>0</v>
      </c>
      <c r="J537">
        <v>0</v>
      </c>
      <c r="K537">
        <v>0</v>
      </c>
      <c r="L537">
        <f t="shared" si="16"/>
        <v>7</v>
      </c>
      <c r="M537">
        <f t="shared" si="17"/>
        <v>1</v>
      </c>
    </row>
    <row r="538" spans="1:13" x14ac:dyDescent="0.3">
      <c r="A538">
        <v>536</v>
      </c>
      <c r="B538">
        <v>537</v>
      </c>
      <c r="C538" t="s">
        <v>576</v>
      </c>
      <c r="D538">
        <v>2005</v>
      </c>
      <c r="E538" t="s">
        <v>22</v>
      </c>
      <c r="F538" t="s">
        <v>537</v>
      </c>
      <c r="G538">
        <v>1</v>
      </c>
      <c r="H538">
        <v>0</v>
      </c>
      <c r="I538">
        <v>1</v>
      </c>
      <c r="J538">
        <v>0</v>
      </c>
      <c r="K538">
        <v>0</v>
      </c>
      <c r="L538">
        <f t="shared" si="16"/>
        <v>7</v>
      </c>
      <c r="M538">
        <f t="shared" si="17"/>
        <v>2</v>
      </c>
    </row>
    <row r="539" spans="1:13" x14ac:dyDescent="0.3">
      <c r="A539">
        <v>537</v>
      </c>
      <c r="B539">
        <v>538</v>
      </c>
      <c r="C539" t="s">
        <v>577</v>
      </c>
      <c r="D539">
        <v>2016</v>
      </c>
      <c r="E539" t="s">
        <v>14</v>
      </c>
      <c r="F539" t="s">
        <v>537</v>
      </c>
      <c r="G539">
        <v>1</v>
      </c>
      <c r="H539">
        <v>0</v>
      </c>
      <c r="I539">
        <v>0</v>
      </c>
      <c r="J539">
        <v>0</v>
      </c>
      <c r="K539">
        <v>0</v>
      </c>
      <c r="L539">
        <f t="shared" si="16"/>
        <v>7</v>
      </c>
      <c r="M539">
        <f t="shared" si="17"/>
        <v>1</v>
      </c>
    </row>
    <row r="540" spans="1:13" x14ac:dyDescent="0.3">
      <c r="A540">
        <v>538</v>
      </c>
      <c r="B540">
        <v>539</v>
      </c>
      <c r="C540" t="s">
        <v>578</v>
      </c>
      <c r="D540">
        <v>2017</v>
      </c>
      <c r="E540" t="s">
        <v>11</v>
      </c>
      <c r="F540" t="s">
        <v>537</v>
      </c>
      <c r="G540">
        <v>1</v>
      </c>
      <c r="H540">
        <v>0</v>
      </c>
      <c r="I540">
        <v>0</v>
      </c>
      <c r="J540">
        <v>0</v>
      </c>
      <c r="K540">
        <v>0</v>
      </c>
      <c r="L540">
        <f t="shared" si="16"/>
        <v>7</v>
      </c>
      <c r="M540">
        <f t="shared" si="17"/>
        <v>1</v>
      </c>
    </row>
    <row r="541" spans="1:13" x14ac:dyDescent="0.3">
      <c r="A541">
        <v>539</v>
      </c>
      <c r="B541">
        <v>540</v>
      </c>
      <c r="C541" t="s">
        <v>579</v>
      </c>
      <c r="D541">
        <v>2019</v>
      </c>
      <c r="E541" t="s">
        <v>11</v>
      </c>
      <c r="F541" t="s">
        <v>537</v>
      </c>
      <c r="G541">
        <v>1</v>
      </c>
      <c r="H541">
        <v>0</v>
      </c>
      <c r="I541">
        <v>0</v>
      </c>
      <c r="J541">
        <v>0</v>
      </c>
      <c r="K541">
        <v>0</v>
      </c>
      <c r="L541">
        <f t="shared" si="16"/>
        <v>7</v>
      </c>
      <c r="M541">
        <f t="shared" si="17"/>
        <v>1</v>
      </c>
    </row>
    <row r="542" spans="1:13" x14ac:dyDescent="0.3">
      <c r="A542">
        <v>540</v>
      </c>
      <c r="B542">
        <v>541</v>
      </c>
      <c r="C542" t="s">
        <v>580</v>
      </c>
      <c r="D542">
        <v>2014</v>
      </c>
      <c r="E542" t="s">
        <v>22</v>
      </c>
      <c r="F542" t="s">
        <v>537</v>
      </c>
      <c r="G542">
        <v>1</v>
      </c>
      <c r="H542">
        <v>0</v>
      </c>
      <c r="I542">
        <v>1</v>
      </c>
      <c r="J542">
        <v>0</v>
      </c>
      <c r="K542">
        <v>0</v>
      </c>
      <c r="L542">
        <f t="shared" si="16"/>
        <v>7</v>
      </c>
      <c r="M542">
        <f t="shared" si="17"/>
        <v>2</v>
      </c>
    </row>
    <row r="543" spans="1:13" x14ac:dyDescent="0.3">
      <c r="A543">
        <v>541</v>
      </c>
      <c r="B543">
        <v>542</v>
      </c>
      <c r="C543" t="s">
        <v>581</v>
      </c>
      <c r="D543">
        <v>2017</v>
      </c>
      <c r="E543" t="s">
        <v>22</v>
      </c>
      <c r="F543" t="s">
        <v>537</v>
      </c>
      <c r="G543">
        <v>1</v>
      </c>
      <c r="H543">
        <v>0</v>
      </c>
      <c r="I543">
        <v>0</v>
      </c>
      <c r="J543">
        <v>0</v>
      </c>
      <c r="K543">
        <v>0</v>
      </c>
      <c r="L543">
        <f t="shared" si="16"/>
        <v>7</v>
      </c>
      <c r="M543">
        <f t="shared" si="17"/>
        <v>1</v>
      </c>
    </row>
    <row r="544" spans="1:13" x14ac:dyDescent="0.3">
      <c r="A544">
        <v>542</v>
      </c>
      <c r="B544">
        <v>543</v>
      </c>
      <c r="C544" t="s">
        <v>582</v>
      </c>
      <c r="D544">
        <v>2018</v>
      </c>
      <c r="F544" t="s">
        <v>537</v>
      </c>
      <c r="G544">
        <v>1</v>
      </c>
      <c r="H544">
        <v>0</v>
      </c>
      <c r="I544">
        <v>0</v>
      </c>
      <c r="J544">
        <v>0</v>
      </c>
      <c r="K544">
        <v>0</v>
      </c>
      <c r="L544">
        <f t="shared" si="16"/>
        <v>7</v>
      </c>
      <c r="M544">
        <f t="shared" si="17"/>
        <v>1</v>
      </c>
    </row>
    <row r="545" spans="1:13" x14ac:dyDescent="0.3">
      <c r="A545">
        <v>543</v>
      </c>
      <c r="B545">
        <v>544</v>
      </c>
      <c r="C545" t="s">
        <v>583</v>
      </c>
      <c r="D545">
        <v>2018</v>
      </c>
      <c r="E545" t="s">
        <v>22</v>
      </c>
      <c r="F545" t="s">
        <v>537</v>
      </c>
      <c r="G545">
        <v>1</v>
      </c>
      <c r="H545">
        <v>1</v>
      </c>
      <c r="I545">
        <v>0</v>
      </c>
      <c r="J545">
        <v>0</v>
      </c>
      <c r="K545">
        <v>0</v>
      </c>
      <c r="L545">
        <f t="shared" si="16"/>
        <v>7</v>
      </c>
      <c r="M545">
        <f t="shared" si="17"/>
        <v>2</v>
      </c>
    </row>
    <row r="546" spans="1:13" x14ac:dyDescent="0.3">
      <c r="A546">
        <v>544</v>
      </c>
      <c r="B546">
        <v>545</v>
      </c>
      <c r="C546" t="s">
        <v>584</v>
      </c>
      <c r="D546">
        <v>2019</v>
      </c>
      <c r="F546" t="s">
        <v>537</v>
      </c>
      <c r="G546">
        <v>1</v>
      </c>
      <c r="H546">
        <v>0</v>
      </c>
      <c r="I546">
        <v>0</v>
      </c>
      <c r="J546">
        <v>0</v>
      </c>
      <c r="K546">
        <v>0</v>
      </c>
      <c r="L546">
        <f t="shared" si="16"/>
        <v>7</v>
      </c>
      <c r="M546">
        <f t="shared" si="17"/>
        <v>1</v>
      </c>
    </row>
    <row r="547" spans="1:13" x14ac:dyDescent="0.3">
      <c r="A547">
        <v>545</v>
      </c>
      <c r="B547">
        <v>546</v>
      </c>
      <c r="C547" t="s">
        <v>585</v>
      </c>
      <c r="D547">
        <v>1999</v>
      </c>
      <c r="E547" t="s">
        <v>14</v>
      </c>
      <c r="F547" t="s">
        <v>537</v>
      </c>
      <c r="G547">
        <v>1</v>
      </c>
      <c r="H547">
        <v>0</v>
      </c>
      <c r="I547">
        <v>0</v>
      </c>
      <c r="J547">
        <v>0</v>
      </c>
      <c r="K547">
        <v>0</v>
      </c>
      <c r="L547">
        <f t="shared" si="16"/>
        <v>7</v>
      </c>
      <c r="M547">
        <f t="shared" si="17"/>
        <v>1</v>
      </c>
    </row>
    <row r="548" spans="1:13" x14ac:dyDescent="0.3">
      <c r="A548">
        <v>546</v>
      </c>
      <c r="B548">
        <v>547</v>
      </c>
      <c r="C548" t="s">
        <v>586</v>
      </c>
      <c r="D548">
        <v>2016</v>
      </c>
      <c r="F548" t="s">
        <v>537</v>
      </c>
      <c r="G548">
        <v>1</v>
      </c>
      <c r="H548">
        <v>0</v>
      </c>
      <c r="I548">
        <v>0</v>
      </c>
      <c r="J548">
        <v>0</v>
      </c>
      <c r="K548">
        <v>0</v>
      </c>
      <c r="L548">
        <f t="shared" si="16"/>
        <v>7</v>
      </c>
      <c r="M548">
        <f t="shared" si="17"/>
        <v>1</v>
      </c>
    </row>
    <row r="549" spans="1:13" x14ac:dyDescent="0.3">
      <c r="A549">
        <v>547</v>
      </c>
      <c r="B549">
        <v>548</v>
      </c>
      <c r="C549" t="s">
        <v>587</v>
      </c>
      <c r="D549">
        <v>2004</v>
      </c>
      <c r="E549" t="s">
        <v>22</v>
      </c>
      <c r="F549" t="s">
        <v>537</v>
      </c>
      <c r="G549">
        <v>1</v>
      </c>
      <c r="H549">
        <v>0</v>
      </c>
      <c r="I549">
        <v>0</v>
      </c>
      <c r="J549">
        <v>0</v>
      </c>
      <c r="K549">
        <v>0</v>
      </c>
      <c r="L549">
        <f t="shared" si="16"/>
        <v>7</v>
      </c>
      <c r="M549">
        <f t="shared" si="17"/>
        <v>1</v>
      </c>
    </row>
    <row r="550" spans="1:13" x14ac:dyDescent="0.3">
      <c r="A550">
        <v>548</v>
      </c>
      <c r="B550">
        <v>549</v>
      </c>
      <c r="C550" t="s">
        <v>588</v>
      </c>
      <c r="D550">
        <v>2016</v>
      </c>
      <c r="E550" t="s">
        <v>22</v>
      </c>
      <c r="F550" t="s">
        <v>537</v>
      </c>
      <c r="G550">
        <v>1</v>
      </c>
      <c r="H550">
        <v>0</v>
      </c>
      <c r="I550">
        <v>0</v>
      </c>
      <c r="J550">
        <v>0</v>
      </c>
      <c r="K550">
        <v>0</v>
      </c>
      <c r="L550">
        <f t="shared" si="16"/>
        <v>7</v>
      </c>
      <c r="M550">
        <f t="shared" si="17"/>
        <v>1</v>
      </c>
    </row>
    <row r="551" spans="1:13" x14ac:dyDescent="0.3">
      <c r="A551">
        <v>549</v>
      </c>
      <c r="B551">
        <v>550</v>
      </c>
      <c r="C551" t="s">
        <v>589</v>
      </c>
      <c r="D551">
        <v>2014</v>
      </c>
      <c r="E551" t="s">
        <v>22</v>
      </c>
      <c r="F551" t="s">
        <v>537</v>
      </c>
      <c r="G551">
        <v>1</v>
      </c>
      <c r="H551">
        <v>0</v>
      </c>
      <c r="I551">
        <v>0</v>
      </c>
      <c r="J551">
        <v>0</v>
      </c>
      <c r="K551">
        <v>0</v>
      </c>
      <c r="L551">
        <f t="shared" si="16"/>
        <v>7</v>
      </c>
      <c r="M551">
        <f t="shared" si="17"/>
        <v>1</v>
      </c>
    </row>
    <row r="552" spans="1:13" x14ac:dyDescent="0.3">
      <c r="A552">
        <v>550</v>
      </c>
      <c r="B552">
        <v>551</v>
      </c>
      <c r="C552" t="s">
        <v>590</v>
      </c>
      <c r="D552">
        <v>2010</v>
      </c>
      <c r="E552" t="s">
        <v>22</v>
      </c>
      <c r="F552" t="s">
        <v>537</v>
      </c>
      <c r="G552">
        <v>1</v>
      </c>
      <c r="H552">
        <v>0</v>
      </c>
      <c r="I552">
        <v>0</v>
      </c>
      <c r="J552">
        <v>0</v>
      </c>
      <c r="K552">
        <v>0</v>
      </c>
      <c r="L552">
        <f t="shared" si="16"/>
        <v>7</v>
      </c>
      <c r="M552">
        <f t="shared" si="17"/>
        <v>1</v>
      </c>
    </row>
    <row r="553" spans="1:13" x14ac:dyDescent="0.3">
      <c r="A553">
        <v>551</v>
      </c>
      <c r="B553">
        <v>552</v>
      </c>
      <c r="C553" t="s">
        <v>591</v>
      </c>
      <c r="D553">
        <v>2016</v>
      </c>
      <c r="E553" t="s">
        <v>11</v>
      </c>
      <c r="F553" t="s">
        <v>537</v>
      </c>
      <c r="G553">
        <v>1</v>
      </c>
      <c r="H553">
        <v>0</v>
      </c>
      <c r="I553">
        <v>0</v>
      </c>
      <c r="J553">
        <v>0</v>
      </c>
      <c r="K553">
        <v>0</v>
      </c>
      <c r="L553">
        <f t="shared" si="16"/>
        <v>7</v>
      </c>
      <c r="M553">
        <f t="shared" si="17"/>
        <v>1</v>
      </c>
    </row>
    <row r="554" spans="1:13" x14ac:dyDescent="0.3">
      <c r="A554">
        <v>552</v>
      </c>
      <c r="B554">
        <v>553</v>
      </c>
      <c r="C554" t="s">
        <v>592</v>
      </c>
      <c r="D554">
        <v>2004</v>
      </c>
      <c r="E554" t="s">
        <v>22</v>
      </c>
      <c r="F554" t="s">
        <v>537</v>
      </c>
      <c r="G554">
        <v>1</v>
      </c>
      <c r="H554">
        <v>0</v>
      </c>
      <c r="I554">
        <v>0</v>
      </c>
      <c r="J554">
        <v>0</v>
      </c>
      <c r="K554">
        <v>0</v>
      </c>
      <c r="L554">
        <f t="shared" si="16"/>
        <v>7</v>
      </c>
      <c r="M554">
        <f t="shared" si="17"/>
        <v>1</v>
      </c>
    </row>
    <row r="555" spans="1:13" x14ac:dyDescent="0.3">
      <c r="A555">
        <v>553</v>
      </c>
      <c r="B555">
        <v>554</v>
      </c>
      <c r="C555" t="s">
        <v>593</v>
      </c>
      <c r="D555">
        <v>2008</v>
      </c>
      <c r="E555" t="s">
        <v>14</v>
      </c>
      <c r="F555" t="s">
        <v>537</v>
      </c>
      <c r="G555">
        <v>1</v>
      </c>
      <c r="H555">
        <v>0</v>
      </c>
      <c r="I555">
        <v>0</v>
      </c>
      <c r="J555">
        <v>0</v>
      </c>
      <c r="K555">
        <v>0</v>
      </c>
      <c r="L555">
        <f t="shared" si="16"/>
        <v>7</v>
      </c>
      <c r="M555">
        <f t="shared" si="17"/>
        <v>1</v>
      </c>
    </row>
    <row r="556" spans="1:13" x14ac:dyDescent="0.3">
      <c r="A556">
        <v>554</v>
      </c>
      <c r="B556">
        <v>555</v>
      </c>
      <c r="C556" t="s">
        <v>594</v>
      </c>
      <c r="D556">
        <v>2012</v>
      </c>
      <c r="E556" t="s">
        <v>28</v>
      </c>
      <c r="F556" t="s">
        <v>595</v>
      </c>
      <c r="G556">
        <v>1</v>
      </c>
      <c r="H556">
        <v>0</v>
      </c>
      <c r="I556">
        <v>0</v>
      </c>
      <c r="J556">
        <v>0</v>
      </c>
      <c r="K556">
        <v>0</v>
      </c>
      <c r="L556">
        <f t="shared" si="16"/>
        <v>6.9</v>
      </c>
      <c r="M556">
        <f t="shared" si="17"/>
        <v>1</v>
      </c>
    </row>
    <row r="557" spans="1:13" x14ac:dyDescent="0.3">
      <c r="A557">
        <v>555</v>
      </c>
      <c r="B557">
        <v>556</v>
      </c>
      <c r="C557" t="s">
        <v>596</v>
      </c>
      <c r="D557">
        <v>2018</v>
      </c>
      <c r="E557" t="s">
        <v>28</v>
      </c>
      <c r="F557" t="s">
        <v>595</v>
      </c>
      <c r="G557">
        <v>1</v>
      </c>
      <c r="H557">
        <v>0</v>
      </c>
      <c r="I557">
        <v>0</v>
      </c>
      <c r="J557">
        <v>0</v>
      </c>
      <c r="K557">
        <v>0</v>
      </c>
      <c r="L557">
        <f t="shared" si="16"/>
        <v>6.9</v>
      </c>
      <c r="M557">
        <f t="shared" si="17"/>
        <v>1</v>
      </c>
    </row>
    <row r="558" spans="1:13" x14ac:dyDescent="0.3">
      <c r="A558">
        <v>556</v>
      </c>
      <c r="B558">
        <v>557</v>
      </c>
      <c r="C558" t="s">
        <v>597</v>
      </c>
      <c r="D558">
        <v>2005</v>
      </c>
      <c r="E558" t="s">
        <v>22</v>
      </c>
      <c r="F558" t="s">
        <v>595</v>
      </c>
      <c r="G558">
        <v>1</v>
      </c>
      <c r="H558">
        <v>0</v>
      </c>
      <c r="I558">
        <v>0</v>
      </c>
      <c r="J558">
        <v>0</v>
      </c>
      <c r="K558">
        <v>0</v>
      </c>
      <c r="L558">
        <f t="shared" si="16"/>
        <v>6.9</v>
      </c>
      <c r="M558">
        <f t="shared" si="17"/>
        <v>1</v>
      </c>
    </row>
    <row r="559" spans="1:13" x14ac:dyDescent="0.3">
      <c r="A559">
        <v>557</v>
      </c>
      <c r="B559">
        <v>558</v>
      </c>
      <c r="C559" t="s">
        <v>598</v>
      </c>
      <c r="D559">
        <v>2019</v>
      </c>
      <c r="E559" t="s">
        <v>28</v>
      </c>
      <c r="F559" t="s">
        <v>595</v>
      </c>
      <c r="G559">
        <v>1</v>
      </c>
      <c r="H559">
        <v>0</v>
      </c>
      <c r="I559">
        <v>0</v>
      </c>
      <c r="J559">
        <v>0</v>
      </c>
      <c r="K559">
        <v>0</v>
      </c>
      <c r="L559">
        <f t="shared" si="16"/>
        <v>6.9</v>
      </c>
      <c r="M559">
        <f t="shared" si="17"/>
        <v>1</v>
      </c>
    </row>
    <row r="560" spans="1:13" x14ac:dyDescent="0.3">
      <c r="A560">
        <v>558</v>
      </c>
      <c r="B560">
        <v>559</v>
      </c>
      <c r="C560" t="s">
        <v>599</v>
      </c>
      <c r="D560">
        <v>2001</v>
      </c>
      <c r="E560" t="s">
        <v>28</v>
      </c>
      <c r="F560" t="s">
        <v>595</v>
      </c>
      <c r="G560">
        <v>1</v>
      </c>
      <c r="H560">
        <v>0</v>
      </c>
      <c r="I560">
        <v>1</v>
      </c>
      <c r="J560">
        <v>0</v>
      </c>
      <c r="K560">
        <v>0</v>
      </c>
      <c r="L560">
        <f t="shared" si="16"/>
        <v>6.9</v>
      </c>
      <c r="M560">
        <f t="shared" si="17"/>
        <v>2</v>
      </c>
    </row>
    <row r="561" spans="1:13" x14ac:dyDescent="0.3">
      <c r="A561">
        <v>559</v>
      </c>
      <c r="B561">
        <v>560</v>
      </c>
      <c r="C561" t="s">
        <v>600</v>
      </c>
      <c r="D561">
        <v>2018</v>
      </c>
      <c r="E561" t="s">
        <v>22</v>
      </c>
      <c r="F561" t="s">
        <v>595</v>
      </c>
      <c r="G561">
        <v>1</v>
      </c>
      <c r="H561">
        <v>0</v>
      </c>
      <c r="I561">
        <v>0</v>
      </c>
      <c r="J561">
        <v>0</v>
      </c>
      <c r="K561">
        <v>0</v>
      </c>
      <c r="L561">
        <f t="shared" si="16"/>
        <v>6.9</v>
      </c>
      <c r="M561">
        <f t="shared" si="17"/>
        <v>1</v>
      </c>
    </row>
    <row r="562" spans="1:13" x14ac:dyDescent="0.3">
      <c r="A562">
        <v>560</v>
      </c>
      <c r="B562">
        <v>561</v>
      </c>
      <c r="C562" t="s">
        <v>601</v>
      </c>
      <c r="D562">
        <v>2020</v>
      </c>
      <c r="E562" t="s">
        <v>11</v>
      </c>
      <c r="F562" t="s">
        <v>595</v>
      </c>
      <c r="G562">
        <v>1</v>
      </c>
      <c r="H562">
        <v>0</v>
      </c>
      <c r="I562">
        <v>0</v>
      </c>
      <c r="J562">
        <v>0</v>
      </c>
      <c r="K562">
        <v>0</v>
      </c>
      <c r="L562">
        <f t="shared" si="16"/>
        <v>6.9</v>
      </c>
      <c r="M562">
        <f t="shared" si="17"/>
        <v>1</v>
      </c>
    </row>
    <row r="563" spans="1:13" x14ac:dyDescent="0.3">
      <c r="A563">
        <v>561</v>
      </c>
      <c r="B563">
        <v>562</v>
      </c>
      <c r="C563" t="s">
        <v>602</v>
      </c>
      <c r="D563">
        <v>2015</v>
      </c>
      <c r="F563" t="s">
        <v>595</v>
      </c>
      <c r="G563">
        <v>1</v>
      </c>
      <c r="H563">
        <v>0</v>
      </c>
      <c r="I563">
        <v>0</v>
      </c>
      <c r="J563">
        <v>0</v>
      </c>
      <c r="K563">
        <v>0</v>
      </c>
      <c r="L563">
        <f t="shared" si="16"/>
        <v>6.9</v>
      </c>
      <c r="M563">
        <f t="shared" si="17"/>
        <v>1</v>
      </c>
    </row>
    <row r="564" spans="1:13" x14ac:dyDescent="0.3">
      <c r="A564">
        <v>562</v>
      </c>
      <c r="B564">
        <v>563</v>
      </c>
      <c r="C564" t="s">
        <v>603</v>
      </c>
      <c r="D564">
        <v>2013</v>
      </c>
      <c r="E564" t="s">
        <v>11</v>
      </c>
      <c r="F564" t="s">
        <v>595</v>
      </c>
      <c r="G564">
        <v>1</v>
      </c>
      <c r="H564">
        <v>0</v>
      </c>
      <c r="I564">
        <v>0</v>
      </c>
      <c r="J564">
        <v>0</v>
      </c>
      <c r="K564">
        <v>0</v>
      </c>
      <c r="L564">
        <f t="shared" si="16"/>
        <v>6.9</v>
      </c>
      <c r="M564">
        <f t="shared" si="17"/>
        <v>1</v>
      </c>
    </row>
    <row r="565" spans="1:13" x14ac:dyDescent="0.3">
      <c r="A565">
        <v>563</v>
      </c>
      <c r="B565">
        <v>564</v>
      </c>
      <c r="C565" t="s">
        <v>604</v>
      </c>
      <c r="D565">
        <v>2021</v>
      </c>
      <c r="F565" t="s">
        <v>595</v>
      </c>
      <c r="G565">
        <v>1</v>
      </c>
      <c r="H565">
        <v>0</v>
      </c>
      <c r="I565">
        <v>0</v>
      </c>
      <c r="J565">
        <v>0</v>
      </c>
      <c r="K565">
        <v>0</v>
      </c>
      <c r="L565">
        <f t="shared" si="16"/>
        <v>6.9</v>
      </c>
      <c r="M565">
        <f t="shared" si="17"/>
        <v>1</v>
      </c>
    </row>
    <row r="566" spans="1:13" x14ac:dyDescent="0.3">
      <c r="A566">
        <v>564</v>
      </c>
      <c r="B566">
        <v>565</v>
      </c>
      <c r="C566" t="s">
        <v>605</v>
      </c>
      <c r="D566">
        <v>2011</v>
      </c>
      <c r="E566" t="s">
        <v>11</v>
      </c>
      <c r="F566" t="s">
        <v>595</v>
      </c>
      <c r="G566">
        <v>1</v>
      </c>
      <c r="H566">
        <v>0</v>
      </c>
      <c r="I566">
        <v>0</v>
      </c>
      <c r="J566">
        <v>0</v>
      </c>
      <c r="K566">
        <v>0</v>
      </c>
      <c r="L566">
        <f t="shared" si="16"/>
        <v>6.9</v>
      </c>
      <c r="M566">
        <f t="shared" si="17"/>
        <v>1</v>
      </c>
    </row>
    <row r="567" spans="1:13" x14ac:dyDescent="0.3">
      <c r="A567">
        <v>565</v>
      </c>
      <c r="B567">
        <v>566</v>
      </c>
      <c r="C567" t="s">
        <v>606</v>
      </c>
      <c r="D567">
        <v>2018</v>
      </c>
      <c r="E567" t="s">
        <v>28</v>
      </c>
      <c r="F567" t="s">
        <v>595</v>
      </c>
      <c r="G567">
        <v>1</v>
      </c>
      <c r="H567">
        <v>0</v>
      </c>
      <c r="I567">
        <v>0</v>
      </c>
      <c r="J567">
        <v>0</v>
      </c>
      <c r="K567">
        <v>0</v>
      </c>
      <c r="L567">
        <f t="shared" si="16"/>
        <v>6.9</v>
      </c>
      <c r="M567">
        <f t="shared" si="17"/>
        <v>1</v>
      </c>
    </row>
    <row r="568" spans="1:13" x14ac:dyDescent="0.3">
      <c r="A568">
        <v>566</v>
      </c>
      <c r="B568">
        <v>567</v>
      </c>
      <c r="C568" t="s">
        <v>607</v>
      </c>
      <c r="D568">
        <v>2009</v>
      </c>
      <c r="E568" t="s">
        <v>11</v>
      </c>
      <c r="F568" t="s">
        <v>595</v>
      </c>
      <c r="G568">
        <v>1</v>
      </c>
      <c r="H568">
        <v>0</v>
      </c>
      <c r="I568">
        <v>1</v>
      </c>
      <c r="J568">
        <v>0</v>
      </c>
      <c r="K568">
        <v>0</v>
      </c>
      <c r="L568">
        <f t="shared" si="16"/>
        <v>6.9</v>
      </c>
      <c r="M568">
        <f t="shared" si="17"/>
        <v>2</v>
      </c>
    </row>
    <row r="569" spans="1:13" x14ac:dyDescent="0.3">
      <c r="A569">
        <v>567</v>
      </c>
      <c r="B569">
        <v>568</v>
      </c>
      <c r="C569" t="s">
        <v>608</v>
      </c>
      <c r="D569">
        <v>2021</v>
      </c>
      <c r="E569" t="s">
        <v>11</v>
      </c>
      <c r="F569" t="s">
        <v>595</v>
      </c>
      <c r="G569">
        <v>1</v>
      </c>
      <c r="H569">
        <v>0</v>
      </c>
      <c r="I569">
        <v>0</v>
      </c>
      <c r="J569">
        <v>0</v>
      </c>
      <c r="K569">
        <v>0</v>
      </c>
      <c r="L569">
        <f t="shared" si="16"/>
        <v>6.9</v>
      </c>
      <c r="M569">
        <f t="shared" si="17"/>
        <v>1</v>
      </c>
    </row>
    <row r="570" spans="1:13" x14ac:dyDescent="0.3">
      <c r="A570">
        <v>568</v>
      </c>
      <c r="B570">
        <v>569</v>
      </c>
      <c r="C570" t="s">
        <v>609</v>
      </c>
      <c r="D570">
        <v>2007</v>
      </c>
      <c r="F570" t="s">
        <v>595</v>
      </c>
      <c r="G570">
        <v>1</v>
      </c>
      <c r="H570">
        <v>0</v>
      </c>
      <c r="I570">
        <v>0</v>
      </c>
      <c r="J570">
        <v>0</v>
      </c>
      <c r="K570">
        <v>0</v>
      </c>
      <c r="L570">
        <f t="shared" si="16"/>
        <v>6.9</v>
      </c>
      <c r="M570">
        <f t="shared" si="17"/>
        <v>1</v>
      </c>
    </row>
    <row r="571" spans="1:13" x14ac:dyDescent="0.3">
      <c r="A571">
        <v>569</v>
      </c>
      <c r="B571">
        <v>570</v>
      </c>
      <c r="C571" t="s">
        <v>610</v>
      </c>
      <c r="D571">
        <v>2020</v>
      </c>
      <c r="E571" t="s">
        <v>11</v>
      </c>
      <c r="F571" t="s">
        <v>595</v>
      </c>
      <c r="G571">
        <v>1</v>
      </c>
      <c r="H571">
        <v>0</v>
      </c>
      <c r="I571">
        <v>0</v>
      </c>
      <c r="J571">
        <v>0</v>
      </c>
      <c r="K571">
        <v>0</v>
      </c>
      <c r="L571">
        <f t="shared" si="16"/>
        <v>6.9</v>
      </c>
      <c r="M571">
        <f t="shared" si="17"/>
        <v>1</v>
      </c>
    </row>
    <row r="572" spans="1:13" x14ac:dyDescent="0.3">
      <c r="A572">
        <v>570</v>
      </c>
      <c r="B572">
        <v>571</v>
      </c>
      <c r="C572" t="s">
        <v>611</v>
      </c>
      <c r="D572">
        <v>2018</v>
      </c>
      <c r="E572" t="s">
        <v>14</v>
      </c>
      <c r="F572" t="s">
        <v>595</v>
      </c>
      <c r="G572">
        <v>1</v>
      </c>
      <c r="H572">
        <v>0</v>
      </c>
      <c r="I572">
        <v>0</v>
      </c>
      <c r="J572">
        <v>0</v>
      </c>
      <c r="K572">
        <v>0</v>
      </c>
      <c r="L572">
        <f t="shared" si="16"/>
        <v>6.9</v>
      </c>
      <c r="M572">
        <f t="shared" si="17"/>
        <v>1</v>
      </c>
    </row>
    <row r="573" spans="1:13" x14ac:dyDescent="0.3">
      <c r="A573">
        <v>571</v>
      </c>
      <c r="B573">
        <v>572</v>
      </c>
      <c r="C573" t="s">
        <v>612</v>
      </c>
      <c r="D573">
        <v>2011</v>
      </c>
      <c r="E573" t="s">
        <v>22</v>
      </c>
      <c r="F573" t="s">
        <v>595</v>
      </c>
      <c r="G573">
        <v>1</v>
      </c>
      <c r="H573">
        <v>0</v>
      </c>
      <c r="I573">
        <v>0</v>
      </c>
      <c r="J573">
        <v>0</v>
      </c>
      <c r="K573">
        <v>0</v>
      </c>
      <c r="L573">
        <f t="shared" si="16"/>
        <v>6.9</v>
      </c>
      <c r="M573">
        <f t="shared" si="17"/>
        <v>1</v>
      </c>
    </row>
    <row r="574" spans="1:13" x14ac:dyDescent="0.3">
      <c r="A574">
        <v>572</v>
      </c>
      <c r="B574">
        <v>573</v>
      </c>
      <c r="C574" t="s">
        <v>613</v>
      </c>
      <c r="D574">
        <v>2017</v>
      </c>
      <c r="F574" t="s">
        <v>595</v>
      </c>
      <c r="G574">
        <v>1</v>
      </c>
      <c r="H574">
        <v>0</v>
      </c>
      <c r="I574">
        <v>0</v>
      </c>
      <c r="J574">
        <v>0</v>
      </c>
      <c r="K574">
        <v>0</v>
      </c>
      <c r="L574">
        <f t="shared" si="16"/>
        <v>6.9</v>
      </c>
      <c r="M574">
        <f t="shared" si="17"/>
        <v>1</v>
      </c>
    </row>
    <row r="575" spans="1:13" x14ac:dyDescent="0.3">
      <c r="A575">
        <v>573</v>
      </c>
      <c r="B575">
        <v>574</v>
      </c>
      <c r="C575" t="s">
        <v>614</v>
      </c>
      <c r="D575">
        <v>2017</v>
      </c>
      <c r="F575" t="s">
        <v>595</v>
      </c>
      <c r="G575">
        <v>1</v>
      </c>
      <c r="H575">
        <v>0</v>
      </c>
      <c r="I575">
        <v>0</v>
      </c>
      <c r="J575">
        <v>0</v>
      </c>
      <c r="K575">
        <v>0</v>
      </c>
      <c r="L575">
        <f t="shared" si="16"/>
        <v>6.9</v>
      </c>
      <c r="M575">
        <f t="shared" si="17"/>
        <v>1</v>
      </c>
    </row>
    <row r="576" spans="1:13" x14ac:dyDescent="0.3">
      <c r="A576">
        <v>574</v>
      </c>
      <c r="B576">
        <v>575</v>
      </c>
      <c r="C576" t="s">
        <v>615</v>
      </c>
      <c r="D576">
        <v>2018</v>
      </c>
      <c r="E576" t="s">
        <v>11</v>
      </c>
      <c r="F576" t="s">
        <v>595</v>
      </c>
      <c r="G576">
        <v>1</v>
      </c>
      <c r="H576">
        <v>0</v>
      </c>
      <c r="I576">
        <v>0</v>
      </c>
      <c r="J576">
        <v>0</v>
      </c>
      <c r="K576">
        <v>0</v>
      </c>
      <c r="L576">
        <f t="shared" si="16"/>
        <v>6.9</v>
      </c>
      <c r="M576">
        <f t="shared" si="17"/>
        <v>1</v>
      </c>
    </row>
    <row r="577" spans="1:13" x14ac:dyDescent="0.3">
      <c r="A577">
        <v>575</v>
      </c>
      <c r="B577">
        <v>576</v>
      </c>
      <c r="C577" t="s">
        <v>616</v>
      </c>
      <c r="D577">
        <v>2016</v>
      </c>
      <c r="E577" t="s">
        <v>11</v>
      </c>
      <c r="F577" t="s">
        <v>595</v>
      </c>
      <c r="G577">
        <v>1</v>
      </c>
      <c r="H577">
        <v>0</v>
      </c>
      <c r="I577">
        <v>0</v>
      </c>
      <c r="J577">
        <v>0</v>
      </c>
      <c r="K577">
        <v>0</v>
      </c>
      <c r="L577">
        <f t="shared" si="16"/>
        <v>6.9</v>
      </c>
      <c r="M577">
        <f t="shared" si="17"/>
        <v>1</v>
      </c>
    </row>
    <row r="578" spans="1:13" x14ac:dyDescent="0.3">
      <c r="A578">
        <v>576</v>
      </c>
      <c r="B578">
        <v>577</v>
      </c>
      <c r="C578" t="s">
        <v>617</v>
      </c>
      <c r="D578">
        <v>2018</v>
      </c>
      <c r="E578" t="s">
        <v>22</v>
      </c>
      <c r="F578" t="s">
        <v>595</v>
      </c>
      <c r="G578">
        <v>1</v>
      </c>
      <c r="H578">
        <v>0</v>
      </c>
      <c r="I578">
        <v>0</v>
      </c>
      <c r="J578">
        <v>0</v>
      </c>
      <c r="K578">
        <v>0</v>
      </c>
      <c r="L578">
        <f t="shared" si="16"/>
        <v>6.9</v>
      </c>
      <c r="M578">
        <f t="shared" si="17"/>
        <v>1</v>
      </c>
    </row>
    <row r="579" spans="1:13" x14ac:dyDescent="0.3">
      <c r="A579">
        <v>577</v>
      </c>
      <c r="B579">
        <v>578</v>
      </c>
      <c r="C579" t="s">
        <v>618</v>
      </c>
      <c r="D579">
        <v>2018</v>
      </c>
      <c r="E579" t="s">
        <v>11</v>
      </c>
      <c r="F579" t="s">
        <v>595</v>
      </c>
      <c r="G579">
        <v>1</v>
      </c>
      <c r="H579">
        <v>0</v>
      </c>
      <c r="I579">
        <v>0</v>
      </c>
      <c r="J579">
        <v>0</v>
      </c>
      <c r="K579">
        <v>0</v>
      </c>
      <c r="L579">
        <f t="shared" ref="L579:L642" si="18">IFERROR(VALUE(LEFT(F579,FIND("/",F579)-1))/10,"")</f>
        <v>6.9</v>
      </c>
      <c r="M579">
        <f t="shared" ref="M579:M642" si="19">SUM(G579:J579)</f>
        <v>1</v>
      </c>
    </row>
    <row r="580" spans="1:13" x14ac:dyDescent="0.3">
      <c r="A580">
        <v>578</v>
      </c>
      <c r="B580">
        <v>579</v>
      </c>
      <c r="C580" t="s">
        <v>619</v>
      </c>
      <c r="D580">
        <v>2014</v>
      </c>
      <c r="E580" t="s">
        <v>22</v>
      </c>
      <c r="F580" t="s">
        <v>595</v>
      </c>
      <c r="G580">
        <v>1</v>
      </c>
      <c r="H580">
        <v>0</v>
      </c>
      <c r="I580">
        <v>0</v>
      </c>
      <c r="J580">
        <v>0</v>
      </c>
      <c r="K580">
        <v>0</v>
      </c>
      <c r="L580">
        <f t="shared" si="18"/>
        <v>6.9</v>
      </c>
      <c r="M580">
        <f t="shared" si="19"/>
        <v>1</v>
      </c>
    </row>
    <row r="581" spans="1:13" x14ac:dyDescent="0.3">
      <c r="A581">
        <v>579</v>
      </c>
      <c r="B581">
        <v>580</v>
      </c>
      <c r="C581" t="s">
        <v>620</v>
      </c>
      <c r="D581">
        <v>2017</v>
      </c>
      <c r="E581" t="s">
        <v>11</v>
      </c>
      <c r="F581" t="s">
        <v>595</v>
      </c>
      <c r="G581">
        <v>1</v>
      </c>
      <c r="H581">
        <v>0</v>
      </c>
      <c r="I581">
        <v>0</v>
      </c>
      <c r="J581">
        <v>0</v>
      </c>
      <c r="K581">
        <v>0</v>
      </c>
      <c r="L581">
        <f t="shared" si="18"/>
        <v>6.9</v>
      </c>
      <c r="M581">
        <f t="shared" si="19"/>
        <v>1</v>
      </c>
    </row>
    <row r="582" spans="1:13" x14ac:dyDescent="0.3">
      <c r="A582">
        <v>580</v>
      </c>
      <c r="B582">
        <v>581</v>
      </c>
      <c r="C582" t="s">
        <v>621</v>
      </c>
      <c r="D582">
        <v>2021</v>
      </c>
      <c r="E582" t="s">
        <v>14</v>
      </c>
      <c r="F582" t="s">
        <v>595</v>
      </c>
      <c r="G582">
        <v>1</v>
      </c>
      <c r="H582">
        <v>0</v>
      </c>
      <c r="I582">
        <v>0</v>
      </c>
      <c r="J582">
        <v>0</v>
      </c>
      <c r="K582">
        <v>0</v>
      </c>
      <c r="L582">
        <f t="shared" si="18"/>
        <v>6.9</v>
      </c>
      <c r="M582">
        <f t="shared" si="19"/>
        <v>1</v>
      </c>
    </row>
    <row r="583" spans="1:13" x14ac:dyDescent="0.3">
      <c r="A583">
        <v>581</v>
      </c>
      <c r="B583">
        <v>582</v>
      </c>
      <c r="C583" t="s">
        <v>622</v>
      </c>
      <c r="D583">
        <v>2018</v>
      </c>
      <c r="E583" t="s">
        <v>22</v>
      </c>
      <c r="F583" t="s">
        <v>595</v>
      </c>
      <c r="G583">
        <v>1</v>
      </c>
      <c r="H583">
        <v>0</v>
      </c>
      <c r="I583">
        <v>0</v>
      </c>
      <c r="J583">
        <v>0</v>
      </c>
      <c r="K583">
        <v>0</v>
      </c>
      <c r="L583">
        <f t="shared" si="18"/>
        <v>6.9</v>
      </c>
      <c r="M583">
        <f t="shared" si="19"/>
        <v>1</v>
      </c>
    </row>
    <row r="584" spans="1:13" x14ac:dyDescent="0.3">
      <c r="A584">
        <v>582</v>
      </c>
      <c r="B584">
        <v>583</v>
      </c>
      <c r="C584" t="s">
        <v>623</v>
      </c>
      <c r="D584">
        <v>2016</v>
      </c>
      <c r="E584" t="s">
        <v>22</v>
      </c>
      <c r="F584" t="s">
        <v>595</v>
      </c>
      <c r="G584">
        <v>1</v>
      </c>
      <c r="H584">
        <v>0</v>
      </c>
      <c r="I584">
        <v>1</v>
      </c>
      <c r="J584">
        <v>0</v>
      </c>
      <c r="K584">
        <v>0</v>
      </c>
      <c r="L584">
        <f t="shared" si="18"/>
        <v>6.9</v>
      </c>
      <c r="M584">
        <f t="shared" si="19"/>
        <v>2</v>
      </c>
    </row>
    <row r="585" spans="1:13" x14ac:dyDescent="0.3">
      <c r="A585">
        <v>583</v>
      </c>
      <c r="B585">
        <v>584</v>
      </c>
      <c r="C585" t="s">
        <v>624</v>
      </c>
      <c r="D585">
        <v>1995</v>
      </c>
      <c r="E585" t="s">
        <v>22</v>
      </c>
      <c r="F585" t="s">
        <v>595</v>
      </c>
      <c r="G585">
        <v>1</v>
      </c>
      <c r="H585">
        <v>0</v>
      </c>
      <c r="I585">
        <v>0</v>
      </c>
      <c r="J585">
        <v>0</v>
      </c>
      <c r="K585">
        <v>0</v>
      </c>
      <c r="L585">
        <f t="shared" si="18"/>
        <v>6.9</v>
      </c>
      <c r="M585">
        <f t="shared" si="19"/>
        <v>1</v>
      </c>
    </row>
    <row r="586" spans="1:13" x14ac:dyDescent="0.3">
      <c r="A586">
        <v>584</v>
      </c>
      <c r="B586">
        <v>585</v>
      </c>
      <c r="C586" t="s">
        <v>625</v>
      </c>
      <c r="D586">
        <v>2014</v>
      </c>
      <c r="E586" t="s">
        <v>11</v>
      </c>
      <c r="F586" t="s">
        <v>595</v>
      </c>
      <c r="G586">
        <v>1</v>
      </c>
      <c r="H586">
        <v>0</v>
      </c>
      <c r="I586">
        <v>1</v>
      </c>
      <c r="J586">
        <v>0</v>
      </c>
      <c r="K586">
        <v>0</v>
      </c>
      <c r="L586">
        <f t="shared" si="18"/>
        <v>6.9</v>
      </c>
      <c r="M586">
        <f t="shared" si="19"/>
        <v>2</v>
      </c>
    </row>
    <row r="587" spans="1:13" x14ac:dyDescent="0.3">
      <c r="A587">
        <v>585</v>
      </c>
      <c r="B587">
        <v>586</v>
      </c>
      <c r="C587" t="s">
        <v>626</v>
      </c>
      <c r="D587">
        <v>2020</v>
      </c>
      <c r="E587" t="s">
        <v>11</v>
      </c>
      <c r="F587" t="s">
        <v>595</v>
      </c>
      <c r="G587">
        <v>1</v>
      </c>
      <c r="H587">
        <v>0</v>
      </c>
      <c r="I587">
        <v>0</v>
      </c>
      <c r="J587">
        <v>0</v>
      </c>
      <c r="K587">
        <v>0</v>
      </c>
      <c r="L587">
        <f t="shared" si="18"/>
        <v>6.9</v>
      </c>
      <c r="M587">
        <f t="shared" si="19"/>
        <v>1</v>
      </c>
    </row>
    <row r="588" spans="1:13" x14ac:dyDescent="0.3">
      <c r="A588">
        <v>586</v>
      </c>
      <c r="B588">
        <v>587</v>
      </c>
      <c r="C588" t="s">
        <v>627</v>
      </c>
      <c r="D588">
        <v>2018</v>
      </c>
      <c r="E588" t="s">
        <v>22</v>
      </c>
      <c r="F588" t="s">
        <v>595</v>
      </c>
      <c r="G588">
        <v>1</v>
      </c>
      <c r="H588">
        <v>0</v>
      </c>
      <c r="I588">
        <v>0</v>
      </c>
      <c r="J588">
        <v>0</v>
      </c>
      <c r="K588">
        <v>0</v>
      </c>
      <c r="L588">
        <f t="shared" si="18"/>
        <v>6.9</v>
      </c>
      <c r="M588">
        <f t="shared" si="19"/>
        <v>1</v>
      </c>
    </row>
    <row r="589" spans="1:13" x14ac:dyDescent="0.3">
      <c r="A589">
        <v>587</v>
      </c>
      <c r="B589">
        <v>588</v>
      </c>
      <c r="C589" t="s">
        <v>628</v>
      </c>
      <c r="D589">
        <v>2019</v>
      </c>
      <c r="F589" t="s">
        <v>595</v>
      </c>
      <c r="G589">
        <v>1</v>
      </c>
      <c r="H589">
        <v>0</v>
      </c>
      <c r="I589">
        <v>0</v>
      </c>
      <c r="J589">
        <v>0</v>
      </c>
      <c r="K589">
        <v>0</v>
      </c>
      <c r="L589">
        <f t="shared" si="18"/>
        <v>6.9</v>
      </c>
      <c r="M589">
        <f t="shared" si="19"/>
        <v>1</v>
      </c>
    </row>
    <row r="590" spans="1:13" x14ac:dyDescent="0.3">
      <c r="A590">
        <v>588</v>
      </c>
      <c r="B590">
        <v>589</v>
      </c>
      <c r="C590" t="s">
        <v>629</v>
      </c>
      <c r="D590">
        <v>2018</v>
      </c>
      <c r="F590" t="s">
        <v>595</v>
      </c>
      <c r="G590">
        <v>1</v>
      </c>
      <c r="H590">
        <v>0</v>
      </c>
      <c r="I590">
        <v>0</v>
      </c>
      <c r="J590">
        <v>0</v>
      </c>
      <c r="K590">
        <v>0</v>
      </c>
      <c r="L590">
        <f t="shared" si="18"/>
        <v>6.9</v>
      </c>
      <c r="M590">
        <f t="shared" si="19"/>
        <v>1</v>
      </c>
    </row>
    <row r="591" spans="1:13" x14ac:dyDescent="0.3">
      <c r="A591">
        <v>589</v>
      </c>
      <c r="B591">
        <v>590</v>
      </c>
      <c r="C591" t="s">
        <v>630</v>
      </c>
      <c r="D591">
        <v>2015</v>
      </c>
      <c r="E591" t="s">
        <v>22</v>
      </c>
      <c r="F591" t="s">
        <v>595</v>
      </c>
      <c r="G591">
        <v>1</v>
      </c>
      <c r="H591">
        <v>0</v>
      </c>
      <c r="I591">
        <v>0</v>
      </c>
      <c r="J591">
        <v>0</v>
      </c>
      <c r="K591">
        <v>0</v>
      </c>
      <c r="L591">
        <f t="shared" si="18"/>
        <v>6.9</v>
      </c>
      <c r="M591">
        <f t="shared" si="19"/>
        <v>1</v>
      </c>
    </row>
    <row r="592" spans="1:13" x14ac:dyDescent="0.3">
      <c r="A592">
        <v>590</v>
      </c>
      <c r="B592">
        <v>591</v>
      </c>
      <c r="C592" t="s">
        <v>631</v>
      </c>
      <c r="D592">
        <v>2018</v>
      </c>
      <c r="E592" t="s">
        <v>22</v>
      </c>
      <c r="F592" t="s">
        <v>595</v>
      </c>
      <c r="G592">
        <v>1</v>
      </c>
      <c r="H592">
        <v>0</v>
      </c>
      <c r="I592">
        <v>0</v>
      </c>
      <c r="J592">
        <v>0</v>
      </c>
      <c r="K592">
        <v>0</v>
      </c>
      <c r="L592">
        <f t="shared" si="18"/>
        <v>6.9</v>
      </c>
      <c r="M592">
        <f t="shared" si="19"/>
        <v>1</v>
      </c>
    </row>
    <row r="593" spans="1:13" x14ac:dyDescent="0.3">
      <c r="A593">
        <v>591</v>
      </c>
      <c r="B593">
        <v>592</v>
      </c>
      <c r="C593" t="s">
        <v>632</v>
      </c>
      <c r="D593">
        <v>2017</v>
      </c>
      <c r="E593" t="s">
        <v>11</v>
      </c>
      <c r="F593" t="s">
        <v>595</v>
      </c>
      <c r="G593">
        <v>1</v>
      </c>
      <c r="H593">
        <v>0</v>
      </c>
      <c r="I593">
        <v>0</v>
      </c>
      <c r="J593">
        <v>0</v>
      </c>
      <c r="K593">
        <v>0</v>
      </c>
      <c r="L593">
        <f t="shared" si="18"/>
        <v>6.9</v>
      </c>
      <c r="M593">
        <f t="shared" si="19"/>
        <v>1</v>
      </c>
    </row>
    <row r="594" spans="1:13" x14ac:dyDescent="0.3">
      <c r="A594">
        <v>592</v>
      </c>
      <c r="B594">
        <v>593</v>
      </c>
      <c r="C594" t="s">
        <v>633</v>
      </c>
      <c r="D594">
        <v>2017</v>
      </c>
      <c r="F594" t="s">
        <v>595</v>
      </c>
      <c r="G594">
        <v>1</v>
      </c>
      <c r="H594">
        <v>0</v>
      </c>
      <c r="I594">
        <v>0</v>
      </c>
      <c r="J594">
        <v>0</v>
      </c>
      <c r="K594">
        <v>0</v>
      </c>
      <c r="L594">
        <f t="shared" si="18"/>
        <v>6.9</v>
      </c>
      <c r="M594">
        <f t="shared" si="19"/>
        <v>1</v>
      </c>
    </row>
    <row r="595" spans="1:13" x14ac:dyDescent="0.3">
      <c r="A595">
        <v>593</v>
      </c>
      <c r="B595">
        <v>594</v>
      </c>
      <c r="C595" t="s">
        <v>634</v>
      </c>
      <c r="D595">
        <v>2014</v>
      </c>
      <c r="E595" t="s">
        <v>11</v>
      </c>
      <c r="F595" t="s">
        <v>595</v>
      </c>
      <c r="G595">
        <v>1</v>
      </c>
      <c r="H595">
        <v>0</v>
      </c>
      <c r="I595">
        <v>0</v>
      </c>
      <c r="J595">
        <v>0</v>
      </c>
      <c r="K595">
        <v>0</v>
      </c>
      <c r="L595">
        <f t="shared" si="18"/>
        <v>6.9</v>
      </c>
      <c r="M595">
        <f t="shared" si="19"/>
        <v>1</v>
      </c>
    </row>
    <row r="596" spans="1:13" x14ac:dyDescent="0.3">
      <c r="A596">
        <v>594</v>
      </c>
      <c r="B596">
        <v>595</v>
      </c>
      <c r="C596" t="s">
        <v>635</v>
      </c>
      <c r="D596">
        <v>2018</v>
      </c>
      <c r="F596" t="s">
        <v>595</v>
      </c>
      <c r="G596">
        <v>1</v>
      </c>
      <c r="H596">
        <v>0</v>
      </c>
      <c r="I596">
        <v>0</v>
      </c>
      <c r="J596">
        <v>0</v>
      </c>
      <c r="K596">
        <v>0</v>
      </c>
      <c r="L596">
        <f t="shared" si="18"/>
        <v>6.9</v>
      </c>
      <c r="M596">
        <f t="shared" si="19"/>
        <v>1</v>
      </c>
    </row>
    <row r="597" spans="1:13" x14ac:dyDescent="0.3">
      <c r="A597">
        <v>595</v>
      </c>
      <c r="B597">
        <v>596</v>
      </c>
      <c r="C597" t="s">
        <v>636</v>
      </c>
      <c r="D597">
        <v>2020</v>
      </c>
      <c r="E597" t="s">
        <v>14</v>
      </c>
      <c r="F597" t="s">
        <v>595</v>
      </c>
      <c r="G597">
        <v>1</v>
      </c>
      <c r="H597">
        <v>0</v>
      </c>
      <c r="I597">
        <v>0</v>
      </c>
      <c r="J597">
        <v>0</v>
      </c>
      <c r="K597">
        <v>0</v>
      </c>
      <c r="L597">
        <f t="shared" si="18"/>
        <v>6.9</v>
      </c>
      <c r="M597">
        <f t="shared" si="19"/>
        <v>1</v>
      </c>
    </row>
    <row r="598" spans="1:13" x14ac:dyDescent="0.3">
      <c r="A598">
        <v>596</v>
      </c>
      <c r="B598">
        <v>597</v>
      </c>
      <c r="C598" t="s">
        <v>637</v>
      </c>
      <c r="D598">
        <v>2017</v>
      </c>
      <c r="E598" t="s">
        <v>28</v>
      </c>
      <c r="F598" t="s">
        <v>595</v>
      </c>
      <c r="G598">
        <v>1</v>
      </c>
      <c r="H598">
        <v>0</v>
      </c>
      <c r="I598">
        <v>0</v>
      </c>
      <c r="J598">
        <v>0</v>
      </c>
      <c r="K598">
        <v>0</v>
      </c>
      <c r="L598">
        <f t="shared" si="18"/>
        <v>6.9</v>
      </c>
      <c r="M598">
        <f t="shared" si="19"/>
        <v>1</v>
      </c>
    </row>
    <row r="599" spans="1:13" x14ac:dyDescent="0.3">
      <c r="A599">
        <v>597</v>
      </c>
      <c r="B599">
        <v>598</v>
      </c>
      <c r="C599" t="s">
        <v>638</v>
      </c>
      <c r="D599">
        <v>2017</v>
      </c>
      <c r="E599" t="s">
        <v>11</v>
      </c>
      <c r="F599" t="s">
        <v>595</v>
      </c>
      <c r="G599">
        <v>1</v>
      </c>
      <c r="H599">
        <v>0</v>
      </c>
      <c r="I599">
        <v>0</v>
      </c>
      <c r="J599">
        <v>0</v>
      </c>
      <c r="K599">
        <v>0</v>
      </c>
      <c r="L599">
        <f t="shared" si="18"/>
        <v>6.9</v>
      </c>
      <c r="M599">
        <f t="shared" si="19"/>
        <v>1</v>
      </c>
    </row>
    <row r="600" spans="1:13" x14ac:dyDescent="0.3">
      <c r="A600">
        <v>598</v>
      </c>
      <c r="B600">
        <v>599</v>
      </c>
      <c r="C600" t="s">
        <v>639</v>
      </c>
      <c r="D600">
        <v>2019</v>
      </c>
      <c r="E600" t="s">
        <v>11</v>
      </c>
      <c r="F600" t="s">
        <v>595</v>
      </c>
      <c r="G600">
        <v>1</v>
      </c>
      <c r="H600">
        <v>0</v>
      </c>
      <c r="I600">
        <v>0</v>
      </c>
      <c r="J600">
        <v>0</v>
      </c>
      <c r="K600">
        <v>0</v>
      </c>
      <c r="L600">
        <f t="shared" si="18"/>
        <v>6.9</v>
      </c>
      <c r="M600">
        <f t="shared" si="19"/>
        <v>1</v>
      </c>
    </row>
    <row r="601" spans="1:13" x14ac:dyDescent="0.3">
      <c r="A601">
        <v>599</v>
      </c>
      <c r="B601">
        <v>600</v>
      </c>
      <c r="C601" t="s">
        <v>640</v>
      </c>
      <c r="D601">
        <v>2006</v>
      </c>
      <c r="E601" t="s">
        <v>11</v>
      </c>
      <c r="F601" t="s">
        <v>595</v>
      </c>
      <c r="G601">
        <v>1</v>
      </c>
      <c r="H601">
        <v>0</v>
      </c>
      <c r="I601">
        <v>0</v>
      </c>
      <c r="J601">
        <v>0</v>
      </c>
      <c r="K601">
        <v>0</v>
      </c>
      <c r="L601">
        <f t="shared" si="18"/>
        <v>6.9</v>
      </c>
      <c r="M601">
        <f t="shared" si="19"/>
        <v>1</v>
      </c>
    </row>
    <row r="602" spans="1:13" x14ac:dyDescent="0.3">
      <c r="A602">
        <v>600</v>
      </c>
      <c r="B602">
        <v>601</v>
      </c>
      <c r="C602" t="s">
        <v>641</v>
      </c>
      <c r="D602">
        <v>2021</v>
      </c>
      <c r="E602" t="s">
        <v>22</v>
      </c>
      <c r="F602" t="s">
        <v>595</v>
      </c>
      <c r="G602">
        <v>1</v>
      </c>
      <c r="H602">
        <v>0</v>
      </c>
      <c r="I602">
        <v>0</v>
      </c>
      <c r="J602">
        <v>0</v>
      </c>
      <c r="K602">
        <v>0</v>
      </c>
      <c r="L602">
        <f t="shared" si="18"/>
        <v>6.9</v>
      </c>
      <c r="M602">
        <f t="shared" si="19"/>
        <v>1</v>
      </c>
    </row>
    <row r="603" spans="1:13" x14ac:dyDescent="0.3">
      <c r="A603">
        <v>601</v>
      </c>
      <c r="B603">
        <v>602</v>
      </c>
      <c r="C603" t="s">
        <v>642</v>
      </c>
      <c r="D603">
        <v>2011</v>
      </c>
      <c r="E603" t="s">
        <v>11</v>
      </c>
      <c r="F603" t="s">
        <v>595</v>
      </c>
      <c r="G603">
        <v>1</v>
      </c>
      <c r="H603">
        <v>0</v>
      </c>
      <c r="I603">
        <v>0</v>
      </c>
      <c r="J603">
        <v>0</v>
      </c>
      <c r="K603">
        <v>0</v>
      </c>
      <c r="L603">
        <f t="shared" si="18"/>
        <v>6.9</v>
      </c>
      <c r="M603">
        <f t="shared" si="19"/>
        <v>1</v>
      </c>
    </row>
    <row r="604" spans="1:13" x14ac:dyDescent="0.3">
      <c r="A604">
        <v>602</v>
      </c>
      <c r="B604">
        <v>603</v>
      </c>
      <c r="C604" t="s">
        <v>643</v>
      </c>
      <c r="D604">
        <v>2018</v>
      </c>
      <c r="F604" t="s">
        <v>644</v>
      </c>
      <c r="G604">
        <v>1</v>
      </c>
      <c r="H604">
        <v>0</v>
      </c>
      <c r="I604">
        <v>0</v>
      </c>
      <c r="J604">
        <v>0</v>
      </c>
      <c r="K604">
        <v>0</v>
      </c>
      <c r="L604">
        <f t="shared" si="18"/>
        <v>6.8</v>
      </c>
      <c r="M604">
        <f t="shared" si="19"/>
        <v>1</v>
      </c>
    </row>
    <row r="605" spans="1:13" x14ac:dyDescent="0.3">
      <c r="A605">
        <v>603</v>
      </c>
      <c r="B605">
        <v>604</v>
      </c>
      <c r="C605" t="s">
        <v>645</v>
      </c>
      <c r="D605">
        <v>2010</v>
      </c>
      <c r="E605" t="s">
        <v>22</v>
      </c>
      <c r="F605" t="s">
        <v>644</v>
      </c>
      <c r="G605">
        <v>1</v>
      </c>
      <c r="H605">
        <v>0</v>
      </c>
      <c r="I605">
        <v>1</v>
      </c>
      <c r="J605">
        <v>0</v>
      </c>
      <c r="K605">
        <v>0</v>
      </c>
      <c r="L605">
        <f t="shared" si="18"/>
        <v>6.8</v>
      </c>
      <c r="M605">
        <f t="shared" si="19"/>
        <v>2</v>
      </c>
    </row>
    <row r="606" spans="1:13" x14ac:dyDescent="0.3">
      <c r="A606">
        <v>604</v>
      </c>
      <c r="B606">
        <v>605</v>
      </c>
      <c r="C606" t="s">
        <v>646</v>
      </c>
      <c r="D606">
        <v>2010</v>
      </c>
      <c r="E606" t="s">
        <v>11</v>
      </c>
      <c r="F606" t="s">
        <v>644</v>
      </c>
      <c r="G606">
        <v>1</v>
      </c>
      <c r="H606">
        <v>0</v>
      </c>
      <c r="I606">
        <v>0</v>
      </c>
      <c r="J606">
        <v>0</v>
      </c>
      <c r="K606">
        <v>0</v>
      </c>
      <c r="L606">
        <f t="shared" si="18"/>
        <v>6.8</v>
      </c>
      <c r="M606">
        <f t="shared" si="19"/>
        <v>1</v>
      </c>
    </row>
    <row r="607" spans="1:13" x14ac:dyDescent="0.3">
      <c r="A607">
        <v>605</v>
      </c>
      <c r="B607">
        <v>606</v>
      </c>
      <c r="C607" t="s">
        <v>647</v>
      </c>
      <c r="D607">
        <v>2016</v>
      </c>
      <c r="F607" t="s">
        <v>644</v>
      </c>
      <c r="G607">
        <v>1</v>
      </c>
      <c r="H607">
        <v>0</v>
      </c>
      <c r="I607">
        <v>1</v>
      </c>
      <c r="J607">
        <v>0</v>
      </c>
      <c r="K607">
        <v>0</v>
      </c>
      <c r="L607">
        <f t="shared" si="18"/>
        <v>6.8</v>
      </c>
      <c r="M607">
        <f t="shared" si="19"/>
        <v>2</v>
      </c>
    </row>
    <row r="608" spans="1:13" x14ac:dyDescent="0.3">
      <c r="A608">
        <v>606</v>
      </c>
      <c r="B608">
        <v>607</v>
      </c>
      <c r="C608" t="s">
        <v>648</v>
      </c>
      <c r="D608">
        <v>2016</v>
      </c>
      <c r="E608" t="s">
        <v>22</v>
      </c>
      <c r="F608" t="s">
        <v>644</v>
      </c>
      <c r="G608">
        <v>1</v>
      </c>
      <c r="H608">
        <v>0</v>
      </c>
      <c r="I608">
        <v>0</v>
      </c>
      <c r="J608">
        <v>0</v>
      </c>
      <c r="K608">
        <v>0</v>
      </c>
      <c r="L608">
        <f t="shared" si="18"/>
        <v>6.8</v>
      </c>
      <c r="M608">
        <f t="shared" si="19"/>
        <v>1</v>
      </c>
    </row>
    <row r="609" spans="1:13" x14ac:dyDescent="0.3">
      <c r="A609">
        <v>607</v>
      </c>
      <c r="B609">
        <v>608</v>
      </c>
      <c r="C609" t="s">
        <v>649</v>
      </c>
      <c r="D609">
        <v>2019</v>
      </c>
      <c r="F609" t="s">
        <v>644</v>
      </c>
      <c r="G609">
        <v>1</v>
      </c>
      <c r="H609">
        <v>0</v>
      </c>
      <c r="I609">
        <v>0</v>
      </c>
      <c r="J609">
        <v>0</v>
      </c>
      <c r="K609">
        <v>0</v>
      </c>
      <c r="L609">
        <f t="shared" si="18"/>
        <v>6.8</v>
      </c>
      <c r="M609">
        <f t="shared" si="19"/>
        <v>1</v>
      </c>
    </row>
    <row r="610" spans="1:13" x14ac:dyDescent="0.3">
      <c r="A610">
        <v>608</v>
      </c>
      <c r="B610">
        <v>609</v>
      </c>
      <c r="C610" t="s">
        <v>650</v>
      </c>
      <c r="D610">
        <v>2006</v>
      </c>
      <c r="E610" t="s">
        <v>14</v>
      </c>
      <c r="F610" t="s">
        <v>644</v>
      </c>
      <c r="G610">
        <v>1</v>
      </c>
      <c r="H610">
        <v>0</v>
      </c>
      <c r="I610">
        <v>0</v>
      </c>
      <c r="J610">
        <v>0</v>
      </c>
      <c r="K610">
        <v>0</v>
      </c>
      <c r="L610">
        <f t="shared" si="18"/>
        <v>6.8</v>
      </c>
      <c r="M610">
        <f t="shared" si="19"/>
        <v>1</v>
      </c>
    </row>
    <row r="611" spans="1:13" x14ac:dyDescent="0.3">
      <c r="A611">
        <v>609</v>
      </c>
      <c r="B611">
        <v>610</v>
      </c>
      <c r="C611" t="s">
        <v>651</v>
      </c>
      <c r="D611">
        <v>2009</v>
      </c>
      <c r="E611" t="s">
        <v>11</v>
      </c>
      <c r="F611" t="s">
        <v>644</v>
      </c>
      <c r="G611">
        <v>1</v>
      </c>
      <c r="H611">
        <v>0</v>
      </c>
      <c r="I611">
        <v>0</v>
      </c>
      <c r="J611">
        <v>0</v>
      </c>
      <c r="K611">
        <v>0</v>
      </c>
      <c r="L611">
        <f t="shared" si="18"/>
        <v>6.8</v>
      </c>
      <c r="M611">
        <f t="shared" si="19"/>
        <v>1</v>
      </c>
    </row>
    <row r="612" spans="1:13" x14ac:dyDescent="0.3">
      <c r="A612">
        <v>610</v>
      </c>
      <c r="B612">
        <v>611</v>
      </c>
      <c r="C612" t="s">
        <v>652</v>
      </c>
      <c r="D612">
        <v>2009</v>
      </c>
      <c r="E612" t="s">
        <v>22</v>
      </c>
      <c r="F612" t="s">
        <v>644</v>
      </c>
      <c r="G612">
        <v>1</v>
      </c>
      <c r="H612">
        <v>0</v>
      </c>
      <c r="I612">
        <v>0</v>
      </c>
      <c r="J612">
        <v>0</v>
      </c>
      <c r="K612">
        <v>0</v>
      </c>
      <c r="L612">
        <f t="shared" si="18"/>
        <v>6.8</v>
      </c>
      <c r="M612">
        <f t="shared" si="19"/>
        <v>1</v>
      </c>
    </row>
    <row r="613" spans="1:13" x14ac:dyDescent="0.3">
      <c r="A613">
        <v>611</v>
      </c>
      <c r="B613">
        <v>612</v>
      </c>
      <c r="C613" t="s">
        <v>653</v>
      </c>
      <c r="D613">
        <v>2020</v>
      </c>
      <c r="E613" t="s">
        <v>11</v>
      </c>
      <c r="F613" t="s">
        <v>644</v>
      </c>
      <c r="G613">
        <v>1</v>
      </c>
      <c r="H613">
        <v>0</v>
      </c>
      <c r="I613">
        <v>0</v>
      </c>
      <c r="J613">
        <v>0</v>
      </c>
      <c r="K613">
        <v>0</v>
      </c>
      <c r="L613">
        <f t="shared" si="18"/>
        <v>6.8</v>
      </c>
      <c r="M613">
        <f t="shared" si="19"/>
        <v>1</v>
      </c>
    </row>
    <row r="614" spans="1:13" x14ac:dyDescent="0.3">
      <c r="A614">
        <v>612</v>
      </c>
      <c r="B614">
        <v>613</v>
      </c>
      <c r="C614" t="s">
        <v>654</v>
      </c>
      <c r="D614">
        <v>2012</v>
      </c>
      <c r="E614" t="s">
        <v>22</v>
      </c>
      <c r="F614" t="s">
        <v>644</v>
      </c>
      <c r="G614">
        <v>1</v>
      </c>
      <c r="H614">
        <v>1</v>
      </c>
      <c r="I614">
        <v>0</v>
      </c>
      <c r="J614">
        <v>0</v>
      </c>
      <c r="K614">
        <v>0</v>
      </c>
      <c r="L614">
        <f t="shared" si="18"/>
        <v>6.8</v>
      </c>
      <c r="M614">
        <f t="shared" si="19"/>
        <v>2</v>
      </c>
    </row>
    <row r="615" spans="1:13" x14ac:dyDescent="0.3">
      <c r="A615">
        <v>613</v>
      </c>
      <c r="B615">
        <v>614</v>
      </c>
      <c r="C615" t="s">
        <v>655</v>
      </c>
      <c r="D615">
        <v>2020</v>
      </c>
      <c r="E615" t="s">
        <v>22</v>
      </c>
      <c r="F615" t="s">
        <v>644</v>
      </c>
      <c r="G615">
        <v>1</v>
      </c>
      <c r="H615">
        <v>0</v>
      </c>
      <c r="I615">
        <v>0</v>
      </c>
      <c r="J615">
        <v>0</v>
      </c>
      <c r="K615">
        <v>0</v>
      </c>
      <c r="L615">
        <f t="shared" si="18"/>
        <v>6.8</v>
      </c>
      <c r="M615">
        <f t="shared" si="19"/>
        <v>1</v>
      </c>
    </row>
    <row r="616" spans="1:13" x14ac:dyDescent="0.3">
      <c r="A616">
        <v>614</v>
      </c>
      <c r="B616">
        <v>615</v>
      </c>
      <c r="C616" t="s">
        <v>656</v>
      </c>
      <c r="D616">
        <v>2018</v>
      </c>
      <c r="E616" t="s">
        <v>11</v>
      </c>
      <c r="F616" t="s">
        <v>644</v>
      </c>
      <c r="G616">
        <v>1</v>
      </c>
      <c r="H616">
        <v>0</v>
      </c>
      <c r="I616">
        <v>0</v>
      </c>
      <c r="J616">
        <v>0</v>
      </c>
      <c r="K616">
        <v>0</v>
      </c>
      <c r="L616">
        <f t="shared" si="18"/>
        <v>6.8</v>
      </c>
      <c r="M616">
        <f t="shared" si="19"/>
        <v>1</v>
      </c>
    </row>
    <row r="617" spans="1:13" x14ac:dyDescent="0.3">
      <c r="A617">
        <v>615</v>
      </c>
      <c r="B617">
        <v>616</v>
      </c>
      <c r="C617" t="s">
        <v>657</v>
      </c>
      <c r="D617">
        <v>1987</v>
      </c>
      <c r="E617" t="s">
        <v>11</v>
      </c>
      <c r="F617" t="s">
        <v>644</v>
      </c>
      <c r="G617">
        <v>1</v>
      </c>
      <c r="H617">
        <v>0</v>
      </c>
      <c r="I617">
        <v>0</v>
      </c>
      <c r="J617">
        <v>0</v>
      </c>
      <c r="K617">
        <v>0</v>
      </c>
      <c r="L617">
        <f t="shared" si="18"/>
        <v>6.8</v>
      </c>
      <c r="M617">
        <f t="shared" si="19"/>
        <v>1</v>
      </c>
    </row>
    <row r="618" spans="1:13" x14ac:dyDescent="0.3">
      <c r="A618">
        <v>616</v>
      </c>
      <c r="B618">
        <v>617</v>
      </c>
      <c r="C618" t="s">
        <v>658</v>
      </c>
      <c r="D618">
        <v>2013</v>
      </c>
      <c r="E618" t="s">
        <v>11</v>
      </c>
      <c r="F618" t="s">
        <v>644</v>
      </c>
      <c r="G618">
        <v>1</v>
      </c>
      <c r="H618">
        <v>0</v>
      </c>
      <c r="I618">
        <v>0</v>
      </c>
      <c r="J618">
        <v>0</v>
      </c>
      <c r="K618">
        <v>0</v>
      </c>
      <c r="L618">
        <f t="shared" si="18"/>
        <v>6.8</v>
      </c>
      <c r="M618">
        <f t="shared" si="19"/>
        <v>1</v>
      </c>
    </row>
    <row r="619" spans="1:13" x14ac:dyDescent="0.3">
      <c r="A619">
        <v>617</v>
      </c>
      <c r="B619">
        <v>618</v>
      </c>
      <c r="C619" t="s">
        <v>659</v>
      </c>
      <c r="D619">
        <v>2017</v>
      </c>
      <c r="E619" t="s">
        <v>22</v>
      </c>
      <c r="F619" t="s">
        <v>644</v>
      </c>
      <c r="G619">
        <v>1</v>
      </c>
      <c r="H619">
        <v>0</v>
      </c>
      <c r="I619">
        <v>0</v>
      </c>
      <c r="J619">
        <v>0</v>
      </c>
      <c r="K619">
        <v>0</v>
      </c>
      <c r="L619">
        <f t="shared" si="18"/>
        <v>6.8</v>
      </c>
      <c r="M619">
        <f t="shared" si="19"/>
        <v>1</v>
      </c>
    </row>
    <row r="620" spans="1:13" x14ac:dyDescent="0.3">
      <c r="A620">
        <v>618</v>
      </c>
      <c r="B620">
        <v>619</v>
      </c>
      <c r="C620" t="s">
        <v>660</v>
      </c>
      <c r="D620">
        <v>2016</v>
      </c>
      <c r="E620" t="s">
        <v>22</v>
      </c>
      <c r="F620" t="s">
        <v>644</v>
      </c>
      <c r="G620">
        <v>1</v>
      </c>
      <c r="H620">
        <v>0</v>
      </c>
      <c r="I620">
        <v>0</v>
      </c>
      <c r="J620">
        <v>0</v>
      </c>
      <c r="K620">
        <v>0</v>
      </c>
      <c r="L620">
        <f t="shared" si="18"/>
        <v>6.8</v>
      </c>
      <c r="M620">
        <f t="shared" si="19"/>
        <v>1</v>
      </c>
    </row>
    <row r="621" spans="1:13" x14ac:dyDescent="0.3">
      <c r="A621">
        <v>619</v>
      </c>
      <c r="B621">
        <v>620</v>
      </c>
      <c r="C621" t="s">
        <v>661</v>
      </c>
      <c r="D621">
        <v>2018</v>
      </c>
      <c r="E621" t="s">
        <v>11</v>
      </c>
      <c r="F621" t="s">
        <v>644</v>
      </c>
      <c r="G621">
        <v>1</v>
      </c>
      <c r="H621">
        <v>0</v>
      </c>
      <c r="I621">
        <v>0</v>
      </c>
      <c r="J621">
        <v>0</v>
      </c>
      <c r="K621">
        <v>0</v>
      </c>
      <c r="L621">
        <f t="shared" si="18"/>
        <v>6.8</v>
      </c>
      <c r="M621">
        <f t="shared" si="19"/>
        <v>1</v>
      </c>
    </row>
    <row r="622" spans="1:13" x14ac:dyDescent="0.3">
      <c r="A622">
        <v>620</v>
      </c>
      <c r="B622">
        <v>621</v>
      </c>
      <c r="C622" t="s">
        <v>662</v>
      </c>
      <c r="D622">
        <v>2019</v>
      </c>
      <c r="F622" t="s">
        <v>644</v>
      </c>
      <c r="G622">
        <v>1</v>
      </c>
      <c r="H622">
        <v>0</v>
      </c>
      <c r="I622">
        <v>0</v>
      </c>
      <c r="J622">
        <v>0</v>
      </c>
      <c r="K622">
        <v>0</v>
      </c>
      <c r="L622">
        <f t="shared" si="18"/>
        <v>6.8</v>
      </c>
      <c r="M622">
        <f t="shared" si="19"/>
        <v>1</v>
      </c>
    </row>
    <row r="623" spans="1:13" x14ac:dyDescent="0.3">
      <c r="A623">
        <v>621</v>
      </c>
      <c r="B623">
        <v>622</v>
      </c>
      <c r="C623" t="s">
        <v>663</v>
      </c>
      <c r="D623">
        <v>2017</v>
      </c>
      <c r="E623" t="s">
        <v>22</v>
      </c>
      <c r="F623" t="s">
        <v>644</v>
      </c>
      <c r="G623">
        <v>1</v>
      </c>
      <c r="H623">
        <v>0</v>
      </c>
      <c r="I623">
        <v>0</v>
      </c>
      <c r="J623">
        <v>0</v>
      </c>
      <c r="K623">
        <v>0</v>
      </c>
      <c r="L623">
        <f t="shared" si="18"/>
        <v>6.8</v>
      </c>
      <c r="M623">
        <f t="shared" si="19"/>
        <v>1</v>
      </c>
    </row>
    <row r="624" spans="1:13" x14ac:dyDescent="0.3">
      <c r="A624">
        <v>622</v>
      </c>
      <c r="B624">
        <v>623</v>
      </c>
      <c r="C624" t="s">
        <v>664</v>
      </c>
      <c r="D624">
        <v>2017</v>
      </c>
      <c r="E624" t="s">
        <v>11</v>
      </c>
      <c r="F624" t="s">
        <v>644</v>
      </c>
      <c r="G624">
        <v>1</v>
      </c>
      <c r="H624">
        <v>0</v>
      </c>
      <c r="I624">
        <v>0</v>
      </c>
      <c r="J624">
        <v>0</v>
      </c>
      <c r="K624">
        <v>0</v>
      </c>
      <c r="L624">
        <f t="shared" si="18"/>
        <v>6.8</v>
      </c>
      <c r="M624">
        <f t="shared" si="19"/>
        <v>1</v>
      </c>
    </row>
    <row r="625" spans="1:13" x14ac:dyDescent="0.3">
      <c r="A625">
        <v>623</v>
      </c>
      <c r="B625">
        <v>624</v>
      </c>
      <c r="C625" t="s">
        <v>665</v>
      </c>
      <c r="D625">
        <v>2020</v>
      </c>
      <c r="E625" t="s">
        <v>22</v>
      </c>
      <c r="F625" t="s">
        <v>644</v>
      </c>
      <c r="G625">
        <v>1</v>
      </c>
      <c r="H625">
        <v>0</v>
      </c>
      <c r="I625">
        <v>0</v>
      </c>
      <c r="J625">
        <v>0</v>
      </c>
      <c r="K625">
        <v>0</v>
      </c>
      <c r="L625">
        <f t="shared" si="18"/>
        <v>6.8</v>
      </c>
      <c r="M625">
        <f t="shared" si="19"/>
        <v>1</v>
      </c>
    </row>
    <row r="626" spans="1:13" x14ac:dyDescent="0.3">
      <c r="A626">
        <v>624</v>
      </c>
      <c r="B626">
        <v>625</v>
      </c>
      <c r="C626" t="s">
        <v>666</v>
      </c>
      <c r="D626">
        <v>2010</v>
      </c>
      <c r="E626" t="s">
        <v>22</v>
      </c>
      <c r="F626" t="s">
        <v>644</v>
      </c>
      <c r="G626">
        <v>1</v>
      </c>
      <c r="H626">
        <v>0</v>
      </c>
      <c r="I626">
        <v>0</v>
      </c>
      <c r="J626">
        <v>0</v>
      </c>
      <c r="K626">
        <v>0</v>
      </c>
      <c r="L626">
        <f t="shared" si="18"/>
        <v>6.8</v>
      </c>
      <c r="M626">
        <f t="shared" si="19"/>
        <v>1</v>
      </c>
    </row>
    <row r="627" spans="1:13" x14ac:dyDescent="0.3">
      <c r="A627">
        <v>625</v>
      </c>
      <c r="B627">
        <v>626</v>
      </c>
      <c r="C627" t="s">
        <v>667</v>
      </c>
      <c r="D627">
        <v>2015</v>
      </c>
      <c r="F627" t="s">
        <v>644</v>
      </c>
      <c r="G627">
        <v>1</v>
      </c>
      <c r="H627">
        <v>0</v>
      </c>
      <c r="I627">
        <v>1</v>
      </c>
      <c r="J627">
        <v>0</v>
      </c>
      <c r="K627">
        <v>0</v>
      </c>
      <c r="L627">
        <f t="shared" si="18"/>
        <v>6.8</v>
      </c>
      <c r="M627">
        <f t="shared" si="19"/>
        <v>2</v>
      </c>
    </row>
    <row r="628" spans="1:13" x14ac:dyDescent="0.3">
      <c r="A628">
        <v>626</v>
      </c>
      <c r="B628">
        <v>627</v>
      </c>
      <c r="C628" t="s">
        <v>668</v>
      </c>
      <c r="D628">
        <v>2019</v>
      </c>
      <c r="E628" t="s">
        <v>11</v>
      </c>
      <c r="F628" t="s">
        <v>644</v>
      </c>
      <c r="G628">
        <v>1</v>
      </c>
      <c r="H628">
        <v>0</v>
      </c>
      <c r="I628">
        <v>0</v>
      </c>
      <c r="J628">
        <v>0</v>
      </c>
      <c r="K628">
        <v>0</v>
      </c>
      <c r="L628">
        <f t="shared" si="18"/>
        <v>6.8</v>
      </c>
      <c r="M628">
        <f t="shared" si="19"/>
        <v>1</v>
      </c>
    </row>
    <row r="629" spans="1:13" x14ac:dyDescent="0.3">
      <c r="A629">
        <v>627</v>
      </c>
      <c r="B629">
        <v>628</v>
      </c>
      <c r="C629" t="s">
        <v>669</v>
      </c>
      <c r="D629">
        <v>2018</v>
      </c>
      <c r="E629" t="s">
        <v>22</v>
      </c>
      <c r="F629" t="s">
        <v>644</v>
      </c>
      <c r="G629">
        <v>1</v>
      </c>
      <c r="H629">
        <v>0</v>
      </c>
      <c r="I629">
        <v>0</v>
      </c>
      <c r="J629">
        <v>0</v>
      </c>
      <c r="K629">
        <v>0</v>
      </c>
      <c r="L629">
        <f t="shared" si="18"/>
        <v>6.8</v>
      </c>
      <c r="M629">
        <f t="shared" si="19"/>
        <v>1</v>
      </c>
    </row>
    <row r="630" spans="1:13" x14ac:dyDescent="0.3">
      <c r="A630">
        <v>628</v>
      </c>
      <c r="B630">
        <v>629</v>
      </c>
      <c r="C630" t="s">
        <v>670</v>
      </c>
      <c r="D630">
        <v>2004</v>
      </c>
      <c r="E630" t="s">
        <v>36</v>
      </c>
      <c r="F630" t="s">
        <v>644</v>
      </c>
      <c r="G630">
        <v>1</v>
      </c>
      <c r="H630">
        <v>0</v>
      </c>
      <c r="I630">
        <v>0</v>
      </c>
      <c r="J630">
        <v>0</v>
      </c>
      <c r="K630">
        <v>0</v>
      </c>
      <c r="L630">
        <f t="shared" si="18"/>
        <v>6.8</v>
      </c>
      <c r="M630">
        <f t="shared" si="19"/>
        <v>1</v>
      </c>
    </row>
    <row r="631" spans="1:13" x14ac:dyDescent="0.3">
      <c r="A631">
        <v>629</v>
      </c>
      <c r="B631">
        <v>630</v>
      </c>
      <c r="C631" t="s">
        <v>671</v>
      </c>
      <c r="D631">
        <v>2020</v>
      </c>
      <c r="E631" t="s">
        <v>11</v>
      </c>
      <c r="F631" t="s">
        <v>644</v>
      </c>
      <c r="G631">
        <v>1</v>
      </c>
      <c r="H631">
        <v>0</v>
      </c>
      <c r="I631">
        <v>0</v>
      </c>
      <c r="J631">
        <v>0</v>
      </c>
      <c r="K631">
        <v>0</v>
      </c>
      <c r="L631">
        <f t="shared" si="18"/>
        <v>6.8</v>
      </c>
      <c r="M631">
        <f t="shared" si="19"/>
        <v>1</v>
      </c>
    </row>
    <row r="632" spans="1:13" x14ac:dyDescent="0.3">
      <c r="A632">
        <v>630</v>
      </c>
      <c r="B632">
        <v>631</v>
      </c>
      <c r="C632" t="s">
        <v>672</v>
      </c>
      <c r="D632">
        <v>2007</v>
      </c>
      <c r="E632" t="s">
        <v>22</v>
      </c>
      <c r="F632" t="s">
        <v>644</v>
      </c>
      <c r="G632">
        <v>1</v>
      </c>
      <c r="H632">
        <v>0</v>
      </c>
      <c r="I632">
        <v>1</v>
      </c>
      <c r="J632">
        <v>0</v>
      </c>
      <c r="K632">
        <v>0</v>
      </c>
      <c r="L632">
        <f t="shared" si="18"/>
        <v>6.8</v>
      </c>
      <c r="M632">
        <f t="shared" si="19"/>
        <v>2</v>
      </c>
    </row>
    <row r="633" spans="1:13" x14ac:dyDescent="0.3">
      <c r="A633">
        <v>631</v>
      </c>
      <c r="B633">
        <v>632</v>
      </c>
      <c r="C633" t="s">
        <v>673</v>
      </c>
      <c r="D633">
        <v>2018</v>
      </c>
      <c r="F633" t="s">
        <v>644</v>
      </c>
      <c r="G633">
        <v>1</v>
      </c>
      <c r="H633">
        <v>0</v>
      </c>
      <c r="I633">
        <v>0</v>
      </c>
      <c r="J633">
        <v>0</v>
      </c>
      <c r="K633">
        <v>0</v>
      </c>
      <c r="L633">
        <f t="shared" si="18"/>
        <v>6.8</v>
      </c>
      <c r="M633">
        <f t="shared" si="19"/>
        <v>1</v>
      </c>
    </row>
    <row r="634" spans="1:13" x14ac:dyDescent="0.3">
      <c r="A634">
        <v>632</v>
      </c>
      <c r="B634">
        <v>633</v>
      </c>
      <c r="C634" t="s">
        <v>674</v>
      </c>
      <c r="D634">
        <v>2015</v>
      </c>
      <c r="E634" t="s">
        <v>14</v>
      </c>
      <c r="F634" t="s">
        <v>644</v>
      </c>
      <c r="G634">
        <v>1</v>
      </c>
      <c r="H634">
        <v>0</v>
      </c>
      <c r="I634">
        <v>0</v>
      </c>
      <c r="J634">
        <v>0</v>
      </c>
      <c r="K634">
        <v>0</v>
      </c>
      <c r="L634">
        <f t="shared" si="18"/>
        <v>6.8</v>
      </c>
      <c r="M634">
        <f t="shared" si="19"/>
        <v>1</v>
      </c>
    </row>
    <row r="635" spans="1:13" x14ac:dyDescent="0.3">
      <c r="A635">
        <v>633</v>
      </c>
      <c r="B635">
        <v>634</v>
      </c>
      <c r="C635" t="s">
        <v>675</v>
      </c>
      <c r="D635">
        <v>2018</v>
      </c>
      <c r="E635" t="s">
        <v>11</v>
      </c>
      <c r="F635" t="s">
        <v>644</v>
      </c>
      <c r="G635">
        <v>1</v>
      </c>
      <c r="H635">
        <v>0</v>
      </c>
      <c r="I635">
        <v>0</v>
      </c>
      <c r="J635">
        <v>0</v>
      </c>
      <c r="K635">
        <v>0</v>
      </c>
      <c r="L635">
        <f t="shared" si="18"/>
        <v>6.8</v>
      </c>
      <c r="M635">
        <f t="shared" si="19"/>
        <v>1</v>
      </c>
    </row>
    <row r="636" spans="1:13" x14ac:dyDescent="0.3">
      <c r="A636">
        <v>634</v>
      </c>
      <c r="B636">
        <v>635</v>
      </c>
      <c r="C636" t="s">
        <v>676</v>
      </c>
      <c r="D636">
        <v>2020</v>
      </c>
      <c r="E636" t="s">
        <v>11</v>
      </c>
      <c r="F636" t="s">
        <v>644</v>
      </c>
      <c r="G636">
        <v>1</v>
      </c>
      <c r="H636">
        <v>0</v>
      </c>
      <c r="I636">
        <v>0</v>
      </c>
      <c r="J636">
        <v>0</v>
      </c>
      <c r="K636">
        <v>0</v>
      </c>
      <c r="L636">
        <f t="shared" si="18"/>
        <v>6.8</v>
      </c>
      <c r="M636">
        <f t="shared" si="19"/>
        <v>1</v>
      </c>
    </row>
    <row r="637" spans="1:13" x14ac:dyDescent="0.3">
      <c r="A637">
        <v>635</v>
      </c>
      <c r="B637">
        <v>636</v>
      </c>
      <c r="C637" t="s">
        <v>677</v>
      </c>
      <c r="D637">
        <v>1988</v>
      </c>
      <c r="E637" t="s">
        <v>28</v>
      </c>
      <c r="F637" t="s">
        <v>644</v>
      </c>
      <c r="G637">
        <v>1</v>
      </c>
      <c r="H637">
        <v>1</v>
      </c>
      <c r="I637">
        <v>0</v>
      </c>
      <c r="J637">
        <v>0</v>
      </c>
      <c r="K637">
        <v>0</v>
      </c>
      <c r="L637">
        <f t="shared" si="18"/>
        <v>6.8</v>
      </c>
      <c r="M637">
        <f t="shared" si="19"/>
        <v>2</v>
      </c>
    </row>
    <row r="638" spans="1:13" x14ac:dyDescent="0.3">
      <c r="A638">
        <v>636</v>
      </c>
      <c r="B638">
        <v>637</v>
      </c>
      <c r="C638" t="s">
        <v>678</v>
      </c>
      <c r="D638">
        <v>2009</v>
      </c>
      <c r="E638" t="s">
        <v>11</v>
      </c>
      <c r="F638" t="s">
        <v>644</v>
      </c>
      <c r="G638">
        <v>1</v>
      </c>
      <c r="H638">
        <v>0</v>
      </c>
      <c r="I638">
        <v>0</v>
      </c>
      <c r="J638">
        <v>0</v>
      </c>
      <c r="K638">
        <v>0</v>
      </c>
      <c r="L638">
        <f t="shared" si="18"/>
        <v>6.8</v>
      </c>
      <c r="M638">
        <f t="shared" si="19"/>
        <v>1</v>
      </c>
    </row>
    <row r="639" spans="1:13" x14ac:dyDescent="0.3">
      <c r="A639">
        <v>637</v>
      </c>
      <c r="B639">
        <v>638</v>
      </c>
      <c r="C639" t="s">
        <v>679</v>
      </c>
      <c r="D639">
        <v>2020</v>
      </c>
      <c r="E639" t="s">
        <v>28</v>
      </c>
      <c r="F639" t="s">
        <v>644</v>
      </c>
      <c r="G639">
        <v>1</v>
      </c>
      <c r="H639">
        <v>0</v>
      </c>
      <c r="I639">
        <v>0</v>
      </c>
      <c r="J639">
        <v>0</v>
      </c>
      <c r="K639">
        <v>0</v>
      </c>
      <c r="L639">
        <f t="shared" si="18"/>
        <v>6.8</v>
      </c>
      <c r="M639">
        <f t="shared" si="19"/>
        <v>1</v>
      </c>
    </row>
    <row r="640" spans="1:13" x14ac:dyDescent="0.3">
      <c r="A640">
        <v>638</v>
      </c>
      <c r="B640">
        <v>639</v>
      </c>
      <c r="C640" t="s">
        <v>680</v>
      </c>
      <c r="D640">
        <v>2020</v>
      </c>
      <c r="F640" t="s">
        <v>644</v>
      </c>
      <c r="G640">
        <v>1</v>
      </c>
      <c r="H640">
        <v>0</v>
      </c>
      <c r="I640">
        <v>0</v>
      </c>
      <c r="J640">
        <v>0</v>
      </c>
      <c r="K640">
        <v>0</v>
      </c>
      <c r="L640">
        <f t="shared" si="18"/>
        <v>6.8</v>
      </c>
      <c r="M640">
        <f t="shared" si="19"/>
        <v>1</v>
      </c>
    </row>
    <row r="641" spans="1:13" x14ac:dyDescent="0.3">
      <c r="A641">
        <v>639</v>
      </c>
      <c r="B641">
        <v>640</v>
      </c>
      <c r="C641" t="s">
        <v>681</v>
      </c>
      <c r="D641">
        <v>2019</v>
      </c>
      <c r="E641" t="s">
        <v>11</v>
      </c>
      <c r="F641" t="s">
        <v>644</v>
      </c>
      <c r="G641">
        <v>1</v>
      </c>
      <c r="H641">
        <v>0</v>
      </c>
      <c r="I641">
        <v>0</v>
      </c>
      <c r="J641">
        <v>0</v>
      </c>
      <c r="K641">
        <v>0</v>
      </c>
      <c r="L641">
        <f t="shared" si="18"/>
        <v>6.8</v>
      </c>
      <c r="M641">
        <f t="shared" si="19"/>
        <v>1</v>
      </c>
    </row>
    <row r="642" spans="1:13" x14ac:dyDescent="0.3">
      <c r="A642">
        <v>640</v>
      </c>
      <c r="B642">
        <v>641</v>
      </c>
      <c r="C642" t="s">
        <v>682</v>
      </c>
      <c r="D642">
        <v>2017</v>
      </c>
      <c r="E642" t="s">
        <v>11</v>
      </c>
      <c r="F642" t="s">
        <v>644</v>
      </c>
      <c r="G642">
        <v>1</v>
      </c>
      <c r="H642">
        <v>0</v>
      </c>
      <c r="I642">
        <v>0</v>
      </c>
      <c r="J642">
        <v>0</v>
      </c>
      <c r="K642">
        <v>0</v>
      </c>
      <c r="L642">
        <f t="shared" si="18"/>
        <v>6.8</v>
      </c>
      <c r="M642">
        <f t="shared" si="19"/>
        <v>1</v>
      </c>
    </row>
    <row r="643" spans="1:13" x14ac:dyDescent="0.3">
      <c r="A643">
        <v>641</v>
      </c>
      <c r="B643">
        <v>642</v>
      </c>
      <c r="C643" t="s">
        <v>683</v>
      </c>
      <c r="D643">
        <v>2016</v>
      </c>
      <c r="E643" t="s">
        <v>22</v>
      </c>
      <c r="F643" t="s">
        <v>644</v>
      </c>
      <c r="G643">
        <v>1</v>
      </c>
      <c r="H643">
        <v>0</v>
      </c>
      <c r="I643">
        <v>0</v>
      </c>
      <c r="J643">
        <v>0</v>
      </c>
      <c r="K643">
        <v>0</v>
      </c>
      <c r="L643">
        <f t="shared" ref="L643:L706" si="20">IFERROR(VALUE(LEFT(F643,FIND("/",F643)-1))/10,"")</f>
        <v>6.8</v>
      </c>
      <c r="M643">
        <f t="shared" ref="M643:M706" si="21">SUM(G643:J643)</f>
        <v>1</v>
      </c>
    </row>
    <row r="644" spans="1:13" x14ac:dyDescent="0.3">
      <c r="A644">
        <v>642</v>
      </c>
      <c r="B644">
        <v>643</v>
      </c>
      <c r="C644" t="s">
        <v>684</v>
      </c>
      <c r="D644">
        <v>2018</v>
      </c>
      <c r="E644" t="s">
        <v>14</v>
      </c>
      <c r="F644" t="s">
        <v>644</v>
      </c>
      <c r="G644">
        <v>1</v>
      </c>
      <c r="H644">
        <v>0</v>
      </c>
      <c r="I644">
        <v>0</v>
      </c>
      <c r="J644">
        <v>0</v>
      </c>
      <c r="K644">
        <v>0</v>
      </c>
      <c r="L644">
        <f t="shared" si="20"/>
        <v>6.8</v>
      </c>
      <c r="M644">
        <f t="shared" si="21"/>
        <v>1</v>
      </c>
    </row>
    <row r="645" spans="1:13" x14ac:dyDescent="0.3">
      <c r="A645">
        <v>643</v>
      </c>
      <c r="B645">
        <v>644</v>
      </c>
      <c r="C645" t="s">
        <v>685</v>
      </c>
      <c r="D645">
        <v>1990</v>
      </c>
      <c r="F645" t="s">
        <v>644</v>
      </c>
      <c r="G645">
        <v>1</v>
      </c>
      <c r="H645">
        <v>0</v>
      </c>
      <c r="I645">
        <v>0</v>
      </c>
      <c r="J645">
        <v>0</v>
      </c>
      <c r="K645">
        <v>0</v>
      </c>
      <c r="L645">
        <f t="shared" si="20"/>
        <v>6.8</v>
      </c>
      <c r="M645">
        <f t="shared" si="21"/>
        <v>1</v>
      </c>
    </row>
    <row r="646" spans="1:13" x14ac:dyDescent="0.3">
      <c r="A646">
        <v>644</v>
      </c>
      <c r="B646">
        <v>645</v>
      </c>
      <c r="C646" t="s">
        <v>686</v>
      </c>
      <c r="D646">
        <v>2018</v>
      </c>
      <c r="E646" t="s">
        <v>11</v>
      </c>
      <c r="F646" t="s">
        <v>687</v>
      </c>
      <c r="G646">
        <v>1</v>
      </c>
      <c r="H646">
        <v>0</v>
      </c>
      <c r="I646">
        <v>0</v>
      </c>
      <c r="J646">
        <v>0</v>
      </c>
      <c r="K646">
        <v>0</v>
      </c>
      <c r="L646">
        <f t="shared" si="20"/>
        <v>6.7</v>
      </c>
      <c r="M646">
        <f t="shared" si="21"/>
        <v>1</v>
      </c>
    </row>
    <row r="647" spans="1:13" x14ac:dyDescent="0.3">
      <c r="A647">
        <v>645</v>
      </c>
      <c r="B647">
        <v>646</v>
      </c>
      <c r="C647" t="s">
        <v>688</v>
      </c>
      <c r="D647">
        <v>2018</v>
      </c>
      <c r="E647" t="s">
        <v>11</v>
      </c>
      <c r="F647" t="s">
        <v>687</v>
      </c>
      <c r="G647">
        <v>1</v>
      </c>
      <c r="H647">
        <v>0</v>
      </c>
      <c r="I647">
        <v>0</v>
      </c>
      <c r="J647">
        <v>0</v>
      </c>
      <c r="K647">
        <v>0</v>
      </c>
      <c r="L647">
        <f t="shared" si="20"/>
        <v>6.7</v>
      </c>
      <c r="M647">
        <f t="shared" si="21"/>
        <v>1</v>
      </c>
    </row>
    <row r="648" spans="1:13" x14ac:dyDescent="0.3">
      <c r="A648">
        <v>646</v>
      </c>
      <c r="B648">
        <v>647</v>
      </c>
      <c r="C648" t="s">
        <v>689</v>
      </c>
      <c r="D648">
        <v>2011</v>
      </c>
      <c r="E648" t="s">
        <v>11</v>
      </c>
      <c r="F648" t="s">
        <v>687</v>
      </c>
      <c r="G648">
        <v>1</v>
      </c>
      <c r="H648">
        <v>0</v>
      </c>
      <c r="I648">
        <v>1</v>
      </c>
      <c r="J648">
        <v>0</v>
      </c>
      <c r="K648">
        <v>0</v>
      </c>
      <c r="L648">
        <f t="shared" si="20"/>
        <v>6.7</v>
      </c>
      <c r="M648">
        <f t="shared" si="21"/>
        <v>2</v>
      </c>
    </row>
    <row r="649" spans="1:13" x14ac:dyDescent="0.3">
      <c r="A649">
        <v>647</v>
      </c>
      <c r="B649">
        <v>648</v>
      </c>
      <c r="C649" t="s">
        <v>690</v>
      </c>
      <c r="D649">
        <v>2004</v>
      </c>
      <c r="E649" t="s">
        <v>11</v>
      </c>
      <c r="F649" t="s">
        <v>687</v>
      </c>
      <c r="G649">
        <v>1</v>
      </c>
      <c r="H649">
        <v>0</v>
      </c>
      <c r="I649">
        <v>0</v>
      </c>
      <c r="J649">
        <v>0</v>
      </c>
      <c r="K649">
        <v>0</v>
      </c>
      <c r="L649">
        <f t="shared" si="20"/>
        <v>6.7</v>
      </c>
      <c r="M649">
        <f t="shared" si="21"/>
        <v>1</v>
      </c>
    </row>
    <row r="650" spans="1:13" x14ac:dyDescent="0.3">
      <c r="A650">
        <v>648</v>
      </c>
      <c r="B650">
        <v>649</v>
      </c>
      <c r="C650" t="s">
        <v>691</v>
      </c>
      <c r="D650">
        <v>2021</v>
      </c>
      <c r="F650" t="s">
        <v>687</v>
      </c>
      <c r="G650">
        <v>1</v>
      </c>
      <c r="H650">
        <v>0</v>
      </c>
      <c r="I650">
        <v>0</v>
      </c>
      <c r="J650">
        <v>0</v>
      </c>
      <c r="K650">
        <v>0</v>
      </c>
      <c r="L650">
        <f t="shared" si="20"/>
        <v>6.7</v>
      </c>
      <c r="M650">
        <f t="shared" si="21"/>
        <v>1</v>
      </c>
    </row>
    <row r="651" spans="1:13" x14ac:dyDescent="0.3">
      <c r="A651">
        <v>649</v>
      </c>
      <c r="B651">
        <v>650</v>
      </c>
      <c r="C651" t="s">
        <v>692</v>
      </c>
      <c r="D651">
        <v>2014</v>
      </c>
      <c r="E651" t="s">
        <v>11</v>
      </c>
      <c r="F651" t="s">
        <v>687</v>
      </c>
      <c r="G651">
        <v>1</v>
      </c>
      <c r="H651">
        <v>0</v>
      </c>
      <c r="I651">
        <v>0</v>
      </c>
      <c r="J651">
        <v>0</v>
      </c>
      <c r="K651">
        <v>0</v>
      </c>
      <c r="L651">
        <f t="shared" si="20"/>
        <v>6.7</v>
      </c>
      <c r="M651">
        <f t="shared" si="21"/>
        <v>1</v>
      </c>
    </row>
    <row r="652" spans="1:13" x14ac:dyDescent="0.3">
      <c r="A652">
        <v>650</v>
      </c>
      <c r="B652">
        <v>651</v>
      </c>
      <c r="C652" t="s">
        <v>693</v>
      </c>
      <c r="D652">
        <v>2012</v>
      </c>
      <c r="E652" t="s">
        <v>11</v>
      </c>
      <c r="F652" t="s">
        <v>687</v>
      </c>
      <c r="G652">
        <v>1</v>
      </c>
      <c r="H652">
        <v>0</v>
      </c>
      <c r="I652">
        <v>0</v>
      </c>
      <c r="J652">
        <v>0</v>
      </c>
      <c r="K652">
        <v>0</v>
      </c>
      <c r="L652">
        <f t="shared" si="20"/>
        <v>6.7</v>
      </c>
      <c r="M652">
        <f t="shared" si="21"/>
        <v>1</v>
      </c>
    </row>
    <row r="653" spans="1:13" x14ac:dyDescent="0.3">
      <c r="A653">
        <v>651</v>
      </c>
      <c r="B653">
        <v>652</v>
      </c>
      <c r="C653" t="s">
        <v>694</v>
      </c>
      <c r="D653">
        <v>2020</v>
      </c>
      <c r="E653" t="s">
        <v>11</v>
      </c>
      <c r="F653" t="s">
        <v>687</v>
      </c>
      <c r="G653">
        <v>1</v>
      </c>
      <c r="H653">
        <v>0</v>
      </c>
      <c r="I653">
        <v>0</v>
      </c>
      <c r="J653">
        <v>0</v>
      </c>
      <c r="K653">
        <v>0</v>
      </c>
      <c r="L653">
        <f t="shared" si="20"/>
        <v>6.7</v>
      </c>
      <c r="M653">
        <f t="shared" si="21"/>
        <v>1</v>
      </c>
    </row>
    <row r="654" spans="1:13" x14ac:dyDescent="0.3">
      <c r="A654">
        <v>652</v>
      </c>
      <c r="B654">
        <v>653</v>
      </c>
      <c r="C654" t="s">
        <v>695</v>
      </c>
      <c r="D654">
        <v>1984</v>
      </c>
      <c r="E654" t="s">
        <v>14</v>
      </c>
      <c r="F654" t="s">
        <v>687</v>
      </c>
      <c r="G654">
        <v>1</v>
      </c>
      <c r="H654">
        <v>0</v>
      </c>
      <c r="I654">
        <v>0</v>
      </c>
      <c r="J654">
        <v>0</v>
      </c>
      <c r="K654">
        <v>0</v>
      </c>
      <c r="L654">
        <f t="shared" si="20"/>
        <v>6.7</v>
      </c>
      <c r="M654">
        <f t="shared" si="21"/>
        <v>1</v>
      </c>
    </row>
    <row r="655" spans="1:13" x14ac:dyDescent="0.3">
      <c r="A655">
        <v>653</v>
      </c>
      <c r="B655">
        <v>654</v>
      </c>
      <c r="C655" t="s">
        <v>696</v>
      </c>
      <c r="D655">
        <v>2017</v>
      </c>
      <c r="E655" t="s">
        <v>11</v>
      </c>
      <c r="F655" t="s">
        <v>687</v>
      </c>
      <c r="G655">
        <v>1</v>
      </c>
      <c r="H655">
        <v>0</v>
      </c>
      <c r="I655">
        <v>0</v>
      </c>
      <c r="J655">
        <v>0</v>
      </c>
      <c r="K655">
        <v>0</v>
      </c>
      <c r="L655">
        <f t="shared" si="20"/>
        <v>6.7</v>
      </c>
      <c r="M655">
        <f t="shared" si="21"/>
        <v>1</v>
      </c>
    </row>
    <row r="656" spans="1:13" x14ac:dyDescent="0.3">
      <c r="A656">
        <v>654</v>
      </c>
      <c r="B656">
        <v>655</v>
      </c>
      <c r="C656" t="s">
        <v>697</v>
      </c>
      <c r="D656">
        <v>1982</v>
      </c>
      <c r="F656" t="s">
        <v>687</v>
      </c>
      <c r="G656">
        <v>1</v>
      </c>
      <c r="H656">
        <v>0</v>
      </c>
      <c r="I656">
        <v>0</v>
      </c>
      <c r="J656">
        <v>0</v>
      </c>
      <c r="K656">
        <v>0</v>
      </c>
      <c r="L656">
        <f t="shared" si="20"/>
        <v>6.7</v>
      </c>
      <c r="M656">
        <f t="shared" si="21"/>
        <v>1</v>
      </c>
    </row>
    <row r="657" spans="1:13" x14ac:dyDescent="0.3">
      <c r="A657">
        <v>655</v>
      </c>
      <c r="B657">
        <v>656</v>
      </c>
      <c r="C657" t="s">
        <v>698</v>
      </c>
      <c r="D657">
        <v>2021</v>
      </c>
      <c r="F657" t="s">
        <v>687</v>
      </c>
      <c r="G657">
        <v>1</v>
      </c>
      <c r="H657">
        <v>0</v>
      </c>
      <c r="I657">
        <v>0</v>
      </c>
      <c r="J657">
        <v>0</v>
      </c>
      <c r="K657">
        <v>0</v>
      </c>
      <c r="L657">
        <f t="shared" si="20"/>
        <v>6.7</v>
      </c>
      <c r="M657">
        <f t="shared" si="21"/>
        <v>1</v>
      </c>
    </row>
    <row r="658" spans="1:13" x14ac:dyDescent="0.3">
      <c r="A658">
        <v>656</v>
      </c>
      <c r="B658">
        <v>657</v>
      </c>
      <c r="C658" t="s">
        <v>699</v>
      </c>
      <c r="D658">
        <v>2018</v>
      </c>
      <c r="E658" t="s">
        <v>11</v>
      </c>
      <c r="F658" t="s">
        <v>687</v>
      </c>
      <c r="G658">
        <v>1</v>
      </c>
      <c r="H658">
        <v>0</v>
      </c>
      <c r="I658">
        <v>0</v>
      </c>
      <c r="J658">
        <v>0</v>
      </c>
      <c r="K658">
        <v>0</v>
      </c>
      <c r="L658">
        <f t="shared" si="20"/>
        <v>6.7</v>
      </c>
      <c r="M658">
        <f t="shared" si="21"/>
        <v>1</v>
      </c>
    </row>
    <row r="659" spans="1:13" x14ac:dyDescent="0.3">
      <c r="A659">
        <v>657</v>
      </c>
      <c r="B659">
        <v>658</v>
      </c>
      <c r="C659" t="s">
        <v>700</v>
      </c>
      <c r="D659">
        <v>2021</v>
      </c>
      <c r="E659" t="s">
        <v>11</v>
      </c>
      <c r="F659" t="s">
        <v>687</v>
      </c>
      <c r="G659">
        <v>1</v>
      </c>
      <c r="H659">
        <v>0</v>
      </c>
      <c r="I659">
        <v>0</v>
      </c>
      <c r="J659">
        <v>0</v>
      </c>
      <c r="K659">
        <v>0</v>
      </c>
      <c r="L659">
        <f t="shared" si="20"/>
        <v>6.7</v>
      </c>
      <c r="M659">
        <f t="shared" si="21"/>
        <v>1</v>
      </c>
    </row>
    <row r="660" spans="1:13" x14ac:dyDescent="0.3">
      <c r="A660">
        <v>658</v>
      </c>
      <c r="B660">
        <v>659</v>
      </c>
      <c r="C660" t="s">
        <v>701</v>
      </c>
      <c r="D660">
        <v>2014</v>
      </c>
      <c r="E660" t="s">
        <v>11</v>
      </c>
      <c r="F660" t="s">
        <v>687</v>
      </c>
      <c r="G660">
        <v>1</v>
      </c>
      <c r="H660">
        <v>0</v>
      </c>
      <c r="I660">
        <v>0</v>
      </c>
      <c r="J660">
        <v>0</v>
      </c>
      <c r="K660">
        <v>0</v>
      </c>
      <c r="L660">
        <f t="shared" si="20"/>
        <v>6.7</v>
      </c>
      <c r="M660">
        <f t="shared" si="21"/>
        <v>1</v>
      </c>
    </row>
    <row r="661" spans="1:13" x14ac:dyDescent="0.3">
      <c r="A661">
        <v>659</v>
      </c>
      <c r="B661">
        <v>660</v>
      </c>
      <c r="C661" t="s">
        <v>702</v>
      </c>
      <c r="D661">
        <v>2021</v>
      </c>
      <c r="E661" t="s">
        <v>22</v>
      </c>
      <c r="F661" t="s">
        <v>687</v>
      </c>
      <c r="G661">
        <v>1</v>
      </c>
      <c r="H661">
        <v>0</v>
      </c>
      <c r="I661">
        <v>0</v>
      </c>
      <c r="J661">
        <v>0</v>
      </c>
      <c r="K661">
        <v>0</v>
      </c>
      <c r="L661">
        <f t="shared" si="20"/>
        <v>6.7</v>
      </c>
      <c r="M661">
        <f t="shared" si="21"/>
        <v>1</v>
      </c>
    </row>
    <row r="662" spans="1:13" x14ac:dyDescent="0.3">
      <c r="A662">
        <v>660</v>
      </c>
      <c r="B662">
        <v>661</v>
      </c>
      <c r="C662" t="s">
        <v>703</v>
      </c>
      <c r="D662">
        <v>2020</v>
      </c>
      <c r="E662" t="s">
        <v>11</v>
      </c>
      <c r="F662" t="s">
        <v>687</v>
      </c>
      <c r="G662">
        <v>1</v>
      </c>
      <c r="H662">
        <v>0</v>
      </c>
      <c r="I662">
        <v>0</v>
      </c>
      <c r="J662">
        <v>0</v>
      </c>
      <c r="K662">
        <v>0</v>
      </c>
      <c r="L662">
        <f t="shared" si="20"/>
        <v>6.7</v>
      </c>
      <c r="M662">
        <f t="shared" si="21"/>
        <v>1</v>
      </c>
    </row>
    <row r="663" spans="1:13" x14ac:dyDescent="0.3">
      <c r="A663">
        <v>661</v>
      </c>
      <c r="B663">
        <v>662</v>
      </c>
      <c r="C663" t="s">
        <v>704</v>
      </c>
      <c r="D663">
        <v>2021</v>
      </c>
      <c r="E663" t="s">
        <v>11</v>
      </c>
      <c r="F663" t="s">
        <v>687</v>
      </c>
      <c r="G663">
        <v>1</v>
      </c>
      <c r="H663">
        <v>0</v>
      </c>
      <c r="I663">
        <v>0</v>
      </c>
      <c r="J663">
        <v>0</v>
      </c>
      <c r="K663">
        <v>0</v>
      </c>
      <c r="L663">
        <f t="shared" si="20"/>
        <v>6.7</v>
      </c>
      <c r="M663">
        <f t="shared" si="21"/>
        <v>1</v>
      </c>
    </row>
    <row r="664" spans="1:13" x14ac:dyDescent="0.3">
      <c r="A664">
        <v>662</v>
      </c>
      <c r="B664">
        <v>663</v>
      </c>
      <c r="C664" t="s">
        <v>705</v>
      </c>
      <c r="D664">
        <v>2018</v>
      </c>
      <c r="E664" t="s">
        <v>11</v>
      </c>
      <c r="F664" t="s">
        <v>687</v>
      </c>
      <c r="G664">
        <v>1</v>
      </c>
      <c r="H664">
        <v>0</v>
      </c>
      <c r="I664">
        <v>0</v>
      </c>
      <c r="J664">
        <v>0</v>
      </c>
      <c r="K664">
        <v>0</v>
      </c>
      <c r="L664">
        <f t="shared" si="20"/>
        <v>6.7</v>
      </c>
      <c r="M664">
        <f t="shared" si="21"/>
        <v>1</v>
      </c>
    </row>
    <row r="665" spans="1:13" x14ac:dyDescent="0.3">
      <c r="A665">
        <v>663</v>
      </c>
      <c r="B665">
        <v>664</v>
      </c>
      <c r="C665" t="s">
        <v>706</v>
      </c>
      <c r="D665">
        <v>2013</v>
      </c>
      <c r="E665" t="s">
        <v>22</v>
      </c>
      <c r="F665" t="s">
        <v>687</v>
      </c>
      <c r="G665">
        <v>1</v>
      </c>
      <c r="H665">
        <v>0</v>
      </c>
      <c r="I665">
        <v>0</v>
      </c>
      <c r="J665">
        <v>0</v>
      </c>
      <c r="K665">
        <v>0</v>
      </c>
      <c r="L665">
        <f t="shared" si="20"/>
        <v>6.7</v>
      </c>
      <c r="M665">
        <f t="shared" si="21"/>
        <v>1</v>
      </c>
    </row>
    <row r="666" spans="1:13" x14ac:dyDescent="0.3">
      <c r="A666">
        <v>664</v>
      </c>
      <c r="B666">
        <v>665</v>
      </c>
      <c r="C666" t="s">
        <v>707</v>
      </c>
      <c r="D666">
        <v>2017</v>
      </c>
      <c r="E666" t="s">
        <v>22</v>
      </c>
      <c r="F666" t="s">
        <v>687</v>
      </c>
      <c r="G666">
        <v>1</v>
      </c>
      <c r="H666">
        <v>0</v>
      </c>
      <c r="I666">
        <v>0</v>
      </c>
      <c r="J666">
        <v>0</v>
      </c>
      <c r="K666">
        <v>0</v>
      </c>
      <c r="L666">
        <f t="shared" si="20"/>
        <v>6.7</v>
      </c>
      <c r="M666">
        <f t="shared" si="21"/>
        <v>1</v>
      </c>
    </row>
    <row r="667" spans="1:13" x14ac:dyDescent="0.3">
      <c r="A667">
        <v>665</v>
      </c>
      <c r="B667">
        <v>666</v>
      </c>
      <c r="C667" t="s">
        <v>708</v>
      </c>
      <c r="D667">
        <v>2020</v>
      </c>
      <c r="E667" t="s">
        <v>22</v>
      </c>
      <c r="F667" t="s">
        <v>687</v>
      </c>
      <c r="G667">
        <v>1</v>
      </c>
      <c r="H667">
        <v>0</v>
      </c>
      <c r="I667">
        <v>0</v>
      </c>
      <c r="J667">
        <v>0</v>
      </c>
      <c r="K667">
        <v>0</v>
      </c>
      <c r="L667">
        <f t="shared" si="20"/>
        <v>6.7</v>
      </c>
      <c r="M667">
        <f t="shared" si="21"/>
        <v>1</v>
      </c>
    </row>
    <row r="668" spans="1:13" x14ac:dyDescent="0.3">
      <c r="A668">
        <v>666</v>
      </c>
      <c r="B668">
        <v>667</v>
      </c>
      <c r="C668" t="s">
        <v>709</v>
      </c>
      <c r="D668">
        <v>2018</v>
      </c>
      <c r="F668" t="s">
        <v>687</v>
      </c>
      <c r="G668">
        <v>1</v>
      </c>
      <c r="H668">
        <v>1</v>
      </c>
      <c r="I668">
        <v>1</v>
      </c>
      <c r="J668">
        <v>0</v>
      </c>
      <c r="K668">
        <v>0</v>
      </c>
      <c r="L668">
        <f t="shared" si="20"/>
        <v>6.7</v>
      </c>
      <c r="M668">
        <f t="shared" si="21"/>
        <v>3</v>
      </c>
    </row>
    <row r="669" spans="1:13" x14ac:dyDescent="0.3">
      <c r="A669">
        <v>667</v>
      </c>
      <c r="B669">
        <v>668</v>
      </c>
      <c r="C669" t="s">
        <v>710</v>
      </c>
      <c r="D669">
        <v>2009</v>
      </c>
      <c r="E669" t="s">
        <v>22</v>
      </c>
      <c r="F669" t="s">
        <v>687</v>
      </c>
      <c r="G669">
        <v>1</v>
      </c>
      <c r="H669">
        <v>0</v>
      </c>
      <c r="I669">
        <v>0</v>
      </c>
      <c r="J669">
        <v>0</v>
      </c>
      <c r="K669">
        <v>0</v>
      </c>
      <c r="L669">
        <f t="shared" si="20"/>
        <v>6.7</v>
      </c>
      <c r="M669">
        <f t="shared" si="21"/>
        <v>1</v>
      </c>
    </row>
    <row r="670" spans="1:13" x14ac:dyDescent="0.3">
      <c r="A670">
        <v>668</v>
      </c>
      <c r="B670">
        <v>669</v>
      </c>
      <c r="C670" t="s">
        <v>711</v>
      </c>
      <c r="D670">
        <v>2016</v>
      </c>
      <c r="E670" t="s">
        <v>11</v>
      </c>
      <c r="F670" t="s">
        <v>687</v>
      </c>
      <c r="G670">
        <v>1</v>
      </c>
      <c r="H670">
        <v>0</v>
      </c>
      <c r="I670">
        <v>0</v>
      </c>
      <c r="J670">
        <v>0</v>
      </c>
      <c r="K670">
        <v>0</v>
      </c>
      <c r="L670">
        <f t="shared" si="20"/>
        <v>6.7</v>
      </c>
      <c r="M670">
        <f t="shared" si="21"/>
        <v>1</v>
      </c>
    </row>
    <row r="671" spans="1:13" x14ac:dyDescent="0.3">
      <c r="A671">
        <v>669</v>
      </c>
      <c r="B671">
        <v>670</v>
      </c>
      <c r="C671" t="s">
        <v>712</v>
      </c>
      <c r="D671">
        <v>2016</v>
      </c>
      <c r="E671" t="s">
        <v>11</v>
      </c>
      <c r="F671" t="s">
        <v>687</v>
      </c>
      <c r="G671">
        <v>1</v>
      </c>
      <c r="H671">
        <v>0</v>
      </c>
      <c r="I671">
        <v>0</v>
      </c>
      <c r="J671">
        <v>0</v>
      </c>
      <c r="K671">
        <v>0</v>
      </c>
      <c r="L671">
        <f t="shared" si="20"/>
        <v>6.7</v>
      </c>
      <c r="M671">
        <f t="shared" si="21"/>
        <v>1</v>
      </c>
    </row>
    <row r="672" spans="1:13" x14ac:dyDescent="0.3">
      <c r="A672">
        <v>670</v>
      </c>
      <c r="B672">
        <v>671</v>
      </c>
      <c r="C672" t="s">
        <v>713</v>
      </c>
      <c r="D672">
        <v>2018</v>
      </c>
      <c r="E672" t="s">
        <v>11</v>
      </c>
      <c r="F672" t="s">
        <v>687</v>
      </c>
      <c r="G672">
        <v>1</v>
      </c>
      <c r="H672">
        <v>0</v>
      </c>
      <c r="I672">
        <v>0</v>
      </c>
      <c r="J672">
        <v>0</v>
      </c>
      <c r="K672">
        <v>0</v>
      </c>
      <c r="L672">
        <f t="shared" si="20"/>
        <v>6.7</v>
      </c>
      <c r="M672">
        <f t="shared" si="21"/>
        <v>1</v>
      </c>
    </row>
    <row r="673" spans="1:13" x14ac:dyDescent="0.3">
      <c r="A673">
        <v>671</v>
      </c>
      <c r="B673">
        <v>672</v>
      </c>
      <c r="C673" t="s">
        <v>714</v>
      </c>
      <c r="D673">
        <v>2014</v>
      </c>
      <c r="E673" t="s">
        <v>11</v>
      </c>
      <c r="F673" t="s">
        <v>687</v>
      </c>
      <c r="G673">
        <v>1</v>
      </c>
      <c r="H673">
        <v>0</v>
      </c>
      <c r="I673">
        <v>0</v>
      </c>
      <c r="J673">
        <v>0</v>
      </c>
      <c r="K673">
        <v>0</v>
      </c>
      <c r="L673">
        <f t="shared" si="20"/>
        <v>6.7</v>
      </c>
      <c r="M673">
        <f t="shared" si="21"/>
        <v>1</v>
      </c>
    </row>
    <row r="674" spans="1:13" x14ac:dyDescent="0.3">
      <c r="A674">
        <v>672</v>
      </c>
      <c r="B674">
        <v>673</v>
      </c>
      <c r="C674" t="s">
        <v>715</v>
      </c>
      <c r="D674">
        <v>2021</v>
      </c>
      <c r="E674" t="s">
        <v>22</v>
      </c>
      <c r="F674" t="s">
        <v>687</v>
      </c>
      <c r="G674">
        <v>1</v>
      </c>
      <c r="H674">
        <v>0</v>
      </c>
      <c r="I674">
        <v>0</v>
      </c>
      <c r="J674">
        <v>0</v>
      </c>
      <c r="K674">
        <v>0</v>
      </c>
      <c r="L674">
        <f t="shared" si="20"/>
        <v>6.7</v>
      </c>
      <c r="M674">
        <f t="shared" si="21"/>
        <v>1</v>
      </c>
    </row>
    <row r="675" spans="1:13" x14ac:dyDescent="0.3">
      <c r="A675">
        <v>673</v>
      </c>
      <c r="B675">
        <v>674</v>
      </c>
      <c r="C675" t="s">
        <v>716</v>
      </c>
      <c r="D675">
        <v>2020</v>
      </c>
      <c r="F675" t="s">
        <v>687</v>
      </c>
      <c r="G675">
        <v>1</v>
      </c>
      <c r="H675">
        <v>0</v>
      </c>
      <c r="I675">
        <v>0</v>
      </c>
      <c r="J675">
        <v>0</v>
      </c>
      <c r="K675">
        <v>0</v>
      </c>
      <c r="L675">
        <f t="shared" si="20"/>
        <v>6.7</v>
      </c>
      <c r="M675">
        <f t="shared" si="21"/>
        <v>1</v>
      </c>
    </row>
    <row r="676" spans="1:13" x14ac:dyDescent="0.3">
      <c r="A676">
        <v>674</v>
      </c>
      <c r="B676">
        <v>675</v>
      </c>
      <c r="C676" t="s">
        <v>717</v>
      </c>
      <c r="D676">
        <v>2016</v>
      </c>
      <c r="E676" t="s">
        <v>22</v>
      </c>
      <c r="F676" t="s">
        <v>687</v>
      </c>
      <c r="G676">
        <v>1</v>
      </c>
      <c r="H676">
        <v>0</v>
      </c>
      <c r="I676">
        <v>0</v>
      </c>
      <c r="J676">
        <v>0</v>
      </c>
      <c r="K676">
        <v>0</v>
      </c>
      <c r="L676">
        <f t="shared" si="20"/>
        <v>6.7</v>
      </c>
      <c r="M676">
        <f t="shared" si="21"/>
        <v>1</v>
      </c>
    </row>
    <row r="677" spans="1:13" x14ac:dyDescent="0.3">
      <c r="A677">
        <v>675</v>
      </c>
      <c r="B677">
        <v>676</v>
      </c>
      <c r="C677" t="s">
        <v>718</v>
      </c>
      <c r="D677">
        <v>2018</v>
      </c>
      <c r="E677" t="s">
        <v>14</v>
      </c>
      <c r="F677" t="s">
        <v>687</v>
      </c>
      <c r="G677">
        <v>1</v>
      </c>
      <c r="H677">
        <v>0</v>
      </c>
      <c r="I677">
        <v>0</v>
      </c>
      <c r="J677">
        <v>0</v>
      </c>
      <c r="K677">
        <v>0</v>
      </c>
      <c r="L677">
        <f t="shared" si="20"/>
        <v>6.7</v>
      </c>
      <c r="M677">
        <f t="shared" si="21"/>
        <v>1</v>
      </c>
    </row>
    <row r="678" spans="1:13" x14ac:dyDescent="0.3">
      <c r="A678">
        <v>676</v>
      </c>
      <c r="B678">
        <v>677</v>
      </c>
      <c r="C678" t="s">
        <v>719</v>
      </c>
      <c r="D678">
        <v>1990</v>
      </c>
      <c r="E678" t="s">
        <v>11</v>
      </c>
      <c r="F678" t="s">
        <v>687</v>
      </c>
      <c r="G678">
        <v>1</v>
      </c>
      <c r="H678">
        <v>0</v>
      </c>
      <c r="I678">
        <v>0</v>
      </c>
      <c r="J678">
        <v>0</v>
      </c>
      <c r="K678">
        <v>0</v>
      </c>
      <c r="L678">
        <f t="shared" si="20"/>
        <v>6.7</v>
      </c>
      <c r="M678">
        <f t="shared" si="21"/>
        <v>1</v>
      </c>
    </row>
    <row r="679" spans="1:13" x14ac:dyDescent="0.3">
      <c r="A679">
        <v>677</v>
      </c>
      <c r="B679">
        <v>678</v>
      </c>
      <c r="C679" t="s">
        <v>720</v>
      </c>
      <c r="D679">
        <v>2006</v>
      </c>
      <c r="E679" t="s">
        <v>22</v>
      </c>
      <c r="F679" t="s">
        <v>687</v>
      </c>
      <c r="G679">
        <v>1</v>
      </c>
      <c r="H679">
        <v>0</v>
      </c>
      <c r="I679">
        <v>1</v>
      </c>
      <c r="J679">
        <v>0</v>
      </c>
      <c r="K679">
        <v>0</v>
      </c>
      <c r="L679">
        <f t="shared" si="20"/>
        <v>6.7</v>
      </c>
      <c r="M679">
        <f t="shared" si="21"/>
        <v>2</v>
      </c>
    </row>
    <row r="680" spans="1:13" x14ac:dyDescent="0.3">
      <c r="A680">
        <v>678</v>
      </c>
      <c r="B680">
        <v>679</v>
      </c>
      <c r="C680" t="s">
        <v>721</v>
      </c>
      <c r="D680">
        <v>2012</v>
      </c>
      <c r="E680" t="s">
        <v>36</v>
      </c>
      <c r="F680" t="s">
        <v>687</v>
      </c>
      <c r="G680">
        <v>1</v>
      </c>
      <c r="H680">
        <v>0</v>
      </c>
      <c r="I680">
        <v>0</v>
      </c>
      <c r="J680">
        <v>0</v>
      </c>
      <c r="K680">
        <v>0</v>
      </c>
      <c r="L680">
        <f t="shared" si="20"/>
        <v>6.7</v>
      </c>
      <c r="M680">
        <f t="shared" si="21"/>
        <v>1</v>
      </c>
    </row>
    <row r="681" spans="1:13" x14ac:dyDescent="0.3">
      <c r="A681">
        <v>679</v>
      </c>
      <c r="B681">
        <v>680</v>
      </c>
      <c r="C681" t="s">
        <v>722</v>
      </c>
      <c r="D681">
        <v>2018</v>
      </c>
      <c r="E681" t="s">
        <v>11</v>
      </c>
      <c r="F681" t="s">
        <v>687</v>
      </c>
      <c r="G681">
        <v>1</v>
      </c>
      <c r="H681">
        <v>0</v>
      </c>
      <c r="I681">
        <v>0</v>
      </c>
      <c r="J681">
        <v>0</v>
      </c>
      <c r="K681">
        <v>0</v>
      </c>
      <c r="L681">
        <f t="shared" si="20"/>
        <v>6.7</v>
      </c>
      <c r="M681">
        <f t="shared" si="21"/>
        <v>1</v>
      </c>
    </row>
    <row r="682" spans="1:13" x14ac:dyDescent="0.3">
      <c r="A682">
        <v>680</v>
      </c>
      <c r="B682">
        <v>681</v>
      </c>
      <c r="C682" t="s">
        <v>723</v>
      </c>
      <c r="D682">
        <v>2014</v>
      </c>
      <c r="E682" t="s">
        <v>22</v>
      </c>
      <c r="F682" t="s">
        <v>687</v>
      </c>
      <c r="G682">
        <v>1</v>
      </c>
      <c r="H682">
        <v>0</v>
      </c>
      <c r="I682">
        <v>0</v>
      </c>
      <c r="J682">
        <v>0</v>
      </c>
      <c r="K682">
        <v>0</v>
      </c>
      <c r="L682">
        <f t="shared" si="20"/>
        <v>6.7</v>
      </c>
      <c r="M682">
        <f t="shared" si="21"/>
        <v>1</v>
      </c>
    </row>
    <row r="683" spans="1:13" x14ac:dyDescent="0.3">
      <c r="A683">
        <v>681</v>
      </c>
      <c r="B683">
        <v>682</v>
      </c>
      <c r="C683" t="s">
        <v>724</v>
      </c>
      <c r="D683">
        <v>2012</v>
      </c>
      <c r="E683" t="s">
        <v>22</v>
      </c>
      <c r="F683" t="s">
        <v>687</v>
      </c>
      <c r="G683">
        <v>1</v>
      </c>
      <c r="H683">
        <v>0</v>
      </c>
      <c r="I683">
        <v>0</v>
      </c>
      <c r="J683">
        <v>0</v>
      </c>
      <c r="K683">
        <v>0</v>
      </c>
      <c r="L683">
        <f t="shared" si="20"/>
        <v>6.7</v>
      </c>
      <c r="M683">
        <f t="shared" si="21"/>
        <v>1</v>
      </c>
    </row>
    <row r="684" spans="1:13" x14ac:dyDescent="0.3">
      <c r="A684">
        <v>682</v>
      </c>
      <c r="B684">
        <v>683</v>
      </c>
      <c r="C684" t="s">
        <v>725</v>
      </c>
      <c r="D684">
        <v>2019</v>
      </c>
      <c r="E684" t="s">
        <v>14</v>
      </c>
      <c r="F684" t="s">
        <v>687</v>
      </c>
      <c r="G684">
        <v>1</v>
      </c>
      <c r="H684">
        <v>0</v>
      </c>
      <c r="I684">
        <v>0</v>
      </c>
      <c r="J684">
        <v>0</v>
      </c>
      <c r="K684">
        <v>0</v>
      </c>
      <c r="L684">
        <f t="shared" si="20"/>
        <v>6.7</v>
      </c>
      <c r="M684">
        <f t="shared" si="21"/>
        <v>1</v>
      </c>
    </row>
    <row r="685" spans="1:13" x14ac:dyDescent="0.3">
      <c r="A685">
        <v>683</v>
      </c>
      <c r="B685">
        <v>684</v>
      </c>
      <c r="C685" t="s">
        <v>726</v>
      </c>
      <c r="D685">
        <v>2021</v>
      </c>
      <c r="E685" t="s">
        <v>11</v>
      </c>
      <c r="F685" t="s">
        <v>687</v>
      </c>
      <c r="G685">
        <v>1</v>
      </c>
      <c r="H685">
        <v>0</v>
      </c>
      <c r="I685">
        <v>0</v>
      </c>
      <c r="J685">
        <v>0</v>
      </c>
      <c r="K685">
        <v>0</v>
      </c>
      <c r="L685">
        <f t="shared" si="20"/>
        <v>6.7</v>
      </c>
      <c r="M685">
        <f t="shared" si="21"/>
        <v>1</v>
      </c>
    </row>
    <row r="686" spans="1:13" x14ac:dyDescent="0.3">
      <c r="A686">
        <v>684</v>
      </c>
      <c r="B686">
        <v>685</v>
      </c>
      <c r="C686" t="s">
        <v>727</v>
      </c>
      <c r="D686">
        <v>2012</v>
      </c>
      <c r="E686" t="s">
        <v>11</v>
      </c>
      <c r="F686" t="s">
        <v>687</v>
      </c>
      <c r="G686">
        <v>1</v>
      </c>
      <c r="H686">
        <v>0</v>
      </c>
      <c r="I686">
        <v>0</v>
      </c>
      <c r="J686">
        <v>0</v>
      </c>
      <c r="K686">
        <v>0</v>
      </c>
      <c r="L686">
        <f t="shared" si="20"/>
        <v>6.7</v>
      </c>
      <c r="M686">
        <f t="shared" si="21"/>
        <v>1</v>
      </c>
    </row>
    <row r="687" spans="1:13" x14ac:dyDescent="0.3">
      <c r="A687">
        <v>685</v>
      </c>
      <c r="B687">
        <v>686</v>
      </c>
      <c r="C687" t="s">
        <v>728</v>
      </c>
      <c r="D687">
        <v>2008</v>
      </c>
      <c r="E687" t="s">
        <v>22</v>
      </c>
      <c r="F687" t="s">
        <v>687</v>
      </c>
      <c r="G687">
        <v>1</v>
      </c>
      <c r="H687">
        <v>0</v>
      </c>
      <c r="I687">
        <v>0</v>
      </c>
      <c r="J687">
        <v>0</v>
      </c>
      <c r="K687">
        <v>0</v>
      </c>
      <c r="L687">
        <f t="shared" si="20"/>
        <v>6.7</v>
      </c>
      <c r="M687">
        <f t="shared" si="21"/>
        <v>1</v>
      </c>
    </row>
    <row r="688" spans="1:13" x14ac:dyDescent="0.3">
      <c r="A688">
        <v>686</v>
      </c>
      <c r="B688">
        <v>687</v>
      </c>
      <c r="C688" t="s">
        <v>729</v>
      </c>
      <c r="D688">
        <v>2013</v>
      </c>
      <c r="E688" t="s">
        <v>22</v>
      </c>
      <c r="F688" t="s">
        <v>687</v>
      </c>
      <c r="G688">
        <v>1</v>
      </c>
      <c r="H688">
        <v>0</v>
      </c>
      <c r="I688">
        <v>0</v>
      </c>
      <c r="J688">
        <v>0</v>
      </c>
      <c r="K688">
        <v>0</v>
      </c>
      <c r="L688">
        <f t="shared" si="20"/>
        <v>6.7</v>
      </c>
      <c r="M688">
        <f t="shared" si="21"/>
        <v>1</v>
      </c>
    </row>
    <row r="689" spans="1:13" x14ac:dyDescent="0.3">
      <c r="A689">
        <v>687</v>
      </c>
      <c r="B689">
        <v>688</v>
      </c>
      <c r="C689" t="s">
        <v>730</v>
      </c>
      <c r="D689">
        <v>2014</v>
      </c>
      <c r="E689" t="s">
        <v>22</v>
      </c>
      <c r="F689" t="s">
        <v>687</v>
      </c>
      <c r="G689">
        <v>1</v>
      </c>
      <c r="H689">
        <v>0</v>
      </c>
      <c r="I689">
        <v>0</v>
      </c>
      <c r="J689">
        <v>0</v>
      </c>
      <c r="K689">
        <v>0</v>
      </c>
      <c r="L689">
        <f t="shared" si="20"/>
        <v>6.7</v>
      </c>
      <c r="M689">
        <f t="shared" si="21"/>
        <v>1</v>
      </c>
    </row>
    <row r="690" spans="1:13" x14ac:dyDescent="0.3">
      <c r="A690">
        <v>688</v>
      </c>
      <c r="B690">
        <v>689</v>
      </c>
      <c r="C690" t="s">
        <v>731</v>
      </c>
      <c r="D690">
        <v>2014</v>
      </c>
      <c r="E690" t="s">
        <v>22</v>
      </c>
      <c r="F690" t="s">
        <v>687</v>
      </c>
      <c r="G690">
        <v>1</v>
      </c>
      <c r="H690">
        <v>0</v>
      </c>
      <c r="I690">
        <v>0</v>
      </c>
      <c r="J690">
        <v>0</v>
      </c>
      <c r="K690">
        <v>0</v>
      </c>
      <c r="L690">
        <f t="shared" si="20"/>
        <v>6.7</v>
      </c>
      <c r="M690">
        <f t="shared" si="21"/>
        <v>1</v>
      </c>
    </row>
    <row r="691" spans="1:13" x14ac:dyDescent="0.3">
      <c r="A691">
        <v>689</v>
      </c>
      <c r="B691">
        <v>690</v>
      </c>
      <c r="C691" t="s">
        <v>732</v>
      </c>
      <c r="D691">
        <v>2021</v>
      </c>
      <c r="E691" t="s">
        <v>11</v>
      </c>
      <c r="F691" t="s">
        <v>687</v>
      </c>
      <c r="G691">
        <v>1</v>
      </c>
      <c r="H691">
        <v>0</v>
      </c>
      <c r="I691">
        <v>0</v>
      </c>
      <c r="J691">
        <v>0</v>
      </c>
      <c r="K691">
        <v>0</v>
      </c>
      <c r="L691">
        <f t="shared" si="20"/>
        <v>6.7</v>
      </c>
      <c r="M691">
        <f t="shared" si="21"/>
        <v>1</v>
      </c>
    </row>
    <row r="692" spans="1:13" x14ac:dyDescent="0.3">
      <c r="A692">
        <v>690</v>
      </c>
      <c r="B692">
        <v>691</v>
      </c>
      <c r="C692" t="s">
        <v>733</v>
      </c>
      <c r="D692">
        <v>1994</v>
      </c>
      <c r="E692" t="s">
        <v>14</v>
      </c>
      <c r="F692" t="s">
        <v>687</v>
      </c>
      <c r="G692">
        <v>1</v>
      </c>
      <c r="H692">
        <v>0</v>
      </c>
      <c r="I692">
        <v>0</v>
      </c>
      <c r="J692">
        <v>0</v>
      </c>
      <c r="K692">
        <v>0</v>
      </c>
      <c r="L692">
        <f t="shared" si="20"/>
        <v>6.7</v>
      </c>
      <c r="M692">
        <f t="shared" si="21"/>
        <v>1</v>
      </c>
    </row>
    <row r="693" spans="1:13" x14ac:dyDescent="0.3">
      <c r="A693">
        <v>691</v>
      </c>
      <c r="B693">
        <v>692</v>
      </c>
      <c r="C693" t="s">
        <v>734</v>
      </c>
      <c r="D693">
        <v>2020</v>
      </c>
      <c r="F693" t="s">
        <v>687</v>
      </c>
      <c r="G693">
        <v>1</v>
      </c>
      <c r="H693">
        <v>0</v>
      </c>
      <c r="I693">
        <v>0</v>
      </c>
      <c r="J693">
        <v>0</v>
      </c>
      <c r="K693">
        <v>0</v>
      </c>
      <c r="L693">
        <f t="shared" si="20"/>
        <v>6.7</v>
      </c>
      <c r="M693">
        <f t="shared" si="21"/>
        <v>1</v>
      </c>
    </row>
    <row r="694" spans="1:13" x14ac:dyDescent="0.3">
      <c r="A694">
        <v>692</v>
      </c>
      <c r="B694">
        <v>693</v>
      </c>
      <c r="C694" t="s">
        <v>735</v>
      </c>
      <c r="D694">
        <v>2021</v>
      </c>
      <c r="E694" t="s">
        <v>14</v>
      </c>
      <c r="F694" t="s">
        <v>687</v>
      </c>
      <c r="G694">
        <v>1</v>
      </c>
      <c r="H694">
        <v>0</v>
      </c>
      <c r="I694">
        <v>0</v>
      </c>
      <c r="J694">
        <v>0</v>
      </c>
      <c r="K694">
        <v>0</v>
      </c>
      <c r="L694">
        <f t="shared" si="20"/>
        <v>6.7</v>
      </c>
      <c r="M694">
        <f t="shared" si="21"/>
        <v>1</v>
      </c>
    </row>
    <row r="695" spans="1:13" x14ac:dyDescent="0.3">
      <c r="A695">
        <v>693</v>
      </c>
      <c r="B695">
        <v>694</v>
      </c>
      <c r="C695" t="s">
        <v>736</v>
      </c>
      <c r="D695">
        <v>2015</v>
      </c>
      <c r="F695" t="s">
        <v>687</v>
      </c>
      <c r="G695">
        <v>1</v>
      </c>
      <c r="H695">
        <v>0</v>
      </c>
      <c r="I695">
        <v>0</v>
      </c>
      <c r="J695">
        <v>0</v>
      </c>
      <c r="K695">
        <v>0</v>
      </c>
      <c r="L695">
        <f t="shared" si="20"/>
        <v>6.7</v>
      </c>
      <c r="M695">
        <f t="shared" si="21"/>
        <v>1</v>
      </c>
    </row>
    <row r="696" spans="1:13" x14ac:dyDescent="0.3">
      <c r="A696">
        <v>694</v>
      </c>
      <c r="B696">
        <v>695</v>
      </c>
      <c r="C696" t="s">
        <v>737</v>
      </c>
      <c r="D696">
        <v>2018</v>
      </c>
      <c r="E696" t="s">
        <v>11</v>
      </c>
      <c r="F696" t="s">
        <v>687</v>
      </c>
      <c r="G696">
        <v>1</v>
      </c>
      <c r="H696">
        <v>0</v>
      </c>
      <c r="I696">
        <v>0</v>
      </c>
      <c r="J696">
        <v>0</v>
      </c>
      <c r="K696">
        <v>0</v>
      </c>
      <c r="L696">
        <f t="shared" si="20"/>
        <v>6.7</v>
      </c>
      <c r="M696">
        <f t="shared" si="21"/>
        <v>1</v>
      </c>
    </row>
    <row r="697" spans="1:13" x14ac:dyDescent="0.3">
      <c r="A697">
        <v>695</v>
      </c>
      <c r="B697">
        <v>696</v>
      </c>
      <c r="C697" t="s">
        <v>738</v>
      </c>
      <c r="D697">
        <v>2019</v>
      </c>
      <c r="F697" t="s">
        <v>687</v>
      </c>
      <c r="G697">
        <v>1</v>
      </c>
      <c r="H697">
        <v>0</v>
      </c>
      <c r="I697">
        <v>0</v>
      </c>
      <c r="J697">
        <v>0</v>
      </c>
      <c r="K697">
        <v>0</v>
      </c>
      <c r="L697">
        <f t="shared" si="20"/>
        <v>6.7</v>
      </c>
      <c r="M697">
        <f t="shared" si="21"/>
        <v>1</v>
      </c>
    </row>
    <row r="698" spans="1:13" x14ac:dyDescent="0.3">
      <c r="A698">
        <v>696</v>
      </c>
      <c r="B698">
        <v>697</v>
      </c>
      <c r="C698" t="s">
        <v>739</v>
      </c>
      <c r="D698">
        <v>2017</v>
      </c>
      <c r="E698" t="s">
        <v>11</v>
      </c>
      <c r="F698" t="s">
        <v>687</v>
      </c>
      <c r="G698">
        <v>1</v>
      </c>
      <c r="H698">
        <v>0</v>
      </c>
      <c r="I698">
        <v>0</v>
      </c>
      <c r="J698">
        <v>0</v>
      </c>
      <c r="K698">
        <v>0</v>
      </c>
      <c r="L698">
        <f t="shared" si="20"/>
        <v>6.7</v>
      </c>
      <c r="M698">
        <f t="shared" si="21"/>
        <v>1</v>
      </c>
    </row>
    <row r="699" spans="1:13" x14ac:dyDescent="0.3">
      <c r="A699">
        <v>697</v>
      </c>
      <c r="B699">
        <v>698</v>
      </c>
      <c r="C699" t="s">
        <v>740</v>
      </c>
      <c r="D699">
        <v>2020</v>
      </c>
      <c r="E699" t="s">
        <v>22</v>
      </c>
      <c r="F699" t="s">
        <v>687</v>
      </c>
      <c r="G699">
        <v>1</v>
      </c>
      <c r="H699">
        <v>0</v>
      </c>
      <c r="I699">
        <v>0</v>
      </c>
      <c r="J699">
        <v>0</v>
      </c>
      <c r="K699">
        <v>0</v>
      </c>
      <c r="L699">
        <f t="shared" si="20"/>
        <v>6.7</v>
      </c>
      <c r="M699">
        <f t="shared" si="21"/>
        <v>1</v>
      </c>
    </row>
    <row r="700" spans="1:13" x14ac:dyDescent="0.3">
      <c r="A700">
        <v>698</v>
      </c>
      <c r="B700">
        <v>699</v>
      </c>
      <c r="C700" t="s">
        <v>741</v>
      </c>
      <c r="D700">
        <v>2019</v>
      </c>
      <c r="E700" t="s">
        <v>28</v>
      </c>
      <c r="F700" t="s">
        <v>687</v>
      </c>
      <c r="G700">
        <v>1</v>
      </c>
      <c r="H700">
        <v>0</v>
      </c>
      <c r="I700">
        <v>0</v>
      </c>
      <c r="J700">
        <v>0</v>
      </c>
      <c r="K700">
        <v>0</v>
      </c>
      <c r="L700">
        <f t="shared" si="20"/>
        <v>6.7</v>
      </c>
      <c r="M700">
        <f t="shared" si="21"/>
        <v>1</v>
      </c>
    </row>
    <row r="701" spans="1:13" x14ac:dyDescent="0.3">
      <c r="A701">
        <v>699</v>
      </c>
      <c r="B701">
        <v>700</v>
      </c>
      <c r="C701" t="s">
        <v>742</v>
      </c>
      <c r="D701">
        <v>2012</v>
      </c>
      <c r="E701" t="s">
        <v>14</v>
      </c>
      <c r="F701" t="s">
        <v>687</v>
      </c>
      <c r="G701">
        <v>1</v>
      </c>
      <c r="H701">
        <v>0</v>
      </c>
      <c r="I701">
        <v>0</v>
      </c>
      <c r="J701">
        <v>0</v>
      </c>
      <c r="K701">
        <v>0</v>
      </c>
      <c r="L701">
        <f t="shared" si="20"/>
        <v>6.7</v>
      </c>
      <c r="M701">
        <f t="shared" si="21"/>
        <v>1</v>
      </c>
    </row>
    <row r="702" spans="1:13" x14ac:dyDescent="0.3">
      <c r="A702">
        <v>700</v>
      </c>
      <c r="B702">
        <v>701</v>
      </c>
      <c r="C702" t="s">
        <v>743</v>
      </c>
      <c r="D702">
        <v>2019</v>
      </c>
      <c r="F702" t="s">
        <v>687</v>
      </c>
      <c r="G702">
        <v>1</v>
      </c>
      <c r="H702">
        <v>0</v>
      </c>
      <c r="I702">
        <v>0</v>
      </c>
      <c r="J702">
        <v>0</v>
      </c>
      <c r="K702">
        <v>0</v>
      </c>
      <c r="L702">
        <f t="shared" si="20"/>
        <v>6.7</v>
      </c>
      <c r="M702">
        <f t="shared" si="21"/>
        <v>1</v>
      </c>
    </row>
    <row r="703" spans="1:13" x14ac:dyDescent="0.3">
      <c r="A703">
        <v>701</v>
      </c>
      <c r="B703">
        <v>702</v>
      </c>
      <c r="C703" t="s">
        <v>744</v>
      </c>
      <c r="D703">
        <v>2015</v>
      </c>
      <c r="E703" t="s">
        <v>22</v>
      </c>
      <c r="F703" t="s">
        <v>687</v>
      </c>
      <c r="G703">
        <v>1</v>
      </c>
      <c r="H703">
        <v>0</v>
      </c>
      <c r="I703">
        <v>0</v>
      </c>
      <c r="J703">
        <v>0</v>
      </c>
      <c r="K703">
        <v>0</v>
      </c>
      <c r="L703">
        <f t="shared" si="20"/>
        <v>6.7</v>
      </c>
      <c r="M703">
        <f t="shared" si="21"/>
        <v>1</v>
      </c>
    </row>
    <row r="704" spans="1:13" x14ac:dyDescent="0.3">
      <c r="A704">
        <v>702</v>
      </c>
      <c r="B704">
        <v>703</v>
      </c>
      <c r="C704" t="s">
        <v>745</v>
      </c>
      <c r="D704">
        <v>2005</v>
      </c>
      <c r="E704" t="s">
        <v>11</v>
      </c>
      <c r="F704" t="s">
        <v>687</v>
      </c>
      <c r="G704">
        <v>1</v>
      </c>
      <c r="H704">
        <v>0</v>
      </c>
      <c r="I704">
        <v>0</v>
      </c>
      <c r="J704">
        <v>0</v>
      </c>
      <c r="K704">
        <v>0</v>
      </c>
      <c r="L704">
        <f t="shared" si="20"/>
        <v>6.7</v>
      </c>
      <c r="M704">
        <f t="shared" si="21"/>
        <v>1</v>
      </c>
    </row>
    <row r="705" spans="1:13" x14ac:dyDescent="0.3">
      <c r="A705">
        <v>703</v>
      </c>
      <c r="B705">
        <v>704</v>
      </c>
      <c r="C705" t="s">
        <v>746</v>
      </c>
      <c r="D705">
        <v>2020</v>
      </c>
      <c r="E705" t="s">
        <v>11</v>
      </c>
      <c r="F705" t="s">
        <v>687</v>
      </c>
      <c r="G705">
        <v>1</v>
      </c>
      <c r="H705">
        <v>0</v>
      </c>
      <c r="I705">
        <v>0</v>
      </c>
      <c r="J705">
        <v>0</v>
      </c>
      <c r="K705">
        <v>0</v>
      </c>
      <c r="L705">
        <f t="shared" si="20"/>
        <v>6.7</v>
      </c>
      <c r="M705">
        <f t="shared" si="21"/>
        <v>1</v>
      </c>
    </row>
    <row r="706" spans="1:13" x14ac:dyDescent="0.3">
      <c r="A706">
        <v>704</v>
      </c>
      <c r="B706">
        <v>705</v>
      </c>
      <c r="C706" t="s">
        <v>747</v>
      </c>
      <c r="D706">
        <v>2019</v>
      </c>
      <c r="E706" t="s">
        <v>11</v>
      </c>
      <c r="F706" t="s">
        <v>687</v>
      </c>
      <c r="G706">
        <v>1</v>
      </c>
      <c r="H706">
        <v>0</v>
      </c>
      <c r="I706">
        <v>0</v>
      </c>
      <c r="J706">
        <v>0</v>
      </c>
      <c r="K706">
        <v>0</v>
      </c>
      <c r="L706">
        <f t="shared" si="20"/>
        <v>6.7</v>
      </c>
      <c r="M706">
        <f t="shared" si="21"/>
        <v>1</v>
      </c>
    </row>
    <row r="707" spans="1:13" x14ac:dyDescent="0.3">
      <c r="A707">
        <v>705</v>
      </c>
      <c r="B707">
        <v>706</v>
      </c>
      <c r="C707" t="s">
        <v>748</v>
      </c>
      <c r="D707">
        <v>2021</v>
      </c>
      <c r="E707" t="s">
        <v>11</v>
      </c>
      <c r="F707" t="s">
        <v>687</v>
      </c>
      <c r="G707">
        <v>1</v>
      </c>
      <c r="H707">
        <v>0</v>
      </c>
      <c r="I707">
        <v>0</v>
      </c>
      <c r="J707">
        <v>0</v>
      </c>
      <c r="K707">
        <v>0</v>
      </c>
      <c r="L707">
        <f t="shared" ref="L707:L770" si="22">IFERROR(VALUE(LEFT(F707,FIND("/",F707)-1))/10,"")</f>
        <v>6.7</v>
      </c>
      <c r="M707">
        <f t="shared" ref="M707:M770" si="23">SUM(G707:J707)</f>
        <v>1</v>
      </c>
    </row>
    <row r="708" spans="1:13" x14ac:dyDescent="0.3">
      <c r="A708">
        <v>706</v>
      </c>
      <c r="B708">
        <v>707</v>
      </c>
      <c r="C708" t="s">
        <v>749</v>
      </c>
      <c r="D708">
        <v>2017</v>
      </c>
      <c r="E708" t="s">
        <v>11</v>
      </c>
      <c r="F708" t="s">
        <v>687</v>
      </c>
      <c r="G708">
        <v>1</v>
      </c>
      <c r="H708">
        <v>0</v>
      </c>
      <c r="I708">
        <v>0</v>
      </c>
      <c r="J708">
        <v>0</v>
      </c>
      <c r="K708">
        <v>0</v>
      </c>
      <c r="L708">
        <f t="shared" si="22"/>
        <v>6.7</v>
      </c>
      <c r="M708">
        <f t="shared" si="23"/>
        <v>1</v>
      </c>
    </row>
    <row r="709" spans="1:13" x14ac:dyDescent="0.3">
      <c r="A709">
        <v>707</v>
      </c>
      <c r="B709">
        <v>708</v>
      </c>
      <c r="C709" t="s">
        <v>750</v>
      </c>
      <c r="D709">
        <v>2017</v>
      </c>
      <c r="F709" t="s">
        <v>687</v>
      </c>
      <c r="G709">
        <v>1</v>
      </c>
      <c r="H709">
        <v>0</v>
      </c>
      <c r="I709">
        <v>0</v>
      </c>
      <c r="J709">
        <v>0</v>
      </c>
      <c r="K709">
        <v>0</v>
      </c>
      <c r="L709">
        <f t="shared" si="22"/>
        <v>6.7</v>
      </c>
      <c r="M709">
        <f t="shared" si="23"/>
        <v>1</v>
      </c>
    </row>
    <row r="710" spans="1:13" x14ac:dyDescent="0.3">
      <c r="A710">
        <v>708</v>
      </c>
      <c r="B710">
        <v>709</v>
      </c>
      <c r="C710" t="s">
        <v>751</v>
      </c>
      <c r="D710">
        <v>2010</v>
      </c>
      <c r="E710" t="s">
        <v>11</v>
      </c>
      <c r="F710" t="s">
        <v>687</v>
      </c>
      <c r="G710">
        <v>1</v>
      </c>
      <c r="H710">
        <v>0</v>
      </c>
      <c r="I710">
        <v>0</v>
      </c>
      <c r="J710">
        <v>0</v>
      </c>
      <c r="K710">
        <v>0</v>
      </c>
      <c r="L710">
        <f t="shared" si="22"/>
        <v>6.7</v>
      </c>
      <c r="M710">
        <f t="shared" si="23"/>
        <v>1</v>
      </c>
    </row>
    <row r="711" spans="1:13" x14ac:dyDescent="0.3">
      <c r="A711">
        <v>709</v>
      </c>
      <c r="B711">
        <v>710</v>
      </c>
      <c r="C711" t="s">
        <v>752</v>
      </c>
      <c r="D711">
        <v>2017</v>
      </c>
      <c r="E711" t="s">
        <v>11</v>
      </c>
      <c r="F711" t="s">
        <v>687</v>
      </c>
      <c r="G711">
        <v>1</v>
      </c>
      <c r="H711">
        <v>0</v>
      </c>
      <c r="I711">
        <v>0</v>
      </c>
      <c r="J711">
        <v>0</v>
      </c>
      <c r="K711">
        <v>0</v>
      </c>
      <c r="L711">
        <f t="shared" si="22"/>
        <v>6.7</v>
      </c>
      <c r="M711">
        <f t="shared" si="23"/>
        <v>1</v>
      </c>
    </row>
    <row r="712" spans="1:13" x14ac:dyDescent="0.3">
      <c r="A712">
        <v>710</v>
      </c>
      <c r="B712">
        <v>711</v>
      </c>
      <c r="C712" t="s">
        <v>753</v>
      </c>
      <c r="D712">
        <v>1998</v>
      </c>
      <c r="E712" t="s">
        <v>11</v>
      </c>
      <c r="F712" t="s">
        <v>687</v>
      </c>
      <c r="G712">
        <v>1</v>
      </c>
      <c r="H712">
        <v>0</v>
      </c>
      <c r="I712">
        <v>0</v>
      </c>
      <c r="J712">
        <v>0</v>
      </c>
      <c r="K712">
        <v>0</v>
      </c>
      <c r="L712">
        <f t="shared" si="22"/>
        <v>6.7</v>
      </c>
      <c r="M712">
        <f t="shared" si="23"/>
        <v>1</v>
      </c>
    </row>
    <row r="713" spans="1:13" x14ac:dyDescent="0.3">
      <c r="A713">
        <v>711</v>
      </c>
      <c r="B713">
        <v>712</v>
      </c>
      <c r="C713" t="s">
        <v>754</v>
      </c>
      <c r="D713">
        <v>2011</v>
      </c>
      <c r="E713" t="s">
        <v>14</v>
      </c>
      <c r="F713" t="s">
        <v>687</v>
      </c>
      <c r="G713">
        <v>1</v>
      </c>
      <c r="H713">
        <v>0</v>
      </c>
      <c r="I713">
        <v>0</v>
      </c>
      <c r="J713">
        <v>0</v>
      </c>
      <c r="K713">
        <v>0</v>
      </c>
      <c r="L713">
        <f t="shared" si="22"/>
        <v>6.7</v>
      </c>
      <c r="M713">
        <f t="shared" si="23"/>
        <v>1</v>
      </c>
    </row>
    <row r="714" spans="1:13" x14ac:dyDescent="0.3">
      <c r="A714">
        <v>712</v>
      </c>
      <c r="B714">
        <v>713</v>
      </c>
      <c r="C714" t="s">
        <v>755</v>
      </c>
      <c r="D714">
        <v>2014</v>
      </c>
      <c r="E714" t="s">
        <v>14</v>
      </c>
      <c r="F714" t="s">
        <v>687</v>
      </c>
      <c r="G714">
        <v>1</v>
      </c>
      <c r="H714">
        <v>0</v>
      </c>
      <c r="I714">
        <v>0</v>
      </c>
      <c r="J714">
        <v>1</v>
      </c>
      <c r="K714">
        <v>0</v>
      </c>
      <c r="L714">
        <f t="shared" si="22"/>
        <v>6.7</v>
      </c>
      <c r="M714">
        <f t="shared" si="23"/>
        <v>2</v>
      </c>
    </row>
    <row r="715" spans="1:13" x14ac:dyDescent="0.3">
      <c r="A715">
        <v>713</v>
      </c>
      <c r="B715">
        <v>714</v>
      </c>
      <c r="C715" t="s">
        <v>756</v>
      </c>
      <c r="D715">
        <v>2017</v>
      </c>
      <c r="E715" t="s">
        <v>11</v>
      </c>
      <c r="F715" t="s">
        <v>687</v>
      </c>
      <c r="G715">
        <v>1</v>
      </c>
      <c r="H715">
        <v>0</v>
      </c>
      <c r="I715">
        <v>0</v>
      </c>
      <c r="J715">
        <v>0</v>
      </c>
      <c r="K715">
        <v>0</v>
      </c>
      <c r="L715">
        <f t="shared" si="22"/>
        <v>6.7</v>
      </c>
      <c r="M715">
        <f t="shared" si="23"/>
        <v>1</v>
      </c>
    </row>
    <row r="716" spans="1:13" x14ac:dyDescent="0.3">
      <c r="A716">
        <v>714</v>
      </c>
      <c r="B716">
        <v>715</v>
      </c>
      <c r="C716" t="s">
        <v>757</v>
      </c>
      <c r="D716">
        <v>2013</v>
      </c>
      <c r="E716" t="s">
        <v>22</v>
      </c>
      <c r="F716" t="s">
        <v>758</v>
      </c>
      <c r="G716">
        <v>1</v>
      </c>
      <c r="H716">
        <v>0</v>
      </c>
      <c r="I716">
        <v>0</v>
      </c>
      <c r="J716">
        <v>0</v>
      </c>
      <c r="K716">
        <v>0</v>
      </c>
      <c r="L716">
        <f t="shared" si="22"/>
        <v>6.6</v>
      </c>
      <c r="M716">
        <f t="shared" si="23"/>
        <v>1</v>
      </c>
    </row>
    <row r="717" spans="1:13" x14ac:dyDescent="0.3">
      <c r="A717">
        <v>715</v>
      </c>
      <c r="B717">
        <v>716</v>
      </c>
      <c r="C717" t="s">
        <v>759</v>
      </c>
      <c r="D717">
        <v>2017</v>
      </c>
      <c r="F717" t="s">
        <v>758</v>
      </c>
      <c r="G717">
        <v>1</v>
      </c>
      <c r="H717">
        <v>0</v>
      </c>
      <c r="I717">
        <v>0</v>
      </c>
      <c r="J717">
        <v>0</v>
      </c>
      <c r="K717">
        <v>0</v>
      </c>
      <c r="L717">
        <f t="shared" si="22"/>
        <v>6.6</v>
      </c>
      <c r="M717">
        <f t="shared" si="23"/>
        <v>1</v>
      </c>
    </row>
    <row r="718" spans="1:13" x14ac:dyDescent="0.3">
      <c r="A718">
        <v>716</v>
      </c>
      <c r="B718">
        <v>717</v>
      </c>
      <c r="C718" t="s">
        <v>760</v>
      </c>
      <c r="D718">
        <v>2013</v>
      </c>
      <c r="E718" t="s">
        <v>28</v>
      </c>
      <c r="F718" t="s">
        <v>758</v>
      </c>
      <c r="G718">
        <v>1</v>
      </c>
      <c r="H718">
        <v>0</v>
      </c>
      <c r="I718">
        <v>0</v>
      </c>
      <c r="J718">
        <v>0</v>
      </c>
      <c r="K718">
        <v>0</v>
      </c>
      <c r="L718">
        <f t="shared" si="22"/>
        <v>6.6</v>
      </c>
      <c r="M718">
        <f t="shared" si="23"/>
        <v>1</v>
      </c>
    </row>
    <row r="719" spans="1:13" x14ac:dyDescent="0.3">
      <c r="A719">
        <v>717</v>
      </c>
      <c r="B719">
        <v>718</v>
      </c>
      <c r="C719" t="s">
        <v>761</v>
      </c>
      <c r="D719">
        <v>1998</v>
      </c>
      <c r="E719" t="s">
        <v>36</v>
      </c>
      <c r="F719" t="s">
        <v>758</v>
      </c>
      <c r="G719">
        <v>1</v>
      </c>
      <c r="H719">
        <v>0</v>
      </c>
      <c r="I719">
        <v>0</v>
      </c>
      <c r="J719">
        <v>0</v>
      </c>
      <c r="K719">
        <v>0</v>
      </c>
      <c r="L719">
        <f t="shared" si="22"/>
        <v>6.6</v>
      </c>
      <c r="M719">
        <f t="shared" si="23"/>
        <v>1</v>
      </c>
    </row>
    <row r="720" spans="1:13" x14ac:dyDescent="0.3">
      <c r="A720">
        <v>718</v>
      </c>
      <c r="B720">
        <v>719</v>
      </c>
      <c r="C720" t="s">
        <v>762</v>
      </c>
      <c r="D720">
        <v>2017</v>
      </c>
      <c r="E720" t="s">
        <v>11</v>
      </c>
      <c r="F720" t="s">
        <v>758</v>
      </c>
      <c r="G720">
        <v>1</v>
      </c>
      <c r="H720">
        <v>0</v>
      </c>
      <c r="I720">
        <v>0</v>
      </c>
      <c r="J720">
        <v>0</v>
      </c>
      <c r="K720">
        <v>0</v>
      </c>
      <c r="L720">
        <f t="shared" si="22"/>
        <v>6.6</v>
      </c>
      <c r="M720">
        <f t="shared" si="23"/>
        <v>1</v>
      </c>
    </row>
    <row r="721" spans="1:13" x14ac:dyDescent="0.3">
      <c r="A721">
        <v>719</v>
      </c>
      <c r="B721">
        <v>720</v>
      </c>
      <c r="C721" t="s">
        <v>763</v>
      </c>
      <c r="D721">
        <v>2016</v>
      </c>
      <c r="F721" t="s">
        <v>758</v>
      </c>
      <c r="G721">
        <v>1</v>
      </c>
      <c r="H721">
        <v>0</v>
      </c>
      <c r="I721">
        <v>0</v>
      </c>
      <c r="J721">
        <v>0</v>
      </c>
      <c r="K721">
        <v>0</v>
      </c>
      <c r="L721">
        <f t="shared" si="22"/>
        <v>6.6</v>
      </c>
      <c r="M721">
        <f t="shared" si="23"/>
        <v>1</v>
      </c>
    </row>
    <row r="722" spans="1:13" x14ac:dyDescent="0.3">
      <c r="A722">
        <v>720</v>
      </c>
      <c r="B722">
        <v>721</v>
      </c>
      <c r="C722" t="s">
        <v>764</v>
      </c>
      <c r="D722">
        <v>2016</v>
      </c>
      <c r="E722" t="s">
        <v>22</v>
      </c>
      <c r="F722" t="s">
        <v>758</v>
      </c>
      <c r="G722">
        <v>1</v>
      </c>
      <c r="H722">
        <v>0</v>
      </c>
      <c r="I722">
        <v>0</v>
      </c>
      <c r="J722">
        <v>0</v>
      </c>
      <c r="K722">
        <v>0</v>
      </c>
      <c r="L722">
        <f t="shared" si="22"/>
        <v>6.6</v>
      </c>
      <c r="M722">
        <f t="shared" si="23"/>
        <v>1</v>
      </c>
    </row>
    <row r="723" spans="1:13" x14ac:dyDescent="0.3">
      <c r="A723">
        <v>721</v>
      </c>
      <c r="B723">
        <v>722</v>
      </c>
      <c r="C723" t="s">
        <v>765</v>
      </c>
      <c r="D723">
        <v>2001</v>
      </c>
      <c r="F723" t="s">
        <v>758</v>
      </c>
      <c r="G723">
        <v>1</v>
      </c>
      <c r="H723">
        <v>0</v>
      </c>
      <c r="I723">
        <v>0</v>
      </c>
      <c r="J723">
        <v>0</v>
      </c>
      <c r="K723">
        <v>0</v>
      </c>
      <c r="L723">
        <f t="shared" si="22"/>
        <v>6.6</v>
      </c>
      <c r="M723">
        <f t="shared" si="23"/>
        <v>1</v>
      </c>
    </row>
    <row r="724" spans="1:13" x14ac:dyDescent="0.3">
      <c r="A724">
        <v>722</v>
      </c>
      <c r="B724">
        <v>723</v>
      </c>
      <c r="C724" t="s">
        <v>766</v>
      </c>
      <c r="D724">
        <v>2021</v>
      </c>
      <c r="E724" t="s">
        <v>11</v>
      </c>
      <c r="F724" t="s">
        <v>758</v>
      </c>
      <c r="G724">
        <v>1</v>
      </c>
      <c r="H724">
        <v>0</v>
      </c>
      <c r="I724">
        <v>0</v>
      </c>
      <c r="J724">
        <v>0</v>
      </c>
      <c r="K724">
        <v>0</v>
      </c>
      <c r="L724">
        <f t="shared" si="22"/>
        <v>6.6</v>
      </c>
      <c r="M724">
        <f t="shared" si="23"/>
        <v>1</v>
      </c>
    </row>
    <row r="725" spans="1:13" x14ac:dyDescent="0.3">
      <c r="A725">
        <v>723</v>
      </c>
      <c r="B725">
        <v>724</v>
      </c>
      <c r="C725" t="s">
        <v>767</v>
      </c>
      <c r="D725">
        <v>2019</v>
      </c>
      <c r="E725" t="s">
        <v>22</v>
      </c>
      <c r="F725" t="s">
        <v>758</v>
      </c>
      <c r="G725">
        <v>1</v>
      </c>
      <c r="H725">
        <v>0</v>
      </c>
      <c r="I725">
        <v>0</v>
      </c>
      <c r="J725">
        <v>0</v>
      </c>
      <c r="K725">
        <v>0</v>
      </c>
      <c r="L725">
        <f t="shared" si="22"/>
        <v>6.6</v>
      </c>
      <c r="M725">
        <f t="shared" si="23"/>
        <v>1</v>
      </c>
    </row>
    <row r="726" spans="1:13" x14ac:dyDescent="0.3">
      <c r="A726">
        <v>724</v>
      </c>
      <c r="B726">
        <v>725</v>
      </c>
      <c r="C726" t="s">
        <v>768</v>
      </c>
      <c r="D726">
        <v>2014</v>
      </c>
      <c r="E726" t="s">
        <v>11</v>
      </c>
      <c r="F726" t="s">
        <v>758</v>
      </c>
      <c r="G726">
        <v>1</v>
      </c>
      <c r="H726">
        <v>0</v>
      </c>
      <c r="I726">
        <v>0</v>
      </c>
      <c r="J726">
        <v>0</v>
      </c>
      <c r="K726">
        <v>0</v>
      </c>
      <c r="L726">
        <f t="shared" si="22"/>
        <v>6.6</v>
      </c>
      <c r="M726">
        <f t="shared" si="23"/>
        <v>1</v>
      </c>
    </row>
    <row r="727" spans="1:13" x14ac:dyDescent="0.3">
      <c r="A727">
        <v>725</v>
      </c>
      <c r="B727">
        <v>726</v>
      </c>
      <c r="C727" t="s">
        <v>769</v>
      </c>
      <c r="D727">
        <v>2018</v>
      </c>
      <c r="E727" t="s">
        <v>11</v>
      </c>
      <c r="F727" t="s">
        <v>758</v>
      </c>
      <c r="G727">
        <v>1</v>
      </c>
      <c r="H727">
        <v>1</v>
      </c>
      <c r="I727">
        <v>0</v>
      </c>
      <c r="J727">
        <v>0</v>
      </c>
      <c r="K727">
        <v>0</v>
      </c>
      <c r="L727">
        <f t="shared" si="22"/>
        <v>6.6</v>
      </c>
      <c r="M727">
        <f t="shared" si="23"/>
        <v>2</v>
      </c>
    </row>
    <row r="728" spans="1:13" x14ac:dyDescent="0.3">
      <c r="A728">
        <v>726</v>
      </c>
      <c r="B728">
        <v>727</v>
      </c>
      <c r="C728" t="s">
        <v>770</v>
      </c>
      <c r="D728">
        <v>2018</v>
      </c>
      <c r="E728" t="s">
        <v>11</v>
      </c>
      <c r="F728" t="s">
        <v>758</v>
      </c>
      <c r="G728">
        <v>1</v>
      </c>
      <c r="H728">
        <v>0</v>
      </c>
      <c r="I728">
        <v>0</v>
      </c>
      <c r="J728">
        <v>0</v>
      </c>
      <c r="K728">
        <v>0</v>
      </c>
      <c r="L728">
        <f t="shared" si="22"/>
        <v>6.6</v>
      </c>
      <c r="M728">
        <f t="shared" si="23"/>
        <v>1</v>
      </c>
    </row>
    <row r="729" spans="1:13" x14ac:dyDescent="0.3">
      <c r="A729">
        <v>727</v>
      </c>
      <c r="B729">
        <v>728</v>
      </c>
      <c r="C729" t="s">
        <v>771</v>
      </c>
      <c r="D729">
        <v>2016</v>
      </c>
      <c r="E729" t="s">
        <v>11</v>
      </c>
      <c r="F729" t="s">
        <v>758</v>
      </c>
      <c r="G729">
        <v>1</v>
      </c>
      <c r="H729">
        <v>0</v>
      </c>
      <c r="I729">
        <v>0</v>
      </c>
      <c r="J729">
        <v>0</v>
      </c>
      <c r="K729">
        <v>0</v>
      </c>
      <c r="L729">
        <f t="shared" si="22"/>
        <v>6.6</v>
      </c>
      <c r="M729">
        <f t="shared" si="23"/>
        <v>1</v>
      </c>
    </row>
    <row r="730" spans="1:13" x14ac:dyDescent="0.3">
      <c r="A730">
        <v>728</v>
      </c>
      <c r="B730">
        <v>729</v>
      </c>
      <c r="C730" t="s">
        <v>772</v>
      </c>
      <c r="D730">
        <v>2004</v>
      </c>
      <c r="E730" t="s">
        <v>11</v>
      </c>
      <c r="F730" t="s">
        <v>758</v>
      </c>
      <c r="G730">
        <v>1</v>
      </c>
      <c r="H730">
        <v>0</v>
      </c>
      <c r="I730">
        <v>0</v>
      </c>
      <c r="J730">
        <v>0</v>
      </c>
      <c r="K730">
        <v>0</v>
      </c>
      <c r="L730">
        <f t="shared" si="22"/>
        <v>6.6</v>
      </c>
      <c r="M730">
        <f t="shared" si="23"/>
        <v>1</v>
      </c>
    </row>
    <row r="731" spans="1:13" x14ac:dyDescent="0.3">
      <c r="A731">
        <v>729</v>
      </c>
      <c r="B731">
        <v>730</v>
      </c>
      <c r="C731" t="s">
        <v>773</v>
      </c>
      <c r="D731">
        <v>2017</v>
      </c>
      <c r="E731" t="s">
        <v>11</v>
      </c>
      <c r="F731" t="s">
        <v>758</v>
      </c>
      <c r="G731">
        <v>1</v>
      </c>
      <c r="H731">
        <v>0</v>
      </c>
      <c r="I731">
        <v>0</v>
      </c>
      <c r="J731">
        <v>0</v>
      </c>
      <c r="K731">
        <v>0</v>
      </c>
      <c r="L731">
        <f t="shared" si="22"/>
        <v>6.6</v>
      </c>
      <c r="M731">
        <f t="shared" si="23"/>
        <v>1</v>
      </c>
    </row>
    <row r="732" spans="1:13" x14ac:dyDescent="0.3">
      <c r="A732">
        <v>730</v>
      </c>
      <c r="B732">
        <v>731</v>
      </c>
      <c r="C732" t="s">
        <v>774</v>
      </c>
      <c r="D732">
        <v>2015</v>
      </c>
      <c r="E732" t="s">
        <v>11</v>
      </c>
      <c r="F732" t="s">
        <v>758</v>
      </c>
      <c r="G732">
        <v>1</v>
      </c>
      <c r="H732">
        <v>0</v>
      </c>
      <c r="I732">
        <v>0</v>
      </c>
      <c r="J732">
        <v>0</v>
      </c>
      <c r="K732">
        <v>0</v>
      </c>
      <c r="L732">
        <f t="shared" si="22"/>
        <v>6.6</v>
      </c>
      <c r="M732">
        <f t="shared" si="23"/>
        <v>1</v>
      </c>
    </row>
    <row r="733" spans="1:13" x14ac:dyDescent="0.3">
      <c r="A733">
        <v>731</v>
      </c>
      <c r="B733">
        <v>732</v>
      </c>
      <c r="C733" t="s">
        <v>775</v>
      </c>
      <c r="D733">
        <v>2016</v>
      </c>
      <c r="F733" t="s">
        <v>758</v>
      </c>
      <c r="G733">
        <v>1</v>
      </c>
      <c r="H733">
        <v>0</v>
      </c>
      <c r="I733">
        <v>0</v>
      </c>
      <c r="J733">
        <v>0</v>
      </c>
      <c r="K733">
        <v>0</v>
      </c>
      <c r="L733">
        <f t="shared" si="22"/>
        <v>6.6</v>
      </c>
      <c r="M733">
        <f t="shared" si="23"/>
        <v>1</v>
      </c>
    </row>
    <row r="734" spans="1:13" x14ac:dyDescent="0.3">
      <c r="A734">
        <v>732</v>
      </c>
      <c r="B734">
        <v>733</v>
      </c>
      <c r="C734" t="s">
        <v>776</v>
      </c>
      <c r="D734">
        <v>2018</v>
      </c>
      <c r="F734" t="s">
        <v>758</v>
      </c>
      <c r="G734">
        <v>1</v>
      </c>
      <c r="H734">
        <v>0</v>
      </c>
      <c r="I734">
        <v>0</v>
      </c>
      <c r="J734">
        <v>0</v>
      </c>
      <c r="K734">
        <v>0</v>
      </c>
      <c r="L734">
        <f t="shared" si="22"/>
        <v>6.6</v>
      </c>
      <c r="M734">
        <f t="shared" si="23"/>
        <v>1</v>
      </c>
    </row>
    <row r="735" spans="1:13" x14ac:dyDescent="0.3">
      <c r="A735">
        <v>733</v>
      </c>
      <c r="B735">
        <v>734</v>
      </c>
      <c r="C735" t="s">
        <v>777</v>
      </c>
      <c r="D735">
        <v>2021</v>
      </c>
      <c r="E735" t="s">
        <v>14</v>
      </c>
      <c r="F735" t="s">
        <v>758</v>
      </c>
      <c r="G735">
        <v>1</v>
      </c>
      <c r="H735">
        <v>0</v>
      </c>
      <c r="I735">
        <v>0</v>
      </c>
      <c r="J735">
        <v>0</v>
      </c>
      <c r="K735">
        <v>0</v>
      </c>
      <c r="L735">
        <f t="shared" si="22"/>
        <v>6.6</v>
      </c>
      <c r="M735">
        <f t="shared" si="23"/>
        <v>1</v>
      </c>
    </row>
    <row r="736" spans="1:13" x14ac:dyDescent="0.3">
      <c r="A736">
        <v>734</v>
      </c>
      <c r="B736">
        <v>735</v>
      </c>
      <c r="C736" t="s">
        <v>778</v>
      </c>
      <c r="D736">
        <v>2021</v>
      </c>
      <c r="E736" t="s">
        <v>11</v>
      </c>
      <c r="F736" t="s">
        <v>758</v>
      </c>
      <c r="G736">
        <v>1</v>
      </c>
      <c r="H736">
        <v>0</v>
      </c>
      <c r="I736">
        <v>0</v>
      </c>
      <c r="J736">
        <v>0</v>
      </c>
      <c r="K736">
        <v>0</v>
      </c>
      <c r="L736">
        <f t="shared" si="22"/>
        <v>6.6</v>
      </c>
      <c r="M736">
        <f t="shared" si="23"/>
        <v>1</v>
      </c>
    </row>
    <row r="737" spans="1:13" x14ac:dyDescent="0.3">
      <c r="A737">
        <v>735</v>
      </c>
      <c r="B737">
        <v>736</v>
      </c>
      <c r="C737" t="s">
        <v>779</v>
      </c>
      <c r="D737">
        <v>2018</v>
      </c>
      <c r="E737" t="s">
        <v>28</v>
      </c>
      <c r="F737" t="s">
        <v>758</v>
      </c>
      <c r="G737">
        <v>1</v>
      </c>
      <c r="H737">
        <v>0</v>
      </c>
      <c r="I737">
        <v>0</v>
      </c>
      <c r="J737">
        <v>0</v>
      </c>
      <c r="K737">
        <v>0</v>
      </c>
      <c r="L737">
        <f t="shared" si="22"/>
        <v>6.6</v>
      </c>
      <c r="M737">
        <f t="shared" si="23"/>
        <v>1</v>
      </c>
    </row>
    <row r="738" spans="1:13" x14ac:dyDescent="0.3">
      <c r="A738">
        <v>736</v>
      </c>
      <c r="B738">
        <v>737</v>
      </c>
      <c r="C738" t="s">
        <v>780</v>
      </c>
      <c r="D738">
        <v>2020</v>
      </c>
      <c r="F738" t="s">
        <v>758</v>
      </c>
      <c r="G738">
        <v>1</v>
      </c>
      <c r="H738">
        <v>0</v>
      </c>
      <c r="I738">
        <v>0</v>
      </c>
      <c r="J738">
        <v>0</v>
      </c>
      <c r="K738">
        <v>0</v>
      </c>
      <c r="L738">
        <f t="shared" si="22"/>
        <v>6.6</v>
      </c>
      <c r="M738">
        <f t="shared" si="23"/>
        <v>1</v>
      </c>
    </row>
    <row r="739" spans="1:13" x14ac:dyDescent="0.3">
      <c r="A739">
        <v>737</v>
      </c>
      <c r="B739">
        <v>738</v>
      </c>
      <c r="C739" t="s">
        <v>781</v>
      </c>
      <c r="D739">
        <v>2012</v>
      </c>
      <c r="E739" t="s">
        <v>11</v>
      </c>
      <c r="F739" t="s">
        <v>758</v>
      </c>
      <c r="G739">
        <v>1</v>
      </c>
      <c r="H739">
        <v>0</v>
      </c>
      <c r="I739">
        <v>0</v>
      </c>
      <c r="J739">
        <v>0</v>
      </c>
      <c r="K739">
        <v>0</v>
      </c>
      <c r="L739">
        <f t="shared" si="22"/>
        <v>6.6</v>
      </c>
      <c r="M739">
        <f t="shared" si="23"/>
        <v>1</v>
      </c>
    </row>
    <row r="740" spans="1:13" x14ac:dyDescent="0.3">
      <c r="A740">
        <v>738</v>
      </c>
      <c r="B740">
        <v>739</v>
      </c>
      <c r="C740" t="s">
        <v>782</v>
      </c>
      <c r="D740">
        <v>2019</v>
      </c>
      <c r="E740" t="s">
        <v>11</v>
      </c>
      <c r="F740" t="s">
        <v>758</v>
      </c>
      <c r="G740">
        <v>1</v>
      </c>
      <c r="H740">
        <v>0</v>
      </c>
      <c r="I740">
        <v>0</v>
      </c>
      <c r="J740">
        <v>0</v>
      </c>
      <c r="K740">
        <v>0</v>
      </c>
      <c r="L740">
        <f t="shared" si="22"/>
        <v>6.6</v>
      </c>
      <c r="M740">
        <f t="shared" si="23"/>
        <v>1</v>
      </c>
    </row>
    <row r="741" spans="1:13" x14ac:dyDescent="0.3">
      <c r="A741">
        <v>739</v>
      </c>
      <c r="B741">
        <v>740</v>
      </c>
      <c r="C741" t="s">
        <v>783</v>
      </c>
      <c r="D741">
        <v>2019</v>
      </c>
      <c r="E741" t="s">
        <v>11</v>
      </c>
      <c r="F741" t="s">
        <v>758</v>
      </c>
      <c r="G741">
        <v>1</v>
      </c>
      <c r="H741">
        <v>0</v>
      </c>
      <c r="I741">
        <v>0</v>
      </c>
      <c r="J741">
        <v>0</v>
      </c>
      <c r="K741">
        <v>0</v>
      </c>
      <c r="L741">
        <f t="shared" si="22"/>
        <v>6.6</v>
      </c>
      <c r="M741">
        <f t="shared" si="23"/>
        <v>1</v>
      </c>
    </row>
    <row r="742" spans="1:13" x14ac:dyDescent="0.3">
      <c r="A742">
        <v>740</v>
      </c>
      <c r="B742">
        <v>741</v>
      </c>
      <c r="C742" t="s">
        <v>784</v>
      </c>
      <c r="D742">
        <v>2012</v>
      </c>
      <c r="E742" t="s">
        <v>14</v>
      </c>
      <c r="F742" t="s">
        <v>758</v>
      </c>
      <c r="G742">
        <v>1</v>
      </c>
      <c r="H742">
        <v>0</v>
      </c>
      <c r="I742">
        <v>0</v>
      </c>
      <c r="J742">
        <v>0</v>
      </c>
      <c r="K742">
        <v>0</v>
      </c>
      <c r="L742">
        <f t="shared" si="22"/>
        <v>6.6</v>
      </c>
      <c r="M742">
        <f t="shared" si="23"/>
        <v>1</v>
      </c>
    </row>
    <row r="743" spans="1:13" x14ac:dyDescent="0.3">
      <c r="A743">
        <v>741</v>
      </c>
      <c r="B743">
        <v>742</v>
      </c>
      <c r="C743" t="s">
        <v>785</v>
      </c>
      <c r="D743">
        <v>2021</v>
      </c>
      <c r="E743" t="s">
        <v>11</v>
      </c>
      <c r="F743" t="s">
        <v>758</v>
      </c>
      <c r="G743">
        <v>1</v>
      </c>
      <c r="H743">
        <v>0</v>
      </c>
      <c r="I743">
        <v>0</v>
      </c>
      <c r="J743">
        <v>0</v>
      </c>
      <c r="K743">
        <v>0</v>
      </c>
      <c r="L743">
        <f t="shared" si="22"/>
        <v>6.6</v>
      </c>
      <c r="M743">
        <f t="shared" si="23"/>
        <v>1</v>
      </c>
    </row>
    <row r="744" spans="1:13" x14ac:dyDescent="0.3">
      <c r="A744">
        <v>742</v>
      </c>
      <c r="B744">
        <v>743</v>
      </c>
      <c r="C744" t="s">
        <v>786</v>
      </c>
      <c r="D744">
        <v>2007</v>
      </c>
      <c r="E744" t="s">
        <v>11</v>
      </c>
      <c r="F744" t="s">
        <v>758</v>
      </c>
      <c r="G744">
        <v>1</v>
      </c>
      <c r="H744">
        <v>0</v>
      </c>
      <c r="I744">
        <v>0</v>
      </c>
      <c r="J744">
        <v>0</v>
      </c>
      <c r="K744">
        <v>0</v>
      </c>
      <c r="L744">
        <f t="shared" si="22"/>
        <v>6.6</v>
      </c>
      <c r="M744">
        <f t="shared" si="23"/>
        <v>1</v>
      </c>
    </row>
    <row r="745" spans="1:13" x14ac:dyDescent="0.3">
      <c r="A745">
        <v>743</v>
      </c>
      <c r="B745">
        <v>744</v>
      </c>
      <c r="C745" t="s">
        <v>787</v>
      </c>
      <c r="D745">
        <v>1997</v>
      </c>
      <c r="E745" t="s">
        <v>22</v>
      </c>
      <c r="F745" t="s">
        <v>758</v>
      </c>
      <c r="G745">
        <v>1</v>
      </c>
      <c r="H745">
        <v>0</v>
      </c>
      <c r="I745">
        <v>0</v>
      </c>
      <c r="J745">
        <v>0</v>
      </c>
      <c r="K745">
        <v>0</v>
      </c>
      <c r="L745">
        <f t="shared" si="22"/>
        <v>6.6</v>
      </c>
      <c r="M745">
        <f t="shared" si="23"/>
        <v>1</v>
      </c>
    </row>
    <row r="746" spans="1:13" x14ac:dyDescent="0.3">
      <c r="A746">
        <v>744</v>
      </c>
      <c r="B746">
        <v>745</v>
      </c>
      <c r="C746" t="s">
        <v>788</v>
      </c>
      <c r="D746">
        <v>2008</v>
      </c>
      <c r="E746" t="s">
        <v>22</v>
      </c>
      <c r="F746" t="s">
        <v>758</v>
      </c>
      <c r="G746">
        <v>1</v>
      </c>
      <c r="H746">
        <v>0</v>
      </c>
      <c r="I746">
        <v>0</v>
      </c>
      <c r="J746">
        <v>0</v>
      </c>
      <c r="K746">
        <v>0</v>
      </c>
      <c r="L746">
        <f t="shared" si="22"/>
        <v>6.6</v>
      </c>
      <c r="M746">
        <f t="shared" si="23"/>
        <v>1</v>
      </c>
    </row>
    <row r="747" spans="1:13" x14ac:dyDescent="0.3">
      <c r="A747">
        <v>745</v>
      </c>
      <c r="B747">
        <v>746</v>
      </c>
      <c r="C747" t="s">
        <v>789</v>
      </c>
      <c r="D747">
        <v>2020</v>
      </c>
      <c r="E747" t="s">
        <v>11</v>
      </c>
      <c r="F747" t="s">
        <v>758</v>
      </c>
      <c r="G747">
        <v>1</v>
      </c>
      <c r="H747">
        <v>0</v>
      </c>
      <c r="I747">
        <v>0</v>
      </c>
      <c r="J747">
        <v>0</v>
      </c>
      <c r="K747">
        <v>0</v>
      </c>
      <c r="L747">
        <f t="shared" si="22"/>
        <v>6.6</v>
      </c>
      <c r="M747">
        <f t="shared" si="23"/>
        <v>1</v>
      </c>
    </row>
    <row r="748" spans="1:13" x14ac:dyDescent="0.3">
      <c r="A748">
        <v>746</v>
      </c>
      <c r="B748">
        <v>747</v>
      </c>
      <c r="C748" t="s">
        <v>790</v>
      </c>
      <c r="D748">
        <v>2013</v>
      </c>
      <c r="E748" t="s">
        <v>11</v>
      </c>
      <c r="F748" t="s">
        <v>758</v>
      </c>
      <c r="G748">
        <v>1</v>
      </c>
      <c r="H748">
        <v>0</v>
      </c>
      <c r="I748">
        <v>0</v>
      </c>
      <c r="J748">
        <v>0</v>
      </c>
      <c r="K748">
        <v>0</v>
      </c>
      <c r="L748">
        <f t="shared" si="22"/>
        <v>6.6</v>
      </c>
      <c r="M748">
        <f t="shared" si="23"/>
        <v>1</v>
      </c>
    </row>
    <row r="749" spans="1:13" x14ac:dyDescent="0.3">
      <c r="A749">
        <v>747</v>
      </c>
      <c r="B749">
        <v>748</v>
      </c>
      <c r="C749" t="s">
        <v>791</v>
      </c>
      <c r="D749">
        <v>2020</v>
      </c>
      <c r="E749" t="s">
        <v>11</v>
      </c>
      <c r="F749" t="s">
        <v>758</v>
      </c>
      <c r="G749">
        <v>1</v>
      </c>
      <c r="H749">
        <v>0</v>
      </c>
      <c r="I749">
        <v>0</v>
      </c>
      <c r="J749">
        <v>0</v>
      </c>
      <c r="K749">
        <v>0</v>
      </c>
      <c r="L749">
        <f t="shared" si="22"/>
        <v>6.6</v>
      </c>
      <c r="M749">
        <f t="shared" si="23"/>
        <v>1</v>
      </c>
    </row>
    <row r="750" spans="1:13" x14ac:dyDescent="0.3">
      <c r="A750">
        <v>748</v>
      </c>
      <c r="B750">
        <v>749</v>
      </c>
      <c r="C750" t="s">
        <v>792</v>
      </c>
      <c r="D750">
        <v>2021</v>
      </c>
      <c r="E750" t="s">
        <v>11</v>
      </c>
      <c r="F750" t="s">
        <v>758</v>
      </c>
      <c r="G750">
        <v>1</v>
      </c>
      <c r="H750">
        <v>0</v>
      </c>
      <c r="I750">
        <v>0</v>
      </c>
      <c r="J750">
        <v>0</v>
      </c>
      <c r="K750">
        <v>0</v>
      </c>
      <c r="L750">
        <f t="shared" si="22"/>
        <v>6.6</v>
      </c>
      <c r="M750">
        <f t="shared" si="23"/>
        <v>1</v>
      </c>
    </row>
    <row r="751" spans="1:13" x14ac:dyDescent="0.3">
      <c r="A751">
        <v>749</v>
      </c>
      <c r="B751">
        <v>750</v>
      </c>
      <c r="C751" t="s">
        <v>793</v>
      </c>
      <c r="D751">
        <v>2018</v>
      </c>
      <c r="E751" t="s">
        <v>22</v>
      </c>
      <c r="F751" t="s">
        <v>758</v>
      </c>
      <c r="G751">
        <v>1</v>
      </c>
      <c r="H751">
        <v>0</v>
      </c>
      <c r="I751">
        <v>0</v>
      </c>
      <c r="J751">
        <v>0</v>
      </c>
      <c r="K751">
        <v>0</v>
      </c>
      <c r="L751">
        <f t="shared" si="22"/>
        <v>6.6</v>
      </c>
      <c r="M751">
        <f t="shared" si="23"/>
        <v>1</v>
      </c>
    </row>
    <row r="752" spans="1:13" x14ac:dyDescent="0.3">
      <c r="A752">
        <v>750</v>
      </c>
      <c r="B752">
        <v>751</v>
      </c>
      <c r="C752" t="s">
        <v>794</v>
      </c>
      <c r="D752">
        <v>2019</v>
      </c>
      <c r="E752" t="s">
        <v>22</v>
      </c>
      <c r="F752" t="s">
        <v>758</v>
      </c>
      <c r="G752">
        <v>1</v>
      </c>
      <c r="H752">
        <v>0</v>
      </c>
      <c r="I752">
        <v>0</v>
      </c>
      <c r="J752">
        <v>0</v>
      </c>
      <c r="K752">
        <v>0</v>
      </c>
      <c r="L752">
        <f t="shared" si="22"/>
        <v>6.6</v>
      </c>
      <c r="M752">
        <f t="shared" si="23"/>
        <v>1</v>
      </c>
    </row>
    <row r="753" spans="1:13" x14ac:dyDescent="0.3">
      <c r="A753">
        <v>751</v>
      </c>
      <c r="B753">
        <v>752</v>
      </c>
      <c r="C753" t="s">
        <v>795</v>
      </c>
      <c r="D753">
        <v>2016</v>
      </c>
      <c r="E753" t="s">
        <v>11</v>
      </c>
      <c r="F753" t="s">
        <v>758</v>
      </c>
      <c r="G753">
        <v>1</v>
      </c>
      <c r="H753">
        <v>0</v>
      </c>
      <c r="I753">
        <v>0</v>
      </c>
      <c r="J753">
        <v>0</v>
      </c>
      <c r="K753">
        <v>0</v>
      </c>
      <c r="L753">
        <f t="shared" si="22"/>
        <v>6.6</v>
      </c>
      <c r="M753">
        <f t="shared" si="23"/>
        <v>1</v>
      </c>
    </row>
    <row r="754" spans="1:13" x14ac:dyDescent="0.3">
      <c r="A754">
        <v>752</v>
      </c>
      <c r="B754">
        <v>753</v>
      </c>
      <c r="C754" t="s">
        <v>796</v>
      </c>
      <c r="D754">
        <v>2019</v>
      </c>
      <c r="E754" t="s">
        <v>11</v>
      </c>
      <c r="F754" t="s">
        <v>758</v>
      </c>
      <c r="G754">
        <v>1</v>
      </c>
      <c r="H754">
        <v>0</v>
      </c>
      <c r="I754">
        <v>0</v>
      </c>
      <c r="J754">
        <v>0</v>
      </c>
      <c r="K754">
        <v>0</v>
      </c>
      <c r="L754">
        <f t="shared" si="22"/>
        <v>6.6</v>
      </c>
      <c r="M754">
        <f t="shared" si="23"/>
        <v>1</v>
      </c>
    </row>
    <row r="755" spans="1:13" x14ac:dyDescent="0.3">
      <c r="A755">
        <v>753</v>
      </c>
      <c r="B755">
        <v>754</v>
      </c>
      <c r="C755" t="s">
        <v>797</v>
      </c>
      <c r="D755">
        <v>2018</v>
      </c>
      <c r="E755" t="s">
        <v>14</v>
      </c>
      <c r="F755" t="s">
        <v>758</v>
      </c>
      <c r="G755">
        <v>1</v>
      </c>
      <c r="H755">
        <v>0</v>
      </c>
      <c r="I755">
        <v>0</v>
      </c>
      <c r="J755">
        <v>0</v>
      </c>
      <c r="K755">
        <v>0</v>
      </c>
      <c r="L755">
        <f t="shared" si="22"/>
        <v>6.6</v>
      </c>
      <c r="M755">
        <f t="shared" si="23"/>
        <v>1</v>
      </c>
    </row>
    <row r="756" spans="1:13" x14ac:dyDescent="0.3">
      <c r="A756">
        <v>754</v>
      </c>
      <c r="B756">
        <v>755</v>
      </c>
      <c r="C756" t="s">
        <v>798</v>
      </c>
      <c r="D756">
        <v>2008</v>
      </c>
      <c r="E756" t="s">
        <v>22</v>
      </c>
      <c r="F756" t="s">
        <v>758</v>
      </c>
      <c r="G756">
        <v>1</v>
      </c>
      <c r="H756">
        <v>0</v>
      </c>
      <c r="I756">
        <v>0</v>
      </c>
      <c r="J756">
        <v>0</v>
      </c>
      <c r="K756">
        <v>0</v>
      </c>
      <c r="L756">
        <f t="shared" si="22"/>
        <v>6.6</v>
      </c>
      <c r="M756">
        <f t="shared" si="23"/>
        <v>1</v>
      </c>
    </row>
    <row r="757" spans="1:13" x14ac:dyDescent="0.3">
      <c r="A757">
        <v>755</v>
      </c>
      <c r="B757">
        <v>756</v>
      </c>
      <c r="C757" t="s">
        <v>799</v>
      </c>
      <c r="D757">
        <v>2018</v>
      </c>
      <c r="E757" t="s">
        <v>11</v>
      </c>
      <c r="F757" t="s">
        <v>758</v>
      </c>
      <c r="G757">
        <v>1</v>
      </c>
      <c r="H757">
        <v>0</v>
      </c>
      <c r="I757">
        <v>0</v>
      </c>
      <c r="J757">
        <v>0</v>
      </c>
      <c r="K757">
        <v>0</v>
      </c>
      <c r="L757">
        <f t="shared" si="22"/>
        <v>6.6</v>
      </c>
      <c r="M757">
        <f t="shared" si="23"/>
        <v>1</v>
      </c>
    </row>
    <row r="758" spans="1:13" x14ac:dyDescent="0.3">
      <c r="A758">
        <v>756</v>
      </c>
      <c r="B758">
        <v>757</v>
      </c>
      <c r="C758" t="s">
        <v>800</v>
      </c>
      <c r="D758">
        <v>2018</v>
      </c>
      <c r="E758" t="s">
        <v>11</v>
      </c>
      <c r="F758" t="s">
        <v>758</v>
      </c>
      <c r="G758">
        <v>1</v>
      </c>
      <c r="H758">
        <v>0</v>
      </c>
      <c r="I758">
        <v>0</v>
      </c>
      <c r="J758">
        <v>0</v>
      </c>
      <c r="K758">
        <v>0</v>
      </c>
      <c r="L758">
        <f t="shared" si="22"/>
        <v>6.6</v>
      </c>
      <c r="M758">
        <f t="shared" si="23"/>
        <v>1</v>
      </c>
    </row>
    <row r="759" spans="1:13" x14ac:dyDescent="0.3">
      <c r="A759">
        <v>757</v>
      </c>
      <c r="B759">
        <v>758</v>
      </c>
      <c r="C759" t="s">
        <v>801</v>
      </c>
      <c r="D759">
        <v>2003</v>
      </c>
      <c r="E759" t="s">
        <v>14</v>
      </c>
      <c r="F759" t="s">
        <v>758</v>
      </c>
      <c r="G759">
        <v>1</v>
      </c>
      <c r="H759">
        <v>0</v>
      </c>
      <c r="I759">
        <v>0</v>
      </c>
      <c r="J759">
        <v>0</v>
      </c>
      <c r="K759">
        <v>0</v>
      </c>
      <c r="L759">
        <f t="shared" si="22"/>
        <v>6.6</v>
      </c>
      <c r="M759">
        <f t="shared" si="23"/>
        <v>1</v>
      </c>
    </row>
    <row r="760" spans="1:13" x14ac:dyDescent="0.3">
      <c r="A760">
        <v>758</v>
      </c>
      <c r="B760">
        <v>759</v>
      </c>
      <c r="C760" t="s">
        <v>802</v>
      </c>
      <c r="D760">
        <v>1990</v>
      </c>
      <c r="E760" t="s">
        <v>22</v>
      </c>
      <c r="F760" t="s">
        <v>758</v>
      </c>
      <c r="G760">
        <v>1</v>
      </c>
      <c r="H760">
        <v>0</v>
      </c>
      <c r="I760">
        <v>0</v>
      </c>
      <c r="J760">
        <v>0</v>
      </c>
      <c r="K760">
        <v>0</v>
      </c>
      <c r="L760">
        <f t="shared" si="22"/>
        <v>6.6</v>
      </c>
      <c r="M760">
        <f t="shared" si="23"/>
        <v>1</v>
      </c>
    </row>
    <row r="761" spans="1:13" x14ac:dyDescent="0.3">
      <c r="A761">
        <v>759</v>
      </c>
      <c r="B761">
        <v>760</v>
      </c>
      <c r="C761" t="s">
        <v>803</v>
      </c>
      <c r="D761">
        <v>2010</v>
      </c>
      <c r="E761" t="s">
        <v>11</v>
      </c>
      <c r="F761" t="s">
        <v>758</v>
      </c>
      <c r="G761">
        <v>1</v>
      </c>
      <c r="H761">
        <v>0</v>
      </c>
      <c r="I761">
        <v>0</v>
      </c>
      <c r="J761">
        <v>0</v>
      </c>
      <c r="K761">
        <v>0</v>
      </c>
      <c r="L761">
        <f t="shared" si="22"/>
        <v>6.6</v>
      </c>
      <c r="M761">
        <f t="shared" si="23"/>
        <v>1</v>
      </c>
    </row>
    <row r="762" spans="1:13" x14ac:dyDescent="0.3">
      <c r="A762">
        <v>760</v>
      </c>
      <c r="B762">
        <v>761</v>
      </c>
      <c r="C762" t="s">
        <v>804</v>
      </c>
      <c r="D762">
        <v>2016</v>
      </c>
      <c r="E762" t="s">
        <v>11</v>
      </c>
      <c r="F762" t="s">
        <v>758</v>
      </c>
      <c r="G762">
        <v>1</v>
      </c>
      <c r="H762">
        <v>0</v>
      </c>
      <c r="I762">
        <v>0</v>
      </c>
      <c r="J762">
        <v>0</v>
      </c>
      <c r="K762">
        <v>0</v>
      </c>
      <c r="L762">
        <f t="shared" si="22"/>
        <v>6.6</v>
      </c>
      <c r="M762">
        <f t="shared" si="23"/>
        <v>1</v>
      </c>
    </row>
    <row r="763" spans="1:13" x14ac:dyDescent="0.3">
      <c r="A763">
        <v>761</v>
      </c>
      <c r="B763">
        <v>762</v>
      </c>
      <c r="C763" t="s">
        <v>805</v>
      </c>
      <c r="D763">
        <v>2018</v>
      </c>
      <c r="E763" t="s">
        <v>11</v>
      </c>
      <c r="F763" t="s">
        <v>758</v>
      </c>
      <c r="G763">
        <v>1</v>
      </c>
      <c r="H763">
        <v>0</v>
      </c>
      <c r="I763">
        <v>0</v>
      </c>
      <c r="J763">
        <v>0</v>
      </c>
      <c r="K763">
        <v>0</v>
      </c>
      <c r="L763">
        <f t="shared" si="22"/>
        <v>6.6</v>
      </c>
      <c r="M763">
        <f t="shared" si="23"/>
        <v>1</v>
      </c>
    </row>
    <row r="764" spans="1:13" x14ac:dyDescent="0.3">
      <c r="A764">
        <v>762</v>
      </c>
      <c r="B764">
        <v>763</v>
      </c>
      <c r="C764" t="s">
        <v>806</v>
      </c>
      <c r="D764">
        <v>2020</v>
      </c>
      <c r="F764" t="s">
        <v>758</v>
      </c>
      <c r="G764">
        <v>1</v>
      </c>
      <c r="H764">
        <v>0</v>
      </c>
      <c r="I764">
        <v>0</v>
      </c>
      <c r="J764">
        <v>0</v>
      </c>
      <c r="K764">
        <v>0</v>
      </c>
      <c r="L764">
        <f t="shared" si="22"/>
        <v>6.6</v>
      </c>
      <c r="M764">
        <f t="shared" si="23"/>
        <v>1</v>
      </c>
    </row>
    <row r="765" spans="1:13" x14ac:dyDescent="0.3">
      <c r="A765">
        <v>763</v>
      </c>
      <c r="B765">
        <v>764</v>
      </c>
      <c r="C765" t="s">
        <v>807</v>
      </c>
      <c r="D765">
        <v>2011</v>
      </c>
      <c r="E765" t="s">
        <v>22</v>
      </c>
      <c r="F765" t="s">
        <v>758</v>
      </c>
      <c r="G765">
        <v>1</v>
      </c>
      <c r="H765">
        <v>0</v>
      </c>
      <c r="I765">
        <v>1</v>
      </c>
      <c r="J765">
        <v>0</v>
      </c>
      <c r="K765">
        <v>0</v>
      </c>
      <c r="L765">
        <f t="shared" si="22"/>
        <v>6.6</v>
      </c>
      <c r="M765">
        <f t="shared" si="23"/>
        <v>2</v>
      </c>
    </row>
    <row r="766" spans="1:13" x14ac:dyDescent="0.3">
      <c r="A766">
        <v>764</v>
      </c>
      <c r="B766">
        <v>765</v>
      </c>
      <c r="C766" t="s">
        <v>808</v>
      </c>
      <c r="D766">
        <v>2014</v>
      </c>
      <c r="F766" t="s">
        <v>758</v>
      </c>
      <c r="G766">
        <v>1</v>
      </c>
      <c r="H766">
        <v>0</v>
      </c>
      <c r="I766">
        <v>0</v>
      </c>
      <c r="J766">
        <v>0</v>
      </c>
      <c r="K766">
        <v>0</v>
      </c>
      <c r="L766">
        <f t="shared" si="22"/>
        <v>6.6</v>
      </c>
      <c r="M766">
        <f t="shared" si="23"/>
        <v>1</v>
      </c>
    </row>
    <row r="767" spans="1:13" x14ac:dyDescent="0.3">
      <c r="A767">
        <v>765</v>
      </c>
      <c r="B767">
        <v>766</v>
      </c>
      <c r="C767" t="s">
        <v>809</v>
      </c>
      <c r="D767">
        <v>2019</v>
      </c>
      <c r="E767" t="s">
        <v>11</v>
      </c>
      <c r="F767" t="s">
        <v>758</v>
      </c>
      <c r="G767">
        <v>1</v>
      </c>
      <c r="H767">
        <v>0</v>
      </c>
      <c r="I767">
        <v>0</v>
      </c>
      <c r="J767">
        <v>0</v>
      </c>
      <c r="K767">
        <v>0</v>
      </c>
      <c r="L767">
        <f t="shared" si="22"/>
        <v>6.6</v>
      </c>
      <c r="M767">
        <f t="shared" si="23"/>
        <v>1</v>
      </c>
    </row>
    <row r="768" spans="1:13" x14ac:dyDescent="0.3">
      <c r="A768">
        <v>766</v>
      </c>
      <c r="B768">
        <v>767</v>
      </c>
      <c r="C768" t="s">
        <v>810</v>
      </c>
      <c r="D768">
        <v>2014</v>
      </c>
      <c r="F768" t="s">
        <v>758</v>
      </c>
      <c r="G768">
        <v>1</v>
      </c>
      <c r="H768">
        <v>0</v>
      </c>
      <c r="I768">
        <v>0</v>
      </c>
      <c r="J768">
        <v>0</v>
      </c>
      <c r="K768">
        <v>0</v>
      </c>
      <c r="L768">
        <f t="shared" si="22"/>
        <v>6.6</v>
      </c>
      <c r="M768">
        <f t="shared" si="23"/>
        <v>1</v>
      </c>
    </row>
    <row r="769" spans="1:13" x14ac:dyDescent="0.3">
      <c r="A769">
        <v>767</v>
      </c>
      <c r="B769">
        <v>768</v>
      </c>
      <c r="C769" t="s">
        <v>811</v>
      </c>
      <c r="D769">
        <v>2013</v>
      </c>
      <c r="E769" t="s">
        <v>11</v>
      </c>
      <c r="F769" t="s">
        <v>758</v>
      </c>
      <c r="G769">
        <v>1</v>
      </c>
      <c r="H769">
        <v>0</v>
      </c>
      <c r="I769">
        <v>0</v>
      </c>
      <c r="J769">
        <v>0</v>
      </c>
      <c r="K769">
        <v>0</v>
      </c>
      <c r="L769">
        <f t="shared" si="22"/>
        <v>6.6</v>
      </c>
      <c r="M769">
        <f t="shared" si="23"/>
        <v>1</v>
      </c>
    </row>
    <row r="770" spans="1:13" x14ac:dyDescent="0.3">
      <c r="A770">
        <v>768</v>
      </c>
      <c r="B770">
        <v>769</v>
      </c>
      <c r="C770" t="s">
        <v>812</v>
      </c>
      <c r="D770">
        <v>2015</v>
      </c>
      <c r="E770" t="s">
        <v>11</v>
      </c>
      <c r="F770" t="s">
        <v>758</v>
      </c>
      <c r="G770">
        <v>1</v>
      </c>
      <c r="H770">
        <v>0</v>
      </c>
      <c r="I770">
        <v>0</v>
      </c>
      <c r="J770">
        <v>0</v>
      </c>
      <c r="K770">
        <v>0</v>
      </c>
      <c r="L770">
        <f t="shared" si="22"/>
        <v>6.6</v>
      </c>
      <c r="M770">
        <f t="shared" si="23"/>
        <v>1</v>
      </c>
    </row>
    <row r="771" spans="1:13" x14ac:dyDescent="0.3">
      <c r="A771">
        <v>769</v>
      </c>
      <c r="B771">
        <v>770</v>
      </c>
      <c r="C771" t="s">
        <v>813</v>
      </c>
      <c r="D771">
        <v>2019</v>
      </c>
      <c r="E771" t="s">
        <v>22</v>
      </c>
      <c r="F771" t="s">
        <v>814</v>
      </c>
      <c r="G771">
        <v>1</v>
      </c>
      <c r="H771">
        <v>0</v>
      </c>
      <c r="I771">
        <v>0</v>
      </c>
      <c r="J771">
        <v>0</v>
      </c>
      <c r="K771">
        <v>0</v>
      </c>
      <c r="L771">
        <f t="shared" ref="L771:L834" si="24">IFERROR(VALUE(LEFT(F771,FIND("/",F771)-1))/10,"")</f>
        <v>6.5</v>
      </c>
      <c r="M771">
        <f t="shared" ref="M771:M834" si="25">SUM(G771:J771)</f>
        <v>1</v>
      </c>
    </row>
    <row r="772" spans="1:13" x14ac:dyDescent="0.3">
      <c r="A772">
        <v>770</v>
      </c>
      <c r="B772">
        <v>771</v>
      </c>
      <c r="C772" t="s">
        <v>815</v>
      </c>
      <c r="D772">
        <v>2010</v>
      </c>
      <c r="E772" t="s">
        <v>22</v>
      </c>
      <c r="F772" t="s">
        <v>814</v>
      </c>
      <c r="G772">
        <v>1</v>
      </c>
      <c r="H772">
        <v>0</v>
      </c>
      <c r="I772">
        <v>0</v>
      </c>
      <c r="J772">
        <v>0</v>
      </c>
      <c r="K772">
        <v>0</v>
      </c>
      <c r="L772">
        <f t="shared" si="24"/>
        <v>6.5</v>
      </c>
      <c r="M772">
        <f t="shared" si="25"/>
        <v>1</v>
      </c>
    </row>
    <row r="773" spans="1:13" x14ac:dyDescent="0.3">
      <c r="A773">
        <v>771</v>
      </c>
      <c r="B773">
        <v>772</v>
      </c>
      <c r="C773" t="s">
        <v>816</v>
      </c>
      <c r="D773">
        <v>2018</v>
      </c>
      <c r="E773" t="s">
        <v>36</v>
      </c>
      <c r="F773" t="s">
        <v>814</v>
      </c>
      <c r="G773">
        <v>1</v>
      </c>
      <c r="H773">
        <v>0</v>
      </c>
      <c r="I773">
        <v>0</v>
      </c>
      <c r="J773">
        <v>0</v>
      </c>
      <c r="K773">
        <v>0</v>
      </c>
      <c r="L773">
        <f t="shared" si="24"/>
        <v>6.5</v>
      </c>
      <c r="M773">
        <f t="shared" si="25"/>
        <v>1</v>
      </c>
    </row>
    <row r="774" spans="1:13" x14ac:dyDescent="0.3">
      <c r="A774">
        <v>772</v>
      </c>
      <c r="B774">
        <v>773</v>
      </c>
      <c r="C774" t="s">
        <v>817</v>
      </c>
      <c r="D774">
        <v>2018</v>
      </c>
      <c r="E774" t="s">
        <v>22</v>
      </c>
      <c r="F774" t="s">
        <v>814</v>
      </c>
      <c r="G774">
        <v>1</v>
      </c>
      <c r="H774">
        <v>0</v>
      </c>
      <c r="I774">
        <v>0</v>
      </c>
      <c r="J774">
        <v>0</v>
      </c>
      <c r="K774">
        <v>0</v>
      </c>
      <c r="L774">
        <f t="shared" si="24"/>
        <v>6.5</v>
      </c>
      <c r="M774">
        <f t="shared" si="25"/>
        <v>1</v>
      </c>
    </row>
    <row r="775" spans="1:13" x14ac:dyDescent="0.3">
      <c r="A775">
        <v>773</v>
      </c>
      <c r="B775">
        <v>774</v>
      </c>
      <c r="C775" t="s">
        <v>818</v>
      </c>
      <c r="D775">
        <v>2017</v>
      </c>
      <c r="E775" t="s">
        <v>28</v>
      </c>
      <c r="F775" t="s">
        <v>814</v>
      </c>
      <c r="G775">
        <v>1</v>
      </c>
      <c r="H775">
        <v>0</v>
      </c>
      <c r="I775">
        <v>0</v>
      </c>
      <c r="J775">
        <v>0</v>
      </c>
      <c r="K775">
        <v>0</v>
      </c>
      <c r="L775">
        <f t="shared" si="24"/>
        <v>6.5</v>
      </c>
      <c r="M775">
        <f t="shared" si="25"/>
        <v>1</v>
      </c>
    </row>
    <row r="776" spans="1:13" x14ac:dyDescent="0.3">
      <c r="A776">
        <v>774</v>
      </c>
      <c r="B776">
        <v>775</v>
      </c>
      <c r="C776" t="s">
        <v>819</v>
      </c>
      <c r="D776">
        <v>1989</v>
      </c>
      <c r="E776" t="s">
        <v>14</v>
      </c>
      <c r="F776" t="s">
        <v>814</v>
      </c>
      <c r="G776">
        <v>1</v>
      </c>
      <c r="H776">
        <v>0</v>
      </c>
      <c r="I776">
        <v>0</v>
      </c>
      <c r="J776">
        <v>0</v>
      </c>
      <c r="K776">
        <v>0</v>
      </c>
      <c r="L776">
        <f t="shared" si="24"/>
        <v>6.5</v>
      </c>
      <c r="M776">
        <f t="shared" si="25"/>
        <v>1</v>
      </c>
    </row>
    <row r="777" spans="1:13" x14ac:dyDescent="0.3">
      <c r="A777">
        <v>775</v>
      </c>
      <c r="B777">
        <v>776</v>
      </c>
      <c r="C777" t="s">
        <v>820</v>
      </c>
      <c r="D777">
        <v>2021</v>
      </c>
      <c r="E777" t="s">
        <v>11</v>
      </c>
      <c r="F777" t="s">
        <v>814</v>
      </c>
      <c r="G777">
        <v>1</v>
      </c>
      <c r="H777">
        <v>0</v>
      </c>
      <c r="I777">
        <v>0</v>
      </c>
      <c r="J777">
        <v>0</v>
      </c>
      <c r="K777">
        <v>0</v>
      </c>
      <c r="L777">
        <f t="shared" si="24"/>
        <v>6.5</v>
      </c>
      <c r="M777">
        <f t="shared" si="25"/>
        <v>1</v>
      </c>
    </row>
    <row r="778" spans="1:13" x14ac:dyDescent="0.3">
      <c r="A778">
        <v>776</v>
      </c>
      <c r="B778">
        <v>777</v>
      </c>
      <c r="C778" t="s">
        <v>821</v>
      </c>
      <c r="D778">
        <v>2013</v>
      </c>
      <c r="F778" t="s">
        <v>814</v>
      </c>
      <c r="G778">
        <v>1</v>
      </c>
      <c r="H778">
        <v>0</v>
      </c>
      <c r="I778">
        <v>0</v>
      </c>
      <c r="J778">
        <v>0</v>
      </c>
      <c r="K778">
        <v>0</v>
      </c>
      <c r="L778">
        <f t="shared" si="24"/>
        <v>6.5</v>
      </c>
      <c r="M778">
        <f t="shared" si="25"/>
        <v>1</v>
      </c>
    </row>
    <row r="779" spans="1:13" x14ac:dyDescent="0.3">
      <c r="A779">
        <v>777</v>
      </c>
      <c r="B779">
        <v>778</v>
      </c>
      <c r="C779" t="s">
        <v>822</v>
      </c>
      <c r="D779">
        <v>1998</v>
      </c>
      <c r="E779" t="s">
        <v>11</v>
      </c>
      <c r="F779" t="s">
        <v>814</v>
      </c>
      <c r="G779">
        <v>1</v>
      </c>
      <c r="H779">
        <v>0</v>
      </c>
      <c r="I779">
        <v>0</v>
      </c>
      <c r="J779">
        <v>0</v>
      </c>
      <c r="K779">
        <v>0</v>
      </c>
      <c r="L779">
        <f t="shared" si="24"/>
        <v>6.5</v>
      </c>
      <c r="M779">
        <f t="shared" si="25"/>
        <v>1</v>
      </c>
    </row>
    <row r="780" spans="1:13" x14ac:dyDescent="0.3">
      <c r="A780">
        <v>778</v>
      </c>
      <c r="B780">
        <v>779</v>
      </c>
      <c r="C780" t="s">
        <v>823</v>
      </c>
      <c r="D780">
        <v>2016</v>
      </c>
      <c r="E780" t="s">
        <v>11</v>
      </c>
      <c r="F780" t="s">
        <v>814</v>
      </c>
      <c r="G780">
        <v>1</v>
      </c>
      <c r="H780">
        <v>1</v>
      </c>
      <c r="I780">
        <v>0</v>
      </c>
      <c r="J780">
        <v>0</v>
      </c>
      <c r="K780">
        <v>0</v>
      </c>
      <c r="L780">
        <f t="shared" si="24"/>
        <v>6.5</v>
      </c>
      <c r="M780">
        <f t="shared" si="25"/>
        <v>2</v>
      </c>
    </row>
    <row r="781" spans="1:13" x14ac:dyDescent="0.3">
      <c r="A781">
        <v>779</v>
      </c>
      <c r="B781">
        <v>780</v>
      </c>
      <c r="C781" t="s">
        <v>824</v>
      </c>
      <c r="D781">
        <v>2017</v>
      </c>
      <c r="F781" t="s">
        <v>814</v>
      </c>
      <c r="G781">
        <v>1</v>
      </c>
      <c r="H781">
        <v>0</v>
      </c>
      <c r="I781">
        <v>0</v>
      </c>
      <c r="J781">
        <v>0</v>
      </c>
      <c r="K781">
        <v>0</v>
      </c>
      <c r="L781">
        <f t="shared" si="24"/>
        <v>6.5</v>
      </c>
      <c r="M781">
        <f t="shared" si="25"/>
        <v>1</v>
      </c>
    </row>
    <row r="782" spans="1:13" x14ac:dyDescent="0.3">
      <c r="A782">
        <v>780</v>
      </c>
      <c r="B782">
        <v>781</v>
      </c>
      <c r="C782" t="s">
        <v>825</v>
      </c>
      <c r="D782">
        <v>2019</v>
      </c>
      <c r="E782" t="s">
        <v>11</v>
      </c>
      <c r="F782" t="s">
        <v>814</v>
      </c>
      <c r="G782">
        <v>1</v>
      </c>
      <c r="H782">
        <v>0</v>
      </c>
      <c r="I782">
        <v>0</v>
      </c>
      <c r="J782">
        <v>0</v>
      </c>
      <c r="K782">
        <v>0</v>
      </c>
      <c r="L782">
        <f t="shared" si="24"/>
        <v>6.5</v>
      </c>
      <c r="M782">
        <f t="shared" si="25"/>
        <v>1</v>
      </c>
    </row>
    <row r="783" spans="1:13" x14ac:dyDescent="0.3">
      <c r="A783">
        <v>781</v>
      </c>
      <c r="B783">
        <v>782</v>
      </c>
      <c r="C783" t="s">
        <v>826</v>
      </c>
      <c r="D783">
        <v>2017</v>
      </c>
      <c r="E783" t="s">
        <v>28</v>
      </c>
      <c r="F783" t="s">
        <v>814</v>
      </c>
      <c r="G783">
        <v>1</v>
      </c>
      <c r="H783">
        <v>0</v>
      </c>
      <c r="I783">
        <v>0</v>
      </c>
      <c r="J783">
        <v>0</v>
      </c>
      <c r="K783">
        <v>0</v>
      </c>
      <c r="L783">
        <f t="shared" si="24"/>
        <v>6.5</v>
      </c>
      <c r="M783">
        <f t="shared" si="25"/>
        <v>1</v>
      </c>
    </row>
    <row r="784" spans="1:13" x14ac:dyDescent="0.3">
      <c r="A784">
        <v>782</v>
      </c>
      <c r="B784">
        <v>783</v>
      </c>
      <c r="C784" t="s">
        <v>827</v>
      </c>
      <c r="D784">
        <v>2016</v>
      </c>
      <c r="F784" t="s">
        <v>814</v>
      </c>
      <c r="G784">
        <v>1</v>
      </c>
      <c r="H784">
        <v>0</v>
      </c>
      <c r="I784">
        <v>0</v>
      </c>
      <c r="J784">
        <v>0</v>
      </c>
      <c r="K784">
        <v>0</v>
      </c>
      <c r="L784">
        <f t="shared" si="24"/>
        <v>6.5</v>
      </c>
      <c r="M784">
        <f t="shared" si="25"/>
        <v>1</v>
      </c>
    </row>
    <row r="785" spans="1:13" x14ac:dyDescent="0.3">
      <c r="A785">
        <v>783</v>
      </c>
      <c r="B785">
        <v>784</v>
      </c>
      <c r="C785" t="s">
        <v>828</v>
      </c>
      <c r="D785">
        <v>2017</v>
      </c>
      <c r="E785" t="s">
        <v>28</v>
      </c>
      <c r="F785" t="s">
        <v>814</v>
      </c>
      <c r="G785">
        <v>1</v>
      </c>
      <c r="H785">
        <v>0</v>
      </c>
      <c r="I785">
        <v>0</v>
      </c>
      <c r="J785">
        <v>0</v>
      </c>
      <c r="K785">
        <v>0</v>
      </c>
      <c r="L785">
        <f t="shared" si="24"/>
        <v>6.5</v>
      </c>
      <c r="M785">
        <f t="shared" si="25"/>
        <v>1</v>
      </c>
    </row>
    <row r="786" spans="1:13" x14ac:dyDescent="0.3">
      <c r="A786">
        <v>784</v>
      </c>
      <c r="B786">
        <v>785</v>
      </c>
      <c r="C786" t="s">
        <v>829</v>
      </c>
      <c r="D786">
        <v>2018</v>
      </c>
      <c r="F786" t="s">
        <v>814</v>
      </c>
      <c r="G786">
        <v>1</v>
      </c>
      <c r="H786">
        <v>0</v>
      </c>
      <c r="I786">
        <v>0</v>
      </c>
      <c r="J786">
        <v>0</v>
      </c>
      <c r="K786">
        <v>0</v>
      </c>
      <c r="L786">
        <f t="shared" si="24"/>
        <v>6.5</v>
      </c>
      <c r="M786">
        <f t="shared" si="25"/>
        <v>1</v>
      </c>
    </row>
    <row r="787" spans="1:13" x14ac:dyDescent="0.3">
      <c r="A787">
        <v>785</v>
      </c>
      <c r="B787">
        <v>786</v>
      </c>
      <c r="C787" t="s">
        <v>830</v>
      </c>
      <c r="D787">
        <v>2019</v>
      </c>
      <c r="E787" t="s">
        <v>11</v>
      </c>
      <c r="F787" t="s">
        <v>814</v>
      </c>
      <c r="G787">
        <v>1</v>
      </c>
      <c r="H787">
        <v>0</v>
      </c>
      <c r="I787">
        <v>0</v>
      </c>
      <c r="J787">
        <v>0</v>
      </c>
      <c r="K787">
        <v>0</v>
      </c>
      <c r="L787">
        <f t="shared" si="24"/>
        <v>6.5</v>
      </c>
      <c r="M787">
        <f t="shared" si="25"/>
        <v>1</v>
      </c>
    </row>
    <row r="788" spans="1:13" x14ac:dyDescent="0.3">
      <c r="A788">
        <v>786</v>
      </c>
      <c r="B788">
        <v>787</v>
      </c>
      <c r="C788" t="s">
        <v>831</v>
      </c>
      <c r="D788">
        <v>2018</v>
      </c>
      <c r="F788" t="s">
        <v>814</v>
      </c>
      <c r="G788">
        <v>1</v>
      </c>
      <c r="H788">
        <v>0</v>
      </c>
      <c r="I788">
        <v>0</v>
      </c>
      <c r="J788">
        <v>0</v>
      </c>
      <c r="K788">
        <v>0</v>
      </c>
      <c r="L788">
        <f t="shared" si="24"/>
        <v>6.5</v>
      </c>
      <c r="M788">
        <f t="shared" si="25"/>
        <v>1</v>
      </c>
    </row>
    <row r="789" spans="1:13" x14ac:dyDescent="0.3">
      <c r="A789">
        <v>787</v>
      </c>
      <c r="B789">
        <v>788</v>
      </c>
      <c r="C789" t="s">
        <v>832</v>
      </c>
      <c r="D789">
        <v>1995</v>
      </c>
      <c r="E789" t="s">
        <v>22</v>
      </c>
      <c r="F789" t="s">
        <v>814</v>
      </c>
      <c r="G789">
        <v>1</v>
      </c>
      <c r="H789">
        <v>0</v>
      </c>
      <c r="I789">
        <v>0</v>
      </c>
      <c r="J789">
        <v>0</v>
      </c>
      <c r="K789">
        <v>0</v>
      </c>
      <c r="L789">
        <f t="shared" si="24"/>
        <v>6.5</v>
      </c>
      <c r="M789">
        <f t="shared" si="25"/>
        <v>1</v>
      </c>
    </row>
    <row r="790" spans="1:13" x14ac:dyDescent="0.3">
      <c r="A790">
        <v>788</v>
      </c>
      <c r="B790">
        <v>789</v>
      </c>
      <c r="C790" t="s">
        <v>833</v>
      </c>
      <c r="D790">
        <v>2020</v>
      </c>
      <c r="E790" t="s">
        <v>22</v>
      </c>
      <c r="F790" t="s">
        <v>814</v>
      </c>
      <c r="G790">
        <v>1</v>
      </c>
      <c r="H790">
        <v>0</v>
      </c>
      <c r="I790">
        <v>0</v>
      </c>
      <c r="J790">
        <v>0</v>
      </c>
      <c r="K790">
        <v>0</v>
      </c>
      <c r="L790">
        <f t="shared" si="24"/>
        <v>6.5</v>
      </c>
      <c r="M790">
        <f t="shared" si="25"/>
        <v>1</v>
      </c>
    </row>
    <row r="791" spans="1:13" x14ac:dyDescent="0.3">
      <c r="A791">
        <v>789</v>
      </c>
      <c r="B791">
        <v>790</v>
      </c>
      <c r="C791" t="s">
        <v>834</v>
      </c>
      <c r="D791">
        <v>2007</v>
      </c>
      <c r="E791" t="s">
        <v>22</v>
      </c>
      <c r="F791" t="s">
        <v>814</v>
      </c>
      <c r="G791">
        <v>1</v>
      </c>
      <c r="H791">
        <v>0</v>
      </c>
      <c r="I791">
        <v>0</v>
      </c>
      <c r="J791">
        <v>0</v>
      </c>
      <c r="K791">
        <v>0</v>
      </c>
      <c r="L791">
        <f t="shared" si="24"/>
        <v>6.5</v>
      </c>
      <c r="M791">
        <f t="shared" si="25"/>
        <v>1</v>
      </c>
    </row>
    <row r="792" spans="1:13" x14ac:dyDescent="0.3">
      <c r="A792">
        <v>790</v>
      </c>
      <c r="B792">
        <v>791</v>
      </c>
      <c r="C792" t="s">
        <v>835</v>
      </c>
      <c r="D792">
        <v>2013</v>
      </c>
      <c r="E792" t="s">
        <v>11</v>
      </c>
      <c r="F792" t="s">
        <v>814</v>
      </c>
      <c r="G792">
        <v>1</v>
      </c>
      <c r="H792">
        <v>0</v>
      </c>
      <c r="I792">
        <v>0</v>
      </c>
      <c r="J792">
        <v>0</v>
      </c>
      <c r="K792">
        <v>0</v>
      </c>
      <c r="L792">
        <f t="shared" si="24"/>
        <v>6.5</v>
      </c>
      <c r="M792">
        <f t="shared" si="25"/>
        <v>1</v>
      </c>
    </row>
    <row r="793" spans="1:13" x14ac:dyDescent="0.3">
      <c r="A793">
        <v>791</v>
      </c>
      <c r="B793">
        <v>792</v>
      </c>
      <c r="C793" t="s">
        <v>836</v>
      </c>
      <c r="D793">
        <v>2016</v>
      </c>
      <c r="E793" t="s">
        <v>14</v>
      </c>
      <c r="F793" t="s">
        <v>814</v>
      </c>
      <c r="G793">
        <v>1</v>
      </c>
      <c r="H793">
        <v>0</v>
      </c>
      <c r="I793">
        <v>0</v>
      </c>
      <c r="J793">
        <v>0</v>
      </c>
      <c r="K793">
        <v>0</v>
      </c>
      <c r="L793">
        <f t="shared" si="24"/>
        <v>6.5</v>
      </c>
      <c r="M793">
        <f t="shared" si="25"/>
        <v>1</v>
      </c>
    </row>
    <row r="794" spans="1:13" x14ac:dyDescent="0.3">
      <c r="A794">
        <v>792</v>
      </c>
      <c r="B794">
        <v>793</v>
      </c>
      <c r="C794" s="2">
        <v>0.30486111111111114</v>
      </c>
      <c r="D794">
        <v>2016</v>
      </c>
      <c r="F794" t="s">
        <v>814</v>
      </c>
      <c r="G794">
        <v>1</v>
      </c>
      <c r="H794">
        <v>0</v>
      </c>
      <c r="I794">
        <v>0</v>
      </c>
      <c r="J794">
        <v>0</v>
      </c>
      <c r="K794">
        <v>0</v>
      </c>
      <c r="L794">
        <f t="shared" si="24"/>
        <v>6.5</v>
      </c>
      <c r="M794">
        <f t="shared" si="25"/>
        <v>1</v>
      </c>
    </row>
    <row r="795" spans="1:13" x14ac:dyDescent="0.3">
      <c r="A795">
        <v>793</v>
      </c>
      <c r="B795">
        <v>794</v>
      </c>
      <c r="C795" t="s">
        <v>837</v>
      </c>
      <c r="D795">
        <v>2017</v>
      </c>
      <c r="F795" t="s">
        <v>814</v>
      </c>
      <c r="G795">
        <v>1</v>
      </c>
      <c r="H795">
        <v>0</v>
      </c>
      <c r="I795">
        <v>0</v>
      </c>
      <c r="J795">
        <v>0</v>
      </c>
      <c r="K795">
        <v>0</v>
      </c>
      <c r="L795">
        <f t="shared" si="24"/>
        <v>6.5</v>
      </c>
      <c r="M795">
        <f t="shared" si="25"/>
        <v>1</v>
      </c>
    </row>
    <row r="796" spans="1:13" x14ac:dyDescent="0.3">
      <c r="A796">
        <v>794</v>
      </c>
      <c r="B796">
        <v>795</v>
      </c>
      <c r="C796" t="s">
        <v>838</v>
      </c>
      <c r="D796">
        <v>2017</v>
      </c>
      <c r="F796" t="s">
        <v>814</v>
      </c>
      <c r="G796">
        <v>1</v>
      </c>
      <c r="H796">
        <v>0</v>
      </c>
      <c r="I796">
        <v>0</v>
      </c>
      <c r="J796">
        <v>0</v>
      </c>
      <c r="K796">
        <v>0</v>
      </c>
      <c r="L796">
        <f t="shared" si="24"/>
        <v>6.5</v>
      </c>
      <c r="M796">
        <f t="shared" si="25"/>
        <v>1</v>
      </c>
    </row>
    <row r="797" spans="1:13" x14ac:dyDescent="0.3">
      <c r="A797">
        <v>795</v>
      </c>
      <c r="B797">
        <v>796</v>
      </c>
      <c r="C797" t="s">
        <v>839</v>
      </c>
      <c r="D797">
        <v>2018</v>
      </c>
      <c r="F797" t="s">
        <v>814</v>
      </c>
      <c r="G797">
        <v>1</v>
      </c>
      <c r="H797">
        <v>0</v>
      </c>
      <c r="I797">
        <v>0</v>
      </c>
      <c r="J797">
        <v>0</v>
      </c>
      <c r="K797">
        <v>0</v>
      </c>
      <c r="L797">
        <f t="shared" si="24"/>
        <v>6.5</v>
      </c>
      <c r="M797">
        <f t="shared" si="25"/>
        <v>1</v>
      </c>
    </row>
    <row r="798" spans="1:13" x14ac:dyDescent="0.3">
      <c r="A798">
        <v>796</v>
      </c>
      <c r="B798">
        <v>797</v>
      </c>
      <c r="C798" t="s">
        <v>840</v>
      </c>
      <c r="D798">
        <v>2019</v>
      </c>
      <c r="E798" t="s">
        <v>11</v>
      </c>
      <c r="F798" t="s">
        <v>814</v>
      </c>
      <c r="G798">
        <v>1</v>
      </c>
      <c r="H798">
        <v>0</v>
      </c>
      <c r="I798">
        <v>1</v>
      </c>
      <c r="J798">
        <v>0</v>
      </c>
      <c r="K798">
        <v>0</v>
      </c>
      <c r="L798">
        <f t="shared" si="24"/>
        <v>6.5</v>
      </c>
      <c r="M798">
        <f t="shared" si="25"/>
        <v>2</v>
      </c>
    </row>
    <row r="799" spans="1:13" x14ac:dyDescent="0.3">
      <c r="A799">
        <v>797</v>
      </c>
      <c r="B799">
        <v>798</v>
      </c>
      <c r="C799" t="s">
        <v>841</v>
      </c>
      <c r="D799">
        <v>2020</v>
      </c>
      <c r="E799" t="s">
        <v>11</v>
      </c>
      <c r="F799" t="s">
        <v>814</v>
      </c>
      <c r="G799">
        <v>1</v>
      </c>
      <c r="H799">
        <v>0</v>
      </c>
      <c r="I799">
        <v>0</v>
      </c>
      <c r="J799">
        <v>0</v>
      </c>
      <c r="K799">
        <v>0</v>
      </c>
      <c r="L799">
        <f t="shared" si="24"/>
        <v>6.5</v>
      </c>
      <c r="M799">
        <f t="shared" si="25"/>
        <v>1</v>
      </c>
    </row>
    <row r="800" spans="1:13" x14ac:dyDescent="0.3">
      <c r="A800">
        <v>798</v>
      </c>
      <c r="B800">
        <v>799</v>
      </c>
      <c r="C800" t="s">
        <v>842</v>
      </c>
      <c r="D800">
        <v>2018</v>
      </c>
      <c r="F800" t="s">
        <v>814</v>
      </c>
      <c r="G800">
        <v>1</v>
      </c>
      <c r="H800">
        <v>0</v>
      </c>
      <c r="I800">
        <v>0</v>
      </c>
      <c r="J800">
        <v>0</v>
      </c>
      <c r="K800">
        <v>0</v>
      </c>
      <c r="L800">
        <f t="shared" si="24"/>
        <v>6.5</v>
      </c>
      <c r="M800">
        <f t="shared" si="25"/>
        <v>1</v>
      </c>
    </row>
    <row r="801" spans="1:13" x14ac:dyDescent="0.3">
      <c r="A801">
        <v>799</v>
      </c>
      <c r="B801">
        <v>800</v>
      </c>
      <c r="C801" t="s">
        <v>843</v>
      </c>
      <c r="D801">
        <v>2006</v>
      </c>
      <c r="E801" t="s">
        <v>22</v>
      </c>
      <c r="F801" t="s">
        <v>814</v>
      </c>
      <c r="G801">
        <v>1</v>
      </c>
      <c r="H801">
        <v>0</v>
      </c>
      <c r="I801">
        <v>0</v>
      </c>
      <c r="J801">
        <v>0</v>
      </c>
      <c r="K801">
        <v>0</v>
      </c>
      <c r="L801">
        <f t="shared" si="24"/>
        <v>6.5</v>
      </c>
      <c r="M801">
        <f t="shared" si="25"/>
        <v>1</v>
      </c>
    </row>
    <row r="802" spans="1:13" x14ac:dyDescent="0.3">
      <c r="A802">
        <v>800</v>
      </c>
      <c r="B802">
        <v>801</v>
      </c>
      <c r="C802" t="s">
        <v>844</v>
      </c>
      <c r="D802">
        <v>2015</v>
      </c>
      <c r="E802" t="s">
        <v>11</v>
      </c>
      <c r="F802" t="s">
        <v>814</v>
      </c>
      <c r="G802">
        <v>1</v>
      </c>
      <c r="H802">
        <v>0</v>
      </c>
      <c r="I802">
        <v>0</v>
      </c>
      <c r="J802">
        <v>0</v>
      </c>
      <c r="K802">
        <v>0</v>
      </c>
      <c r="L802">
        <f t="shared" si="24"/>
        <v>6.5</v>
      </c>
      <c r="M802">
        <f t="shared" si="25"/>
        <v>1</v>
      </c>
    </row>
    <row r="803" spans="1:13" x14ac:dyDescent="0.3">
      <c r="A803">
        <v>801</v>
      </c>
      <c r="B803">
        <v>802</v>
      </c>
      <c r="C803" t="s">
        <v>845</v>
      </c>
      <c r="D803">
        <v>1993</v>
      </c>
      <c r="E803" t="s">
        <v>14</v>
      </c>
      <c r="F803" t="s">
        <v>814</v>
      </c>
      <c r="G803">
        <v>1</v>
      </c>
      <c r="H803">
        <v>0</v>
      </c>
      <c r="I803">
        <v>0</v>
      </c>
      <c r="J803">
        <v>0</v>
      </c>
      <c r="K803">
        <v>0</v>
      </c>
      <c r="L803">
        <f t="shared" si="24"/>
        <v>6.5</v>
      </c>
      <c r="M803">
        <f t="shared" si="25"/>
        <v>1</v>
      </c>
    </row>
    <row r="804" spans="1:13" x14ac:dyDescent="0.3">
      <c r="A804">
        <v>802</v>
      </c>
      <c r="B804">
        <v>803</v>
      </c>
      <c r="C804" t="s">
        <v>846</v>
      </c>
      <c r="D804">
        <v>2017</v>
      </c>
      <c r="F804" t="s">
        <v>814</v>
      </c>
      <c r="G804">
        <v>1</v>
      </c>
      <c r="H804">
        <v>0</v>
      </c>
      <c r="I804">
        <v>0</v>
      </c>
      <c r="J804">
        <v>0</v>
      </c>
      <c r="K804">
        <v>0</v>
      </c>
      <c r="L804">
        <f t="shared" si="24"/>
        <v>6.5</v>
      </c>
      <c r="M804">
        <f t="shared" si="25"/>
        <v>1</v>
      </c>
    </row>
    <row r="805" spans="1:13" x14ac:dyDescent="0.3">
      <c r="A805">
        <v>803</v>
      </c>
      <c r="B805">
        <v>804</v>
      </c>
      <c r="C805" t="s">
        <v>847</v>
      </c>
      <c r="D805">
        <v>2010</v>
      </c>
      <c r="F805" t="s">
        <v>814</v>
      </c>
      <c r="G805">
        <v>1</v>
      </c>
      <c r="H805">
        <v>0</v>
      </c>
      <c r="I805">
        <v>0</v>
      </c>
      <c r="J805">
        <v>0</v>
      </c>
      <c r="K805">
        <v>0</v>
      </c>
      <c r="L805">
        <f t="shared" si="24"/>
        <v>6.5</v>
      </c>
      <c r="M805">
        <f t="shared" si="25"/>
        <v>1</v>
      </c>
    </row>
    <row r="806" spans="1:13" x14ac:dyDescent="0.3">
      <c r="A806">
        <v>804</v>
      </c>
      <c r="B806">
        <v>805</v>
      </c>
      <c r="C806" t="s">
        <v>848</v>
      </c>
      <c r="D806">
        <v>2019</v>
      </c>
      <c r="F806" t="s">
        <v>814</v>
      </c>
      <c r="G806">
        <v>1</v>
      </c>
      <c r="H806">
        <v>0</v>
      </c>
      <c r="I806">
        <v>0</v>
      </c>
      <c r="J806">
        <v>0</v>
      </c>
      <c r="K806">
        <v>0</v>
      </c>
      <c r="L806">
        <f t="shared" si="24"/>
        <v>6.5</v>
      </c>
      <c r="M806">
        <f t="shared" si="25"/>
        <v>1</v>
      </c>
    </row>
    <row r="807" spans="1:13" x14ac:dyDescent="0.3">
      <c r="A807">
        <v>805</v>
      </c>
      <c r="B807">
        <v>806</v>
      </c>
      <c r="C807" t="s">
        <v>849</v>
      </c>
      <c r="D807">
        <v>2013</v>
      </c>
      <c r="E807" t="s">
        <v>11</v>
      </c>
      <c r="F807" t="s">
        <v>814</v>
      </c>
      <c r="G807">
        <v>1</v>
      </c>
      <c r="H807">
        <v>0</v>
      </c>
      <c r="I807">
        <v>0</v>
      </c>
      <c r="J807">
        <v>0</v>
      </c>
      <c r="K807">
        <v>0</v>
      </c>
      <c r="L807">
        <f t="shared" si="24"/>
        <v>6.5</v>
      </c>
      <c r="M807">
        <f t="shared" si="25"/>
        <v>1</v>
      </c>
    </row>
    <row r="808" spans="1:13" x14ac:dyDescent="0.3">
      <c r="A808">
        <v>806</v>
      </c>
      <c r="B808">
        <v>807</v>
      </c>
      <c r="C808" t="s">
        <v>850</v>
      </c>
      <c r="D808">
        <v>2021</v>
      </c>
      <c r="E808" t="s">
        <v>11</v>
      </c>
      <c r="F808" t="s">
        <v>814</v>
      </c>
      <c r="G808">
        <v>1</v>
      </c>
      <c r="H808">
        <v>0</v>
      </c>
      <c r="I808">
        <v>0</v>
      </c>
      <c r="J808">
        <v>0</v>
      </c>
      <c r="K808">
        <v>0</v>
      </c>
      <c r="L808">
        <f t="shared" si="24"/>
        <v>6.5</v>
      </c>
      <c r="M808">
        <f t="shared" si="25"/>
        <v>1</v>
      </c>
    </row>
    <row r="809" spans="1:13" x14ac:dyDescent="0.3">
      <c r="A809">
        <v>807</v>
      </c>
      <c r="B809">
        <v>808</v>
      </c>
      <c r="C809" t="s">
        <v>851</v>
      </c>
      <c r="D809">
        <v>2018</v>
      </c>
      <c r="F809" t="s">
        <v>814</v>
      </c>
      <c r="G809">
        <v>1</v>
      </c>
      <c r="H809">
        <v>0</v>
      </c>
      <c r="I809">
        <v>0</v>
      </c>
      <c r="J809">
        <v>0</v>
      </c>
      <c r="K809">
        <v>0</v>
      </c>
      <c r="L809">
        <f t="shared" si="24"/>
        <v>6.5</v>
      </c>
      <c r="M809">
        <f t="shared" si="25"/>
        <v>1</v>
      </c>
    </row>
    <row r="810" spans="1:13" x14ac:dyDescent="0.3">
      <c r="A810">
        <v>808</v>
      </c>
      <c r="B810">
        <v>809</v>
      </c>
      <c r="C810" t="s">
        <v>852</v>
      </c>
      <c r="D810">
        <v>2020</v>
      </c>
      <c r="E810" t="s">
        <v>11</v>
      </c>
      <c r="F810" t="s">
        <v>814</v>
      </c>
      <c r="G810">
        <v>1</v>
      </c>
      <c r="H810">
        <v>0</v>
      </c>
      <c r="I810">
        <v>0</v>
      </c>
      <c r="J810">
        <v>0</v>
      </c>
      <c r="K810">
        <v>0</v>
      </c>
      <c r="L810">
        <f t="shared" si="24"/>
        <v>6.5</v>
      </c>
      <c r="M810">
        <f t="shared" si="25"/>
        <v>1</v>
      </c>
    </row>
    <row r="811" spans="1:13" x14ac:dyDescent="0.3">
      <c r="A811">
        <v>809</v>
      </c>
      <c r="B811">
        <v>810</v>
      </c>
      <c r="C811" t="s">
        <v>853</v>
      </c>
      <c r="D811">
        <v>2018</v>
      </c>
      <c r="E811" t="s">
        <v>11</v>
      </c>
      <c r="F811" t="s">
        <v>814</v>
      </c>
      <c r="G811">
        <v>1</v>
      </c>
      <c r="H811">
        <v>0</v>
      </c>
      <c r="I811">
        <v>0</v>
      </c>
      <c r="J811">
        <v>0</v>
      </c>
      <c r="K811">
        <v>0</v>
      </c>
      <c r="L811">
        <f t="shared" si="24"/>
        <v>6.5</v>
      </c>
      <c r="M811">
        <f t="shared" si="25"/>
        <v>1</v>
      </c>
    </row>
    <row r="812" spans="1:13" x14ac:dyDescent="0.3">
      <c r="A812">
        <v>810</v>
      </c>
      <c r="B812">
        <v>811</v>
      </c>
      <c r="C812" t="s">
        <v>854</v>
      </c>
      <c r="D812">
        <v>2021</v>
      </c>
      <c r="F812" t="s">
        <v>814</v>
      </c>
      <c r="G812">
        <v>1</v>
      </c>
      <c r="H812">
        <v>0</v>
      </c>
      <c r="I812">
        <v>0</v>
      </c>
      <c r="J812">
        <v>0</v>
      </c>
      <c r="K812">
        <v>0</v>
      </c>
      <c r="L812">
        <f t="shared" si="24"/>
        <v>6.5</v>
      </c>
      <c r="M812">
        <f t="shared" si="25"/>
        <v>1</v>
      </c>
    </row>
    <row r="813" spans="1:13" x14ac:dyDescent="0.3">
      <c r="A813">
        <v>811</v>
      </c>
      <c r="B813">
        <v>812</v>
      </c>
      <c r="C813" t="s">
        <v>855</v>
      </c>
      <c r="D813">
        <v>2021</v>
      </c>
      <c r="E813" t="s">
        <v>14</v>
      </c>
      <c r="F813" t="s">
        <v>814</v>
      </c>
      <c r="G813">
        <v>1</v>
      </c>
      <c r="H813">
        <v>0</v>
      </c>
      <c r="I813">
        <v>0</v>
      </c>
      <c r="J813">
        <v>0</v>
      </c>
      <c r="K813">
        <v>0</v>
      </c>
      <c r="L813">
        <f t="shared" si="24"/>
        <v>6.5</v>
      </c>
      <c r="M813">
        <f t="shared" si="25"/>
        <v>1</v>
      </c>
    </row>
    <row r="814" spans="1:13" x14ac:dyDescent="0.3">
      <c r="A814">
        <v>812</v>
      </c>
      <c r="B814">
        <v>813</v>
      </c>
      <c r="C814" t="s">
        <v>856</v>
      </c>
      <c r="D814">
        <v>2019</v>
      </c>
      <c r="E814" t="s">
        <v>11</v>
      </c>
      <c r="F814" t="s">
        <v>814</v>
      </c>
      <c r="G814">
        <v>1</v>
      </c>
      <c r="H814">
        <v>0</v>
      </c>
      <c r="I814">
        <v>0</v>
      </c>
      <c r="J814">
        <v>0</v>
      </c>
      <c r="K814">
        <v>0</v>
      </c>
      <c r="L814">
        <f t="shared" si="24"/>
        <v>6.5</v>
      </c>
      <c r="M814">
        <f t="shared" si="25"/>
        <v>1</v>
      </c>
    </row>
    <row r="815" spans="1:13" x14ac:dyDescent="0.3">
      <c r="A815">
        <v>813</v>
      </c>
      <c r="B815">
        <v>814</v>
      </c>
      <c r="C815" t="s">
        <v>857</v>
      </c>
      <c r="D815">
        <v>1980</v>
      </c>
      <c r="E815" t="s">
        <v>11</v>
      </c>
      <c r="F815" t="s">
        <v>814</v>
      </c>
      <c r="G815">
        <v>1</v>
      </c>
      <c r="H815">
        <v>0</v>
      </c>
      <c r="I815">
        <v>1</v>
      </c>
      <c r="J815">
        <v>0</v>
      </c>
      <c r="K815">
        <v>0</v>
      </c>
      <c r="L815">
        <f t="shared" si="24"/>
        <v>6.5</v>
      </c>
      <c r="M815">
        <f t="shared" si="25"/>
        <v>2</v>
      </c>
    </row>
    <row r="816" spans="1:13" x14ac:dyDescent="0.3">
      <c r="A816">
        <v>814</v>
      </c>
      <c r="B816">
        <v>815</v>
      </c>
      <c r="C816" t="s">
        <v>858</v>
      </c>
      <c r="D816">
        <v>2017</v>
      </c>
      <c r="E816" t="s">
        <v>11</v>
      </c>
      <c r="F816" t="s">
        <v>814</v>
      </c>
      <c r="G816">
        <v>1</v>
      </c>
      <c r="H816">
        <v>0</v>
      </c>
      <c r="I816">
        <v>0</v>
      </c>
      <c r="J816">
        <v>0</v>
      </c>
      <c r="K816">
        <v>0</v>
      </c>
      <c r="L816">
        <f t="shared" si="24"/>
        <v>6.5</v>
      </c>
      <c r="M816">
        <f t="shared" si="25"/>
        <v>1</v>
      </c>
    </row>
    <row r="817" spans="1:13" x14ac:dyDescent="0.3">
      <c r="A817">
        <v>815</v>
      </c>
      <c r="B817">
        <v>816</v>
      </c>
      <c r="C817" t="s">
        <v>859</v>
      </c>
      <c r="D817">
        <v>2012</v>
      </c>
      <c r="E817" t="s">
        <v>14</v>
      </c>
      <c r="F817" t="s">
        <v>814</v>
      </c>
      <c r="G817">
        <v>1</v>
      </c>
      <c r="H817">
        <v>0</v>
      </c>
      <c r="I817">
        <v>0</v>
      </c>
      <c r="J817">
        <v>0</v>
      </c>
      <c r="K817">
        <v>0</v>
      </c>
      <c r="L817">
        <f t="shared" si="24"/>
        <v>6.5</v>
      </c>
      <c r="M817">
        <f t="shared" si="25"/>
        <v>1</v>
      </c>
    </row>
    <row r="818" spans="1:13" x14ac:dyDescent="0.3">
      <c r="A818">
        <v>816</v>
      </c>
      <c r="B818">
        <v>817</v>
      </c>
      <c r="C818" t="s">
        <v>860</v>
      </c>
      <c r="D818">
        <v>2020</v>
      </c>
      <c r="E818" t="s">
        <v>28</v>
      </c>
      <c r="F818" t="s">
        <v>814</v>
      </c>
      <c r="G818">
        <v>1</v>
      </c>
      <c r="H818">
        <v>0</v>
      </c>
      <c r="I818">
        <v>0</v>
      </c>
      <c r="J818">
        <v>0</v>
      </c>
      <c r="K818">
        <v>0</v>
      </c>
      <c r="L818">
        <f t="shared" si="24"/>
        <v>6.5</v>
      </c>
      <c r="M818">
        <f t="shared" si="25"/>
        <v>1</v>
      </c>
    </row>
    <row r="819" spans="1:13" x14ac:dyDescent="0.3">
      <c r="A819">
        <v>817</v>
      </c>
      <c r="B819">
        <v>818</v>
      </c>
      <c r="C819" t="s">
        <v>861</v>
      </c>
      <c r="D819">
        <v>2017</v>
      </c>
      <c r="E819" t="s">
        <v>28</v>
      </c>
      <c r="F819" t="s">
        <v>814</v>
      </c>
      <c r="G819">
        <v>1</v>
      </c>
      <c r="H819">
        <v>0</v>
      </c>
      <c r="I819">
        <v>0</v>
      </c>
      <c r="J819">
        <v>0</v>
      </c>
      <c r="K819">
        <v>0</v>
      </c>
      <c r="L819">
        <f t="shared" si="24"/>
        <v>6.5</v>
      </c>
      <c r="M819">
        <f t="shared" si="25"/>
        <v>1</v>
      </c>
    </row>
    <row r="820" spans="1:13" x14ac:dyDescent="0.3">
      <c r="A820">
        <v>818</v>
      </c>
      <c r="B820">
        <v>819</v>
      </c>
      <c r="C820" t="s">
        <v>862</v>
      </c>
      <c r="D820">
        <v>2015</v>
      </c>
      <c r="E820" t="s">
        <v>11</v>
      </c>
      <c r="F820" t="s">
        <v>814</v>
      </c>
      <c r="G820">
        <v>1</v>
      </c>
      <c r="H820">
        <v>0</v>
      </c>
      <c r="I820">
        <v>0</v>
      </c>
      <c r="J820">
        <v>0</v>
      </c>
      <c r="K820">
        <v>0</v>
      </c>
      <c r="L820">
        <f t="shared" si="24"/>
        <v>6.5</v>
      </c>
      <c r="M820">
        <f t="shared" si="25"/>
        <v>1</v>
      </c>
    </row>
    <row r="821" spans="1:13" x14ac:dyDescent="0.3">
      <c r="A821">
        <v>819</v>
      </c>
      <c r="B821">
        <v>820</v>
      </c>
      <c r="C821" t="s">
        <v>863</v>
      </c>
      <c r="D821">
        <v>2004</v>
      </c>
      <c r="E821" t="s">
        <v>14</v>
      </c>
      <c r="F821" t="s">
        <v>814</v>
      </c>
      <c r="G821">
        <v>1</v>
      </c>
      <c r="H821">
        <v>0</v>
      </c>
      <c r="I821">
        <v>0</v>
      </c>
      <c r="J821">
        <v>0</v>
      </c>
      <c r="K821">
        <v>0</v>
      </c>
      <c r="L821">
        <f t="shared" si="24"/>
        <v>6.5</v>
      </c>
      <c r="M821">
        <f t="shared" si="25"/>
        <v>1</v>
      </c>
    </row>
    <row r="822" spans="1:13" x14ac:dyDescent="0.3">
      <c r="A822">
        <v>820</v>
      </c>
      <c r="B822">
        <v>821</v>
      </c>
      <c r="C822" t="s">
        <v>864</v>
      </c>
      <c r="D822">
        <v>2019</v>
      </c>
      <c r="E822" t="s">
        <v>11</v>
      </c>
      <c r="F822" t="s">
        <v>814</v>
      </c>
      <c r="G822">
        <v>1</v>
      </c>
      <c r="H822">
        <v>0</v>
      </c>
      <c r="I822">
        <v>0</v>
      </c>
      <c r="J822">
        <v>0</v>
      </c>
      <c r="K822">
        <v>0</v>
      </c>
      <c r="L822">
        <f t="shared" si="24"/>
        <v>6.5</v>
      </c>
      <c r="M822">
        <f t="shared" si="25"/>
        <v>1</v>
      </c>
    </row>
    <row r="823" spans="1:13" x14ac:dyDescent="0.3">
      <c r="A823">
        <v>821</v>
      </c>
      <c r="B823">
        <v>822</v>
      </c>
      <c r="C823" t="s">
        <v>865</v>
      </c>
      <c r="D823">
        <v>2009</v>
      </c>
      <c r="E823" t="s">
        <v>22</v>
      </c>
      <c r="F823" t="s">
        <v>814</v>
      </c>
      <c r="G823">
        <v>1</v>
      </c>
      <c r="H823">
        <v>1</v>
      </c>
      <c r="I823">
        <v>1</v>
      </c>
      <c r="J823">
        <v>0</v>
      </c>
      <c r="K823">
        <v>0</v>
      </c>
      <c r="L823">
        <f t="shared" si="24"/>
        <v>6.5</v>
      </c>
      <c r="M823">
        <f t="shared" si="25"/>
        <v>3</v>
      </c>
    </row>
    <row r="824" spans="1:13" x14ac:dyDescent="0.3">
      <c r="A824">
        <v>822</v>
      </c>
      <c r="B824">
        <v>823</v>
      </c>
      <c r="C824" t="s">
        <v>866</v>
      </c>
      <c r="D824">
        <v>2018</v>
      </c>
      <c r="F824" t="s">
        <v>814</v>
      </c>
      <c r="G824">
        <v>1</v>
      </c>
      <c r="H824">
        <v>0</v>
      </c>
      <c r="I824">
        <v>0</v>
      </c>
      <c r="J824">
        <v>0</v>
      </c>
      <c r="K824">
        <v>0</v>
      </c>
      <c r="L824">
        <f t="shared" si="24"/>
        <v>6.5</v>
      </c>
      <c r="M824">
        <f t="shared" si="25"/>
        <v>1</v>
      </c>
    </row>
    <row r="825" spans="1:13" x14ac:dyDescent="0.3">
      <c r="A825">
        <v>823</v>
      </c>
      <c r="B825">
        <v>824</v>
      </c>
      <c r="C825" t="s">
        <v>867</v>
      </c>
      <c r="D825">
        <v>2002</v>
      </c>
      <c r="E825" t="s">
        <v>11</v>
      </c>
      <c r="F825" t="s">
        <v>814</v>
      </c>
      <c r="G825">
        <v>1</v>
      </c>
      <c r="H825">
        <v>0</v>
      </c>
      <c r="I825">
        <v>1</v>
      </c>
      <c r="J825">
        <v>0</v>
      </c>
      <c r="K825">
        <v>0</v>
      </c>
      <c r="L825">
        <f t="shared" si="24"/>
        <v>6.5</v>
      </c>
      <c r="M825">
        <f t="shared" si="25"/>
        <v>2</v>
      </c>
    </row>
    <row r="826" spans="1:13" x14ac:dyDescent="0.3">
      <c r="A826">
        <v>824</v>
      </c>
      <c r="B826">
        <v>825</v>
      </c>
      <c r="C826" t="s">
        <v>868</v>
      </c>
      <c r="D826">
        <v>1998</v>
      </c>
      <c r="E826" t="s">
        <v>22</v>
      </c>
      <c r="F826" t="s">
        <v>814</v>
      </c>
      <c r="G826">
        <v>1</v>
      </c>
      <c r="H826">
        <v>0</v>
      </c>
      <c r="I826">
        <v>0</v>
      </c>
      <c r="J826">
        <v>0</v>
      </c>
      <c r="K826">
        <v>0</v>
      </c>
      <c r="L826">
        <f t="shared" si="24"/>
        <v>6.5</v>
      </c>
      <c r="M826">
        <f t="shared" si="25"/>
        <v>1</v>
      </c>
    </row>
    <row r="827" spans="1:13" x14ac:dyDescent="0.3">
      <c r="A827">
        <v>825</v>
      </c>
      <c r="B827">
        <v>826</v>
      </c>
      <c r="C827" t="s">
        <v>869</v>
      </c>
      <c r="D827">
        <v>2021</v>
      </c>
      <c r="E827" t="s">
        <v>22</v>
      </c>
      <c r="F827" t="s">
        <v>814</v>
      </c>
      <c r="G827">
        <v>1</v>
      </c>
      <c r="H827">
        <v>0</v>
      </c>
      <c r="I827">
        <v>0</v>
      </c>
      <c r="J827">
        <v>0</v>
      </c>
      <c r="K827">
        <v>0</v>
      </c>
      <c r="L827">
        <f t="shared" si="24"/>
        <v>6.5</v>
      </c>
      <c r="M827">
        <f t="shared" si="25"/>
        <v>1</v>
      </c>
    </row>
    <row r="828" spans="1:13" x14ac:dyDescent="0.3">
      <c r="A828">
        <v>826</v>
      </c>
      <c r="B828">
        <v>827</v>
      </c>
      <c r="C828" t="s">
        <v>870</v>
      </c>
      <c r="D828">
        <v>2016</v>
      </c>
      <c r="F828" t="s">
        <v>814</v>
      </c>
      <c r="G828">
        <v>1</v>
      </c>
      <c r="H828">
        <v>0</v>
      </c>
      <c r="I828">
        <v>0</v>
      </c>
      <c r="J828">
        <v>0</v>
      </c>
      <c r="K828">
        <v>0</v>
      </c>
      <c r="L828">
        <f t="shared" si="24"/>
        <v>6.5</v>
      </c>
      <c r="M828">
        <f t="shared" si="25"/>
        <v>1</v>
      </c>
    </row>
    <row r="829" spans="1:13" x14ac:dyDescent="0.3">
      <c r="A829">
        <v>827</v>
      </c>
      <c r="B829">
        <v>828</v>
      </c>
      <c r="C829" t="s">
        <v>871</v>
      </c>
      <c r="D829">
        <v>2019</v>
      </c>
      <c r="E829" t="s">
        <v>11</v>
      </c>
      <c r="F829" t="s">
        <v>814</v>
      </c>
      <c r="G829">
        <v>1</v>
      </c>
      <c r="H829">
        <v>0</v>
      </c>
      <c r="I829">
        <v>0</v>
      </c>
      <c r="J829">
        <v>0</v>
      </c>
      <c r="K829">
        <v>0</v>
      </c>
      <c r="L829">
        <f t="shared" si="24"/>
        <v>6.5</v>
      </c>
      <c r="M829">
        <f t="shared" si="25"/>
        <v>1</v>
      </c>
    </row>
    <row r="830" spans="1:13" x14ac:dyDescent="0.3">
      <c r="A830">
        <v>828</v>
      </c>
      <c r="B830">
        <v>829</v>
      </c>
      <c r="C830" t="s">
        <v>872</v>
      </c>
      <c r="D830">
        <v>2021</v>
      </c>
      <c r="F830" t="s">
        <v>814</v>
      </c>
      <c r="G830">
        <v>1</v>
      </c>
      <c r="H830">
        <v>0</v>
      </c>
      <c r="I830">
        <v>0</v>
      </c>
      <c r="J830">
        <v>0</v>
      </c>
      <c r="K830">
        <v>0</v>
      </c>
      <c r="L830">
        <f t="shared" si="24"/>
        <v>6.5</v>
      </c>
      <c r="M830">
        <f t="shared" si="25"/>
        <v>1</v>
      </c>
    </row>
    <row r="831" spans="1:13" x14ac:dyDescent="0.3">
      <c r="A831">
        <v>829</v>
      </c>
      <c r="B831">
        <v>830</v>
      </c>
      <c r="C831" t="s">
        <v>873</v>
      </c>
      <c r="D831">
        <v>2004</v>
      </c>
      <c r="E831" t="s">
        <v>14</v>
      </c>
      <c r="F831" t="s">
        <v>814</v>
      </c>
      <c r="G831">
        <v>1</v>
      </c>
      <c r="H831">
        <v>0</v>
      </c>
      <c r="I831">
        <v>1</v>
      </c>
      <c r="J831">
        <v>0</v>
      </c>
      <c r="K831">
        <v>0</v>
      </c>
      <c r="L831">
        <f t="shared" si="24"/>
        <v>6.5</v>
      </c>
      <c r="M831">
        <f t="shared" si="25"/>
        <v>2</v>
      </c>
    </row>
    <row r="832" spans="1:13" x14ac:dyDescent="0.3">
      <c r="A832">
        <v>830</v>
      </c>
      <c r="B832">
        <v>831</v>
      </c>
      <c r="C832" t="s">
        <v>874</v>
      </c>
      <c r="D832">
        <v>2016</v>
      </c>
      <c r="F832" t="s">
        <v>814</v>
      </c>
      <c r="G832">
        <v>1</v>
      </c>
      <c r="H832">
        <v>0</v>
      </c>
      <c r="I832">
        <v>0</v>
      </c>
      <c r="J832">
        <v>0</v>
      </c>
      <c r="K832">
        <v>0</v>
      </c>
      <c r="L832">
        <f t="shared" si="24"/>
        <v>6.5</v>
      </c>
      <c r="M832">
        <f t="shared" si="25"/>
        <v>1</v>
      </c>
    </row>
    <row r="833" spans="1:13" x14ac:dyDescent="0.3">
      <c r="A833">
        <v>831</v>
      </c>
      <c r="B833">
        <v>832</v>
      </c>
      <c r="C833" t="s">
        <v>875</v>
      </c>
      <c r="D833">
        <v>2015</v>
      </c>
      <c r="E833" t="s">
        <v>11</v>
      </c>
      <c r="F833" t="s">
        <v>876</v>
      </c>
      <c r="G833">
        <v>1</v>
      </c>
      <c r="H833">
        <v>0</v>
      </c>
      <c r="I833">
        <v>0</v>
      </c>
      <c r="J833">
        <v>0</v>
      </c>
      <c r="K833">
        <v>0</v>
      </c>
      <c r="L833">
        <f t="shared" si="24"/>
        <v>6.4</v>
      </c>
      <c r="M833">
        <f t="shared" si="25"/>
        <v>1</v>
      </c>
    </row>
    <row r="834" spans="1:13" x14ac:dyDescent="0.3">
      <c r="A834">
        <v>832</v>
      </c>
      <c r="B834">
        <v>833</v>
      </c>
      <c r="C834" t="s">
        <v>877</v>
      </c>
      <c r="D834">
        <v>2020</v>
      </c>
      <c r="F834" t="s">
        <v>876</v>
      </c>
      <c r="G834">
        <v>1</v>
      </c>
      <c r="H834">
        <v>0</v>
      </c>
      <c r="I834">
        <v>0</v>
      </c>
      <c r="J834">
        <v>0</v>
      </c>
      <c r="K834">
        <v>0</v>
      </c>
      <c r="L834">
        <f t="shared" si="24"/>
        <v>6.4</v>
      </c>
      <c r="M834">
        <f t="shared" si="25"/>
        <v>1</v>
      </c>
    </row>
    <row r="835" spans="1:13" x14ac:dyDescent="0.3">
      <c r="A835">
        <v>833</v>
      </c>
      <c r="B835">
        <v>834</v>
      </c>
      <c r="C835" t="s">
        <v>878</v>
      </c>
      <c r="D835">
        <v>2019</v>
      </c>
      <c r="E835" t="s">
        <v>28</v>
      </c>
      <c r="F835" t="s">
        <v>876</v>
      </c>
      <c r="G835">
        <v>1</v>
      </c>
      <c r="H835">
        <v>0</v>
      </c>
      <c r="I835">
        <v>0</v>
      </c>
      <c r="J835">
        <v>0</v>
      </c>
      <c r="K835">
        <v>0</v>
      </c>
      <c r="L835">
        <f t="shared" ref="L835:L898" si="26">IFERROR(VALUE(LEFT(F835,FIND("/",F835)-1))/10,"")</f>
        <v>6.4</v>
      </c>
      <c r="M835">
        <f t="shared" ref="M835:M898" si="27">SUM(G835:J835)</f>
        <v>1</v>
      </c>
    </row>
    <row r="836" spans="1:13" x14ac:dyDescent="0.3">
      <c r="A836">
        <v>834</v>
      </c>
      <c r="B836">
        <v>835</v>
      </c>
      <c r="C836" t="s">
        <v>879</v>
      </c>
      <c r="D836">
        <v>1998</v>
      </c>
      <c r="E836" t="s">
        <v>22</v>
      </c>
      <c r="F836" t="s">
        <v>876</v>
      </c>
      <c r="G836">
        <v>1</v>
      </c>
      <c r="H836">
        <v>0</v>
      </c>
      <c r="I836">
        <v>0</v>
      </c>
      <c r="J836">
        <v>0</v>
      </c>
      <c r="K836">
        <v>0</v>
      </c>
      <c r="L836">
        <f t="shared" si="26"/>
        <v>6.4</v>
      </c>
      <c r="M836">
        <f t="shared" si="27"/>
        <v>1</v>
      </c>
    </row>
    <row r="837" spans="1:13" x14ac:dyDescent="0.3">
      <c r="A837">
        <v>835</v>
      </c>
      <c r="B837">
        <v>836</v>
      </c>
      <c r="C837" t="s">
        <v>880</v>
      </c>
      <c r="D837">
        <v>2015</v>
      </c>
      <c r="E837" t="s">
        <v>11</v>
      </c>
      <c r="F837" t="s">
        <v>876</v>
      </c>
      <c r="G837">
        <v>1</v>
      </c>
      <c r="H837">
        <v>0</v>
      </c>
      <c r="I837">
        <v>0</v>
      </c>
      <c r="J837">
        <v>0</v>
      </c>
      <c r="K837">
        <v>0</v>
      </c>
      <c r="L837">
        <f t="shared" si="26"/>
        <v>6.4</v>
      </c>
      <c r="M837">
        <f t="shared" si="27"/>
        <v>1</v>
      </c>
    </row>
    <row r="838" spans="1:13" x14ac:dyDescent="0.3">
      <c r="A838">
        <v>836</v>
      </c>
      <c r="B838">
        <v>837</v>
      </c>
      <c r="C838" t="s">
        <v>881</v>
      </c>
      <c r="D838">
        <v>2014</v>
      </c>
      <c r="E838" t="s">
        <v>14</v>
      </c>
      <c r="F838" t="s">
        <v>876</v>
      </c>
      <c r="G838">
        <v>1</v>
      </c>
      <c r="H838">
        <v>0</v>
      </c>
      <c r="I838">
        <v>0</v>
      </c>
      <c r="J838">
        <v>0</v>
      </c>
      <c r="K838">
        <v>0</v>
      </c>
      <c r="L838">
        <f t="shared" si="26"/>
        <v>6.4</v>
      </c>
      <c r="M838">
        <f t="shared" si="27"/>
        <v>1</v>
      </c>
    </row>
    <row r="839" spans="1:13" x14ac:dyDescent="0.3">
      <c r="A839">
        <v>837</v>
      </c>
      <c r="B839">
        <v>838</v>
      </c>
      <c r="C839" t="s">
        <v>882</v>
      </c>
      <c r="D839">
        <v>2017</v>
      </c>
      <c r="F839" t="s">
        <v>876</v>
      </c>
      <c r="G839">
        <v>1</v>
      </c>
      <c r="H839">
        <v>0</v>
      </c>
      <c r="I839">
        <v>0</v>
      </c>
      <c r="J839">
        <v>0</v>
      </c>
      <c r="K839">
        <v>0</v>
      </c>
      <c r="L839">
        <f t="shared" si="26"/>
        <v>6.4</v>
      </c>
      <c r="M839">
        <f t="shared" si="27"/>
        <v>1</v>
      </c>
    </row>
    <row r="840" spans="1:13" x14ac:dyDescent="0.3">
      <c r="A840">
        <v>838</v>
      </c>
      <c r="B840">
        <v>839</v>
      </c>
      <c r="C840" t="s">
        <v>883</v>
      </c>
      <c r="D840">
        <v>2018</v>
      </c>
      <c r="E840" t="s">
        <v>11</v>
      </c>
      <c r="F840" t="s">
        <v>876</v>
      </c>
      <c r="G840">
        <v>1</v>
      </c>
      <c r="H840">
        <v>0</v>
      </c>
      <c r="I840">
        <v>0</v>
      </c>
      <c r="J840">
        <v>0</v>
      </c>
      <c r="K840">
        <v>0</v>
      </c>
      <c r="L840">
        <f t="shared" si="26"/>
        <v>6.4</v>
      </c>
      <c r="M840">
        <f t="shared" si="27"/>
        <v>1</v>
      </c>
    </row>
    <row r="841" spans="1:13" x14ac:dyDescent="0.3">
      <c r="A841">
        <v>839</v>
      </c>
      <c r="B841">
        <v>840</v>
      </c>
      <c r="C841" t="s">
        <v>884</v>
      </c>
      <c r="D841">
        <v>2009</v>
      </c>
      <c r="E841" t="s">
        <v>22</v>
      </c>
      <c r="F841" t="s">
        <v>876</v>
      </c>
      <c r="G841">
        <v>1</v>
      </c>
      <c r="H841">
        <v>0</v>
      </c>
      <c r="I841">
        <v>0</v>
      </c>
      <c r="J841">
        <v>0</v>
      </c>
      <c r="K841">
        <v>0</v>
      </c>
      <c r="L841">
        <f t="shared" si="26"/>
        <v>6.4</v>
      </c>
      <c r="M841">
        <f t="shared" si="27"/>
        <v>1</v>
      </c>
    </row>
    <row r="842" spans="1:13" x14ac:dyDescent="0.3">
      <c r="A842">
        <v>840</v>
      </c>
      <c r="B842">
        <v>841</v>
      </c>
      <c r="C842" t="s">
        <v>885</v>
      </c>
      <c r="D842">
        <v>2019</v>
      </c>
      <c r="F842" t="s">
        <v>876</v>
      </c>
      <c r="G842">
        <v>1</v>
      </c>
      <c r="H842">
        <v>0</v>
      </c>
      <c r="I842">
        <v>0</v>
      </c>
      <c r="J842">
        <v>0</v>
      </c>
      <c r="K842">
        <v>0</v>
      </c>
      <c r="L842">
        <f t="shared" si="26"/>
        <v>6.4</v>
      </c>
      <c r="M842">
        <f t="shared" si="27"/>
        <v>1</v>
      </c>
    </row>
    <row r="843" spans="1:13" x14ac:dyDescent="0.3">
      <c r="A843">
        <v>841</v>
      </c>
      <c r="B843">
        <v>842</v>
      </c>
      <c r="C843" t="s">
        <v>886</v>
      </c>
      <c r="D843">
        <v>2018</v>
      </c>
      <c r="E843" t="s">
        <v>36</v>
      </c>
      <c r="F843" t="s">
        <v>876</v>
      </c>
      <c r="G843">
        <v>1</v>
      </c>
      <c r="H843">
        <v>0</v>
      </c>
      <c r="I843">
        <v>0</v>
      </c>
      <c r="J843">
        <v>0</v>
      </c>
      <c r="K843">
        <v>0</v>
      </c>
      <c r="L843">
        <f t="shared" si="26"/>
        <v>6.4</v>
      </c>
      <c r="M843">
        <f t="shared" si="27"/>
        <v>1</v>
      </c>
    </row>
    <row r="844" spans="1:13" x14ac:dyDescent="0.3">
      <c r="A844">
        <v>842</v>
      </c>
      <c r="B844">
        <v>843</v>
      </c>
      <c r="C844" t="s">
        <v>887</v>
      </c>
      <c r="D844">
        <v>1992</v>
      </c>
      <c r="E844" t="s">
        <v>11</v>
      </c>
      <c r="F844" t="s">
        <v>876</v>
      </c>
      <c r="G844">
        <v>1</v>
      </c>
      <c r="H844">
        <v>0</v>
      </c>
      <c r="I844">
        <v>0</v>
      </c>
      <c r="J844">
        <v>0</v>
      </c>
      <c r="K844">
        <v>0</v>
      </c>
      <c r="L844">
        <f t="shared" si="26"/>
        <v>6.4</v>
      </c>
      <c r="M844">
        <f t="shared" si="27"/>
        <v>1</v>
      </c>
    </row>
    <row r="845" spans="1:13" x14ac:dyDescent="0.3">
      <c r="A845">
        <v>843</v>
      </c>
      <c r="B845">
        <v>844</v>
      </c>
      <c r="C845" t="s">
        <v>888</v>
      </c>
      <c r="D845">
        <v>2020</v>
      </c>
      <c r="E845" t="s">
        <v>14</v>
      </c>
      <c r="F845" t="s">
        <v>876</v>
      </c>
      <c r="G845">
        <v>1</v>
      </c>
      <c r="H845">
        <v>0</v>
      </c>
      <c r="I845">
        <v>0</v>
      </c>
      <c r="J845">
        <v>0</v>
      </c>
      <c r="K845">
        <v>0</v>
      </c>
      <c r="L845">
        <f t="shared" si="26"/>
        <v>6.4</v>
      </c>
      <c r="M845">
        <f t="shared" si="27"/>
        <v>1</v>
      </c>
    </row>
    <row r="846" spans="1:13" x14ac:dyDescent="0.3">
      <c r="A846">
        <v>844</v>
      </c>
      <c r="B846">
        <v>845</v>
      </c>
      <c r="C846" t="s">
        <v>889</v>
      </c>
      <c r="D846">
        <v>2015</v>
      </c>
      <c r="E846" t="s">
        <v>11</v>
      </c>
      <c r="F846" t="s">
        <v>876</v>
      </c>
      <c r="G846">
        <v>1</v>
      </c>
      <c r="H846">
        <v>0</v>
      </c>
      <c r="I846">
        <v>0</v>
      </c>
      <c r="J846">
        <v>0</v>
      </c>
      <c r="K846">
        <v>0</v>
      </c>
      <c r="L846">
        <f t="shared" si="26"/>
        <v>6.4</v>
      </c>
      <c r="M846">
        <f t="shared" si="27"/>
        <v>1</v>
      </c>
    </row>
    <row r="847" spans="1:13" x14ac:dyDescent="0.3">
      <c r="A847">
        <v>845</v>
      </c>
      <c r="B847">
        <v>846</v>
      </c>
      <c r="C847" t="s">
        <v>890</v>
      </c>
      <c r="D847">
        <v>2011</v>
      </c>
      <c r="F847" t="s">
        <v>876</v>
      </c>
      <c r="G847">
        <v>1</v>
      </c>
      <c r="H847">
        <v>0</v>
      </c>
      <c r="I847">
        <v>0</v>
      </c>
      <c r="J847">
        <v>0</v>
      </c>
      <c r="K847">
        <v>0</v>
      </c>
      <c r="L847">
        <f t="shared" si="26"/>
        <v>6.4</v>
      </c>
      <c r="M847">
        <f t="shared" si="27"/>
        <v>1</v>
      </c>
    </row>
    <row r="848" spans="1:13" x14ac:dyDescent="0.3">
      <c r="A848">
        <v>846</v>
      </c>
      <c r="B848">
        <v>847</v>
      </c>
      <c r="C848" t="s">
        <v>891</v>
      </c>
      <c r="D848">
        <v>2018</v>
      </c>
      <c r="E848" t="s">
        <v>11</v>
      </c>
      <c r="F848" t="s">
        <v>876</v>
      </c>
      <c r="G848">
        <v>1</v>
      </c>
      <c r="H848">
        <v>0</v>
      </c>
      <c r="I848">
        <v>0</v>
      </c>
      <c r="J848">
        <v>0</v>
      </c>
      <c r="K848">
        <v>0</v>
      </c>
      <c r="L848">
        <f t="shared" si="26"/>
        <v>6.4</v>
      </c>
      <c r="M848">
        <f t="shared" si="27"/>
        <v>1</v>
      </c>
    </row>
    <row r="849" spans="1:13" x14ac:dyDescent="0.3">
      <c r="A849">
        <v>847</v>
      </c>
      <c r="B849">
        <v>848</v>
      </c>
      <c r="C849" t="s">
        <v>892</v>
      </c>
      <c r="D849">
        <v>2018</v>
      </c>
      <c r="E849" t="s">
        <v>11</v>
      </c>
      <c r="F849" t="s">
        <v>876</v>
      </c>
      <c r="G849">
        <v>1</v>
      </c>
      <c r="H849">
        <v>0</v>
      </c>
      <c r="I849">
        <v>0</v>
      </c>
      <c r="J849">
        <v>0</v>
      </c>
      <c r="K849">
        <v>0</v>
      </c>
      <c r="L849">
        <f t="shared" si="26"/>
        <v>6.4</v>
      </c>
      <c r="M849">
        <f t="shared" si="27"/>
        <v>1</v>
      </c>
    </row>
    <row r="850" spans="1:13" x14ac:dyDescent="0.3">
      <c r="A850">
        <v>848</v>
      </c>
      <c r="B850">
        <v>849</v>
      </c>
      <c r="C850" t="s">
        <v>893</v>
      </c>
      <c r="D850">
        <v>2016</v>
      </c>
      <c r="E850" t="s">
        <v>22</v>
      </c>
      <c r="F850" t="s">
        <v>876</v>
      </c>
      <c r="G850">
        <v>1</v>
      </c>
      <c r="H850">
        <v>0</v>
      </c>
      <c r="I850">
        <v>0</v>
      </c>
      <c r="J850">
        <v>0</v>
      </c>
      <c r="K850">
        <v>0</v>
      </c>
      <c r="L850">
        <f t="shared" si="26"/>
        <v>6.4</v>
      </c>
      <c r="M850">
        <f t="shared" si="27"/>
        <v>1</v>
      </c>
    </row>
    <row r="851" spans="1:13" x14ac:dyDescent="0.3">
      <c r="A851">
        <v>849</v>
      </c>
      <c r="B851">
        <v>850</v>
      </c>
      <c r="C851" t="s">
        <v>894</v>
      </c>
      <c r="D851">
        <v>2017</v>
      </c>
      <c r="E851" t="s">
        <v>11</v>
      </c>
      <c r="F851" t="s">
        <v>876</v>
      </c>
      <c r="G851">
        <v>1</v>
      </c>
      <c r="H851">
        <v>0</v>
      </c>
      <c r="I851">
        <v>0</v>
      </c>
      <c r="J851">
        <v>0</v>
      </c>
      <c r="K851">
        <v>0</v>
      </c>
      <c r="L851">
        <f t="shared" si="26"/>
        <v>6.4</v>
      </c>
      <c r="M851">
        <f t="shared" si="27"/>
        <v>1</v>
      </c>
    </row>
    <row r="852" spans="1:13" x14ac:dyDescent="0.3">
      <c r="A852">
        <v>850</v>
      </c>
      <c r="B852">
        <v>851</v>
      </c>
      <c r="C852" t="s">
        <v>895</v>
      </c>
      <c r="D852">
        <v>2018</v>
      </c>
      <c r="E852" t="s">
        <v>22</v>
      </c>
      <c r="F852" t="s">
        <v>876</v>
      </c>
      <c r="G852">
        <v>1</v>
      </c>
      <c r="H852">
        <v>0</v>
      </c>
      <c r="I852">
        <v>0</v>
      </c>
      <c r="J852">
        <v>0</v>
      </c>
      <c r="K852">
        <v>0</v>
      </c>
      <c r="L852">
        <f t="shared" si="26"/>
        <v>6.4</v>
      </c>
      <c r="M852">
        <f t="shared" si="27"/>
        <v>1</v>
      </c>
    </row>
    <row r="853" spans="1:13" x14ac:dyDescent="0.3">
      <c r="A853">
        <v>851</v>
      </c>
      <c r="B853">
        <v>852</v>
      </c>
      <c r="C853" t="s">
        <v>896</v>
      </c>
      <c r="D853">
        <v>2016</v>
      </c>
      <c r="F853" t="s">
        <v>876</v>
      </c>
      <c r="G853">
        <v>1</v>
      </c>
      <c r="H853">
        <v>0</v>
      </c>
      <c r="I853">
        <v>0</v>
      </c>
      <c r="J853">
        <v>0</v>
      </c>
      <c r="K853">
        <v>0</v>
      </c>
      <c r="L853">
        <f t="shared" si="26"/>
        <v>6.4</v>
      </c>
      <c r="M853">
        <f t="shared" si="27"/>
        <v>1</v>
      </c>
    </row>
    <row r="854" spans="1:13" x14ac:dyDescent="0.3">
      <c r="A854">
        <v>852</v>
      </c>
      <c r="B854">
        <v>853</v>
      </c>
      <c r="C854" t="s">
        <v>897</v>
      </c>
      <c r="D854">
        <v>1998</v>
      </c>
      <c r="E854" t="s">
        <v>22</v>
      </c>
      <c r="F854" t="s">
        <v>876</v>
      </c>
      <c r="G854">
        <v>1</v>
      </c>
      <c r="H854">
        <v>0</v>
      </c>
      <c r="I854">
        <v>0</v>
      </c>
      <c r="J854">
        <v>0</v>
      </c>
      <c r="K854">
        <v>0</v>
      </c>
      <c r="L854">
        <f t="shared" si="26"/>
        <v>6.4</v>
      </c>
      <c r="M854">
        <f t="shared" si="27"/>
        <v>1</v>
      </c>
    </row>
    <row r="855" spans="1:13" x14ac:dyDescent="0.3">
      <c r="A855">
        <v>853</v>
      </c>
      <c r="B855">
        <v>854</v>
      </c>
      <c r="C855" t="s">
        <v>898</v>
      </c>
      <c r="D855">
        <v>2007</v>
      </c>
      <c r="E855" t="s">
        <v>14</v>
      </c>
      <c r="F855" t="s">
        <v>876</v>
      </c>
      <c r="G855">
        <v>1</v>
      </c>
      <c r="H855">
        <v>0</v>
      </c>
      <c r="I855">
        <v>0</v>
      </c>
      <c r="J855">
        <v>0</v>
      </c>
      <c r="K855">
        <v>0</v>
      </c>
      <c r="L855">
        <f t="shared" si="26"/>
        <v>6.4</v>
      </c>
      <c r="M855">
        <f t="shared" si="27"/>
        <v>1</v>
      </c>
    </row>
    <row r="856" spans="1:13" x14ac:dyDescent="0.3">
      <c r="A856">
        <v>854</v>
      </c>
      <c r="B856">
        <v>855</v>
      </c>
      <c r="C856" t="s">
        <v>899</v>
      </c>
      <c r="D856">
        <v>2018</v>
      </c>
      <c r="E856" t="s">
        <v>22</v>
      </c>
      <c r="F856" t="s">
        <v>876</v>
      </c>
      <c r="G856">
        <v>1</v>
      </c>
      <c r="H856">
        <v>0</v>
      </c>
      <c r="I856">
        <v>0</v>
      </c>
      <c r="J856">
        <v>0</v>
      </c>
      <c r="K856">
        <v>0</v>
      </c>
      <c r="L856">
        <f t="shared" si="26"/>
        <v>6.4</v>
      </c>
      <c r="M856">
        <f t="shared" si="27"/>
        <v>1</v>
      </c>
    </row>
    <row r="857" spans="1:13" x14ac:dyDescent="0.3">
      <c r="A857">
        <v>855</v>
      </c>
      <c r="B857">
        <v>856</v>
      </c>
      <c r="C857" t="s">
        <v>900</v>
      </c>
      <c r="D857">
        <v>2011</v>
      </c>
      <c r="E857" t="s">
        <v>11</v>
      </c>
      <c r="F857" t="s">
        <v>876</v>
      </c>
      <c r="G857">
        <v>1</v>
      </c>
      <c r="H857">
        <v>0</v>
      </c>
      <c r="I857">
        <v>0</v>
      </c>
      <c r="J857">
        <v>0</v>
      </c>
      <c r="K857">
        <v>0</v>
      </c>
      <c r="L857">
        <f t="shared" si="26"/>
        <v>6.4</v>
      </c>
      <c r="M857">
        <f t="shared" si="27"/>
        <v>1</v>
      </c>
    </row>
    <row r="858" spans="1:13" x14ac:dyDescent="0.3">
      <c r="A858">
        <v>856</v>
      </c>
      <c r="B858">
        <v>857</v>
      </c>
      <c r="C858" t="s">
        <v>901</v>
      </c>
      <c r="D858">
        <v>2018</v>
      </c>
      <c r="E858" t="s">
        <v>11</v>
      </c>
      <c r="F858" t="s">
        <v>876</v>
      </c>
      <c r="G858">
        <v>1</v>
      </c>
      <c r="H858">
        <v>0</v>
      </c>
      <c r="I858">
        <v>0</v>
      </c>
      <c r="J858">
        <v>0</v>
      </c>
      <c r="K858">
        <v>0</v>
      </c>
      <c r="L858">
        <f t="shared" si="26"/>
        <v>6.4</v>
      </c>
      <c r="M858">
        <f t="shared" si="27"/>
        <v>1</v>
      </c>
    </row>
    <row r="859" spans="1:13" x14ac:dyDescent="0.3">
      <c r="A859">
        <v>857</v>
      </c>
      <c r="B859">
        <v>858</v>
      </c>
      <c r="C859" t="s">
        <v>902</v>
      </c>
      <c r="D859">
        <v>2020</v>
      </c>
      <c r="E859" t="s">
        <v>11</v>
      </c>
      <c r="F859" t="s">
        <v>876</v>
      </c>
      <c r="G859">
        <v>1</v>
      </c>
      <c r="H859">
        <v>0</v>
      </c>
      <c r="I859">
        <v>0</v>
      </c>
      <c r="J859">
        <v>0</v>
      </c>
      <c r="K859">
        <v>0</v>
      </c>
      <c r="L859">
        <f t="shared" si="26"/>
        <v>6.4</v>
      </c>
      <c r="M859">
        <f t="shared" si="27"/>
        <v>1</v>
      </c>
    </row>
    <row r="860" spans="1:13" x14ac:dyDescent="0.3">
      <c r="A860">
        <v>858</v>
      </c>
      <c r="B860">
        <v>859</v>
      </c>
      <c r="C860" t="s">
        <v>903</v>
      </c>
      <c r="D860">
        <v>2013</v>
      </c>
      <c r="F860" t="s">
        <v>876</v>
      </c>
      <c r="G860">
        <v>1</v>
      </c>
      <c r="H860">
        <v>0</v>
      </c>
      <c r="I860">
        <v>0</v>
      </c>
      <c r="J860">
        <v>0</v>
      </c>
      <c r="K860">
        <v>0</v>
      </c>
      <c r="L860">
        <f t="shared" si="26"/>
        <v>6.4</v>
      </c>
      <c r="M860">
        <f t="shared" si="27"/>
        <v>1</v>
      </c>
    </row>
    <row r="861" spans="1:13" x14ac:dyDescent="0.3">
      <c r="A861">
        <v>859</v>
      </c>
      <c r="B861">
        <v>860</v>
      </c>
      <c r="C861" t="s">
        <v>904</v>
      </c>
      <c r="D861">
        <v>2018</v>
      </c>
      <c r="E861" t="s">
        <v>11</v>
      </c>
      <c r="F861" t="s">
        <v>876</v>
      </c>
      <c r="G861">
        <v>1</v>
      </c>
      <c r="H861">
        <v>0</v>
      </c>
      <c r="I861">
        <v>0</v>
      </c>
      <c r="J861">
        <v>0</v>
      </c>
      <c r="K861">
        <v>0</v>
      </c>
      <c r="L861">
        <f t="shared" si="26"/>
        <v>6.4</v>
      </c>
      <c r="M861">
        <f t="shared" si="27"/>
        <v>1</v>
      </c>
    </row>
    <row r="862" spans="1:13" x14ac:dyDescent="0.3">
      <c r="A862">
        <v>860</v>
      </c>
      <c r="B862">
        <v>861</v>
      </c>
      <c r="C862" t="s">
        <v>905</v>
      </c>
      <c r="D862">
        <v>2005</v>
      </c>
      <c r="E862" t="s">
        <v>22</v>
      </c>
      <c r="F862" t="s">
        <v>876</v>
      </c>
      <c r="G862">
        <v>1</v>
      </c>
      <c r="H862">
        <v>0</v>
      </c>
      <c r="I862">
        <v>0</v>
      </c>
      <c r="J862">
        <v>0</v>
      </c>
      <c r="K862">
        <v>0</v>
      </c>
      <c r="L862">
        <f t="shared" si="26"/>
        <v>6.4</v>
      </c>
      <c r="M862">
        <f t="shared" si="27"/>
        <v>1</v>
      </c>
    </row>
    <row r="863" spans="1:13" x14ac:dyDescent="0.3">
      <c r="A863">
        <v>861</v>
      </c>
      <c r="B863">
        <v>862</v>
      </c>
      <c r="C863" t="s">
        <v>906</v>
      </c>
      <c r="D863">
        <v>2019</v>
      </c>
      <c r="F863" t="s">
        <v>876</v>
      </c>
      <c r="G863">
        <v>1</v>
      </c>
      <c r="H863">
        <v>0</v>
      </c>
      <c r="I863">
        <v>0</v>
      </c>
      <c r="J863">
        <v>0</v>
      </c>
      <c r="K863">
        <v>0</v>
      </c>
      <c r="L863">
        <f t="shared" si="26"/>
        <v>6.4</v>
      </c>
      <c r="M863">
        <f t="shared" si="27"/>
        <v>1</v>
      </c>
    </row>
    <row r="864" spans="1:13" x14ac:dyDescent="0.3">
      <c r="A864">
        <v>862</v>
      </c>
      <c r="B864">
        <v>863</v>
      </c>
      <c r="C864" t="s">
        <v>907</v>
      </c>
      <c r="D864">
        <v>1996</v>
      </c>
      <c r="E864" t="s">
        <v>22</v>
      </c>
      <c r="F864" t="s">
        <v>876</v>
      </c>
      <c r="G864">
        <v>1</v>
      </c>
      <c r="H864">
        <v>0</v>
      </c>
      <c r="I864">
        <v>0</v>
      </c>
      <c r="J864">
        <v>0</v>
      </c>
      <c r="K864">
        <v>0</v>
      </c>
      <c r="L864">
        <f t="shared" si="26"/>
        <v>6.4</v>
      </c>
      <c r="M864">
        <f t="shared" si="27"/>
        <v>1</v>
      </c>
    </row>
    <row r="865" spans="1:13" x14ac:dyDescent="0.3">
      <c r="A865">
        <v>863</v>
      </c>
      <c r="B865">
        <v>864</v>
      </c>
      <c r="C865" t="s">
        <v>908</v>
      </c>
      <c r="D865">
        <v>2018</v>
      </c>
      <c r="F865" t="s">
        <v>876</v>
      </c>
      <c r="G865">
        <v>1</v>
      </c>
      <c r="H865">
        <v>0</v>
      </c>
      <c r="I865">
        <v>0</v>
      </c>
      <c r="J865">
        <v>0</v>
      </c>
      <c r="K865">
        <v>0</v>
      </c>
      <c r="L865">
        <f t="shared" si="26"/>
        <v>6.4</v>
      </c>
      <c r="M865">
        <f t="shared" si="27"/>
        <v>1</v>
      </c>
    </row>
    <row r="866" spans="1:13" x14ac:dyDescent="0.3">
      <c r="A866">
        <v>864</v>
      </c>
      <c r="B866">
        <v>865</v>
      </c>
      <c r="C866" t="s">
        <v>909</v>
      </c>
      <c r="D866">
        <v>2018</v>
      </c>
      <c r="E866" t="s">
        <v>28</v>
      </c>
      <c r="F866" t="s">
        <v>876</v>
      </c>
      <c r="G866">
        <v>1</v>
      </c>
      <c r="H866">
        <v>0</v>
      </c>
      <c r="I866">
        <v>0</v>
      </c>
      <c r="J866">
        <v>0</v>
      </c>
      <c r="K866">
        <v>0</v>
      </c>
      <c r="L866">
        <f t="shared" si="26"/>
        <v>6.4</v>
      </c>
      <c r="M866">
        <f t="shared" si="27"/>
        <v>1</v>
      </c>
    </row>
    <row r="867" spans="1:13" x14ac:dyDescent="0.3">
      <c r="A867">
        <v>865</v>
      </c>
      <c r="B867">
        <v>866</v>
      </c>
      <c r="C867" t="s">
        <v>910</v>
      </c>
      <c r="D867">
        <v>2020</v>
      </c>
      <c r="E867" t="s">
        <v>11</v>
      </c>
      <c r="F867" t="s">
        <v>876</v>
      </c>
      <c r="G867">
        <v>1</v>
      </c>
      <c r="H867">
        <v>0</v>
      </c>
      <c r="I867">
        <v>0</v>
      </c>
      <c r="J867">
        <v>0</v>
      </c>
      <c r="K867">
        <v>0</v>
      </c>
      <c r="L867">
        <f t="shared" si="26"/>
        <v>6.4</v>
      </c>
      <c r="M867">
        <f t="shared" si="27"/>
        <v>1</v>
      </c>
    </row>
    <row r="868" spans="1:13" x14ac:dyDescent="0.3">
      <c r="A868">
        <v>866</v>
      </c>
      <c r="B868">
        <v>867</v>
      </c>
      <c r="C868" t="s">
        <v>911</v>
      </c>
      <c r="D868">
        <v>2019</v>
      </c>
      <c r="E868" t="s">
        <v>11</v>
      </c>
      <c r="F868" t="s">
        <v>876</v>
      </c>
      <c r="G868">
        <v>1</v>
      </c>
      <c r="H868">
        <v>0</v>
      </c>
      <c r="I868">
        <v>0</v>
      </c>
      <c r="J868">
        <v>0</v>
      </c>
      <c r="K868">
        <v>0</v>
      </c>
      <c r="L868">
        <f t="shared" si="26"/>
        <v>6.4</v>
      </c>
      <c r="M868">
        <f t="shared" si="27"/>
        <v>1</v>
      </c>
    </row>
    <row r="869" spans="1:13" x14ac:dyDescent="0.3">
      <c r="A869">
        <v>867</v>
      </c>
      <c r="B869">
        <v>868</v>
      </c>
      <c r="C869" t="s">
        <v>912</v>
      </c>
      <c r="D869">
        <v>2004</v>
      </c>
      <c r="E869" t="s">
        <v>28</v>
      </c>
      <c r="F869" t="s">
        <v>876</v>
      </c>
      <c r="G869">
        <v>1</v>
      </c>
      <c r="H869">
        <v>0</v>
      </c>
      <c r="I869">
        <v>0</v>
      </c>
      <c r="J869">
        <v>0</v>
      </c>
      <c r="K869">
        <v>0</v>
      </c>
      <c r="L869">
        <f t="shared" si="26"/>
        <v>6.4</v>
      </c>
      <c r="M869">
        <f t="shared" si="27"/>
        <v>1</v>
      </c>
    </row>
    <row r="870" spans="1:13" x14ac:dyDescent="0.3">
      <c r="A870">
        <v>868</v>
      </c>
      <c r="B870">
        <v>869</v>
      </c>
      <c r="C870" t="s">
        <v>913</v>
      </c>
      <c r="D870">
        <v>2016</v>
      </c>
      <c r="F870" t="s">
        <v>876</v>
      </c>
      <c r="G870">
        <v>1</v>
      </c>
      <c r="H870">
        <v>0</v>
      </c>
      <c r="I870">
        <v>0</v>
      </c>
      <c r="J870">
        <v>0</v>
      </c>
      <c r="K870">
        <v>0</v>
      </c>
      <c r="L870">
        <f t="shared" si="26"/>
        <v>6.4</v>
      </c>
      <c r="M870">
        <f t="shared" si="27"/>
        <v>1</v>
      </c>
    </row>
    <row r="871" spans="1:13" x14ac:dyDescent="0.3">
      <c r="A871">
        <v>869</v>
      </c>
      <c r="B871">
        <v>870</v>
      </c>
      <c r="C871" t="s">
        <v>914</v>
      </c>
      <c r="D871">
        <v>1997</v>
      </c>
      <c r="E871" t="s">
        <v>14</v>
      </c>
      <c r="F871" t="s">
        <v>876</v>
      </c>
      <c r="G871">
        <v>1</v>
      </c>
      <c r="H871">
        <v>0</v>
      </c>
      <c r="I871">
        <v>0</v>
      </c>
      <c r="J871">
        <v>0</v>
      </c>
      <c r="K871">
        <v>0</v>
      </c>
      <c r="L871">
        <f t="shared" si="26"/>
        <v>6.4</v>
      </c>
      <c r="M871">
        <f t="shared" si="27"/>
        <v>1</v>
      </c>
    </row>
    <row r="872" spans="1:13" x14ac:dyDescent="0.3">
      <c r="A872">
        <v>870</v>
      </c>
      <c r="B872">
        <v>871</v>
      </c>
      <c r="C872" t="s">
        <v>915</v>
      </c>
      <c r="D872">
        <v>2001</v>
      </c>
      <c r="E872" t="s">
        <v>36</v>
      </c>
      <c r="F872" t="s">
        <v>876</v>
      </c>
      <c r="G872">
        <v>1</v>
      </c>
      <c r="H872">
        <v>0</v>
      </c>
      <c r="I872">
        <v>0</v>
      </c>
      <c r="J872">
        <v>0</v>
      </c>
      <c r="K872">
        <v>0</v>
      </c>
      <c r="L872">
        <f t="shared" si="26"/>
        <v>6.4</v>
      </c>
      <c r="M872">
        <f t="shared" si="27"/>
        <v>1</v>
      </c>
    </row>
    <row r="873" spans="1:13" x14ac:dyDescent="0.3">
      <c r="A873">
        <v>871</v>
      </c>
      <c r="B873">
        <v>872</v>
      </c>
      <c r="C873" t="s">
        <v>916</v>
      </c>
      <c r="D873">
        <v>2019</v>
      </c>
      <c r="F873" t="s">
        <v>876</v>
      </c>
      <c r="G873">
        <v>1</v>
      </c>
      <c r="H873">
        <v>0</v>
      </c>
      <c r="I873">
        <v>0</v>
      </c>
      <c r="J873">
        <v>0</v>
      </c>
      <c r="K873">
        <v>0</v>
      </c>
      <c r="L873">
        <f t="shared" si="26"/>
        <v>6.4</v>
      </c>
      <c r="M873">
        <f t="shared" si="27"/>
        <v>1</v>
      </c>
    </row>
    <row r="874" spans="1:13" x14ac:dyDescent="0.3">
      <c r="A874">
        <v>872</v>
      </c>
      <c r="B874">
        <v>873</v>
      </c>
      <c r="C874" t="s">
        <v>917</v>
      </c>
      <c r="D874">
        <v>2020</v>
      </c>
      <c r="F874" t="s">
        <v>876</v>
      </c>
      <c r="G874">
        <v>1</v>
      </c>
      <c r="H874">
        <v>0</v>
      </c>
      <c r="I874">
        <v>0</v>
      </c>
      <c r="J874">
        <v>0</v>
      </c>
      <c r="K874">
        <v>0</v>
      </c>
      <c r="L874">
        <f t="shared" si="26"/>
        <v>6.4</v>
      </c>
      <c r="M874">
        <f t="shared" si="27"/>
        <v>1</v>
      </c>
    </row>
    <row r="875" spans="1:13" x14ac:dyDescent="0.3">
      <c r="A875">
        <v>873</v>
      </c>
      <c r="B875">
        <v>874</v>
      </c>
      <c r="C875" t="s">
        <v>918</v>
      </c>
      <c r="D875">
        <v>2008</v>
      </c>
      <c r="E875" t="s">
        <v>22</v>
      </c>
      <c r="F875" t="s">
        <v>876</v>
      </c>
      <c r="G875">
        <v>1</v>
      </c>
      <c r="H875">
        <v>0</v>
      </c>
      <c r="I875">
        <v>0</v>
      </c>
      <c r="J875">
        <v>0</v>
      </c>
      <c r="K875">
        <v>0</v>
      </c>
      <c r="L875">
        <f t="shared" si="26"/>
        <v>6.4</v>
      </c>
      <c r="M875">
        <f t="shared" si="27"/>
        <v>1</v>
      </c>
    </row>
    <row r="876" spans="1:13" x14ac:dyDescent="0.3">
      <c r="A876">
        <v>874</v>
      </c>
      <c r="B876">
        <v>875</v>
      </c>
      <c r="C876" t="s">
        <v>919</v>
      </c>
      <c r="D876">
        <v>2020</v>
      </c>
      <c r="E876" t="s">
        <v>22</v>
      </c>
      <c r="F876" t="s">
        <v>876</v>
      </c>
      <c r="G876">
        <v>1</v>
      </c>
      <c r="H876">
        <v>0</v>
      </c>
      <c r="I876">
        <v>0</v>
      </c>
      <c r="J876">
        <v>0</v>
      </c>
      <c r="K876">
        <v>0</v>
      </c>
      <c r="L876">
        <f t="shared" si="26"/>
        <v>6.4</v>
      </c>
      <c r="M876">
        <f t="shared" si="27"/>
        <v>1</v>
      </c>
    </row>
    <row r="877" spans="1:13" x14ac:dyDescent="0.3">
      <c r="A877">
        <v>875</v>
      </c>
      <c r="B877">
        <v>876</v>
      </c>
      <c r="C877" t="s">
        <v>920</v>
      </c>
      <c r="D877">
        <v>2014</v>
      </c>
      <c r="E877" t="s">
        <v>11</v>
      </c>
      <c r="F877" t="s">
        <v>876</v>
      </c>
      <c r="G877">
        <v>1</v>
      </c>
      <c r="H877">
        <v>0</v>
      </c>
      <c r="I877">
        <v>0</v>
      </c>
      <c r="J877">
        <v>0</v>
      </c>
      <c r="K877">
        <v>0</v>
      </c>
      <c r="L877">
        <f t="shared" si="26"/>
        <v>6.4</v>
      </c>
      <c r="M877">
        <f t="shared" si="27"/>
        <v>1</v>
      </c>
    </row>
    <row r="878" spans="1:13" x14ac:dyDescent="0.3">
      <c r="A878">
        <v>876</v>
      </c>
      <c r="B878">
        <v>877</v>
      </c>
      <c r="C878" t="s">
        <v>921</v>
      </c>
      <c r="D878">
        <v>2018</v>
      </c>
      <c r="F878" t="s">
        <v>876</v>
      </c>
      <c r="G878">
        <v>1</v>
      </c>
      <c r="H878">
        <v>0</v>
      </c>
      <c r="I878">
        <v>0</v>
      </c>
      <c r="J878">
        <v>0</v>
      </c>
      <c r="K878">
        <v>0</v>
      </c>
      <c r="L878">
        <f t="shared" si="26"/>
        <v>6.4</v>
      </c>
      <c r="M878">
        <f t="shared" si="27"/>
        <v>1</v>
      </c>
    </row>
    <row r="879" spans="1:13" x14ac:dyDescent="0.3">
      <c r="A879">
        <v>877</v>
      </c>
      <c r="B879">
        <v>878</v>
      </c>
      <c r="C879" t="s">
        <v>922</v>
      </c>
      <c r="D879">
        <v>2021</v>
      </c>
      <c r="F879" t="s">
        <v>876</v>
      </c>
      <c r="G879">
        <v>1</v>
      </c>
      <c r="H879">
        <v>0</v>
      </c>
      <c r="I879">
        <v>0</v>
      </c>
      <c r="J879">
        <v>0</v>
      </c>
      <c r="K879">
        <v>0</v>
      </c>
      <c r="L879">
        <f t="shared" si="26"/>
        <v>6.4</v>
      </c>
      <c r="M879">
        <f t="shared" si="27"/>
        <v>1</v>
      </c>
    </row>
    <row r="880" spans="1:13" x14ac:dyDescent="0.3">
      <c r="A880">
        <v>878</v>
      </c>
      <c r="B880">
        <v>879</v>
      </c>
      <c r="C880" t="s">
        <v>923</v>
      </c>
      <c r="D880">
        <v>2016</v>
      </c>
      <c r="F880" t="s">
        <v>876</v>
      </c>
      <c r="G880">
        <v>1</v>
      </c>
      <c r="H880">
        <v>0</v>
      </c>
      <c r="I880">
        <v>0</v>
      </c>
      <c r="J880">
        <v>0</v>
      </c>
      <c r="K880">
        <v>0</v>
      </c>
      <c r="L880">
        <f t="shared" si="26"/>
        <v>6.4</v>
      </c>
      <c r="M880">
        <f t="shared" si="27"/>
        <v>1</v>
      </c>
    </row>
    <row r="881" spans="1:13" x14ac:dyDescent="0.3">
      <c r="A881">
        <v>879</v>
      </c>
      <c r="B881">
        <v>880</v>
      </c>
      <c r="C881" t="s">
        <v>924</v>
      </c>
      <c r="D881">
        <v>2017</v>
      </c>
      <c r="F881" t="s">
        <v>876</v>
      </c>
      <c r="G881">
        <v>1</v>
      </c>
      <c r="H881">
        <v>0</v>
      </c>
      <c r="I881">
        <v>0</v>
      </c>
      <c r="J881">
        <v>0</v>
      </c>
      <c r="K881">
        <v>0</v>
      </c>
      <c r="L881">
        <f t="shared" si="26"/>
        <v>6.4</v>
      </c>
      <c r="M881">
        <f t="shared" si="27"/>
        <v>1</v>
      </c>
    </row>
    <row r="882" spans="1:13" x14ac:dyDescent="0.3">
      <c r="A882">
        <v>880</v>
      </c>
      <c r="B882">
        <v>881</v>
      </c>
      <c r="C882" t="s">
        <v>925</v>
      </c>
      <c r="D882">
        <v>2017</v>
      </c>
      <c r="E882" t="s">
        <v>11</v>
      </c>
      <c r="F882" t="s">
        <v>876</v>
      </c>
      <c r="G882">
        <v>1</v>
      </c>
      <c r="H882">
        <v>0</v>
      </c>
      <c r="I882">
        <v>0</v>
      </c>
      <c r="J882">
        <v>0</v>
      </c>
      <c r="K882">
        <v>0</v>
      </c>
      <c r="L882">
        <f t="shared" si="26"/>
        <v>6.4</v>
      </c>
      <c r="M882">
        <f t="shared" si="27"/>
        <v>1</v>
      </c>
    </row>
    <row r="883" spans="1:13" x14ac:dyDescent="0.3">
      <c r="A883">
        <v>881</v>
      </c>
      <c r="B883">
        <v>882</v>
      </c>
      <c r="C883" t="s">
        <v>926</v>
      </c>
      <c r="D883">
        <v>2020</v>
      </c>
      <c r="E883" t="s">
        <v>28</v>
      </c>
      <c r="F883" t="s">
        <v>876</v>
      </c>
      <c r="G883">
        <v>1</v>
      </c>
      <c r="H883">
        <v>0</v>
      </c>
      <c r="I883">
        <v>0</v>
      </c>
      <c r="J883">
        <v>0</v>
      </c>
      <c r="K883">
        <v>0</v>
      </c>
      <c r="L883">
        <f t="shared" si="26"/>
        <v>6.4</v>
      </c>
      <c r="M883">
        <f t="shared" si="27"/>
        <v>1</v>
      </c>
    </row>
    <row r="884" spans="1:13" x14ac:dyDescent="0.3">
      <c r="A884">
        <v>882</v>
      </c>
      <c r="B884">
        <v>883</v>
      </c>
      <c r="C884" t="s">
        <v>927</v>
      </c>
      <c r="D884">
        <v>2020</v>
      </c>
      <c r="E884" t="s">
        <v>11</v>
      </c>
      <c r="F884" t="s">
        <v>876</v>
      </c>
      <c r="G884">
        <v>1</v>
      </c>
      <c r="H884">
        <v>0</v>
      </c>
      <c r="I884">
        <v>0</v>
      </c>
      <c r="J884">
        <v>0</v>
      </c>
      <c r="K884">
        <v>0</v>
      </c>
      <c r="L884">
        <f t="shared" si="26"/>
        <v>6.4</v>
      </c>
      <c r="M884">
        <f t="shared" si="27"/>
        <v>1</v>
      </c>
    </row>
    <row r="885" spans="1:13" x14ac:dyDescent="0.3">
      <c r="A885">
        <v>883</v>
      </c>
      <c r="B885">
        <v>884</v>
      </c>
      <c r="C885" t="s">
        <v>928</v>
      </c>
      <c r="D885">
        <v>2016</v>
      </c>
      <c r="E885" t="s">
        <v>11</v>
      </c>
      <c r="F885" t="s">
        <v>876</v>
      </c>
      <c r="G885">
        <v>1</v>
      </c>
      <c r="H885">
        <v>0</v>
      </c>
      <c r="I885">
        <v>0</v>
      </c>
      <c r="J885">
        <v>0</v>
      </c>
      <c r="K885">
        <v>0</v>
      </c>
      <c r="L885">
        <f t="shared" si="26"/>
        <v>6.4</v>
      </c>
      <c r="M885">
        <f t="shared" si="27"/>
        <v>1</v>
      </c>
    </row>
    <row r="886" spans="1:13" x14ac:dyDescent="0.3">
      <c r="A886">
        <v>884</v>
      </c>
      <c r="B886">
        <v>885</v>
      </c>
      <c r="C886" t="s">
        <v>929</v>
      </c>
      <c r="D886">
        <v>2018</v>
      </c>
      <c r="F886" t="s">
        <v>876</v>
      </c>
      <c r="G886">
        <v>1</v>
      </c>
      <c r="H886">
        <v>0</v>
      </c>
      <c r="I886">
        <v>0</v>
      </c>
      <c r="J886">
        <v>0</v>
      </c>
      <c r="K886">
        <v>0</v>
      </c>
      <c r="L886">
        <f t="shared" si="26"/>
        <v>6.4</v>
      </c>
      <c r="M886">
        <f t="shared" si="27"/>
        <v>1</v>
      </c>
    </row>
    <row r="887" spans="1:13" x14ac:dyDescent="0.3">
      <c r="A887">
        <v>885</v>
      </c>
      <c r="B887">
        <v>886</v>
      </c>
      <c r="C887" t="s">
        <v>930</v>
      </c>
      <c r="D887">
        <v>2017</v>
      </c>
      <c r="F887" t="s">
        <v>876</v>
      </c>
      <c r="G887">
        <v>1</v>
      </c>
      <c r="H887">
        <v>0</v>
      </c>
      <c r="I887">
        <v>0</v>
      </c>
      <c r="J887">
        <v>0</v>
      </c>
      <c r="K887">
        <v>0</v>
      </c>
      <c r="L887">
        <f t="shared" si="26"/>
        <v>6.4</v>
      </c>
      <c r="M887">
        <f t="shared" si="27"/>
        <v>1</v>
      </c>
    </row>
    <row r="888" spans="1:13" x14ac:dyDescent="0.3">
      <c r="A888">
        <v>886</v>
      </c>
      <c r="B888">
        <v>887</v>
      </c>
      <c r="C888" t="s">
        <v>931</v>
      </c>
      <c r="D888">
        <v>2018</v>
      </c>
      <c r="E888" t="s">
        <v>11</v>
      </c>
      <c r="F888" t="s">
        <v>876</v>
      </c>
      <c r="G888">
        <v>1</v>
      </c>
      <c r="H888">
        <v>0</v>
      </c>
      <c r="I888">
        <v>0</v>
      </c>
      <c r="J888">
        <v>0</v>
      </c>
      <c r="K888">
        <v>0</v>
      </c>
      <c r="L888">
        <f t="shared" si="26"/>
        <v>6.4</v>
      </c>
      <c r="M888">
        <f t="shared" si="27"/>
        <v>1</v>
      </c>
    </row>
    <row r="889" spans="1:13" x14ac:dyDescent="0.3">
      <c r="A889">
        <v>887</v>
      </c>
      <c r="B889">
        <v>888</v>
      </c>
      <c r="C889" t="s">
        <v>932</v>
      </c>
      <c r="D889">
        <v>2018</v>
      </c>
      <c r="E889" t="s">
        <v>11</v>
      </c>
      <c r="F889" t="s">
        <v>876</v>
      </c>
      <c r="G889">
        <v>1</v>
      </c>
      <c r="H889">
        <v>0</v>
      </c>
      <c r="I889">
        <v>0</v>
      </c>
      <c r="J889">
        <v>0</v>
      </c>
      <c r="K889">
        <v>0</v>
      </c>
      <c r="L889">
        <f t="shared" si="26"/>
        <v>6.4</v>
      </c>
      <c r="M889">
        <f t="shared" si="27"/>
        <v>1</v>
      </c>
    </row>
    <row r="890" spans="1:13" x14ac:dyDescent="0.3">
      <c r="A890">
        <v>888</v>
      </c>
      <c r="B890">
        <v>889</v>
      </c>
      <c r="C890" t="s">
        <v>933</v>
      </c>
      <c r="D890">
        <v>2003</v>
      </c>
      <c r="E890" t="s">
        <v>11</v>
      </c>
      <c r="F890" t="s">
        <v>876</v>
      </c>
      <c r="G890">
        <v>1</v>
      </c>
      <c r="H890">
        <v>0</v>
      </c>
      <c r="I890">
        <v>0</v>
      </c>
      <c r="J890">
        <v>0</v>
      </c>
      <c r="K890">
        <v>0</v>
      </c>
      <c r="L890">
        <f t="shared" si="26"/>
        <v>6.4</v>
      </c>
      <c r="M890">
        <f t="shared" si="27"/>
        <v>1</v>
      </c>
    </row>
    <row r="891" spans="1:13" x14ac:dyDescent="0.3">
      <c r="A891">
        <v>889</v>
      </c>
      <c r="B891">
        <v>890</v>
      </c>
      <c r="C891" t="s">
        <v>934</v>
      </c>
      <c r="D891">
        <v>2009</v>
      </c>
      <c r="E891" t="s">
        <v>14</v>
      </c>
      <c r="F891" t="s">
        <v>876</v>
      </c>
      <c r="G891">
        <v>1</v>
      </c>
      <c r="H891">
        <v>0</v>
      </c>
      <c r="I891">
        <v>0</v>
      </c>
      <c r="J891">
        <v>0</v>
      </c>
      <c r="K891">
        <v>0</v>
      </c>
      <c r="L891">
        <f t="shared" si="26"/>
        <v>6.4</v>
      </c>
      <c r="M891">
        <f t="shared" si="27"/>
        <v>1</v>
      </c>
    </row>
    <row r="892" spans="1:13" x14ac:dyDescent="0.3">
      <c r="A892">
        <v>890</v>
      </c>
      <c r="B892">
        <v>891</v>
      </c>
      <c r="C892" t="s">
        <v>935</v>
      </c>
      <c r="D892">
        <v>2019</v>
      </c>
      <c r="E892" t="s">
        <v>11</v>
      </c>
      <c r="F892" t="s">
        <v>876</v>
      </c>
      <c r="G892">
        <v>1</v>
      </c>
      <c r="H892">
        <v>0</v>
      </c>
      <c r="I892">
        <v>0</v>
      </c>
      <c r="J892">
        <v>0</v>
      </c>
      <c r="K892">
        <v>0</v>
      </c>
      <c r="L892">
        <f t="shared" si="26"/>
        <v>6.4</v>
      </c>
      <c r="M892">
        <f t="shared" si="27"/>
        <v>1</v>
      </c>
    </row>
    <row r="893" spans="1:13" x14ac:dyDescent="0.3">
      <c r="A893">
        <v>891</v>
      </c>
      <c r="B893">
        <v>892</v>
      </c>
      <c r="C893" t="s">
        <v>936</v>
      </c>
      <c r="D893">
        <v>2013</v>
      </c>
      <c r="E893" t="s">
        <v>14</v>
      </c>
      <c r="F893" t="s">
        <v>876</v>
      </c>
      <c r="G893">
        <v>1</v>
      </c>
      <c r="H893">
        <v>0</v>
      </c>
      <c r="I893">
        <v>0</v>
      </c>
      <c r="J893">
        <v>0</v>
      </c>
      <c r="K893">
        <v>0</v>
      </c>
      <c r="L893">
        <f t="shared" si="26"/>
        <v>6.4</v>
      </c>
      <c r="M893">
        <f t="shared" si="27"/>
        <v>1</v>
      </c>
    </row>
    <row r="894" spans="1:13" x14ac:dyDescent="0.3">
      <c r="A894">
        <v>892</v>
      </c>
      <c r="B894">
        <v>893</v>
      </c>
      <c r="C894" t="s">
        <v>937</v>
      </c>
      <c r="D894">
        <v>2011</v>
      </c>
      <c r="F894" t="s">
        <v>876</v>
      </c>
      <c r="G894">
        <v>1</v>
      </c>
      <c r="H894">
        <v>0</v>
      </c>
      <c r="I894">
        <v>0</v>
      </c>
      <c r="J894">
        <v>0</v>
      </c>
      <c r="K894">
        <v>0</v>
      </c>
      <c r="L894">
        <f t="shared" si="26"/>
        <v>6.4</v>
      </c>
      <c r="M894">
        <f t="shared" si="27"/>
        <v>1</v>
      </c>
    </row>
    <row r="895" spans="1:13" x14ac:dyDescent="0.3">
      <c r="A895">
        <v>893</v>
      </c>
      <c r="B895">
        <v>894</v>
      </c>
      <c r="C895" t="s">
        <v>938</v>
      </c>
      <c r="D895">
        <v>2008</v>
      </c>
      <c r="F895" t="s">
        <v>876</v>
      </c>
      <c r="G895">
        <v>1</v>
      </c>
      <c r="H895">
        <v>0</v>
      </c>
      <c r="I895">
        <v>1</v>
      </c>
      <c r="J895">
        <v>0</v>
      </c>
      <c r="K895">
        <v>0</v>
      </c>
      <c r="L895">
        <f t="shared" si="26"/>
        <v>6.4</v>
      </c>
      <c r="M895">
        <f t="shared" si="27"/>
        <v>2</v>
      </c>
    </row>
    <row r="896" spans="1:13" x14ac:dyDescent="0.3">
      <c r="A896">
        <v>894</v>
      </c>
      <c r="B896">
        <v>895</v>
      </c>
      <c r="C896" t="s">
        <v>939</v>
      </c>
      <c r="D896">
        <v>2019</v>
      </c>
      <c r="E896" t="s">
        <v>22</v>
      </c>
      <c r="F896" t="s">
        <v>876</v>
      </c>
      <c r="G896">
        <v>1</v>
      </c>
      <c r="H896">
        <v>0</v>
      </c>
      <c r="I896">
        <v>0</v>
      </c>
      <c r="J896">
        <v>0</v>
      </c>
      <c r="K896">
        <v>0</v>
      </c>
      <c r="L896">
        <f t="shared" si="26"/>
        <v>6.4</v>
      </c>
      <c r="M896">
        <f t="shared" si="27"/>
        <v>1</v>
      </c>
    </row>
    <row r="897" spans="1:13" x14ac:dyDescent="0.3">
      <c r="A897">
        <v>895</v>
      </c>
      <c r="B897">
        <v>896</v>
      </c>
      <c r="C897" t="s">
        <v>940</v>
      </c>
      <c r="D897">
        <v>2019</v>
      </c>
      <c r="F897" t="s">
        <v>876</v>
      </c>
      <c r="G897">
        <v>1</v>
      </c>
      <c r="H897">
        <v>0</v>
      </c>
      <c r="I897">
        <v>0</v>
      </c>
      <c r="J897">
        <v>0</v>
      </c>
      <c r="K897">
        <v>0</v>
      </c>
      <c r="L897">
        <f t="shared" si="26"/>
        <v>6.4</v>
      </c>
      <c r="M897">
        <f t="shared" si="27"/>
        <v>1</v>
      </c>
    </row>
    <row r="898" spans="1:13" x14ac:dyDescent="0.3">
      <c r="A898">
        <v>896</v>
      </c>
      <c r="B898">
        <v>897</v>
      </c>
      <c r="C898" t="s">
        <v>941</v>
      </c>
      <c r="D898">
        <v>2016</v>
      </c>
      <c r="F898" t="s">
        <v>876</v>
      </c>
      <c r="G898">
        <v>1</v>
      </c>
      <c r="H898">
        <v>0</v>
      </c>
      <c r="I898">
        <v>0</v>
      </c>
      <c r="J898">
        <v>0</v>
      </c>
      <c r="K898">
        <v>0</v>
      </c>
      <c r="L898">
        <f t="shared" si="26"/>
        <v>6.4</v>
      </c>
      <c r="M898">
        <f t="shared" si="27"/>
        <v>1</v>
      </c>
    </row>
    <row r="899" spans="1:13" x14ac:dyDescent="0.3">
      <c r="A899">
        <v>897</v>
      </c>
      <c r="B899">
        <v>898</v>
      </c>
      <c r="C899" t="s">
        <v>942</v>
      </c>
      <c r="D899">
        <v>1995</v>
      </c>
      <c r="E899" t="s">
        <v>11</v>
      </c>
      <c r="F899" t="s">
        <v>876</v>
      </c>
      <c r="G899">
        <v>1</v>
      </c>
      <c r="H899">
        <v>0</v>
      </c>
      <c r="I899">
        <v>1</v>
      </c>
      <c r="J899">
        <v>0</v>
      </c>
      <c r="K899">
        <v>0</v>
      </c>
      <c r="L899">
        <f t="shared" ref="L899:L962" si="28">IFERROR(VALUE(LEFT(F899,FIND("/",F899)-1))/10,"")</f>
        <v>6.4</v>
      </c>
      <c r="M899">
        <f t="shared" ref="M899:M962" si="29">SUM(G899:J899)</f>
        <v>2</v>
      </c>
    </row>
    <row r="900" spans="1:13" x14ac:dyDescent="0.3">
      <c r="A900">
        <v>898</v>
      </c>
      <c r="B900">
        <v>899</v>
      </c>
      <c r="C900" t="s">
        <v>943</v>
      </c>
      <c r="D900">
        <v>2015</v>
      </c>
      <c r="E900" t="s">
        <v>14</v>
      </c>
      <c r="F900" t="s">
        <v>876</v>
      </c>
      <c r="G900">
        <v>1</v>
      </c>
      <c r="H900">
        <v>0</v>
      </c>
      <c r="I900">
        <v>0</v>
      </c>
      <c r="J900">
        <v>0</v>
      </c>
      <c r="K900">
        <v>0</v>
      </c>
      <c r="L900">
        <f t="shared" si="28"/>
        <v>6.4</v>
      </c>
      <c r="M900">
        <f t="shared" si="29"/>
        <v>1</v>
      </c>
    </row>
    <row r="901" spans="1:13" x14ac:dyDescent="0.3">
      <c r="A901">
        <v>899</v>
      </c>
      <c r="B901">
        <v>900</v>
      </c>
      <c r="C901" t="s">
        <v>944</v>
      </c>
      <c r="D901">
        <v>2016</v>
      </c>
      <c r="E901" t="s">
        <v>22</v>
      </c>
      <c r="F901" t="s">
        <v>876</v>
      </c>
      <c r="G901">
        <v>1</v>
      </c>
      <c r="H901">
        <v>0</v>
      </c>
      <c r="I901">
        <v>0</v>
      </c>
      <c r="J901">
        <v>0</v>
      </c>
      <c r="K901">
        <v>0</v>
      </c>
      <c r="L901">
        <f t="shared" si="28"/>
        <v>6.4</v>
      </c>
      <c r="M901">
        <f t="shared" si="29"/>
        <v>1</v>
      </c>
    </row>
    <row r="902" spans="1:13" x14ac:dyDescent="0.3">
      <c r="A902">
        <v>900</v>
      </c>
      <c r="B902">
        <v>901</v>
      </c>
      <c r="C902" t="s">
        <v>945</v>
      </c>
      <c r="D902">
        <v>2016</v>
      </c>
      <c r="F902" t="s">
        <v>876</v>
      </c>
      <c r="G902">
        <v>1</v>
      </c>
      <c r="H902">
        <v>0</v>
      </c>
      <c r="I902">
        <v>0</v>
      </c>
      <c r="J902">
        <v>0</v>
      </c>
      <c r="K902">
        <v>0</v>
      </c>
      <c r="L902">
        <f t="shared" si="28"/>
        <v>6.4</v>
      </c>
      <c r="M902">
        <f t="shared" si="29"/>
        <v>1</v>
      </c>
    </row>
    <row r="903" spans="1:13" x14ac:dyDescent="0.3">
      <c r="A903">
        <v>901</v>
      </c>
      <c r="B903">
        <v>902</v>
      </c>
      <c r="C903" t="s">
        <v>946</v>
      </c>
      <c r="D903">
        <v>2021</v>
      </c>
      <c r="E903" t="s">
        <v>11</v>
      </c>
      <c r="F903" t="s">
        <v>876</v>
      </c>
      <c r="G903">
        <v>1</v>
      </c>
      <c r="H903">
        <v>0</v>
      </c>
      <c r="I903">
        <v>0</v>
      </c>
      <c r="J903">
        <v>0</v>
      </c>
      <c r="K903">
        <v>0</v>
      </c>
      <c r="L903">
        <f t="shared" si="28"/>
        <v>6.4</v>
      </c>
      <c r="M903">
        <f t="shared" si="29"/>
        <v>1</v>
      </c>
    </row>
    <row r="904" spans="1:13" x14ac:dyDescent="0.3">
      <c r="A904">
        <v>902</v>
      </c>
      <c r="B904">
        <v>903</v>
      </c>
      <c r="C904" t="s">
        <v>947</v>
      </c>
      <c r="D904">
        <v>2017</v>
      </c>
      <c r="F904" t="s">
        <v>876</v>
      </c>
      <c r="G904">
        <v>1</v>
      </c>
      <c r="H904">
        <v>0</v>
      </c>
      <c r="I904">
        <v>1</v>
      </c>
      <c r="J904">
        <v>0</v>
      </c>
      <c r="K904">
        <v>0</v>
      </c>
      <c r="L904">
        <f t="shared" si="28"/>
        <v>6.4</v>
      </c>
      <c r="M904">
        <f t="shared" si="29"/>
        <v>2</v>
      </c>
    </row>
    <row r="905" spans="1:13" x14ac:dyDescent="0.3">
      <c r="A905">
        <v>903</v>
      </c>
      <c r="B905">
        <v>904</v>
      </c>
      <c r="C905" t="s">
        <v>948</v>
      </c>
      <c r="D905">
        <v>2018</v>
      </c>
      <c r="E905" t="s">
        <v>11</v>
      </c>
      <c r="F905" t="s">
        <v>876</v>
      </c>
      <c r="G905">
        <v>1</v>
      </c>
      <c r="H905">
        <v>0</v>
      </c>
      <c r="I905">
        <v>0</v>
      </c>
      <c r="J905">
        <v>0</v>
      </c>
      <c r="K905">
        <v>0</v>
      </c>
      <c r="L905">
        <f t="shared" si="28"/>
        <v>6.4</v>
      </c>
      <c r="M905">
        <f t="shared" si="29"/>
        <v>1</v>
      </c>
    </row>
    <row r="906" spans="1:13" x14ac:dyDescent="0.3">
      <c r="A906">
        <v>904</v>
      </c>
      <c r="B906">
        <v>905</v>
      </c>
      <c r="C906" t="s">
        <v>949</v>
      </c>
      <c r="D906">
        <v>2009</v>
      </c>
      <c r="F906" t="s">
        <v>876</v>
      </c>
      <c r="G906">
        <v>1</v>
      </c>
      <c r="H906">
        <v>0</v>
      </c>
      <c r="I906">
        <v>0</v>
      </c>
      <c r="J906">
        <v>0</v>
      </c>
      <c r="K906">
        <v>0</v>
      </c>
      <c r="L906">
        <f t="shared" si="28"/>
        <v>6.4</v>
      </c>
      <c r="M906">
        <f t="shared" si="29"/>
        <v>1</v>
      </c>
    </row>
    <row r="907" spans="1:13" x14ac:dyDescent="0.3">
      <c r="A907">
        <v>905</v>
      </c>
      <c r="B907">
        <v>906</v>
      </c>
      <c r="C907" t="s">
        <v>950</v>
      </c>
      <c r="D907">
        <v>2011</v>
      </c>
      <c r="E907" t="s">
        <v>22</v>
      </c>
      <c r="F907" t="s">
        <v>876</v>
      </c>
      <c r="G907">
        <v>1</v>
      </c>
      <c r="H907">
        <v>0</v>
      </c>
      <c r="I907">
        <v>0</v>
      </c>
      <c r="J907">
        <v>0</v>
      </c>
      <c r="K907">
        <v>0</v>
      </c>
      <c r="L907">
        <f t="shared" si="28"/>
        <v>6.4</v>
      </c>
      <c r="M907">
        <f t="shared" si="29"/>
        <v>1</v>
      </c>
    </row>
    <row r="908" spans="1:13" x14ac:dyDescent="0.3">
      <c r="A908">
        <v>906</v>
      </c>
      <c r="B908">
        <v>907</v>
      </c>
      <c r="C908" t="s">
        <v>951</v>
      </c>
      <c r="D908">
        <v>2019</v>
      </c>
      <c r="E908" t="s">
        <v>11</v>
      </c>
      <c r="F908" t="s">
        <v>876</v>
      </c>
      <c r="G908">
        <v>1</v>
      </c>
      <c r="H908">
        <v>0</v>
      </c>
      <c r="I908">
        <v>0</v>
      </c>
      <c r="J908">
        <v>0</v>
      </c>
      <c r="K908">
        <v>0</v>
      </c>
      <c r="L908">
        <f t="shared" si="28"/>
        <v>6.4</v>
      </c>
      <c r="M908">
        <f t="shared" si="29"/>
        <v>1</v>
      </c>
    </row>
    <row r="909" spans="1:13" x14ac:dyDescent="0.3">
      <c r="A909">
        <v>907</v>
      </c>
      <c r="B909">
        <v>908</v>
      </c>
      <c r="C909" t="s">
        <v>952</v>
      </c>
      <c r="D909">
        <v>2019</v>
      </c>
      <c r="F909" t="s">
        <v>876</v>
      </c>
      <c r="G909">
        <v>1</v>
      </c>
      <c r="H909">
        <v>0</v>
      </c>
      <c r="I909">
        <v>0</v>
      </c>
      <c r="J909">
        <v>0</v>
      </c>
      <c r="K909">
        <v>0</v>
      </c>
      <c r="L909">
        <f t="shared" si="28"/>
        <v>6.4</v>
      </c>
      <c r="M909">
        <f t="shared" si="29"/>
        <v>1</v>
      </c>
    </row>
    <row r="910" spans="1:13" x14ac:dyDescent="0.3">
      <c r="A910">
        <v>908</v>
      </c>
      <c r="B910">
        <v>909</v>
      </c>
      <c r="C910" t="s">
        <v>953</v>
      </c>
      <c r="D910">
        <v>1979</v>
      </c>
      <c r="E910" t="s">
        <v>11</v>
      </c>
      <c r="F910" t="s">
        <v>876</v>
      </c>
      <c r="G910">
        <v>1</v>
      </c>
      <c r="H910">
        <v>0</v>
      </c>
      <c r="I910">
        <v>0</v>
      </c>
      <c r="J910">
        <v>0</v>
      </c>
      <c r="K910">
        <v>0</v>
      </c>
      <c r="L910">
        <f t="shared" si="28"/>
        <v>6.4</v>
      </c>
      <c r="M910">
        <f t="shared" si="29"/>
        <v>1</v>
      </c>
    </row>
    <row r="911" spans="1:13" x14ac:dyDescent="0.3">
      <c r="A911">
        <v>909</v>
      </c>
      <c r="B911">
        <v>910</v>
      </c>
      <c r="C911" t="s">
        <v>954</v>
      </c>
      <c r="D911">
        <v>2007</v>
      </c>
      <c r="E911" t="s">
        <v>14</v>
      </c>
      <c r="F911" t="s">
        <v>955</v>
      </c>
      <c r="G911">
        <v>1</v>
      </c>
      <c r="H911">
        <v>0</v>
      </c>
      <c r="I911">
        <v>0</v>
      </c>
      <c r="J911">
        <v>0</v>
      </c>
      <c r="K911">
        <v>0</v>
      </c>
      <c r="L911">
        <f t="shared" si="28"/>
        <v>6.3</v>
      </c>
      <c r="M911">
        <f t="shared" si="29"/>
        <v>1</v>
      </c>
    </row>
    <row r="912" spans="1:13" x14ac:dyDescent="0.3">
      <c r="A912">
        <v>910</v>
      </c>
      <c r="B912">
        <v>911</v>
      </c>
      <c r="C912" t="s">
        <v>956</v>
      </c>
      <c r="D912">
        <v>2009</v>
      </c>
      <c r="E912" t="s">
        <v>22</v>
      </c>
      <c r="F912" t="s">
        <v>955</v>
      </c>
      <c r="G912">
        <v>1</v>
      </c>
      <c r="H912">
        <v>0</v>
      </c>
      <c r="I912">
        <v>0</v>
      </c>
      <c r="J912">
        <v>0</v>
      </c>
      <c r="K912">
        <v>0</v>
      </c>
      <c r="L912">
        <f t="shared" si="28"/>
        <v>6.3</v>
      </c>
      <c r="M912">
        <f t="shared" si="29"/>
        <v>1</v>
      </c>
    </row>
    <row r="913" spans="1:13" x14ac:dyDescent="0.3">
      <c r="A913">
        <v>911</v>
      </c>
      <c r="B913">
        <v>912</v>
      </c>
      <c r="C913" t="s">
        <v>957</v>
      </c>
      <c r="D913">
        <v>2010</v>
      </c>
      <c r="E913" t="s">
        <v>14</v>
      </c>
      <c r="F913" t="s">
        <v>955</v>
      </c>
      <c r="G913">
        <v>1</v>
      </c>
      <c r="H913">
        <v>0</v>
      </c>
      <c r="I913">
        <v>0</v>
      </c>
      <c r="J913">
        <v>0</v>
      </c>
      <c r="K913">
        <v>0</v>
      </c>
      <c r="L913">
        <f t="shared" si="28"/>
        <v>6.3</v>
      </c>
      <c r="M913">
        <f t="shared" si="29"/>
        <v>1</v>
      </c>
    </row>
    <row r="914" spans="1:13" x14ac:dyDescent="0.3">
      <c r="A914">
        <v>912</v>
      </c>
      <c r="B914">
        <v>913</v>
      </c>
      <c r="C914" t="s">
        <v>958</v>
      </c>
      <c r="D914">
        <v>2020</v>
      </c>
      <c r="F914" t="s">
        <v>955</v>
      </c>
      <c r="G914">
        <v>1</v>
      </c>
      <c r="H914">
        <v>0</v>
      </c>
      <c r="I914">
        <v>0</v>
      </c>
      <c r="J914">
        <v>0</v>
      </c>
      <c r="K914">
        <v>0</v>
      </c>
      <c r="L914">
        <f t="shared" si="28"/>
        <v>6.3</v>
      </c>
      <c r="M914">
        <f t="shared" si="29"/>
        <v>1</v>
      </c>
    </row>
    <row r="915" spans="1:13" x14ac:dyDescent="0.3">
      <c r="A915">
        <v>913</v>
      </c>
      <c r="B915">
        <v>914</v>
      </c>
      <c r="C915" t="s">
        <v>959</v>
      </c>
      <c r="D915">
        <v>2011</v>
      </c>
      <c r="E915" t="s">
        <v>36</v>
      </c>
      <c r="F915" t="s">
        <v>955</v>
      </c>
      <c r="G915">
        <v>1</v>
      </c>
      <c r="H915">
        <v>0</v>
      </c>
      <c r="I915">
        <v>0</v>
      </c>
      <c r="J915">
        <v>0</v>
      </c>
      <c r="K915">
        <v>0</v>
      </c>
      <c r="L915">
        <f t="shared" si="28"/>
        <v>6.3</v>
      </c>
      <c r="M915">
        <f t="shared" si="29"/>
        <v>1</v>
      </c>
    </row>
    <row r="916" spans="1:13" x14ac:dyDescent="0.3">
      <c r="A916">
        <v>914</v>
      </c>
      <c r="B916">
        <v>915</v>
      </c>
      <c r="C916" t="s">
        <v>960</v>
      </c>
      <c r="D916">
        <v>2014</v>
      </c>
      <c r="E916" t="s">
        <v>14</v>
      </c>
      <c r="F916" t="s">
        <v>955</v>
      </c>
      <c r="G916">
        <v>1</v>
      </c>
      <c r="H916">
        <v>0</v>
      </c>
      <c r="I916">
        <v>0</v>
      </c>
      <c r="J916">
        <v>0</v>
      </c>
      <c r="K916">
        <v>0</v>
      </c>
      <c r="L916">
        <f t="shared" si="28"/>
        <v>6.3</v>
      </c>
      <c r="M916">
        <f t="shared" si="29"/>
        <v>1</v>
      </c>
    </row>
    <row r="917" spans="1:13" x14ac:dyDescent="0.3">
      <c r="A917">
        <v>915</v>
      </c>
      <c r="B917">
        <v>916</v>
      </c>
      <c r="C917" t="s">
        <v>961</v>
      </c>
      <c r="D917">
        <v>1998</v>
      </c>
      <c r="E917" t="s">
        <v>36</v>
      </c>
      <c r="F917" t="s">
        <v>955</v>
      </c>
      <c r="G917">
        <v>1</v>
      </c>
      <c r="H917">
        <v>0</v>
      </c>
      <c r="I917">
        <v>0</v>
      </c>
      <c r="J917">
        <v>0</v>
      </c>
      <c r="K917">
        <v>0</v>
      </c>
      <c r="L917">
        <f t="shared" si="28"/>
        <v>6.3</v>
      </c>
      <c r="M917">
        <f t="shared" si="29"/>
        <v>1</v>
      </c>
    </row>
    <row r="918" spans="1:13" x14ac:dyDescent="0.3">
      <c r="A918">
        <v>916</v>
      </c>
      <c r="B918">
        <v>917</v>
      </c>
      <c r="C918" t="s">
        <v>962</v>
      </c>
      <c r="D918">
        <v>2020</v>
      </c>
      <c r="E918" t="s">
        <v>14</v>
      </c>
      <c r="F918" t="s">
        <v>955</v>
      </c>
      <c r="G918">
        <v>1</v>
      </c>
      <c r="H918">
        <v>0</v>
      </c>
      <c r="I918">
        <v>0</v>
      </c>
      <c r="J918">
        <v>0</v>
      </c>
      <c r="K918">
        <v>0</v>
      </c>
      <c r="L918">
        <f t="shared" si="28"/>
        <v>6.3</v>
      </c>
      <c r="M918">
        <f t="shared" si="29"/>
        <v>1</v>
      </c>
    </row>
    <row r="919" spans="1:13" x14ac:dyDescent="0.3">
      <c r="A919">
        <v>917</v>
      </c>
      <c r="B919">
        <v>918</v>
      </c>
      <c r="C919" t="s">
        <v>963</v>
      </c>
      <c r="D919">
        <v>2014</v>
      </c>
      <c r="E919" t="s">
        <v>14</v>
      </c>
      <c r="F919" t="s">
        <v>955</v>
      </c>
      <c r="G919">
        <v>1</v>
      </c>
      <c r="H919">
        <v>0</v>
      </c>
      <c r="I919">
        <v>0</v>
      </c>
      <c r="J919">
        <v>0</v>
      </c>
      <c r="K919">
        <v>0</v>
      </c>
      <c r="L919">
        <f t="shared" si="28"/>
        <v>6.3</v>
      </c>
      <c r="M919">
        <f t="shared" si="29"/>
        <v>1</v>
      </c>
    </row>
    <row r="920" spans="1:13" x14ac:dyDescent="0.3">
      <c r="A920">
        <v>918</v>
      </c>
      <c r="B920">
        <v>919</v>
      </c>
      <c r="C920" t="s">
        <v>964</v>
      </c>
      <c r="D920">
        <v>1997</v>
      </c>
      <c r="E920" t="s">
        <v>22</v>
      </c>
      <c r="F920" t="s">
        <v>955</v>
      </c>
      <c r="G920">
        <v>1</v>
      </c>
      <c r="H920">
        <v>0</v>
      </c>
      <c r="I920">
        <v>0</v>
      </c>
      <c r="J920">
        <v>0</v>
      </c>
      <c r="K920">
        <v>0</v>
      </c>
      <c r="L920">
        <f t="shared" si="28"/>
        <v>6.3</v>
      </c>
      <c r="M920">
        <f t="shared" si="29"/>
        <v>1</v>
      </c>
    </row>
    <row r="921" spans="1:13" x14ac:dyDescent="0.3">
      <c r="A921">
        <v>919</v>
      </c>
      <c r="B921">
        <v>920</v>
      </c>
      <c r="C921" t="s">
        <v>965</v>
      </c>
      <c r="D921">
        <v>2016</v>
      </c>
      <c r="E921" t="s">
        <v>11</v>
      </c>
      <c r="F921" t="s">
        <v>955</v>
      </c>
      <c r="G921">
        <v>1</v>
      </c>
      <c r="H921">
        <v>0</v>
      </c>
      <c r="I921">
        <v>0</v>
      </c>
      <c r="J921">
        <v>0</v>
      </c>
      <c r="K921">
        <v>0</v>
      </c>
      <c r="L921">
        <f t="shared" si="28"/>
        <v>6.3</v>
      </c>
      <c r="M921">
        <f t="shared" si="29"/>
        <v>1</v>
      </c>
    </row>
    <row r="922" spans="1:13" x14ac:dyDescent="0.3">
      <c r="A922">
        <v>920</v>
      </c>
      <c r="B922">
        <v>921</v>
      </c>
      <c r="C922" t="s">
        <v>966</v>
      </c>
      <c r="D922">
        <v>2014</v>
      </c>
      <c r="F922" t="s">
        <v>955</v>
      </c>
      <c r="G922">
        <v>1</v>
      </c>
      <c r="H922">
        <v>0</v>
      </c>
      <c r="I922">
        <v>0</v>
      </c>
      <c r="J922">
        <v>0</v>
      </c>
      <c r="K922">
        <v>0</v>
      </c>
      <c r="L922">
        <f t="shared" si="28"/>
        <v>6.3</v>
      </c>
      <c r="M922">
        <f t="shared" si="29"/>
        <v>1</v>
      </c>
    </row>
    <row r="923" spans="1:13" x14ac:dyDescent="0.3">
      <c r="A923">
        <v>921</v>
      </c>
      <c r="B923">
        <v>922</v>
      </c>
      <c r="C923" t="s">
        <v>967</v>
      </c>
      <c r="D923">
        <v>2019</v>
      </c>
      <c r="F923" t="s">
        <v>955</v>
      </c>
      <c r="G923">
        <v>1</v>
      </c>
      <c r="H923">
        <v>0</v>
      </c>
      <c r="I923">
        <v>0</v>
      </c>
      <c r="J923">
        <v>0</v>
      </c>
      <c r="K923">
        <v>0</v>
      </c>
      <c r="L923">
        <f t="shared" si="28"/>
        <v>6.3</v>
      </c>
      <c r="M923">
        <f t="shared" si="29"/>
        <v>1</v>
      </c>
    </row>
    <row r="924" spans="1:13" x14ac:dyDescent="0.3">
      <c r="A924">
        <v>922</v>
      </c>
      <c r="B924">
        <v>923</v>
      </c>
      <c r="C924" t="s">
        <v>968</v>
      </c>
      <c r="D924">
        <v>2017</v>
      </c>
      <c r="E924" t="s">
        <v>11</v>
      </c>
      <c r="F924" t="s">
        <v>955</v>
      </c>
      <c r="G924">
        <v>1</v>
      </c>
      <c r="H924">
        <v>0</v>
      </c>
      <c r="I924">
        <v>0</v>
      </c>
      <c r="J924">
        <v>0</v>
      </c>
      <c r="K924">
        <v>0</v>
      </c>
      <c r="L924">
        <f t="shared" si="28"/>
        <v>6.3</v>
      </c>
      <c r="M924">
        <f t="shared" si="29"/>
        <v>1</v>
      </c>
    </row>
    <row r="925" spans="1:13" x14ac:dyDescent="0.3">
      <c r="A925">
        <v>923</v>
      </c>
      <c r="B925">
        <v>924</v>
      </c>
      <c r="C925" t="s">
        <v>969</v>
      </c>
      <c r="D925">
        <v>2018</v>
      </c>
      <c r="E925" t="s">
        <v>22</v>
      </c>
      <c r="F925" t="s">
        <v>955</v>
      </c>
      <c r="G925">
        <v>1</v>
      </c>
      <c r="H925">
        <v>0</v>
      </c>
      <c r="I925">
        <v>0</v>
      </c>
      <c r="J925">
        <v>0</v>
      </c>
      <c r="K925">
        <v>0</v>
      </c>
      <c r="L925">
        <f t="shared" si="28"/>
        <v>6.3</v>
      </c>
      <c r="M925">
        <f t="shared" si="29"/>
        <v>1</v>
      </c>
    </row>
    <row r="926" spans="1:13" x14ac:dyDescent="0.3">
      <c r="A926">
        <v>924</v>
      </c>
      <c r="B926">
        <v>925</v>
      </c>
      <c r="C926" t="s">
        <v>970</v>
      </c>
      <c r="D926">
        <v>2017</v>
      </c>
      <c r="E926" t="s">
        <v>11</v>
      </c>
      <c r="F926" t="s">
        <v>955</v>
      </c>
      <c r="G926">
        <v>1</v>
      </c>
      <c r="H926">
        <v>0</v>
      </c>
      <c r="I926">
        <v>0</v>
      </c>
      <c r="J926">
        <v>0</v>
      </c>
      <c r="K926">
        <v>0</v>
      </c>
      <c r="L926">
        <f t="shared" si="28"/>
        <v>6.3</v>
      </c>
      <c r="M926">
        <f t="shared" si="29"/>
        <v>1</v>
      </c>
    </row>
    <row r="927" spans="1:13" x14ac:dyDescent="0.3">
      <c r="A927">
        <v>925</v>
      </c>
      <c r="B927">
        <v>926</v>
      </c>
      <c r="C927" t="s">
        <v>971</v>
      </c>
      <c r="D927">
        <v>2019</v>
      </c>
      <c r="E927" t="s">
        <v>14</v>
      </c>
      <c r="F927" t="s">
        <v>955</v>
      </c>
      <c r="G927">
        <v>1</v>
      </c>
      <c r="H927">
        <v>0</v>
      </c>
      <c r="I927">
        <v>0</v>
      </c>
      <c r="J927">
        <v>0</v>
      </c>
      <c r="K927">
        <v>0</v>
      </c>
      <c r="L927">
        <f t="shared" si="28"/>
        <v>6.3</v>
      </c>
      <c r="M927">
        <f t="shared" si="29"/>
        <v>1</v>
      </c>
    </row>
    <row r="928" spans="1:13" x14ac:dyDescent="0.3">
      <c r="A928">
        <v>926</v>
      </c>
      <c r="B928">
        <v>927</v>
      </c>
      <c r="C928" t="s">
        <v>972</v>
      </c>
      <c r="D928">
        <v>2015</v>
      </c>
      <c r="F928" t="s">
        <v>955</v>
      </c>
      <c r="G928">
        <v>1</v>
      </c>
      <c r="H928">
        <v>0</v>
      </c>
      <c r="I928">
        <v>0</v>
      </c>
      <c r="J928">
        <v>0</v>
      </c>
      <c r="K928">
        <v>0</v>
      </c>
      <c r="L928">
        <f t="shared" si="28"/>
        <v>6.3</v>
      </c>
      <c r="M928">
        <f t="shared" si="29"/>
        <v>1</v>
      </c>
    </row>
    <row r="929" spans="1:13" x14ac:dyDescent="0.3">
      <c r="A929">
        <v>927</v>
      </c>
      <c r="B929">
        <v>928</v>
      </c>
      <c r="C929" t="s">
        <v>973</v>
      </c>
      <c r="D929">
        <v>2018</v>
      </c>
      <c r="F929" t="s">
        <v>955</v>
      </c>
      <c r="G929">
        <v>1</v>
      </c>
      <c r="H929">
        <v>0</v>
      </c>
      <c r="I929">
        <v>0</v>
      </c>
      <c r="J929">
        <v>0</v>
      </c>
      <c r="K929">
        <v>0</v>
      </c>
      <c r="L929">
        <f t="shared" si="28"/>
        <v>6.3</v>
      </c>
      <c r="M929">
        <f t="shared" si="29"/>
        <v>1</v>
      </c>
    </row>
    <row r="930" spans="1:13" x14ac:dyDescent="0.3">
      <c r="A930">
        <v>928</v>
      </c>
      <c r="B930">
        <v>929</v>
      </c>
      <c r="C930" t="s">
        <v>974</v>
      </c>
      <c r="D930">
        <v>2017</v>
      </c>
      <c r="E930" t="s">
        <v>28</v>
      </c>
      <c r="F930" t="s">
        <v>955</v>
      </c>
      <c r="G930">
        <v>1</v>
      </c>
      <c r="H930">
        <v>0</v>
      </c>
      <c r="I930">
        <v>0</v>
      </c>
      <c r="J930">
        <v>0</v>
      </c>
      <c r="K930">
        <v>0</v>
      </c>
      <c r="L930">
        <f t="shared" si="28"/>
        <v>6.3</v>
      </c>
      <c r="M930">
        <f t="shared" si="29"/>
        <v>1</v>
      </c>
    </row>
    <row r="931" spans="1:13" x14ac:dyDescent="0.3">
      <c r="A931">
        <v>929</v>
      </c>
      <c r="B931">
        <v>930</v>
      </c>
      <c r="C931" t="s">
        <v>975</v>
      </c>
      <c r="D931">
        <v>2009</v>
      </c>
      <c r="E931" t="s">
        <v>22</v>
      </c>
      <c r="F931" t="s">
        <v>955</v>
      </c>
      <c r="G931">
        <v>1</v>
      </c>
      <c r="H931">
        <v>0</v>
      </c>
      <c r="I931">
        <v>0</v>
      </c>
      <c r="J931">
        <v>0</v>
      </c>
      <c r="K931">
        <v>0</v>
      </c>
      <c r="L931">
        <f t="shared" si="28"/>
        <v>6.3</v>
      </c>
      <c r="M931">
        <f t="shared" si="29"/>
        <v>1</v>
      </c>
    </row>
    <row r="932" spans="1:13" x14ac:dyDescent="0.3">
      <c r="A932">
        <v>930</v>
      </c>
      <c r="B932">
        <v>931</v>
      </c>
      <c r="C932" t="s">
        <v>976</v>
      </c>
      <c r="D932">
        <v>2017</v>
      </c>
      <c r="E932" t="s">
        <v>28</v>
      </c>
      <c r="F932" t="s">
        <v>955</v>
      </c>
      <c r="G932">
        <v>1</v>
      </c>
      <c r="H932">
        <v>0</v>
      </c>
      <c r="I932">
        <v>0</v>
      </c>
      <c r="J932">
        <v>0</v>
      </c>
      <c r="K932">
        <v>0</v>
      </c>
      <c r="L932">
        <f t="shared" si="28"/>
        <v>6.3</v>
      </c>
      <c r="M932">
        <f t="shared" si="29"/>
        <v>1</v>
      </c>
    </row>
    <row r="933" spans="1:13" x14ac:dyDescent="0.3">
      <c r="A933">
        <v>931</v>
      </c>
      <c r="B933">
        <v>932</v>
      </c>
      <c r="C933" t="s">
        <v>977</v>
      </c>
      <c r="D933">
        <v>2008</v>
      </c>
      <c r="F933" t="s">
        <v>955</v>
      </c>
      <c r="G933">
        <v>1</v>
      </c>
      <c r="H933">
        <v>0</v>
      </c>
      <c r="I933">
        <v>0</v>
      </c>
      <c r="J933">
        <v>0</v>
      </c>
      <c r="K933">
        <v>0</v>
      </c>
      <c r="L933">
        <f t="shared" si="28"/>
        <v>6.3</v>
      </c>
      <c r="M933">
        <f t="shared" si="29"/>
        <v>1</v>
      </c>
    </row>
    <row r="934" spans="1:13" x14ac:dyDescent="0.3">
      <c r="A934">
        <v>932</v>
      </c>
      <c r="B934">
        <v>933</v>
      </c>
      <c r="C934" t="s">
        <v>978</v>
      </c>
      <c r="D934">
        <v>2012</v>
      </c>
      <c r="E934" t="s">
        <v>14</v>
      </c>
      <c r="F934" t="s">
        <v>955</v>
      </c>
      <c r="G934">
        <v>1</v>
      </c>
      <c r="H934">
        <v>0</v>
      </c>
      <c r="I934">
        <v>0</v>
      </c>
      <c r="J934">
        <v>0</v>
      </c>
      <c r="K934">
        <v>0</v>
      </c>
      <c r="L934">
        <f t="shared" si="28"/>
        <v>6.3</v>
      </c>
      <c r="M934">
        <f t="shared" si="29"/>
        <v>1</v>
      </c>
    </row>
    <row r="935" spans="1:13" x14ac:dyDescent="0.3">
      <c r="A935">
        <v>933</v>
      </c>
      <c r="B935">
        <v>934</v>
      </c>
      <c r="C935" t="s">
        <v>979</v>
      </c>
      <c r="D935">
        <v>2015</v>
      </c>
      <c r="E935" t="s">
        <v>11</v>
      </c>
      <c r="F935" t="s">
        <v>955</v>
      </c>
      <c r="G935">
        <v>1</v>
      </c>
      <c r="H935">
        <v>0</v>
      </c>
      <c r="I935">
        <v>0</v>
      </c>
      <c r="J935">
        <v>0</v>
      </c>
      <c r="K935">
        <v>0</v>
      </c>
      <c r="L935">
        <f t="shared" si="28"/>
        <v>6.3</v>
      </c>
      <c r="M935">
        <f t="shared" si="29"/>
        <v>1</v>
      </c>
    </row>
    <row r="936" spans="1:13" x14ac:dyDescent="0.3">
      <c r="A936">
        <v>934</v>
      </c>
      <c r="B936">
        <v>935</v>
      </c>
      <c r="C936" t="s">
        <v>980</v>
      </c>
      <c r="D936">
        <v>2005</v>
      </c>
      <c r="E936" t="s">
        <v>14</v>
      </c>
      <c r="F936" t="s">
        <v>955</v>
      </c>
      <c r="G936">
        <v>1</v>
      </c>
      <c r="H936">
        <v>0</v>
      </c>
      <c r="I936">
        <v>1</v>
      </c>
      <c r="J936">
        <v>0</v>
      </c>
      <c r="K936">
        <v>0</v>
      </c>
      <c r="L936">
        <f t="shared" si="28"/>
        <v>6.3</v>
      </c>
      <c r="M936">
        <f t="shared" si="29"/>
        <v>2</v>
      </c>
    </row>
    <row r="937" spans="1:13" x14ac:dyDescent="0.3">
      <c r="A937">
        <v>935</v>
      </c>
      <c r="B937">
        <v>936</v>
      </c>
      <c r="C937" t="s">
        <v>981</v>
      </c>
      <c r="D937">
        <v>2011</v>
      </c>
      <c r="E937" t="s">
        <v>22</v>
      </c>
      <c r="F937" t="s">
        <v>955</v>
      </c>
      <c r="G937">
        <v>1</v>
      </c>
      <c r="H937">
        <v>0</v>
      </c>
      <c r="I937">
        <v>0</v>
      </c>
      <c r="J937">
        <v>0</v>
      </c>
      <c r="K937">
        <v>0</v>
      </c>
      <c r="L937">
        <f t="shared" si="28"/>
        <v>6.3</v>
      </c>
      <c r="M937">
        <f t="shared" si="29"/>
        <v>1</v>
      </c>
    </row>
    <row r="938" spans="1:13" x14ac:dyDescent="0.3">
      <c r="A938">
        <v>936</v>
      </c>
      <c r="B938">
        <v>937</v>
      </c>
      <c r="C938" t="s">
        <v>982</v>
      </c>
      <c r="D938">
        <v>2016</v>
      </c>
      <c r="E938" t="s">
        <v>11</v>
      </c>
      <c r="F938" t="s">
        <v>955</v>
      </c>
      <c r="G938">
        <v>1</v>
      </c>
      <c r="H938">
        <v>0</v>
      </c>
      <c r="I938">
        <v>0</v>
      </c>
      <c r="J938">
        <v>0</v>
      </c>
      <c r="K938">
        <v>0</v>
      </c>
      <c r="L938">
        <f t="shared" si="28"/>
        <v>6.3</v>
      </c>
      <c r="M938">
        <f t="shared" si="29"/>
        <v>1</v>
      </c>
    </row>
    <row r="939" spans="1:13" x14ac:dyDescent="0.3">
      <c r="A939">
        <v>937</v>
      </c>
      <c r="B939">
        <v>938</v>
      </c>
      <c r="C939" t="s">
        <v>983</v>
      </c>
      <c r="D939">
        <v>2019</v>
      </c>
      <c r="E939" t="s">
        <v>11</v>
      </c>
      <c r="F939" t="s">
        <v>955</v>
      </c>
      <c r="G939">
        <v>1</v>
      </c>
      <c r="H939">
        <v>0</v>
      </c>
      <c r="I939">
        <v>0</v>
      </c>
      <c r="J939">
        <v>0</v>
      </c>
      <c r="K939">
        <v>0</v>
      </c>
      <c r="L939">
        <f t="shared" si="28"/>
        <v>6.3</v>
      </c>
      <c r="M939">
        <f t="shared" si="29"/>
        <v>1</v>
      </c>
    </row>
    <row r="940" spans="1:13" x14ac:dyDescent="0.3">
      <c r="A940">
        <v>938</v>
      </c>
      <c r="B940">
        <v>939</v>
      </c>
      <c r="C940" t="s">
        <v>984</v>
      </c>
      <c r="D940">
        <v>2018</v>
      </c>
      <c r="E940" t="s">
        <v>11</v>
      </c>
      <c r="F940" t="s">
        <v>955</v>
      </c>
      <c r="G940">
        <v>1</v>
      </c>
      <c r="H940">
        <v>0</v>
      </c>
      <c r="I940">
        <v>0</v>
      </c>
      <c r="J940">
        <v>0</v>
      </c>
      <c r="K940">
        <v>0</v>
      </c>
      <c r="L940">
        <f t="shared" si="28"/>
        <v>6.3</v>
      </c>
      <c r="M940">
        <f t="shared" si="29"/>
        <v>1</v>
      </c>
    </row>
    <row r="941" spans="1:13" x14ac:dyDescent="0.3">
      <c r="A941">
        <v>939</v>
      </c>
      <c r="B941">
        <v>940</v>
      </c>
      <c r="C941" t="s">
        <v>985</v>
      </c>
      <c r="D941">
        <v>1998</v>
      </c>
      <c r="E941" t="s">
        <v>11</v>
      </c>
      <c r="F941" t="s">
        <v>955</v>
      </c>
      <c r="G941">
        <v>1</v>
      </c>
      <c r="H941">
        <v>0</v>
      </c>
      <c r="I941">
        <v>0</v>
      </c>
      <c r="J941">
        <v>0</v>
      </c>
      <c r="K941">
        <v>0</v>
      </c>
      <c r="L941">
        <f t="shared" si="28"/>
        <v>6.3</v>
      </c>
      <c r="M941">
        <f t="shared" si="29"/>
        <v>1</v>
      </c>
    </row>
    <row r="942" spans="1:13" x14ac:dyDescent="0.3">
      <c r="A942">
        <v>940</v>
      </c>
      <c r="B942">
        <v>941</v>
      </c>
      <c r="C942" t="s">
        <v>986</v>
      </c>
      <c r="D942">
        <v>2018</v>
      </c>
      <c r="E942" t="s">
        <v>14</v>
      </c>
      <c r="F942" t="s">
        <v>955</v>
      </c>
      <c r="G942">
        <v>1</v>
      </c>
      <c r="H942">
        <v>0</v>
      </c>
      <c r="I942">
        <v>0</v>
      </c>
      <c r="J942">
        <v>0</v>
      </c>
      <c r="K942">
        <v>0</v>
      </c>
      <c r="L942">
        <f t="shared" si="28"/>
        <v>6.3</v>
      </c>
      <c r="M942">
        <f t="shared" si="29"/>
        <v>1</v>
      </c>
    </row>
    <row r="943" spans="1:13" x14ac:dyDescent="0.3">
      <c r="A943">
        <v>941</v>
      </c>
      <c r="B943">
        <v>942</v>
      </c>
      <c r="C943" t="s">
        <v>987</v>
      </c>
      <c r="D943">
        <v>2001</v>
      </c>
      <c r="E943" t="s">
        <v>22</v>
      </c>
      <c r="F943" t="s">
        <v>955</v>
      </c>
      <c r="G943">
        <v>1</v>
      </c>
      <c r="H943">
        <v>0</v>
      </c>
      <c r="I943">
        <v>0</v>
      </c>
      <c r="J943">
        <v>0</v>
      </c>
      <c r="K943">
        <v>0</v>
      </c>
      <c r="L943">
        <f t="shared" si="28"/>
        <v>6.3</v>
      </c>
      <c r="M943">
        <f t="shared" si="29"/>
        <v>1</v>
      </c>
    </row>
    <row r="944" spans="1:13" x14ac:dyDescent="0.3">
      <c r="A944">
        <v>942</v>
      </c>
      <c r="B944">
        <v>943</v>
      </c>
      <c r="C944" t="s">
        <v>988</v>
      </c>
      <c r="D944">
        <v>2014</v>
      </c>
      <c r="E944" t="s">
        <v>11</v>
      </c>
      <c r="F944" t="s">
        <v>955</v>
      </c>
      <c r="G944">
        <v>1</v>
      </c>
      <c r="H944">
        <v>0</v>
      </c>
      <c r="I944">
        <v>0</v>
      </c>
      <c r="J944">
        <v>0</v>
      </c>
      <c r="K944">
        <v>0</v>
      </c>
      <c r="L944">
        <f t="shared" si="28"/>
        <v>6.3</v>
      </c>
      <c r="M944">
        <f t="shared" si="29"/>
        <v>1</v>
      </c>
    </row>
    <row r="945" spans="1:13" x14ac:dyDescent="0.3">
      <c r="A945">
        <v>943</v>
      </c>
      <c r="B945">
        <v>944</v>
      </c>
      <c r="C945" t="s">
        <v>989</v>
      </c>
      <c r="D945">
        <v>2009</v>
      </c>
      <c r="F945" t="s">
        <v>955</v>
      </c>
      <c r="G945">
        <v>1</v>
      </c>
      <c r="H945">
        <v>0</v>
      </c>
      <c r="I945">
        <v>0</v>
      </c>
      <c r="J945">
        <v>0</v>
      </c>
      <c r="K945">
        <v>0</v>
      </c>
      <c r="L945">
        <f t="shared" si="28"/>
        <v>6.3</v>
      </c>
      <c r="M945">
        <f t="shared" si="29"/>
        <v>1</v>
      </c>
    </row>
    <row r="946" spans="1:13" x14ac:dyDescent="0.3">
      <c r="A946">
        <v>944</v>
      </c>
      <c r="B946">
        <v>945</v>
      </c>
      <c r="C946" t="s">
        <v>990</v>
      </c>
      <c r="D946">
        <v>1992</v>
      </c>
      <c r="F946" t="s">
        <v>955</v>
      </c>
      <c r="G946">
        <v>1</v>
      </c>
      <c r="H946">
        <v>0</v>
      </c>
      <c r="I946">
        <v>0</v>
      </c>
      <c r="J946">
        <v>0</v>
      </c>
      <c r="K946">
        <v>0</v>
      </c>
      <c r="L946">
        <f t="shared" si="28"/>
        <v>6.3</v>
      </c>
      <c r="M946">
        <f t="shared" si="29"/>
        <v>1</v>
      </c>
    </row>
    <row r="947" spans="1:13" x14ac:dyDescent="0.3">
      <c r="A947">
        <v>945</v>
      </c>
      <c r="B947">
        <v>946</v>
      </c>
      <c r="C947" t="s">
        <v>991</v>
      </c>
      <c r="D947">
        <v>2018</v>
      </c>
      <c r="E947" t="s">
        <v>11</v>
      </c>
      <c r="F947" t="s">
        <v>955</v>
      </c>
      <c r="G947">
        <v>1</v>
      </c>
      <c r="H947">
        <v>0</v>
      </c>
      <c r="I947">
        <v>0</v>
      </c>
      <c r="J947">
        <v>0</v>
      </c>
      <c r="K947">
        <v>0</v>
      </c>
      <c r="L947">
        <f t="shared" si="28"/>
        <v>6.3</v>
      </c>
      <c r="M947">
        <f t="shared" si="29"/>
        <v>1</v>
      </c>
    </row>
    <row r="948" spans="1:13" x14ac:dyDescent="0.3">
      <c r="A948">
        <v>946</v>
      </c>
      <c r="B948">
        <v>947</v>
      </c>
      <c r="C948" t="s">
        <v>992</v>
      </c>
      <c r="D948">
        <v>2020</v>
      </c>
      <c r="E948" t="s">
        <v>36</v>
      </c>
      <c r="F948" t="s">
        <v>955</v>
      </c>
      <c r="G948">
        <v>1</v>
      </c>
      <c r="H948">
        <v>0</v>
      </c>
      <c r="I948">
        <v>0</v>
      </c>
      <c r="J948">
        <v>0</v>
      </c>
      <c r="K948">
        <v>0</v>
      </c>
      <c r="L948">
        <f t="shared" si="28"/>
        <v>6.3</v>
      </c>
      <c r="M948">
        <f t="shared" si="29"/>
        <v>1</v>
      </c>
    </row>
    <row r="949" spans="1:13" x14ac:dyDescent="0.3">
      <c r="A949">
        <v>947</v>
      </c>
      <c r="B949">
        <v>948</v>
      </c>
      <c r="C949" t="s">
        <v>993</v>
      </c>
      <c r="D949">
        <v>2013</v>
      </c>
      <c r="E949" t="s">
        <v>22</v>
      </c>
      <c r="F949" t="s">
        <v>955</v>
      </c>
      <c r="G949">
        <v>1</v>
      </c>
      <c r="H949">
        <v>0</v>
      </c>
      <c r="I949">
        <v>0</v>
      </c>
      <c r="J949">
        <v>0</v>
      </c>
      <c r="K949">
        <v>0</v>
      </c>
      <c r="L949">
        <f t="shared" si="28"/>
        <v>6.3</v>
      </c>
      <c r="M949">
        <f t="shared" si="29"/>
        <v>1</v>
      </c>
    </row>
    <row r="950" spans="1:13" x14ac:dyDescent="0.3">
      <c r="A950">
        <v>948</v>
      </c>
      <c r="B950">
        <v>949</v>
      </c>
      <c r="C950" t="s">
        <v>994</v>
      </c>
      <c r="D950">
        <v>2008</v>
      </c>
      <c r="F950" t="s">
        <v>955</v>
      </c>
      <c r="G950">
        <v>1</v>
      </c>
      <c r="H950">
        <v>0</v>
      </c>
      <c r="I950">
        <v>0</v>
      </c>
      <c r="J950">
        <v>0</v>
      </c>
      <c r="K950">
        <v>0</v>
      </c>
      <c r="L950">
        <f t="shared" si="28"/>
        <v>6.3</v>
      </c>
      <c r="M950">
        <f t="shared" si="29"/>
        <v>1</v>
      </c>
    </row>
    <row r="951" spans="1:13" x14ac:dyDescent="0.3">
      <c r="A951">
        <v>949</v>
      </c>
      <c r="B951">
        <v>950</v>
      </c>
      <c r="C951" t="s">
        <v>995</v>
      </c>
      <c r="D951">
        <v>2018</v>
      </c>
      <c r="E951" t="s">
        <v>11</v>
      </c>
      <c r="F951" t="s">
        <v>955</v>
      </c>
      <c r="G951">
        <v>1</v>
      </c>
      <c r="H951">
        <v>0</v>
      </c>
      <c r="I951">
        <v>0</v>
      </c>
      <c r="J951">
        <v>0</v>
      </c>
      <c r="K951">
        <v>0</v>
      </c>
      <c r="L951">
        <f t="shared" si="28"/>
        <v>6.3</v>
      </c>
      <c r="M951">
        <f t="shared" si="29"/>
        <v>1</v>
      </c>
    </row>
    <row r="952" spans="1:13" x14ac:dyDescent="0.3">
      <c r="A952">
        <v>950</v>
      </c>
      <c r="B952">
        <v>951</v>
      </c>
      <c r="C952" t="s">
        <v>996</v>
      </c>
      <c r="D952">
        <v>2018</v>
      </c>
      <c r="F952" t="s">
        <v>955</v>
      </c>
      <c r="G952">
        <v>1</v>
      </c>
      <c r="H952">
        <v>0</v>
      </c>
      <c r="I952">
        <v>0</v>
      </c>
      <c r="J952">
        <v>0</v>
      </c>
      <c r="K952">
        <v>0</v>
      </c>
      <c r="L952">
        <f t="shared" si="28"/>
        <v>6.3</v>
      </c>
      <c r="M952">
        <f t="shared" si="29"/>
        <v>1</v>
      </c>
    </row>
    <row r="953" spans="1:13" x14ac:dyDescent="0.3">
      <c r="A953">
        <v>951</v>
      </c>
      <c r="B953">
        <v>952</v>
      </c>
      <c r="C953" t="s">
        <v>997</v>
      </c>
      <c r="D953">
        <v>2017</v>
      </c>
      <c r="F953" t="s">
        <v>955</v>
      </c>
      <c r="G953">
        <v>1</v>
      </c>
      <c r="H953">
        <v>0</v>
      </c>
      <c r="I953">
        <v>0</v>
      </c>
      <c r="J953">
        <v>0</v>
      </c>
      <c r="K953">
        <v>0</v>
      </c>
      <c r="L953">
        <f t="shared" si="28"/>
        <v>6.3</v>
      </c>
      <c r="M953">
        <f t="shared" si="29"/>
        <v>1</v>
      </c>
    </row>
    <row r="954" spans="1:13" x14ac:dyDescent="0.3">
      <c r="A954">
        <v>952</v>
      </c>
      <c r="B954">
        <v>953</v>
      </c>
      <c r="C954" t="s">
        <v>998</v>
      </c>
      <c r="D954">
        <v>1991</v>
      </c>
      <c r="E954" t="s">
        <v>11</v>
      </c>
      <c r="F954" t="s">
        <v>955</v>
      </c>
      <c r="G954">
        <v>1</v>
      </c>
      <c r="H954">
        <v>0</v>
      </c>
      <c r="I954">
        <v>0</v>
      </c>
      <c r="J954">
        <v>0</v>
      </c>
      <c r="K954">
        <v>0</v>
      </c>
      <c r="L954">
        <f t="shared" si="28"/>
        <v>6.3</v>
      </c>
      <c r="M954">
        <f t="shared" si="29"/>
        <v>1</v>
      </c>
    </row>
    <row r="955" spans="1:13" x14ac:dyDescent="0.3">
      <c r="A955">
        <v>953</v>
      </c>
      <c r="B955">
        <v>954</v>
      </c>
      <c r="C955" t="s">
        <v>999</v>
      </c>
      <c r="D955">
        <v>2000</v>
      </c>
      <c r="E955" t="s">
        <v>36</v>
      </c>
      <c r="F955" t="s">
        <v>955</v>
      </c>
      <c r="G955">
        <v>1</v>
      </c>
      <c r="H955">
        <v>0</v>
      </c>
      <c r="I955">
        <v>0</v>
      </c>
      <c r="J955">
        <v>0</v>
      </c>
      <c r="K955">
        <v>0</v>
      </c>
      <c r="L955">
        <f t="shared" si="28"/>
        <v>6.3</v>
      </c>
      <c r="M955">
        <f t="shared" si="29"/>
        <v>1</v>
      </c>
    </row>
    <row r="956" spans="1:13" x14ac:dyDescent="0.3">
      <c r="A956">
        <v>954</v>
      </c>
      <c r="B956">
        <v>955</v>
      </c>
      <c r="C956" t="s">
        <v>1000</v>
      </c>
      <c r="D956">
        <v>2008</v>
      </c>
      <c r="E956" t="s">
        <v>28</v>
      </c>
      <c r="F956" t="s">
        <v>955</v>
      </c>
      <c r="G956">
        <v>1</v>
      </c>
      <c r="H956">
        <v>0</v>
      </c>
      <c r="I956">
        <v>0</v>
      </c>
      <c r="J956">
        <v>0</v>
      </c>
      <c r="K956">
        <v>0</v>
      </c>
      <c r="L956">
        <f t="shared" si="28"/>
        <v>6.3</v>
      </c>
      <c r="M956">
        <f t="shared" si="29"/>
        <v>1</v>
      </c>
    </row>
    <row r="957" spans="1:13" x14ac:dyDescent="0.3">
      <c r="A957">
        <v>955</v>
      </c>
      <c r="B957">
        <v>956</v>
      </c>
      <c r="C957" t="s">
        <v>1001</v>
      </c>
      <c r="D957">
        <v>2015</v>
      </c>
      <c r="E957" t="s">
        <v>11</v>
      </c>
      <c r="F957" t="s">
        <v>955</v>
      </c>
      <c r="G957">
        <v>1</v>
      </c>
      <c r="H957">
        <v>0</v>
      </c>
      <c r="I957">
        <v>0</v>
      </c>
      <c r="J957">
        <v>0</v>
      </c>
      <c r="K957">
        <v>0</v>
      </c>
      <c r="L957">
        <f t="shared" si="28"/>
        <v>6.3</v>
      </c>
      <c r="M957">
        <f t="shared" si="29"/>
        <v>1</v>
      </c>
    </row>
    <row r="958" spans="1:13" x14ac:dyDescent="0.3">
      <c r="A958">
        <v>956</v>
      </c>
      <c r="B958">
        <v>957</v>
      </c>
      <c r="C958" t="s">
        <v>1002</v>
      </c>
      <c r="D958">
        <v>2011</v>
      </c>
      <c r="F958" t="s">
        <v>955</v>
      </c>
      <c r="G958">
        <v>1</v>
      </c>
      <c r="H958">
        <v>0</v>
      </c>
      <c r="I958">
        <v>0</v>
      </c>
      <c r="J958">
        <v>0</v>
      </c>
      <c r="K958">
        <v>0</v>
      </c>
      <c r="L958">
        <f t="shared" si="28"/>
        <v>6.3</v>
      </c>
      <c r="M958">
        <f t="shared" si="29"/>
        <v>1</v>
      </c>
    </row>
    <row r="959" spans="1:13" x14ac:dyDescent="0.3">
      <c r="A959">
        <v>957</v>
      </c>
      <c r="B959">
        <v>958</v>
      </c>
      <c r="C959" t="s">
        <v>1003</v>
      </c>
      <c r="D959">
        <v>2018</v>
      </c>
      <c r="F959" t="s">
        <v>955</v>
      </c>
      <c r="G959">
        <v>1</v>
      </c>
      <c r="H959">
        <v>0</v>
      </c>
      <c r="I959">
        <v>0</v>
      </c>
      <c r="J959">
        <v>0</v>
      </c>
      <c r="K959">
        <v>0</v>
      </c>
      <c r="L959">
        <f t="shared" si="28"/>
        <v>6.3</v>
      </c>
      <c r="M959">
        <f t="shared" si="29"/>
        <v>1</v>
      </c>
    </row>
    <row r="960" spans="1:13" x14ac:dyDescent="0.3">
      <c r="A960">
        <v>958</v>
      </c>
      <c r="B960">
        <v>959</v>
      </c>
      <c r="C960" t="s">
        <v>1004</v>
      </c>
      <c r="D960">
        <v>2021</v>
      </c>
      <c r="E960" t="s">
        <v>11</v>
      </c>
      <c r="F960" t="s">
        <v>955</v>
      </c>
      <c r="G960">
        <v>1</v>
      </c>
      <c r="H960">
        <v>0</v>
      </c>
      <c r="I960">
        <v>0</v>
      </c>
      <c r="J960">
        <v>0</v>
      </c>
      <c r="K960">
        <v>0</v>
      </c>
      <c r="L960">
        <f t="shared" si="28"/>
        <v>6.3</v>
      </c>
      <c r="M960">
        <f t="shared" si="29"/>
        <v>1</v>
      </c>
    </row>
    <row r="961" spans="1:13" x14ac:dyDescent="0.3">
      <c r="A961">
        <v>959</v>
      </c>
      <c r="B961">
        <v>960</v>
      </c>
      <c r="C961" t="s">
        <v>1005</v>
      </c>
      <c r="D961">
        <v>2021</v>
      </c>
      <c r="E961" t="s">
        <v>11</v>
      </c>
      <c r="F961" t="s">
        <v>955</v>
      </c>
      <c r="G961">
        <v>1</v>
      </c>
      <c r="H961">
        <v>0</v>
      </c>
      <c r="I961">
        <v>0</v>
      </c>
      <c r="J961">
        <v>0</v>
      </c>
      <c r="K961">
        <v>0</v>
      </c>
      <c r="L961">
        <f t="shared" si="28"/>
        <v>6.3</v>
      </c>
      <c r="M961">
        <f t="shared" si="29"/>
        <v>1</v>
      </c>
    </row>
    <row r="962" spans="1:13" x14ac:dyDescent="0.3">
      <c r="A962">
        <v>960</v>
      </c>
      <c r="B962">
        <v>961</v>
      </c>
      <c r="C962" t="s">
        <v>1006</v>
      </c>
      <c r="D962">
        <v>2019</v>
      </c>
      <c r="E962" t="s">
        <v>22</v>
      </c>
      <c r="F962" t="s">
        <v>955</v>
      </c>
      <c r="G962">
        <v>1</v>
      </c>
      <c r="H962">
        <v>0</v>
      </c>
      <c r="I962">
        <v>0</v>
      </c>
      <c r="J962">
        <v>0</v>
      </c>
      <c r="K962">
        <v>0</v>
      </c>
      <c r="L962">
        <f t="shared" si="28"/>
        <v>6.3</v>
      </c>
      <c r="M962">
        <f t="shared" si="29"/>
        <v>1</v>
      </c>
    </row>
    <row r="963" spans="1:13" x14ac:dyDescent="0.3">
      <c r="A963">
        <v>961</v>
      </c>
      <c r="B963">
        <v>962</v>
      </c>
      <c r="C963" t="s">
        <v>1007</v>
      </c>
      <c r="D963">
        <v>2020</v>
      </c>
      <c r="E963" t="s">
        <v>22</v>
      </c>
      <c r="F963" t="s">
        <v>955</v>
      </c>
      <c r="G963">
        <v>1</v>
      </c>
      <c r="H963">
        <v>0</v>
      </c>
      <c r="I963">
        <v>0</v>
      </c>
      <c r="J963">
        <v>0</v>
      </c>
      <c r="K963">
        <v>0</v>
      </c>
      <c r="L963">
        <f t="shared" ref="L963:L1026" si="30">IFERROR(VALUE(LEFT(F963,FIND("/",F963)-1))/10,"")</f>
        <v>6.3</v>
      </c>
      <c r="M963">
        <f t="shared" ref="M963:M1026" si="31">SUM(G963:J963)</f>
        <v>1</v>
      </c>
    </row>
    <row r="964" spans="1:13" x14ac:dyDescent="0.3">
      <c r="A964">
        <v>962</v>
      </c>
      <c r="B964">
        <v>963</v>
      </c>
      <c r="C964" t="s">
        <v>1008</v>
      </c>
      <c r="D964">
        <v>2011</v>
      </c>
      <c r="E964" t="s">
        <v>22</v>
      </c>
      <c r="F964" t="s">
        <v>955</v>
      </c>
      <c r="G964">
        <v>1</v>
      </c>
      <c r="H964">
        <v>0</v>
      </c>
      <c r="I964">
        <v>0</v>
      </c>
      <c r="J964">
        <v>0</v>
      </c>
      <c r="K964">
        <v>0</v>
      </c>
      <c r="L964">
        <f t="shared" si="30"/>
        <v>6.3</v>
      </c>
      <c r="M964">
        <f t="shared" si="31"/>
        <v>1</v>
      </c>
    </row>
    <row r="965" spans="1:13" x14ac:dyDescent="0.3">
      <c r="A965">
        <v>963</v>
      </c>
      <c r="B965">
        <v>964</v>
      </c>
      <c r="C965" t="s">
        <v>1009</v>
      </c>
      <c r="D965">
        <v>2021</v>
      </c>
      <c r="F965" t="s">
        <v>955</v>
      </c>
      <c r="G965">
        <v>1</v>
      </c>
      <c r="H965">
        <v>0</v>
      </c>
      <c r="I965">
        <v>1</v>
      </c>
      <c r="J965">
        <v>0</v>
      </c>
      <c r="K965">
        <v>0</v>
      </c>
      <c r="L965">
        <f t="shared" si="30"/>
        <v>6.3</v>
      </c>
      <c r="M965">
        <f t="shared" si="31"/>
        <v>2</v>
      </c>
    </row>
    <row r="966" spans="1:13" x14ac:dyDescent="0.3">
      <c r="A966">
        <v>964</v>
      </c>
      <c r="B966">
        <v>965</v>
      </c>
      <c r="C966" t="s">
        <v>1010</v>
      </c>
      <c r="D966">
        <v>2020</v>
      </c>
      <c r="E966" t="s">
        <v>11</v>
      </c>
      <c r="F966" t="s">
        <v>955</v>
      </c>
      <c r="G966">
        <v>1</v>
      </c>
      <c r="H966">
        <v>0</v>
      </c>
      <c r="I966">
        <v>0</v>
      </c>
      <c r="J966">
        <v>0</v>
      </c>
      <c r="K966">
        <v>0</v>
      </c>
      <c r="L966">
        <f t="shared" si="30"/>
        <v>6.3</v>
      </c>
      <c r="M966">
        <f t="shared" si="31"/>
        <v>1</v>
      </c>
    </row>
    <row r="967" spans="1:13" x14ac:dyDescent="0.3">
      <c r="A967">
        <v>965</v>
      </c>
      <c r="B967">
        <v>966</v>
      </c>
      <c r="C967" t="s">
        <v>1011</v>
      </c>
      <c r="D967">
        <v>2021</v>
      </c>
      <c r="E967" t="s">
        <v>11</v>
      </c>
      <c r="F967" t="s">
        <v>955</v>
      </c>
      <c r="G967">
        <v>1</v>
      </c>
      <c r="H967">
        <v>0</v>
      </c>
      <c r="I967">
        <v>0</v>
      </c>
      <c r="J967">
        <v>0</v>
      </c>
      <c r="K967">
        <v>0</v>
      </c>
      <c r="L967">
        <f t="shared" si="30"/>
        <v>6.3</v>
      </c>
      <c r="M967">
        <f t="shared" si="31"/>
        <v>1</v>
      </c>
    </row>
    <row r="968" spans="1:13" x14ac:dyDescent="0.3">
      <c r="A968">
        <v>966</v>
      </c>
      <c r="B968">
        <v>967</v>
      </c>
      <c r="C968" t="s">
        <v>1012</v>
      </c>
      <c r="D968">
        <v>2013</v>
      </c>
      <c r="E968" t="s">
        <v>22</v>
      </c>
      <c r="F968" t="s">
        <v>955</v>
      </c>
      <c r="G968">
        <v>1</v>
      </c>
      <c r="H968">
        <v>0</v>
      </c>
      <c r="I968">
        <v>0</v>
      </c>
      <c r="J968">
        <v>0</v>
      </c>
      <c r="K968">
        <v>0</v>
      </c>
      <c r="L968">
        <f t="shared" si="30"/>
        <v>6.3</v>
      </c>
      <c r="M968">
        <f t="shared" si="31"/>
        <v>1</v>
      </c>
    </row>
    <row r="969" spans="1:13" x14ac:dyDescent="0.3">
      <c r="A969">
        <v>967</v>
      </c>
      <c r="B969">
        <v>968</v>
      </c>
      <c r="C969" t="s">
        <v>1013</v>
      </c>
      <c r="D969">
        <v>2019</v>
      </c>
      <c r="E969" t="s">
        <v>11</v>
      </c>
      <c r="F969" t="s">
        <v>955</v>
      </c>
      <c r="G969">
        <v>1</v>
      </c>
      <c r="H969">
        <v>0</v>
      </c>
      <c r="I969">
        <v>0</v>
      </c>
      <c r="J969">
        <v>0</v>
      </c>
      <c r="K969">
        <v>0</v>
      </c>
      <c r="L969">
        <f t="shared" si="30"/>
        <v>6.3</v>
      </c>
      <c r="M969">
        <f t="shared" si="31"/>
        <v>1</v>
      </c>
    </row>
    <row r="970" spans="1:13" x14ac:dyDescent="0.3">
      <c r="A970">
        <v>968</v>
      </c>
      <c r="B970">
        <v>969</v>
      </c>
      <c r="C970" t="s">
        <v>1014</v>
      </c>
      <c r="D970">
        <v>2019</v>
      </c>
      <c r="F970" t="s">
        <v>955</v>
      </c>
      <c r="G970">
        <v>1</v>
      </c>
      <c r="H970">
        <v>0</v>
      </c>
      <c r="I970">
        <v>0</v>
      </c>
      <c r="J970">
        <v>0</v>
      </c>
      <c r="K970">
        <v>0</v>
      </c>
      <c r="L970">
        <f t="shared" si="30"/>
        <v>6.3</v>
      </c>
      <c r="M970">
        <f t="shared" si="31"/>
        <v>1</v>
      </c>
    </row>
    <row r="971" spans="1:13" x14ac:dyDescent="0.3">
      <c r="A971">
        <v>969</v>
      </c>
      <c r="B971">
        <v>970</v>
      </c>
      <c r="C971" t="s">
        <v>1015</v>
      </c>
      <c r="D971">
        <v>2017</v>
      </c>
      <c r="E971" t="s">
        <v>28</v>
      </c>
      <c r="F971" t="s">
        <v>955</v>
      </c>
      <c r="G971">
        <v>1</v>
      </c>
      <c r="H971">
        <v>0</v>
      </c>
      <c r="I971">
        <v>0</v>
      </c>
      <c r="J971">
        <v>0</v>
      </c>
      <c r="K971">
        <v>0</v>
      </c>
      <c r="L971">
        <f t="shared" si="30"/>
        <v>6.3</v>
      </c>
      <c r="M971">
        <f t="shared" si="31"/>
        <v>1</v>
      </c>
    </row>
    <row r="972" spans="1:13" x14ac:dyDescent="0.3">
      <c r="A972">
        <v>970</v>
      </c>
      <c r="B972">
        <v>971</v>
      </c>
      <c r="C972" t="s">
        <v>1016</v>
      </c>
      <c r="D972">
        <v>2018</v>
      </c>
      <c r="F972" t="s">
        <v>955</v>
      </c>
      <c r="G972">
        <v>1</v>
      </c>
      <c r="H972">
        <v>0</v>
      </c>
      <c r="I972">
        <v>0</v>
      </c>
      <c r="J972">
        <v>0</v>
      </c>
      <c r="K972">
        <v>0</v>
      </c>
      <c r="L972">
        <f t="shared" si="30"/>
        <v>6.3</v>
      </c>
      <c r="M972">
        <f t="shared" si="31"/>
        <v>1</v>
      </c>
    </row>
    <row r="973" spans="1:13" x14ac:dyDescent="0.3">
      <c r="A973">
        <v>971</v>
      </c>
      <c r="B973">
        <v>972</v>
      </c>
      <c r="C973" t="s">
        <v>1017</v>
      </c>
      <c r="D973">
        <v>2016</v>
      </c>
      <c r="F973" t="s">
        <v>955</v>
      </c>
      <c r="G973">
        <v>1</v>
      </c>
      <c r="H973">
        <v>0</v>
      </c>
      <c r="I973">
        <v>0</v>
      </c>
      <c r="J973">
        <v>0</v>
      </c>
      <c r="K973">
        <v>0</v>
      </c>
      <c r="L973">
        <f t="shared" si="30"/>
        <v>6.3</v>
      </c>
      <c r="M973">
        <f t="shared" si="31"/>
        <v>1</v>
      </c>
    </row>
    <row r="974" spans="1:13" x14ac:dyDescent="0.3">
      <c r="A974">
        <v>972</v>
      </c>
      <c r="B974">
        <v>973</v>
      </c>
      <c r="C974" t="s">
        <v>1018</v>
      </c>
      <c r="D974">
        <v>2017</v>
      </c>
      <c r="F974" t="s">
        <v>955</v>
      </c>
      <c r="G974">
        <v>1</v>
      </c>
      <c r="H974">
        <v>0</v>
      </c>
      <c r="I974">
        <v>0</v>
      </c>
      <c r="J974">
        <v>0</v>
      </c>
      <c r="K974">
        <v>0</v>
      </c>
      <c r="L974">
        <f t="shared" si="30"/>
        <v>6.3</v>
      </c>
      <c r="M974">
        <f t="shared" si="31"/>
        <v>1</v>
      </c>
    </row>
    <row r="975" spans="1:13" x14ac:dyDescent="0.3">
      <c r="A975">
        <v>973</v>
      </c>
      <c r="B975">
        <v>974</v>
      </c>
      <c r="C975" t="s">
        <v>1019</v>
      </c>
      <c r="D975">
        <v>2018</v>
      </c>
      <c r="F975" t="s">
        <v>955</v>
      </c>
      <c r="G975">
        <v>1</v>
      </c>
      <c r="H975">
        <v>1</v>
      </c>
      <c r="I975">
        <v>0</v>
      </c>
      <c r="J975">
        <v>0</v>
      </c>
      <c r="K975">
        <v>0</v>
      </c>
      <c r="L975">
        <f t="shared" si="30"/>
        <v>6.3</v>
      </c>
      <c r="M975">
        <f t="shared" si="31"/>
        <v>2</v>
      </c>
    </row>
    <row r="976" spans="1:13" x14ac:dyDescent="0.3">
      <c r="A976">
        <v>974</v>
      </c>
      <c r="B976">
        <v>975</v>
      </c>
      <c r="C976" t="s">
        <v>1020</v>
      </c>
      <c r="D976">
        <v>2014</v>
      </c>
      <c r="E976" t="s">
        <v>22</v>
      </c>
      <c r="F976" t="s">
        <v>955</v>
      </c>
      <c r="G976">
        <v>1</v>
      </c>
      <c r="H976">
        <v>0</v>
      </c>
      <c r="I976">
        <v>0</v>
      </c>
      <c r="J976">
        <v>0</v>
      </c>
      <c r="K976">
        <v>0</v>
      </c>
      <c r="L976">
        <f t="shared" si="30"/>
        <v>6.3</v>
      </c>
      <c r="M976">
        <f t="shared" si="31"/>
        <v>1</v>
      </c>
    </row>
    <row r="977" spans="1:13" x14ac:dyDescent="0.3">
      <c r="A977">
        <v>975</v>
      </c>
      <c r="B977">
        <v>976</v>
      </c>
      <c r="C977" t="s">
        <v>1021</v>
      </c>
      <c r="D977">
        <v>2019</v>
      </c>
      <c r="E977" t="s">
        <v>11</v>
      </c>
      <c r="F977" t="s">
        <v>955</v>
      </c>
      <c r="G977">
        <v>1</v>
      </c>
      <c r="H977">
        <v>0</v>
      </c>
      <c r="I977">
        <v>0</v>
      </c>
      <c r="J977">
        <v>0</v>
      </c>
      <c r="K977">
        <v>0</v>
      </c>
      <c r="L977">
        <f t="shared" si="30"/>
        <v>6.3</v>
      </c>
      <c r="M977">
        <f t="shared" si="31"/>
        <v>1</v>
      </c>
    </row>
    <row r="978" spans="1:13" x14ac:dyDescent="0.3">
      <c r="A978">
        <v>976</v>
      </c>
      <c r="B978">
        <v>977</v>
      </c>
      <c r="C978" t="s">
        <v>1022</v>
      </c>
      <c r="D978">
        <v>2011</v>
      </c>
      <c r="E978" t="s">
        <v>22</v>
      </c>
      <c r="F978" t="s">
        <v>955</v>
      </c>
      <c r="G978">
        <v>1</v>
      </c>
      <c r="H978">
        <v>0</v>
      </c>
      <c r="I978">
        <v>0</v>
      </c>
      <c r="J978">
        <v>0</v>
      </c>
      <c r="K978">
        <v>0</v>
      </c>
      <c r="L978">
        <f t="shared" si="30"/>
        <v>6.3</v>
      </c>
      <c r="M978">
        <f t="shared" si="31"/>
        <v>1</v>
      </c>
    </row>
    <row r="979" spans="1:13" x14ac:dyDescent="0.3">
      <c r="A979">
        <v>977</v>
      </c>
      <c r="B979">
        <v>978</v>
      </c>
      <c r="C979" t="s">
        <v>1023</v>
      </c>
      <c r="D979">
        <v>2016</v>
      </c>
      <c r="F979" t="s">
        <v>955</v>
      </c>
      <c r="G979">
        <v>1</v>
      </c>
      <c r="H979">
        <v>0</v>
      </c>
      <c r="I979">
        <v>0</v>
      </c>
      <c r="J979">
        <v>0</v>
      </c>
      <c r="K979">
        <v>0</v>
      </c>
      <c r="L979">
        <f t="shared" si="30"/>
        <v>6.3</v>
      </c>
      <c r="M979">
        <f t="shared" si="31"/>
        <v>1</v>
      </c>
    </row>
    <row r="980" spans="1:13" x14ac:dyDescent="0.3">
      <c r="A980">
        <v>978</v>
      </c>
      <c r="B980">
        <v>979</v>
      </c>
      <c r="C980" t="s">
        <v>1024</v>
      </c>
      <c r="D980">
        <v>2016</v>
      </c>
      <c r="E980" t="s">
        <v>14</v>
      </c>
      <c r="F980" t="s">
        <v>955</v>
      </c>
      <c r="G980">
        <v>1</v>
      </c>
      <c r="H980">
        <v>0</v>
      </c>
      <c r="I980">
        <v>0</v>
      </c>
      <c r="J980">
        <v>0</v>
      </c>
      <c r="K980">
        <v>0</v>
      </c>
      <c r="L980">
        <f t="shared" si="30"/>
        <v>6.3</v>
      </c>
      <c r="M980">
        <f t="shared" si="31"/>
        <v>1</v>
      </c>
    </row>
    <row r="981" spans="1:13" x14ac:dyDescent="0.3">
      <c r="A981">
        <v>979</v>
      </c>
      <c r="B981">
        <v>980</v>
      </c>
      <c r="C981" t="s">
        <v>1025</v>
      </c>
      <c r="D981">
        <v>2013</v>
      </c>
      <c r="F981" t="s">
        <v>955</v>
      </c>
      <c r="G981">
        <v>1</v>
      </c>
      <c r="H981">
        <v>0</v>
      </c>
      <c r="I981">
        <v>0</v>
      </c>
      <c r="J981">
        <v>0</v>
      </c>
      <c r="K981">
        <v>0</v>
      </c>
      <c r="L981">
        <f t="shared" si="30"/>
        <v>6.3</v>
      </c>
      <c r="M981">
        <f t="shared" si="31"/>
        <v>1</v>
      </c>
    </row>
    <row r="982" spans="1:13" x14ac:dyDescent="0.3">
      <c r="A982">
        <v>980</v>
      </c>
      <c r="B982">
        <v>981</v>
      </c>
      <c r="C982" t="s">
        <v>1026</v>
      </c>
      <c r="D982">
        <v>2019</v>
      </c>
      <c r="F982" t="s">
        <v>955</v>
      </c>
      <c r="G982">
        <v>1</v>
      </c>
      <c r="H982">
        <v>0</v>
      </c>
      <c r="I982">
        <v>0</v>
      </c>
      <c r="J982">
        <v>0</v>
      </c>
      <c r="K982">
        <v>0</v>
      </c>
      <c r="L982">
        <f t="shared" si="30"/>
        <v>6.3</v>
      </c>
      <c r="M982">
        <f t="shared" si="31"/>
        <v>1</v>
      </c>
    </row>
    <row r="983" spans="1:13" x14ac:dyDescent="0.3">
      <c r="A983">
        <v>981</v>
      </c>
      <c r="B983">
        <v>982</v>
      </c>
      <c r="C983" t="s">
        <v>1027</v>
      </c>
      <c r="D983">
        <v>2019</v>
      </c>
      <c r="E983" t="s">
        <v>14</v>
      </c>
      <c r="F983" t="s">
        <v>955</v>
      </c>
      <c r="G983">
        <v>1</v>
      </c>
      <c r="H983">
        <v>0</v>
      </c>
      <c r="I983">
        <v>0</v>
      </c>
      <c r="J983">
        <v>0</v>
      </c>
      <c r="K983">
        <v>0</v>
      </c>
      <c r="L983">
        <f t="shared" si="30"/>
        <v>6.3</v>
      </c>
      <c r="M983">
        <f t="shared" si="31"/>
        <v>1</v>
      </c>
    </row>
    <row r="984" spans="1:13" x14ac:dyDescent="0.3">
      <c r="A984">
        <v>982</v>
      </c>
      <c r="B984">
        <v>983</v>
      </c>
      <c r="C984" t="s">
        <v>1028</v>
      </c>
      <c r="D984">
        <v>2021</v>
      </c>
      <c r="F984" t="s">
        <v>955</v>
      </c>
      <c r="G984">
        <v>1</v>
      </c>
      <c r="H984">
        <v>0</v>
      </c>
      <c r="I984">
        <v>0</v>
      </c>
      <c r="J984">
        <v>0</v>
      </c>
      <c r="K984">
        <v>0</v>
      </c>
      <c r="L984">
        <f t="shared" si="30"/>
        <v>6.3</v>
      </c>
      <c r="M984">
        <f t="shared" si="31"/>
        <v>1</v>
      </c>
    </row>
    <row r="985" spans="1:13" x14ac:dyDescent="0.3">
      <c r="A985">
        <v>983</v>
      </c>
      <c r="B985">
        <v>984</v>
      </c>
      <c r="C985" t="s">
        <v>1029</v>
      </c>
      <c r="D985">
        <v>2018</v>
      </c>
      <c r="E985" t="s">
        <v>14</v>
      </c>
      <c r="F985" t="s">
        <v>955</v>
      </c>
      <c r="G985">
        <v>1</v>
      </c>
      <c r="H985">
        <v>0</v>
      </c>
      <c r="I985">
        <v>0</v>
      </c>
      <c r="J985">
        <v>0</v>
      </c>
      <c r="K985">
        <v>0</v>
      </c>
      <c r="L985">
        <f t="shared" si="30"/>
        <v>6.3</v>
      </c>
      <c r="M985">
        <f t="shared" si="31"/>
        <v>1</v>
      </c>
    </row>
    <row r="986" spans="1:13" x14ac:dyDescent="0.3">
      <c r="A986">
        <v>984</v>
      </c>
      <c r="B986">
        <v>985</v>
      </c>
      <c r="C986" t="s">
        <v>1030</v>
      </c>
      <c r="D986">
        <v>2016</v>
      </c>
      <c r="F986" t="s">
        <v>955</v>
      </c>
      <c r="G986">
        <v>1</v>
      </c>
      <c r="H986">
        <v>0</v>
      </c>
      <c r="I986">
        <v>0</v>
      </c>
      <c r="J986">
        <v>0</v>
      </c>
      <c r="K986">
        <v>0</v>
      </c>
      <c r="L986">
        <f t="shared" si="30"/>
        <v>6.3</v>
      </c>
      <c r="M986">
        <f t="shared" si="31"/>
        <v>1</v>
      </c>
    </row>
    <row r="987" spans="1:13" x14ac:dyDescent="0.3">
      <c r="A987">
        <v>985</v>
      </c>
      <c r="B987">
        <v>986</v>
      </c>
      <c r="C987" t="s">
        <v>1031</v>
      </c>
      <c r="D987">
        <v>2015</v>
      </c>
      <c r="E987" t="s">
        <v>22</v>
      </c>
      <c r="F987" t="s">
        <v>955</v>
      </c>
      <c r="G987">
        <v>1</v>
      </c>
      <c r="H987">
        <v>0</v>
      </c>
      <c r="I987">
        <v>0</v>
      </c>
      <c r="J987">
        <v>0</v>
      </c>
      <c r="K987">
        <v>0</v>
      </c>
      <c r="L987">
        <f t="shared" si="30"/>
        <v>6.3</v>
      </c>
      <c r="M987">
        <f t="shared" si="31"/>
        <v>1</v>
      </c>
    </row>
    <row r="988" spans="1:13" x14ac:dyDescent="0.3">
      <c r="A988">
        <v>986</v>
      </c>
      <c r="B988">
        <v>987</v>
      </c>
      <c r="C988" t="s">
        <v>1032</v>
      </c>
      <c r="D988">
        <v>1997</v>
      </c>
      <c r="E988" t="s">
        <v>11</v>
      </c>
      <c r="F988" t="s">
        <v>955</v>
      </c>
      <c r="G988">
        <v>1</v>
      </c>
      <c r="H988">
        <v>0</v>
      </c>
      <c r="I988">
        <v>0</v>
      </c>
      <c r="J988">
        <v>0</v>
      </c>
      <c r="K988">
        <v>0</v>
      </c>
      <c r="L988">
        <f t="shared" si="30"/>
        <v>6.3</v>
      </c>
      <c r="M988">
        <f t="shared" si="31"/>
        <v>1</v>
      </c>
    </row>
    <row r="989" spans="1:13" x14ac:dyDescent="0.3">
      <c r="A989">
        <v>987</v>
      </c>
      <c r="B989">
        <v>988</v>
      </c>
      <c r="C989" t="s">
        <v>1033</v>
      </c>
      <c r="D989">
        <v>2010</v>
      </c>
      <c r="E989" t="s">
        <v>11</v>
      </c>
      <c r="F989" t="s">
        <v>955</v>
      </c>
      <c r="G989">
        <v>1</v>
      </c>
      <c r="H989">
        <v>0</v>
      </c>
      <c r="I989">
        <v>0</v>
      </c>
      <c r="J989">
        <v>0</v>
      </c>
      <c r="K989">
        <v>0</v>
      </c>
      <c r="L989">
        <f t="shared" si="30"/>
        <v>6.3</v>
      </c>
      <c r="M989">
        <f t="shared" si="31"/>
        <v>1</v>
      </c>
    </row>
    <row r="990" spans="1:13" x14ac:dyDescent="0.3">
      <c r="A990">
        <v>988</v>
      </c>
      <c r="B990">
        <v>989</v>
      </c>
      <c r="C990" t="s">
        <v>1034</v>
      </c>
      <c r="D990">
        <v>2019</v>
      </c>
      <c r="E990" t="s">
        <v>14</v>
      </c>
      <c r="F990" t="s">
        <v>955</v>
      </c>
      <c r="G990">
        <v>1</v>
      </c>
      <c r="H990">
        <v>0</v>
      </c>
      <c r="I990">
        <v>0</v>
      </c>
      <c r="J990">
        <v>0</v>
      </c>
      <c r="K990">
        <v>0</v>
      </c>
      <c r="L990">
        <f t="shared" si="30"/>
        <v>6.3</v>
      </c>
      <c r="M990">
        <f t="shared" si="31"/>
        <v>1</v>
      </c>
    </row>
    <row r="991" spans="1:13" x14ac:dyDescent="0.3">
      <c r="A991">
        <v>989</v>
      </c>
      <c r="B991">
        <v>990</v>
      </c>
      <c r="C991" t="s">
        <v>1035</v>
      </c>
      <c r="D991">
        <v>1989</v>
      </c>
      <c r="E991" t="s">
        <v>14</v>
      </c>
      <c r="F991" t="s">
        <v>955</v>
      </c>
      <c r="G991">
        <v>1</v>
      </c>
      <c r="H991">
        <v>1</v>
      </c>
      <c r="I991">
        <v>0</v>
      </c>
      <c r="J991">
        <v>0</v>
      </c>
      <c r="K991">
        <v>0</v>
      </c>
      <c r="L991">
        <f t="shared" si="30"/>
        <v>6.3</v>
      </c>
      <c r="M991">
        <f t="shared" si="31"/>
        <v>2</v>
      </c>
    </row>
    <row r="992" spans="1:13" x14ac:dyDescent="0.3">
      <c r="A992">
        <v>990</v>
      </c>
      <c r="B992">
        <v>991</v>
      </c>
      <c r="C992" t="s">
        <v>1036</v>
      </c>
      <c r="D992">
        <v>2015</v>
      </c>
      <c r="E992" t="s">
        <v>11</v>
      </c>
      <c r="F992" t="s">
        <v>955</v>
      </c>
      <c r="G992">
        <v>1</v>
      </c>
      <c r="H992">
        <v>0</v>
      </c>
      <c r="I992">
        <v>0</v>
      </c>
      <c r="J992">
        <v>0</v>
      </c>
      <c r="K992">
        <v>0</v>
      </c>
      <c r="L992">
        <f t="shared" si="30"/>
        <v>6.3</v>
      </c>
      <c r="M992">
        <f t="shared" si="31"/>
        <v>1</v>
      </c>
    </row>
    <row r="993" spans="1:13" x14ac:dyDescent="0.3">
      <c r="A993">
        <v>991</v>
      </c>
      <c r="B993">
        <v>992</v>
      </c>
      <c r="C993" t="s">
        <v>1037</v>
      </c>
      <c r="D993">
        <v>2012</v>
      </c>
      <c r="E993" t="s">
        <v>22</v>
      </c>
      <c r="F993" t="s">
        <v>1038</v>
      </c>
      <c r="G993">
        <v>1</v>
      </c>
      <c r="H993">
        <v>0</v>
      </c>
      <c r="I993">
        <v>0</v>
      </c>
      <c r="J993">
        <v>0</v>
      </c>
      <c r="K993">
        <v>0</v>
      </c>
      <c r="L993">
        <f t="shared" si="30"/>
        <v>6.2</v>
      </c>
      <c r="M993">
        <f t="shared" si="31"/>
        <v>1</v>
      </c>
    </row>
    <row r="994" spans="1:13" x14ac:dyDescent="0.3">
      <c r="A994">
        <v>992</v>
      </c>
      <c r="B994">
        <v>993</v>
      </c>
      <c r="C994" t="s">
        <v>1039</v>
      </c>
      <c r="D994">
        <v>2020</v>
      </c>
      <c r="F994" t="s">
        <v>1038</v>
      </c>
      <c r="G994">
        <v>1</v>
      </c>
      <c r="H994">
        <v>0</v>
      </c>
      <c r="I994">
        <v>0</v>
      </c>
      <c r="J994">
        <v>0</v>
      </c>
      <c r="K994">
        <v>0</v>
      </c>
      <c r="L994">
        <f t="shared" si="30"/>
        <v>6.2</v>
      </c>
      <c r="M994">
        <f t="shared" si="31"/>
        <v>1</v>
      </c>
    </row>
    <row r="995" spans="1:13" x14ac:dyDescent="0.3">
      <c r="A995">
        <v>993</v>
      </c>
      <c r="B995">
        <v>994</v>
      </c>
      <c r="C995" t="s">
        <v>1040</v>
      </c>
      <c r="D995">
        <v>2021</v>
      </c>
      <c r="E995" t="s">
        <v>14</v>
      </c>
      <c r="F995" t="s">
        <v>1038</v>
      </c>
      <c r="G995">
        <v>1</v>
      </c>
      <c r="H995">
        <v>0</v>
      </c>
      <c r="I995">
        <v>0</v>
      </c>
      <c r="J995">
        <v>0</v>
      </c>
      <c r="K995">
        <v>0</v>
      </c>
      <c r="L995">
        <f t="shared" si="30"/>
        <v>6.2</v>
      </c>
      <c r="M995">
        <f t="shared" si="31"/>
        <v>1</v>
      </c>
    </row>
    <row r="996" spans="1:13" x14ac:dyDescent="0.3">
      <c r="A996">
        <v>994</v>
      </c>
      <c r="B996">
        <v>995</v>
      </c>
      <c r="C996" t="s">
        <v>1041</v>
      </c>
      <c r="D996">
        <v>2016</v>
      </c>
      <c r="E996" t="s">
        <v>22</v>
      </c>
      <c r="F996" t="s">
        <v>1038</v>
      </c>
      <c r="G996">
        <v>1</v>
      </c>
      <c r="H996">
        <v>0</v>
      </c>
      <c r="I996">
        <v>0</v>
      </c>
      <c r="J996">
        <v>0</v>
      </c>
      <c r="K996">
        <v>0</v>
      </c>
      <c r="L996">
        <f t="shared" si="30"/>
        <v>6.2</v>
      </c>
      <c r="M996">
        <f t="shared" si="31"/>
        <v>1</v>
      </c>
    </row>
    <row r="997" spans="1:13" x14ac:dyDescent="0.3">
      <c r="A997">
        <v>995</v>
      </c>
      <c r="B997">
        <v>996</v>
      </c>
      <c r="C997" t="s">
        <v>1042</v>
      </c>
      <c r="D997">
        <v>2019</v>
      </c>
      <c r="F997" t="s">
        <v>1038</v>
      </c>
      <c r="G997">
        <v>1</v>
      </c>
      <c r="H997">
        <v>0</v>
      </c>
      <c r="I997">
        <v>0</v>
      </c>
      <c r="J997">
        <v>0</v>
      </c>
      <c r="K997">
        <v>0</v>
      </c>
      <c r="L997">
        <f t="shared" si="30"/>
        <v>6.2</v>
      </c>
      <c r="M997">
        <f t="shared" si="31"/>
        <v>1</v>
      </c>
    </row>
    <row r="998" spans="1:13" x14ac:dyDescent="0.3">
      <c r="A998">
        <v>996</v>
      </c>
      <c r="B998">
        <v>997</v>
      </c>
      <c r="C998" t="s">
        <v>1043</v>
      </c>
      <c r="D998">
        <v>1993</v>
      </c>
      <c r="F998" t="s">
        <v>1038</v>
      </c>
      <c r="G998">
        <v>1</v>
      </c>
      <c r="H998">
        <v>0</v>
      </c>
      <c r="I998">
        <v>0</v>
      </c>
      <c r="J998">
        <v>0</v>
      </c>
      <c r="K998">
        <v>0</v>
      </c>
      <c r="L998">
        <f t="shared" si="30"/>
        <v>6.2</v>
      </c>
      <c r="M998">
        <f t="shared" si="31"/>
        <v>1</v>
      </c>
    </row>
    <row r="999" spans="1:13" x14ac:dyDescent="0.3">
      <c r="A999">
        <v>997</v>
      </c>
      <c r="B999">
        <v>998</v>
      </c>
      <c r="C999" t="s">
        <v>1044</v>
      </c>
      <c r="D999">
        <v>2009</v>
      </c>
      <c r="E999" t="s">
        <v>22</v>
      </c>
      <c r="F999" t="s">
        <v>1038</v>
      </c>
      <c r="G999">
        <v>1</v>
      </c>
      <c r="H999">
        <v>0</v>
      </c>
      <c r="I999">
        <v>0</v>
      </c>
      <c r="J999">
        <v>0</v>
      </c>
      <c r="K999">
        <v>0</v>
      </c>
      <c r="L999">
        <f t="shared" si="30"/>
        <v>6.2</v>
      </c>
      <c r="M999">
        <f t="shared" si="31"/>
        <v>1</v>
      </c>
    </row>
    <row r="1000" spans="1:13" x14ac:dyDescent="0.3">
      <c r="A1000">
        <v>998</v>
      </c>
      <c r="B1000">
        <v>999</v>
      </c>
      <c r="C1000" t="s">
        <v>1045</v>
      </c>
      <c r="D1000">
        <v>2019</v>
      </c>
      <c r="E1000" t="s">
        <v>11</v>
      </c>
      <c r="F1000" t="s">
        <v>1038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f t="shared" si="30"/>
        <v>6.2</v>
      </c>
      <c r="M1000">
        <f t="shared" si="31"/>
        <v>1</v>
      </c>
    </row>
    <row r="1001" spans="1:13" x14ac:dyDescent="0.3">
      <c r="A1001">
        <v>999</v>
      </c>
      <c r="B1001">
        <v>1000</v>
      </c>
      <c r="C1001" t="s">
        <v>1046</v>
      </c>
      <c r="D1001">
        <v>2012</v>
      </c>
      <c r="F1001" t="s">
        <v>1038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f t="shared" si="30"/>
        <v>6.2</v>
      </c>
      <c r="M1001">
        <f t="shared" si="31"/>
        <v>1</v>
      </c>
    </row>
    <row r="1002" spans="1:13" x14ac:dyDescent="0.3">
      <c r="A1002">
        <v>1000</v>
      </c>
      <c r="B1002">
        <v>1001</v>
      </c>
      <c r="C1002" t="s">
        <v>1047</v>
      </c>
      <c r="D1002">
        <v>2020</v>
      </c>
      <c r="E1002" t="s">
        <v>36</v>
      </c>
      <c r="F1002" t="s">
        <v>1038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f t="shared" si="30"/>
        <v>6.2</v>
      </c>
      <c r="M1002">
        <f t="shared" si="31"/>
        <v>1</v>
      </c>
    </row>
    <row r="1003" spans="1:13" x14ac:dyDescent="0.3">
      <c r="A1003">
        <v>1001</v>
      </c>
      <c r="B1003">
        <v>1002</v>
      </c>
      <c r="C1003" t="s">
        <v>1048</v>
      </c>
      <c r="D1003">
        <v>2009</v>
      </c>
      <c r="E1003" t="s">
        <v>14</v>
      </c>
      <c r="F1003" t="s">
        <v>1038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f t="shared" si="30"/>
        <v>6.2</v>
      </c>
      <c r="M1003">
        <f t="shared" si="31"/>
        <v>1</v>
      </c>
    </row>
    <row r="1004" spans="1:13" x14ac:dyDescent="0.3">
      <c r="A1004">
        <v>1002</v>
      </c>
      <c r="B1004">
        <v>1003</v>
      </c>
      <c r="C1004" t="s">
        <v>1049</v>
      </c>
      <c r="D1004">
        <v>2020</v>
      </c>
      <c r="E1004" t="s">
        <v>11</v>
      </c>
      <c r="F1004" t="s">
        <v>1038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f t="shared" si="30"/>
        <v>6.2</v>
      </c>
      <c r="M1004">
        <f t="shared" si="31"/>
        <v>1</v>
      </c>
    </row>
    <row r="1005" spans="1:13" x14ac:dyDescent="0.3">
      <c r="A1005">
        <v>1003</v>
      </c>
      <c r="B1005">
        <v>1004</v>
      </c>
      <c r="C1005" t="s">
        <v>1050</v>
      </c>
      <c r="D1005">
        <v>2018</v>
      </c>
      <c r="E1005" t="s">
        <v>11</v>
      </c>
      <c r="F1005" t="s">
        <v>1038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f t="shared" si="30"/>
        <v>6.2</v>
      </c>
      <c r="M1005">
        <f t="shared" si="31"/>
        <v>1</v>
      </c>
    </row>
    <row r="1006" spans="1:13" x14ac:dyDescent="0.3">
      <c r="A1006">
        <v>1004</v>
      </c>
      <c r="B1006">
        <v>1005</v>
      </c>
      <c r="C1006" t="s">
        <v>1051</v>
      </c>
      <c r="D1006">
        <v>2000</v>
      </c>
      <c r="E1006" t="s">
        <v>36</v>
      </c>
      <c r="F1006" t="s">
        <v>1038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f t="shared" si="30"/>
        <v>6.2</v>
      </c>
      <c r="M1006">
        <f t="shared" si="31"/>
        <v>1</v>
      </c>
    </row>
    <row r="1007" spans="1:13" x14ac:dyDescent="0.3">
      <c r="A1007">
        <v>1005</v>
      </c>
      <c r="B1007">
        <v>1006</v>
      </c>
      <c r="C1007" t="s">
        <v>1052</v>
      </c>
      <c r="D1007">
        <v>2020</v>
      </c>
      <c r="E1007" t="s">
        <v>28</v>
      </c>
      <c r="F1007" t="s">
        <v>1038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f t="shared" si="30"/>
        <v>6.2</v>
      </c>
      <c r="M1007">
        <f t="shared" si="31"/>
        <v>1</v>
      </c>
    </row>
    <row r="1008" spans="1:13" x14ac:dyDescent="0.3">
      <c r="A1008">
        <v>1006</v>
      </c>
      <c r="B1008">
        <v>1007</v>
      </c>
      <c r="C1008" t="s">
        <v>1053</v>
      </c>
      <c r="D1008">
        <v>2017</v>
      </c>
      <c r="F1008" t="s">
        <v>1038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f t="shared" si="30"/>
        <v>6.2</v>
      </c>
      <c r="M1008">
        <f t="shared" si="31"/>
        <v>1</v>
      </c>
    </row>
    <row r="1009" spans="1:13" x14ac:dyDescent="0.3">
      <c r="A1009">
        <v>1007</v>
      </c>
      <c r="B1009">
        <v>1008</v>
      </c>
      <c r="C1009" t="s">
        <v>1054</v>
      </c>
      <c r="D1009">
        <v>2017</v>
      </c>
      <c r="E1009" t="s">
        <v>22</v>
      </c>
      <c r="F1009" t="s">
        <v>1038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f t="shared" si="30"/>
        <v>6.2</v>
      </c>
      <c r="M1009">
        <f t="shared" si="31"/>
        <v>1</v>
      </c>
    </row>
    <row r="1010" spans="1:13" x14ac:dyDescent="0.3">
      <c r="A1010">
        <v>1008</v>
      </c>
      <c r="B1010">
        <v>1009</v>
      </c>
      <c r="C1010" t="s">
        <v>1055</v>
      </c>
      <c r="D1010">
        <v>2020</v>
      </c>
      <c r="E1010" t="s">
        <v>22</v>
      </c>
      <c r="F1010" t="s">
        <v>1038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f t="shared" si="30"/>
        <v>6.2</v>
      </c>
      <c r="M1010">
        <f t="shared" si="31"/>
        <v>1</v>
      </c>
    </row>
    <row r="1011" spans="1:13" x14ac:dyDescent="0.3">
      <c r="A1011">
        <v>1009</v>
      </c>
      <c r="B1011">
        <v>1010</v>
      </c>
      <c r="C1011" t="s">
        <v>1056</v>
      </c>
      <c r="D1011">
        <v>2019</v>
      </c>
      <c r="E1011" t="s">
        <v>11</v>
      </c>
      <c r="F1011" t="s">
        <v>1038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f t="shared" si="30"/>
        <v>6.2</v>
      </c>
      <c r="M1011">
        <f t="shared" si="31"/>
        <v>1</v>
      </c>
    </row>
    <row r="1012" spans="1:13" x14ac:dyDescent="0.3">
      <c r="A1012">
        <v>1010</v>
      </c>
      <c r="B1012">
        <v>1011</v>
      </c>
      <c r="C1012" t="s">
        <v>1057</v>
      </c>
      <c r="D1012">
        <v>2021</v>
      </c>
      <c r="E1012" t="s">
        <v>22</v>
      </c>
      <c r="F1012" t="s">
        <v>1038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f t="shared" si="30"/>
        <v>6.2</v>
      </c>
      <c r="M1012">
        <f t="shared" si="31"/>
        <v>1</v>
      </c>
    </row>
    <row r="1013" spans="1:13" x14ac:dyDescent="0.3">
      <c r="A1013">
        <v>1011</v>
      </c>
      <c r="B1013">
        <v>1012</v>
      </c>
      <c r="C1013" t="s">
        <v>1058</v>
      </c>
      <c r="D1013">
        <v>2017</v>
      </c>
      <c r="E1013" t="s">
        <v>11</v>
      </c>
      <c r="F1013" t="s">
        <v>1038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f t="shared" si="30"/>
        <v>6.2</v>
      </c>
      <c r="M1013">
        <f t="shared" si="31"/>
        <v>1</v>
      </c>
    </row>
    <row r="1014" spans="1:13" x14ac:dyDescent="0.3">
      <c r="A1014">
        <v>1012</v>
      </c>
      <c r="B1014">
        <v>1013</v>
      </c>
      <c r="C1014" t="s">
        <v>1059</v>
      </c>
      <c r="D1014">
        <v>2017</v>
      </c>
      <c r="F1014" t="s">
        <v>1038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f t="shared" si="30"/>
        <v>6.2</v>
      </c>
      <c r="M1014">
        <f t="shared" si="31"/>
        <v>1</v>
      </c>
    </row>
    <row r="1015" spans="1:13" x14ac:dyDescent="0.3">
      <c r="A1015">
        <v>1013</v>
      </c>
      <c r="B1015">
        <v>1014</v>
      </c>
      <c r="C1015" t="s">
        <v>1060</v>
      </c>
      <c r="D1015">
        <v>2020</v>
      </c>
      <c r="E1015" t="s">
        <v>11</v>
      </c>
      <c r="F1015" t="s">
        <v>1038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f t="shared" si="30"/>
        <v>6.2</v>
      </c>
      <c r="M1015">
        <f t="shared" si="31"/>
        <v>1</v>
      </c>
    </row>
    <row r="1016" spans="1:13" x14ac:dyDescent="0.3">
      <c r="A1016">
        <v>1014</v>
      </c>
      <c r="B1016">
        <v>1015</v>
      </c>
      <c r="C1016" t="s">
        <v>1061</v>
      </c>
      <c r="D1016">
        <v>2020</v>
      </c>
      <c r="E1016" t="s">
        <v>36</v>
      </c>
      <c r="F1016" t="s">
        <v>1038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f t="shared" si="30"/>
        <v>6.2</v>
      </c>
      <c r="M1016">
        <f t="shared" si="31"/>
        <v>1</v>
      </c>
    </row>
    <row r="1017" spans="1:13" x14ac:dyDescent="0.3">
      <c r="A1017">
        <v>1015</v>
      </c>
      <c r="B1017">
        <v>1016</v>
      </c>
      <c r="C1017" t="s">
        <v>1062</v>
      </c>
      <c r="D1017">
        <v>2017</v>
      </c>
      <c r="E1017" t="s">
        <v>14</v>
      </c>
      <c r="F1017" t="s">
        <v>1038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f t="shared" si="30"/>
        <v>6.2</v>
      </c>
      <c r="M1017">
        <f t="shared" si="31"/>
        <v>1</v>
      </c>
    </row>
    <row r="1018" spans="1:13" x14ac:dyDescent="0.3">
      <c r="A1018">
        <v>1016</v>
      </c>
      <c r="B1018">
        <v>1017</v>
      </c>
      <c r="C1018" t="s">
        <v>1063</v>
      </c>
      <c r="D1018">
        <v>2019</v>
      </c>
      <c r="E1018" t="s">
        <v>22</v>
      </c>
      <c r="F1018" t="s">
        <v>1038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f t="shared" si="30"/>
        <v>6.2</v>
      </c>
      <c r="M1018">
        <f t="shared" si="31"/>
        <v>1</v>
      </c>
    </row>
    <row r="1019" spans="1:13" x14ac:dyDescent="0.3">
      <c r="A1019">
        <v>1017</v>
      </c>
      <c r="B1019">
        <v>1018</v>
      </c>
      <c r="C1019" t="s">
        <v>1064</v>
      </c>
      <c r="D1019">
        <v>2018</v>
      </c>
      <c r="E1019" t="s">
        <v>11</v>
      </c>
      <c r="F1019" t="s">
        <v>1038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f t="shared" si="30"/>
        <v>6.2</v>
      </c>
      <c r="M1019">
        <f t="shared" si="31"/>
        <v>1</v>
      </c>
    </row>
    <row r="1020" spans="1:13" x14ac:dyDescent="0.3">
      <c r="A1020">
        <v>1018</v>
      </c>
      <c r="B1020">
        <v>1019</v>
      </c>
      <c r="C1020" t="s">
        <v>1065</v>
      </c>
      <c r="D1020">
        <v>2017</v>
      </c>
      <c r="F1020" t="s">
        <v>1038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f t="shared" si="30"/>
        <v>6.2</v>
      </c>
      <c r="M1020">
        <f t="shared" si="31"/>
        <v>1</v>
      </c>
    </row>
    <row r="1021" spans="1:13" x14ac:dyDescent="0.3">
      <c r="A1021">
        <v>1019</v>
      </c>
      <c r="B1021">
        <v>1020</v>
      </c>
      <c r="C1021" t="s">
        <v>1066</v>
      </c>
      <c r="D1021">
        <v>1999</v>
      </c>
      <c r="E1021" t="s">
        <v>11</v>
      </c>
      <c r="F1021" t="s">
        <v>1038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f t="shared" si="30"/>
        <v>6.2</v>
      </c>
      <c r="M1021">
        <f t="shared" si="31"/>
        <v>1</v>
      </c>
    </row>
    <row r="1022" spans="1:13" x14ac:dyDescent="0.3">
      <c r="A1022">
        <v>1020</v>
      </c>
      <c r="B1022">
        <v>1021</v>
      </c>
      <c r="C1022" t="s">
        <v>1067</v>
      </c>
      <c r="D1022">
        <v>2011</v>
      </c>
      <c r="E1022" t="s">
        <v>14</v>
      </c>
      <c r="F1022" t="s">
        <v>1038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f t="shared" si="30"/>
        <v>6.2</v>
      </c>
      <c r="M1022">
        <f t="shared" si="31"/>
        <v>1</v>
      </c>
    </row>
    <row r="1023" spans="1:13" x14ac:dyDescent="0.3">
      <c r="A1023">
        <v>1021</v>
      </c>
      <c r="B1023">
        <v>1022</v>
      </c>
      <c r="C1023" t="s">
        <v>1068</v>
      </c>
      <c r="D1023">
        <v>2019</v>
      </c>
      <c r="E1023" t="s">
        <v>11</v>
      </c>
      <c r="F1023" t="s">
        <v>1038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f t="shared" si="30"/>
        <v>6.2</v>
      </c>
      <c r="M1023">
        <f t="shared" si="31"/>
        <v>1</v>
      </c>
    </row>
    <row r="1024" spans="1:13" x14ac:dyDescent="0.3">
      <c r="A1024">
        <v>1022</v>
      </c>
      <c r="B1024">
        <v>1023</v>
      </c>
      <c r="C1024" t="s">
        <v>1069</v>
      </c>
      <c r="D1024">
        <v>2016</v>
      </c>
      <c r="E1024" t="s">
        <v>11</v>
      </c>
      <c r="F1024" t="s">
        <v>1038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f t="shared" si="30"/>
        <v>6.2</v>
      </c>
      <c r="M1024">
        <f t="shared" si="31"/>
        <v>1</v>
      </c>
    </row>
    <row r="1025" spans="1:13" x14ac:dyDescent="0.3">
      <c r="A1025">
        <v>1023</v>
      </c>
      <c r="B1025">
        <v>1024</v>
      </c>
      <c r="C1025" t="s">
        <v>1070</v>
      </c>
      <c r="D1025">
        <v>2017</v>
      </c>
      <c r="E1025" t="s">
        <v>11</v>
      </c>
      <c r="F1025" t="s">
        <v>1038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f t="shared" si="30"/>
        <v>6.2</v>
      </c>
      <c r="M1025">
        <f t="shared" si="31"/>
        <v>1</v>
      </c>
    </row>
    <row r="1026" spans="1:13" x14ac:dyDescent="0.3">
      <c r="A1026">
        <v>1024</v>
      </c>
      <c r="B1026">
        <v>1025</v>
      </c>
      <c r="C1026" t="s">
        <v>1071</v>
      </c>
      <c r="D1026">
        <v>2013</v>
      </c>
      <c r="E1026" t="s">
        <v>22</v>
      </c>
      <c r="F1026" t="s">
        <v>1038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f t="shared" si="30"/>
        <v>6.2</v>
      </c>
      <c r="M1026">
        <f t="shared" si="31"/>
        <v>1</v>
      </c>
    </row>
    <row r="1027" spans="1:13" x14ac:dyDescent="0.3">
      <c r="A1027">
        <v>1025</v>
      </c>
      <c r="B1027">
        <v>1026</v>
      </c>
      <c r="C1027" t="s">
        <v>1072</v>
      </c>
      <c r="D1027">
        <v>2020</v>
      </c>
      <c r="E1027" t="s">
        <v>11</v>
      </c>
      <c r="F1027" t="s">
        <v>1038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f t="shared" ref="L1027:L1090" si="32">IFERROR(VALUE(LEFT(F1027,FIND("/",F1027)-1))/10,"")</f>
        <v>6.2</v>
      </c>
      <c r="M1027">
        <f t="shared" ref="M1027:M1090" si="33">SUM(G1027:J1027)</f>
        <v>1</v>
      </c>
    </row>
    <row r="1028" spans="1:13" x14ac:dyDescent="0.3">
      <c r="A1028">
        <v>1026</v>
      </c>
      <c r="B1028">
        <v>1027</v>
      </c>
      <c r="C1028" t="s">
        <v>1073</v>
      </c>
      <c r="D1028">
        <v>2004</v>
      </c>
      <c r="E1028" t="s">
        <v>14</v>
      </c>
      <c r="F1028" t="s">
        <v>1038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f t="shared" si="32"/>
        <v>6.2</v>
      </c>
      <c r="M1028">
        <f t="shared" si="33"/>
        <v>1</v>
      </c>
    </row>
    <row r="1029" spans="1:13" x14ac:dyDescent="0.3">
      <c r="A1029">
        <v>1027</v>
      </c>
      <c r="B1029">
        <v>1028</v>
      </c>
      <c r="C1029" t="s">
        <v>1074</v>
      </c>
      <c r="D1029">
        <v>2017</v>
      </c>
      <c r="F1029" t="s">
        <v>1038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f t="shared" si="32"/>
        <v>6.2</v>
      </c>
      <c r="M1029">
        <f t="shared" si="33"/>
        <v>1</v>
      </c>
    </row>
    <row r="1030" spans="1:13" x14ac:dyDescent="0.3">
      <c r="A1030">
        <v>1028</v>
      </c>
      <c r="B1030">
        <v>1029</v>
      </c>
      <c r="C1030" t="s">
        <v>1075</v>
      </c>
      <c r="D1030">
        <v>2017</v>
      </c>
      <c r="E1030" t="s">
        <v>28</v>
      </c>
      <c r="F1030" t="s">
        <v>1038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f t="shared" si="32"/>
        <v>6.2</v>
      </c>
      <c r="M1030">
        <f t="shared" si="33"/>
        <v>1</v>
      </c>
    </row>
    <row r="1031" spans="1:13" x14ac:dyDescent="0.3">
      <c r="A1031">
        <v>1029</v>
      </c>
      <c r="B1031">
        <v>1030</v>
      </c>
      <c r="C1031" t="s">
        <v>1076</v>
      </c>
      <c r="D1031">
        <v>2018</v>
      </c>
      <c r="E1031" t="s">
        <v>11</v>
      </c>
      <c r="F1031" t="s">
        <v>1038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f t="shared" si="32"/>
        <v>6.2</v>
      </c>
      <c r="M1031">
        <f t="shared" si="33"/>
        <v>1</v>
      </c>
    </row>
    <row r="1032" spans="1:13" x14ac:dyDescent="0.3">
      <c r="A1032">
        <v>1030</v>
      </c>
      <c r="B1032">
        <v>1031</v>
      </c>
      <c r="C1032" t="s">
        <v>1077</v>
      </c>
      <c r="D1032">
        <v>2017</v>
      </c>
      <c r="F1032" t="s">
        <v>1038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f t="shared" si="32"/>
        <v>6.2</v>
      </c>
      <c r="M1032">
        <f t="shared" si="33"/>
        <v>1</v>
      </c>
    </row>
    <row r="1033" spans="1:13" x14ac:dyDescent="0.3">
      <c r="A1033">
        <v>1031</v>
      </c>
      <c r="B1033">
        <v>1032</v>
      </c>
      <c r="C1033" t="s">
        <v>1078</v>
      </c>
      <c r="D1033">
        <v>2021</v>
      </c>
      <c r="F1033" t="s">
        <v>1038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f t="shared" si="32"/>
        <v>6.2</v>
      </c>
      <c r="M1033">
        <f t="shared" si="33"/>
        <v>1</v>
      </c>
    </row>
    <row r="1034" spans="1:13" x14ac:dyDescent="0.3">
      <c r="A1034">
        <v>1032</v>
      </c>
      <c r="B1034">
        <v>1033</v>
      </c>
      <c r="C1034" t="s">
        <v>1079</v>
      </c>
      <c r="D1034">
        <v>2020</v>
      </c>
      <c r="E1034" t="s">
        <v>11</v>
      </c>
      <c r="F1034" t="s">
        <v>1038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f t="shared" si="32"/>
        <v>6.2</v>
      </c>
      <c r="M1034">
        <f t="shared" si="33"/>
        <v>1</v>
      </c>
    </row>
    <row r="1035" spans="1:13" x14ac:dyDescent="0.3">
      <c r="A1035">
        <v>1033</v>
      </c>
      <c r="B1035">
        <v>1034</v>
      </c>
      <c r="C1035" t="s">
        <v>1080</v>
      </c>
      <c r="D1035">
        <v>2010</v>
      </c>
      <c r="E1035" t="s">
        <v>14</v>
      </c>
      <c r="F1035" t="s">
        <v>1038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f t="shared" si="32"/>
        <v>6.2</v>
      </c>
      <c r="M1035">
        <f t="shared" si="33"/>
        <v>1</v>
      </c>
    </row>
    <row r="1036" spans="1:13" x14ac:dyDescent="0.3">
      <c r="A1036">
        <v>1034</v>
      </c>
      <c r="B1036">
        <v>1035</v>
      </c>
      <c r="C1036" t="s">
        <v>1081</v>
      </c>
      <c r="D1036">
        <v>2006</v>
      </c>
      <c r="E1036" t="s">
        <v>11</v>
      </c>
      <c r="F1036" t="s">
        <v>1038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f t="shared" si="32"/>
        <v>6.2</v>
      </c>
      <c r="M1036">
        <f t="shared" si="33"/>
        <v>1</v>
      </c>
    </row>
    <row r="1037" spans="1:13" x14ac:dyDescent="0.3">
      <c r="A1037">
        <v>1035</v>
      </c>
      <c r="B1037">
        <v>1036</v>
      </c>
      <c r="C1037" t="s">
        <v>1082</v>
      </c>
      <c r="D1037">
        <v>2015</v>
      </c>
      <c r="E1037" t="s">
        <v>22</v>
      </c>
      <c r="F1037" t="s">
        <v>1038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f t="shared" si="32"/>
        <v>6.2</v>
      </c>
      <c r="M1037">
        <f t="shared" si="33"/>
        <v>1</v>
      </c>
    </row>
    <row r="1038" spans="1:13" x14ac:dyDescent="0.3">
      <c r="A1038">
        <v>1036</v>
      </c>
      <c r="B1038">
        <v>1037</v>
      </c>
      <c r="C1038" t="s">
        <v>1083</v>
      </c>
      <c r="D1038">
        <v>2019</v>
      </c>
      <c r="E1038" t="s">
        <v>11</v>
      </c>
      <c r="F1038" t="s">
        <v>1038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f t="shared" si="32"/>
        <v>6.2</v>
      </c>
      <c r="M1038">
        <f t="shared" si="33"/>
        <v>1</v>
      </c>
    </row>
    <row r="1039" spans="1:13" x14ac:dyDescent="0.3">
      <c r="A1039">
        <v>1037</v>
      </c>
      <c r="B1039">
        <v>1038</v>
      </c>
      <c r="C1039" t="s">
        <v>1084</v>
      </c>
      <c r="D1039">
        <v>2018</v>
      </c>
      <c r="E1039" t="s">
        <v>11</v>
      </c>
      <c r="F1039" t="s">
        <v>1038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f t="shared" si="32"/>
        <v>6.2</v>
      </c>
      <c r="M1039">
        <f t="shared" si="33"/>
        <v>1</v>
      </c>
    </row>
    <row r="1040" spans="1:13" x14ac:dyDescent="0.3">
      <c r="A1040">
        <v>1038</v>
      </c>
      <c r="B1040">
        <v>1039</v>
      </c>
      <c r="C1040" t="s">
        <v>1085</v>
      </c>
      <c r="D1040">
        <v>2018</v>
      </c>
      <c r="E1040" t="s">
        <v>11</v>
      </c>
      <c r="F1040" t="s">
        <v>1038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f t="shared" si="32"/>
        <v>6.2</v>
      </c>
      <c r="M1040">
        <f t="shared" si="33"/>
        <v>1</v>
      </c>
    </row>
    <row r="1041" spans="1:13" x14ac:dyDescent="0.3">
      <c r="A1041">
        <v>1039</v>
      </c>
      <c r="B1041">
        <v>1040</v>
      </c>
      <c r="C1041" t="s">
        <v>1086</v>
      </c>
      <c r="D1041">
        <v>2019</v>
      </c>
      <c r="F1041" t="s">
        <v>1038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f t="shared" si="32"/>
        <v>6.2</v>
      </c>
      <c r="M1041">
        <f t="shared" si="33"/>
        <v>1</v>
      </c>
    </row>
    <row r="1042" spans="1:13" x14ac:dyDescent="0.3">
      <c r="A1042">
        <v>1040</v>
      </c>
      <c r="B1042">
        <v>1041</v>
      </c>
      <c r="C1042" t="s">
        <v>1087</v>
      </c>
      <c r="D1042">
        <v>2017</v>
      </c>
      <c r="F1042" t="s">
        <v>1038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f t="shared" si="32"/>
        <v>6.2</v>
      </c>
      <c r="M1042">
        <f t="shared" si="33"/>
        <v>1</v>
      </c>
    </row>
    <row r="1043" spans="1:13" x14ac:dyDescent="0.3">
      <c r="A1043">
        <v>1041</v>
      </c>
      <c r="B1043">
        <v>1042</v>
      </c>
      <c r="C1043" t="s">
        <v>1088</v>
      </c>
      <c r="D1043">
        <v>2019</v>
      </c>
      <c r="F1043" t="s">
        <v>1038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f t="shared" si="32"/>
        <v>6.2</v>
      </c>
      <c r="M1043">
        <f t="shared" si="33"/>
        <v>1</v>
      </c>
    </row>
    <row r="1044" spans="1:13" x14ac:dyDescent="0.3">
      <c r="A1044">
        <v>1042</v>
      </c>
      <c r="B1044">
        <v>1043</v>
      </c>
      <c r="C1044" t="s">
        <v>1089</v>
      </c>
      <c r="D1044">
        <v>2020</v>
      </c>
      <c r="E1044" t="s">
        <v>22</v>
      </c>
      <c r="F1044" t="s">
        <v>1038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f t="shared" si="32"/>
        <v>6.2</v>
      </c>
      <c r="M1044">
        <f t="shared" si="33"/>
        <v>1</v>
      </c>
    </row>
    <row r="1045" spans="1:13" x14ac:dyDescent="0.3">
      <c r="A1045">
        <v>1043</v>
      </c>
      <c r="B1045">
        <v>1044</v>
      </c>
      <c r="C1045" t="s">
        <v>1090</v>
      </c>
      <c r="D1045">
        <v>2020</v>
      </c>
      <c r="E1045" t="s">
        <v>11</v>
      </c>
      <c r="F1045" t="s">
        <v>1038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f t="shared" si="32"/>
        <v>6.2</v>
      </c>
      <c r="M1045">
        <f t="shared" si="33"/>
        <v>1</v>
      </c>
    </row>
    <row r="1046" spans="1:13" x14ac:dyDescent="0.3">
      <c r="A1046">
        <v>1044</v>
      </c>
      <c r="B1046">
        <v>1045</v>
      </c>
      <c r="C1046" t="s">
        <v>1091</v>
      </c>
      <c r="D1046">
        <v>2009</v>
      </c>
      <c r="E1046" t="s">
        <v>11</v>
      </c>
      <c r="F1046" t="s">
        <v>1038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f t="shared" si="32"/>
        <v>6.2</v>
      </c>
      <c r="M1046">
        <f t="shared" si="33"/>
        <v>1</v>
      </c>
    </row>
    <row r="1047" spans="1:13" x14ac:dyDescent="0.3">
      <c r="A1047">
        <v>1045</v>
      </c>
      <c r="B1047">
        <v>1046</v>
      </c>
      <c r="C1047" t="s">
        <v>1092</v>
      </c>
      <c r="D1047">
        <v>2020</v>
      </c>
      <c r="E1047" t="s">
        <v>28</v>
      </c>
      <c r="F1047" t="s">
        <v>1038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f t="shared" si="32"/>
        <v>6.2</v>
      </c>
      <c r="M1047">
        <f t="shared" si="33"/>
        <v>1</v>
      </c>
    </row>
    <row r="1048" spans="1:13" x14ac:dyDescent="0.3">
      <c r="A1048">
        <v>1046</v>
      </c>
      <c r="B1048">
        <v>1047</v>
      </c>
      <c r="C1048" t="s">
        <v>1093</v>
      </c>
      <c r="D1048">
        <v>2001</v>
      </c>
      <c r="E1048" t="s">
        <v>22</v>
      </c>
      <c r="F1048" t="s">
        <v>1038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f t="shared" si="32"/>
        <v>6.2</v>
      </c>
      <c r="M1048">
        <f t="shared" si="33"/>
        <v>1</v>
      </c>
    </row>
    <row r="1049" spans="1:13" x14ac:dyDescent="0.3">
      <c r="A1049">
        <v>1047</v>
      </c>
      <c r="B1049">
        <v>1048</v>
      </c>
      <c r="C1049" t="s">
        <v>1094</v>
      </c>
      <c r="D1049">
        <v>2013</v>
      </c>
      <c r="E1049" t="s">
        <v>22</v>
      </c>
      <c r="F1049" t="s">
        <v>1038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f t="shared" si="32"/>
        <v>6.2</v>
      </c>
      <c r="M1049">
        <f t="shared" si="33"/>
        <v>1</v>
      </c>
    </row>
    <row r="1050" spans="1:13" x14ac:dyDescent="0.3">
      <c r="A1050">
        <v>1048</v>
      </c>
      <c r="B1050">
        <v>1049</v>
      </c>
      <c r="C1050" t="s">
        <v>1095</v>
      </c>
      <c r="D1050">
        <v>2014</v>
      </c>
      <c r="F1050" t="s">
        <v>1038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f t="shared" si="32"/>
        <v>6.2</v>
      </c>
      <c r="M1050">
        <f t="shared" si="33"/>
        <v>1</v>
      </c>
    </row>
    <row r="1051" spans="1:13" x14ac:dyDescent="0.3">
      <c r="A1051">
        <v>1049</v>
      </c>
      <c r="B1051">
        <v>1050</v>
      </c>
      <c r="C1051" t="s">
        <v>1096</v>
      </c>
      <c r="D1051">
        <v>2017</v>
      </c>
      <c r="F1051" t="s">
        <v>1038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f t="shared" si="32"/>
        <v>6.2</v>
      </c>
      <c r="M1051">
        <f t="shared" si="33"/>
        <v>1</v>
      </c>
    </row>
    <row r="1052" spans="1:13" x14ac:dyDescent="0.3">
      <c r="A1052">
        <v>1050</v>
      </c>
      <c r="B1052">
        <v>1051</v>
      </c>
      <c r="C1052" t="s">
        <v>1097</v>
      </c>
      <c r="D1052">
        <v>2015</v>
      </c>
      <c r="F1052" t="s">
        <v>1038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f t="shared" si="32"/>
        <v>6.2</v>
      </c>
      <c r="M1052">
        <f t="shared" si="33"/>
        <v>1</v>
      </c>
    </row>
    <row r="1053" spans="1:13" x14ac:dyDescent="0.3">
      <c r="A1053">
        <v>1051</v>
      </c>
      <c r="B1053">
        <v>1052</v>
      </c>
      <c r="C1053" t="s">
        <v>1098</v>
      </c>
      <c r="D1053">
        <v>2017</v>
      </c>
      <c r="E1053" t="s">
        <v>14</v>
      </c>
      <c r="F1053" t="s">
        <v>1038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f t="shared" si="32"/>
        <v>6.2</v>
      </c>
      <c r="M1053">
        <f t="shared" si="33"/>
        <v>1</v>
      </c>
    </row>
    <row r="1054" spans="1:13" x14ac:dyDescent="0.3">
      <c r="A1054">
        <v>1052</v>
      </c>
      <c r="B1054">
        <v>1053</v>
      </c>
      <c r="C1054" t="s">
        <v>1099</v>
      </c>
      <c r="D1054">
        <v>2021</v>
      </c>
      <c r="E1054" t="s">
        <v>14</v>
      </c>
      <c r="F1054" t="s">
        <v>1038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f t="shared" si="32"/>
        <v>6.2</v>
      </c>
      <c r="M1054">
        <f t="shared" si="33"/>
        <v>1</v>
      </c>
    </row>
    <row r="1055" spans="1:13" x14ac:dyDescent="0.3">
      <c r="A1055">
        <v>1053</v>
      </c>
      <c r="B1055">
        <v>1054</v>
      </c>
      <c r="C1055" t="s">
        <v>1100</v>
      </c>
      <c r="D1055">
        <v>2020</v>
      </c>
      <c r="E1055" t="s">
        <v>11</v>
      </c>
      <c r="F1055" t="s">
        <v>1038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f t="shared" si="32"/>
        <v>6.2</v>
      </c>
      <c r="M1055">
        <f t="shared" si="33"/>
        <v>1</v>
      </c>
    </row>
    <row r="1056" spans="1:13" x14ac:dyDescent="0.3">
      <c r="A1056">
        <v>1054</v>
      </c>
      <c r="B1056">
        <v>1055</v>
      </c>
      <c r="C1056" t="s">
        <v>1101</v>
      </c>
      <c r="D1056">
        <v>2016</v>
      </c>
      <c r="E1056" t="s">
        <v>11</v>
      </c>
      <c r="F1056" t="s">
        <v>1038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f t="shared" si="32"/>
        <v>6.2</v>
      </c>
      <c r="M1056">
        <f t="shared" si="33"/>
        <v>1</v>
      </c>
    </row>
    <row r="1057" spans="1:13" x14ac:dyDescent="0.3">
      <c r="A1057">
        <v>1055</v>
      </c>
      <c r="B1057">
        <v>1056</v>
      </c>
      <c r="C1057" t="s">
        <v>1102</v>
      </c>
      <c r="D1057">
        <v>2019</v>
      </c>
      <c r="E1057" t="s">
        <v>14</v>
      </c>
      <c r="F1057" t="s">
        <v>1038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f t="shared" si="32"/>
        <v>6.2</v>
      </c>
      <c r="M1057">
        <f t="shared" si="33"/>
        <v>1</v>
      </c>
    </row>
    <row r="1058" spans="1:13" x14ac:dyDescent="0.3">
      <c r="A1058">
        <v>1056</v>
      </c>
      <c r="B1058">
        <v>1057</v>
      </c>
      <c r="C1058" t="s">
        <v>1103</v>
      </c>
      <c r="D1058">
        <v>2018</v>
      </c>
      <c r="F1058" t="s">
        <v>1038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f t="shared" si="32"/>
        <v>6.2</v>
      </c>
      <c r="M1058">
        <f t="shared" si="33"/>
        <v>1</v>
      </c>
    </row>
    <row r="1059" spans="1:13" x14ac:dyDescent="0.3">
      <c r="A1059">
        <v>1057</v>
      </c>
      <c r="B1059">
        <v>1058</v>
      </c>
      <c r="C1059" t="s">
        <v>1104</v>
      </c>
      <c r="D1059">
        <v>2021</v>
      </c>
      <c r="E1059" t="s">
        <v>11</v>
      </c>
      <c r="F1059" t="s">
        <v>1105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f t="shared" si="32"/>
        <v>6.1</v>
      </c>
      <c r="M1059">
        <f t="shared" si="33"/>
        <v>1</v>
      </c>
    </row>
    <row r="1060" spans="1:13" x14ac:dyDescent="0.3">
      <c r="A1060">
        <v>1058</v>
      </c>
      <c r="B1060">
        <v>1059</v>
      </c>
      <c r="C1060" t="s">
        <v>1106</v>
      </c>
      <c r="D1060">
        <v>1958</v>
      </c>
      <c r="F1060" t="s">
        <v>1105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f t="shared" si="32"/>
        <v>6.1</v>
      </c>
      <c r="M1060">
        <f t="shared" si="33"/>
        <v>1</v>
      </c>
    </row>
    <row r="1061" spans="1:13" x14ac:dyDescent="0.3">
      <c r="A1061">
        <v>1059</v>
      </c>
      <c r="B1061">
        <v>1060</v>
      </c>
      <c r="C1061" t="s">
        <v>1107</v>
      </c>
      <c r="D1061">
        <v>1979</v>
      </c>
      <c r="F1061" t="s">
        <v>1105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f t="shared" si="32"/>
        <v>6.1</v>
      </c>
      <c r="M1061">
        <f t="shared" si="33"/>
        <v>1</v>
      </c>
    </row>
    <row r="1062" spans="1:13" x14ac:dyDescent="0.3">
      <c r="A1062">
        <v>1060</v>
      </c>
      <c r="B1062">
        <v>1061</v>
      </c>
      <c r="C1062" t="s">
        <v>1108</v>
      </c>
      <c r="D1062">
        <v>2015</v>
      </c>
      <c r="E1062" t="s">
        <v>11</v>
      </c>
      <c r="F1062" t="s">
        <v>1105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f t="shared" si="32"/>
        <v>6.1</v>
      </c>
      <c r="M1062">
        <f t="shared" si="33"/>
        <v>1</v>
      </c>
    </row>
    <row r="1063" spans="1:13" x14ac:dyDescent="0.3">
      <c r="A1063">
        <v>1061</v>
      </c>
      <c r="B1063">
        <v>1062</v>
      </c>
      <c r="C1063" t="s">
        <v>1109</v>
      </c>
      <c r="D1063">
        <v>2019</v>
      </c>
      <c r="E1063" t="s">
        <v>11</v>
      </c>
      <c r="F1063" t="s">
        <v>1105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f t="shared" si="32"/>
        <v>6.1</v>
      </c>
      <c r="M1063">
        <f t="shared" si="33"/>
        <v>1</v>
      </c>
    </row>
    <row r="1064" spans="1:13" x14ac:dyDescent="0.3">
      <c r="A1064">
        <v>1062</v>
      </c>
      <c r="B1064">
        <v>1063</v>
      </c>
      <c r="C1064" t="s">
        <v>1110</v>
      </c>
      <c r="D1064">
        <v>2016</v>
      </c>
      <c r="F1064" t="s">
        <v>1105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f t="shared" si="32"/>
        <v>6.1</v>
      </c>
      <c r="M1064">
        <f t="shared" si="33"/>
        <v>1</v>
      </c>
    </row>
    <row r="1065" spans="1:13" x14ac:dyDescent="0.3">
      <c r="A1065">
        <v>1063</v>
      </c>
      <c r="B1065">
        <v>1064</v>
      </c>
      <c r="C1065" t="s">
        <v>1111</v>
      </c>
      <c r="D1065">
        <v>2019</v>
      </c>
      <c r="F1065" t="s">
        <v>1105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f t="shared" si="32"/>
        <v>6.1</v>
      </c>
      <c r="M1065">
        <f t="shared" si="33"/>
        <v>1</v>
      </c>
    </row>
    <row r="1066" spans="1:13" x14ac:dyDescent="0.3">
      <c r="A1066">
        <v>1064</v>
      </c>
      <c r="B1066">
        <v>1065</v>
      </c>
      <c r="C1066" t="s">
        <v>1112</v>
      </c>
      <c r="D1066">
        <v>2019</v>
      </c>
      <c r="E1066" t="s">
        <v>28</v>
      </c>
      <c r="F1066" t="s">
        <v>1105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f t="shared" si="32"/>
        <v>6.1</v>
      </c>
      <c r="M1066">
        <f t="shared" si="33"/>
        <v>1</v>
      </c>
    </row>
    <row r="1067" spans="1:13" x14ac:dyDescent="0.3">
      <c r="A1067">
        <v>1065</v>
      </c>
      <c r="B1067">
        <v>1066</v>
      </c>
      <c r="C1067" t="s">
        <v>1113</v>
      </c>
      <c r="D1067">
        <v>2006</v>
      </c>
      <c r="E1067" t="s">
        <v>22</v>
      </c>
      <c r="F1067" t="s">
        <v>1105</v>
      </c>
      <c r="G1067">
        <v>1</v>
      </c>
      <c r="H1067">
        <v>0</v>
      </c>
      <c r="I1067">
        <v>1</v>
      </c>
      <c r="J1067">
        <v>0</v>
      </c>
      <c r="K1067">
        <v>0</v>
      </c>
      <c r="L1067">
        <f t="shared" si="32"/>
        <v>6.1</v>
      </c>
      <c r="M1067">
        <f t="shared" si="33"/>
        <v>2</v>
      </c>
    </row>
    <row r="1068" spans="1:13" x14ac:dyDescent="0.3">
      <c r="A1068">
        <v>1066</v>
      </c>
      <c r="B1068">
        <v>1067</v>
      </c>
      <c r="C1068" t="s">
        <v>1114</v>
      </c>
      <c r="D1068">
        <v>2005</v>
      </c>
      <c r="E1068" t="s">
        <v>14</v>
      </c>
      <c r="F1068" t="s">
        <v>1105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f t="shared" si="32"/>
        <v>6.1</v>
      </c>
      <c r="M1068">
        <f t="shared" si="33"/>
        <v>1</v>
      </c>
    </row>
    <row r="1069" spans="1:13" x14ac:dyDescent="0.3">
      <c r="A1069">
        <v>1067</v>
      </c>
      <c r="B1069">
        <v>1068</v>
      </c>
      <c r="C1069" t="s">
        <v>1115</v>
      </c>
      <c r="D1069">
        <v>2018</v>
      </c>
      <c r="F1069" t="s">
        <v>1105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f t="shared" si="32"/>
        <v>6.1</v>
      </c>
      <c r="M1069">
        <f t="shared" si="33"/>
        <v>1</v>
      </c>
    </row>
    <row r="1070" spans="1:13" x14ac:dyDescent="0.3">
      <c r="A1070">
        <v>1068</v>
      </c>
      <c r="B1070">
        <v>1069</v>
      </c>
      <c r="C1070" t="s">
        <v>1116</v>
      </c>
      <c r="D1070">
        <v>2013</v>
      </c>
      <c r="F1070" t="s">
        <v>1105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f t="shared" si="32"/>
        <v>6.1</v>
      </c>
      <c r="M1070">
        <f t="shared" si="33"/>
        <v>1</v>
      </c>
    </row>
    <row r="1071" spans="1:13" x14ac:dyDescent="0.3">
      <c r="A1071">
        <v>1069</v>
      </c>
      <c r="B1071">
        <v>1070</v>
      </c>
      <c r="C1071" t="s">
        <v>1117</v>
      </c>
      <c r="D1071">
        <v>2019</v>
      </c>
      <c r="E1071" t="s">
        <v>11</v>
      </c>
      <c r="F1071" t="s">
        <v>1105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f t="shared" si="32"/>
        <v>6.1</v>
      </c>
      <c r="M1071">
        <f t="shared" si="33"/>
        <v>1</v>
      </c>
    </row>
    <row r="1072" spans="1:13" x14ac:dyDescent="0.3">
      <c r="A1072">
        <v>1070</v>
      </c>
      <c r="B1072">
        <v>1071</v>
      </c>
      <c r="C1072" t="s">
        <v>1118</v>
      </c>
      <c r="D1072">
        <v>2020</v>
      </c>
      <c r="E1072" t="s">
        <v>28</v>
      </c>
      <c r="F1072" t="s">
        <v>1105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f t="shared" si="32"/>
        <v>6.1</v>
      </c>
      <c r="M1072">
        <f t="shared" si="33"/>
        <v>1</v>
      </c>
    </row>
    <row r="1073" spans="1:13" x14ac:dyDescent="0.3">
      <c r="A1073">
        <v>1071</v>
      </c>
      <c r="B1073">
        <v>1072</v>
      </c>
      <c r="C1073" t="s">
        <v>1119</v>
      </c>
      <c r="D1073">
        <v>2019</v>
      </c>
      <c r="E1073" t="s">
        <v>11</v>
      </c>
      <c r="F1073" t="s">
        <v>1105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f t="shared" si="32"/>
        <v>6.1</v>
      </c>
      <c r="M1073">
        <f t="shared" si="33"/>
        <v>1</v>
      </c>
    </row>
    <row r="1074" spans="1:13" x14ac:dyDescent="0.3">
      <c r="A1074">
        <v>1072</v>
      </c>
      <c r="B1074">
        <v>1073</v>
      </c>
      <c r="C1074" t="s">
        <v>1120</v>
      </c>
      <c r="D1074">
        <v>2017</v>
      </c>
      <c r="F1074" t="s">
        <v>1105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f t="shared" si="32"/>
        <v>6.1</v>
      </c>
      <c r="M1074">
        <f t="shared" si="33"/>
        <v>1</v>
      </c>
    </row>
    <row r="1075" spans="1:13" x14ac:dyDescent="0.3">
      <c r="A1075">
        <v>1073</v>
      </c>
      <c r="B1075">
        <v>1074</v>
      </c>
      <c r="C1075" t="s">
        <v>1121</v>
      </c>
      <c r="D1075">
        <v>2018</v>
      </c>
      <c r="E1075" t="s">
        <v>11</v>
      </c>
      <c r="F1075" t="s">
        <v>1105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f t="shared" si="32"/>
        <v>6.1</v>
      </c>
      <c r="M1075">
        <f t="shared" si="33"/>
        <v>1</v>
      </c>
    </row>
    <row r="1076" spans="1:13" x14ac:dyDescent="0.3">
      <c r="A1076">
        <v>1074</v>
      </c>
      <c r="B1076">
        <v>1075</v>
      </c>
      <c r="C1076" t="s">
        <v>1122</v>
      </c>
      <c r="D1076">
        <v>2020</v>
      </c>
      <c r="F1076" t="s">
        <v>1105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f t="shared" si="32"/>
        <v>6.1</v>
      </c>
      <c r="M1076">
        <f t="shared" si="33"/>
        <v>1</v>
      </c>
    </row>
    <row r="1077" spans="1:13" x14ac:dyDescent="0.3">
      <c r="A1077">
        <v>1075</v>
      </c>
      <c r="B1077">
        <v>1076</v>
      </c>
      <c r="C1077" t="s">
        <v>1123</v>
      </c>
      <c r="D1077">
        <v>2018</v>
      </c>
      <c r="E1077" t="s">
        <v>14</v>
      </c>
      <c r="F1077" t="s">
        <v>1105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f t="shared" si="32"/>
        <v>6.1</v>
      </c>
      <c r="M1077">
        <f t="shared" si="33"/>
        <v>1</v>
      </c>
    </row>
    <row r="1078" spans="1:13" x14ac:dyDescent="0.3">
      <c r="A1078">
        <v>1076</v>
      </c>
      <c r="B1078">
        <v>1077</v>
      </c>
      <c r="C1078" t="s">
        <v>1124</v>
      </c>
      <c r="D1078">
        <v>2019</v>
      </c>
      <c r="E1078" t="s">
        <v>22</v>
      </c>
      <c r="F1078" t="s">
        <v>1105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f t="shared" si="32"/>
        <v>6.1</v>
      </c>
      <c r="M1078">
        <f t="shared" si="33"/>
        <v>1</v>
      </c>
    </row>
    <row r="1079" spans="1:13" x14ac:dyDescent="0.3">
      <c r="A1079">
        <v>1077</v>
      </c>
      <c r="B1079">
        <v>1078</v>
      </c>
      <c r="C1079" t="s">
        <v>1125</v>
      </c>
      <c r="D1079">
        <v>2004</v>
      </c>
      <c r="E1079" t="s">
        <v>11</v>
      </c>
      <c r="F1079" t="s">
        <v>1105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f t="shared" si="32"/>
        <v>6.1</v>
      </c>
      <c r="M1079">
        <f t="shared" si="33"/>
        <v>1</v>
      </c>
    </row>
    <row r="1080" spans="1:13" x14ac:dyDescent="0.3">
      <c r="A1080">
        <v>1078</v>
      </c>
      <c r="B1080">
        <v>1079</v>
      </c>
      <c r="C1080" t="s">
        <v>1126</v>
      </c>
      <c r="D1080">
        <v>2018</v>
      </c>
      <c r="E1080" t="s">
        <v>11</v>
      </c>
      <c r="F1080" t="s">
        <v>1105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f t="shared" si="32"/>
        <v>6.1</v>
      </c>
      <c r="M1080">
        <f t="shared" si="33"/>
        <v>1</v>
      </c>
    </row>
    <row r="1081" spans="1:13" x14ac:dyDescent="0.3">
      <c r="A1081">
        <v>1079</v>
      </c>
      <c r="B1081">
        <v>1080</v>
      </c>
      <c r="C1081" t="s">
        <v>1127</v>
      </c>
      <c r="D1081">
        <v>2020</v>
      </c>
      <c r="E1081" t="s">
        <v>28</v>
      </c>
      <c r="F1081" t="s">
        <v>1105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f t="shared" si="32"/>
        <v>6.1</v>
      </c>
      <c r="M1081">
        <f t="shared" si="33"/>
        <v>1</v>
      </c>
    </row>
    <row r="1082" spans="1:13" x14ac:dyDescent="0.3">
      <c r="A1082">
        <v>1080</v>
      </c>
      <c r="B1082">
        <v>1081</v>
      </c>
      <c r="C1082" t="s">
        <v>1128</v>
      </c>
      <c r="D1082">
        <v>2018</v>
      </c>
      <c r="F1082" t="s">
        <v>1105</v>
      </c>
      <c r="G1082">
        <v>1</v>
      </c>
      <c r="H1082">
        <v>0</v>
      </c>
      <c r="I1082">
        <v>1</v>
      </c>
      <c r="J1082">
        <v>0</v>
      </c>
      <c r="K1082">
        <v>0</v>
      </c>
      <c r="L1082">
        <f t="shared" si="32"/>
        <v>6.1</v>
      </c>
      <c r="M1082">
        <f t="shared" si="33"/>
        <v>2</v>
      </c>
    </row>
    <row r="1083" spans="1:13" x14ac:dyDescent="0.3">
      <c r="A1083">
        <v>1081</v>
      </c>
      <c r="B1083">
        <v>1082</v>
      </c>
      <c r="C1083" t="s">
        <v>1129</v>
      </c>
      <c r="D1083">
        <v>2014</v>
      </c>
      <c r="E1083" t="s">
        <v>36</v>
      </c>
      <c r="F1083" t="s">
        <v>1105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f t="shared" si="32"/>
        <v>6.1</v>
      </c>
      <c r="M1083">
        <f t="shared" si="33"/>
        <v>1</v>
      </c>
    </row>
    <row r="1084" spans="1:13" x14ac:dyDescent="0.3">
      <c r="A1084">
        <v>1082</v>
      </c>
      <c r="B1084">
        <v>1083</v>
      </c>
      <c r="C1084" t="s">
        <v>1130</v>
      </c>
      <c r="D1084">
        <v>2006</v>
      </c>
      <c r="E1084" t="s">
        <v>11</v>
      </c>
      <c r="F1084" t="s">
        <v>1105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f t="shared" si="32"/>
        <v>6.1</v>
      </c>
      <c r="M1084">
        <f t="shared" si="33"/>
        <v>1</v>
      </c>
    </row>
    <row r="1085" spans="1:13" x14ac:dyDescent="0.3">
      <c r="A1085">
        <v>1083</v>
      </c>
      <c r="B1085">
        <v>1084</v>
      </c>
      <c r="C1085" t="s">
        <v>1131</v>
      </c>
      <c r="D1085">
        <v>2020</v>
      </c>
      <c r="E1085" t="s">
        <v>28</v>
      </c>
      <c r="F1085" t="s">
        <v>1105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f t="shared" si="32"/>
        <v>6.1</v>
      </c>
      <c r="M1085">
        <f t="shared" si="33"/>
        <v>1</v>
      </c>
    </row>
    <row r="1086" spans="1:13" x14ac:dyDescent="0.3">
      <c r="A1086">
        <v>1084</v>
      </c>
      <c r="B1086">
        <v>1085</v>
      </c>
      <c r="C1086" t="s">
        <v>1132</v>
      </c>
      <c r="D1086">
        <v>2017</v>
      </c>
      <c r="E1086" t="s">
        <v>11</v>
      </c>
      <c r="F1086" t="s">
        <v>1105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f t="shared" si="32"/>
        <v>6.1</v>
      </c>
      <c r="M1086">
        <f t="shared" si="33"/>
        <v>1</v>
      </c>
    </row>
    <row r="1087" spans="1:13" x14ac:dyDescent="0.3">
      <c r="A1087">
        <v>1085</v>
      </c>
      <c r="B1087">
        <v>1086</v>
      </c>
      <c r="C1087" t="s">
        <v>1133</v>
      </c>
      <c r="D1087">
        <v>2021</v>
      </c>
      <c r="E1087" t="s">
        <v>28</v>
      </c>
      <c r="F1087" t="s">
        <v>1105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f t="shared" si="32"/>
        <v>6.1</v>
      </c>
      <c r="M1087">
        <f t="shared" si="33"/>
        <v>1</v>
      </c>
    </row>
    <row r="1088" spans="1:13" x14ac:dyDescent="0.3">
      <c r="A1088">
        <v>1086</v>
      </c>
      <c r="B1088">
        <v>1087</v>
      </c>
      <c r="C1088" t="s">
        <v>1134</v>
      </c>
      <c r="D1088">
        <v>2020</v>
      </c>
      <c r="E1088" t="s">
        <v>11</v>
      </c>
      <c r="F1088" t="s">
        <v>1105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f t="shared" si="32"/>
        <v>6.1</v>
      </c>
      <c r="M1088">
        <f t="shared" si="33"/>
        <v>1</v>
      </c>
    </row>
    <row r="1089" spans="1:13" x14ac:dyDescent="0.3">
      <c r="A1089">
        <v>1087</v>
      </c>
      <c r="B1089">
        <v>1088</v>
      </c>
      <c r="C1089" t="s">
        <v>1135</v>
      </c>
      <c r="D1089">
        <v>2014</v>
      </c>
      <c r="E1089" t="s">
        <v>11</v>
      </c>
      <c r="F1089" t="s">
        <v>1105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f t="shared" si="32"/>
        <v>6.1</v>
      </c>
      <c r="M1089">
        <f t="shared" si="33"/>
        <v>1</v>
      </c>
    </row>
    <row r="1090" spans="1:13" x14ac:dyDescent="0.3">
      <c r="A1090">
        <v>1088</v>
      </c>
      <c r="B1090">
        <v>1089</v>
      </c>
      <c r="C1090" t="s">
        <v>1136</v>
      </c>
      <c r="D1090">
        <v>2017</v>
      </c>
      <c r="E1090" t="s">
        <v>22</v>
      </c>
      <c r="F1090" t="s">
        <v>1105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f t="shared" si="32"/>
        <v>6.1</v>
      </c>
      <c r="M1090">
        <f t="shared" si="33"/>
        <v>1</v>
      </c>
    </row>
    <row r="1091" spans="1:13" x14ac:dyDescent="0.3">
      <c r="A1091">
        <v>1089</v>
      </c>
      <c r="B1091">
        <v>1090</v>
      </c>
      <c r="C1091" t="s">
        <v>1137</v>
      </c>
      <c r="D1091">
        <v>2019</v>
      </c>
      <c r="F1091" t="s">
        <v>1105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f t="shared" ref="L1091:L1154" si="34">IFERROR(VALUE(LEFT(F1091,FIND("/",F1091)-1))/10,"")</f>
        <v>6.1</v>
      </c>
      <c r="M1091">
        <f t="shared" ref="M1091:M1154" si="35">SUM(G1091:J1091)</f>
        <v>1</v>
      </c>
    </row>
    <row r="1092" spans="1:13" x14ac:dyDescent="0.3">
      <c r="A1092">
        <v>1090</v>
      </c>
      <c r="B1092">
        <v>1091</v>
      </c>
      <c r="C1092" t="s">
        <v>1138</v>
      </c>
      <c r="D1092">
        <v>2010</v>
      </c>
      <c r="E1092" t="s">
        <v>14</v>
      </c>
      <c r="F1092" t="s">
        <v>1105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f t="shared" si="34"/>
        <v>6.1</v>
      </c>
      <c r="M1092">
        <f t="shared" si="35"/>
        <v>1</v>
      </c>
    </row>
    <row r="1093" spans="1:13" x14ac:dyDescent="0.3">
      <c r="A1093">
        <v>1091</v>
      </c>
      <c r="B1093">
        <v>1092</v>
      </c>
      <c r="C1093" t="s">
        <v>1139</v>
      </c>
      <c r="D1093">
        <v>2021</v>
      </c>
      <c r="E1093" t="s">
        <v>11</v>
      </c>
      <c r="F1093" t="s">
        <v>1105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f t="shared" si="34"/>
        <v>6.1</v>
      </c>
      <c r="M1093">
        <f t="shared" si="35"/>
        <v>1</v>
      </c>
    </row>
    <row r="1094" spans="1:13" x14ac:dyDescent="0.3">
      <c r="A1094">
        <v>1092</v>
      </c>
      <c r="B1094">
        <v>1093</v>
      </c>
      <c r="C1094" t="s">
        <v>1140</v>
      </c>
      <c r="D1094">
        <v>2018</v>
      </c>
      <c r="E1094" t="s">
        <v>11</v>
      </c>
      <c r="F1094" t="s">
        <v>1105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f t="shared" si="34"/>
        <v>6.1</v>
      </c>
      <c r="M1094">
        <f t="shared" si="35"/>
        <v>1</v>
      </c>
    </row>
    <row r="1095" spans="1:13" x14ac:dyDescent="0.3">
      <c r="A1095">
        <v>1093</v>
      </c>
      <c r="B1095">
        <v>1094</v>
      </c>
      <c r="C1095" t="s">
        <v>1141</v>
      </c>
      <c r="D1095">
        <v>2012</v>
      </c>
      <c r="E1095" t="s">
        <v>11</v>
      </c>
      <c r="F1095" t="s">
        <v>1105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f t="shared" si="34"/>
        <v>6.1</v>
      </c>
      <c r="M1095">
        <f t="shared" si="35"/>
        <v>1</v>
      </c>
    </row>
    <row r="1096" spans="1:13" x14ac:dyDescent="0.3">
      <c r="A1096">
        <v>1094</v>
      </c>
      <c r="B1096">
        <v>1095</v>
      </c>
      <c r="C1096" t="s">
        <v>1142</v>
      </c>
      <c r="D1096">
        <v>2017</v>
      </c>
      <c r="E1096" t="s">
        <v>11</v>
      </c>
      <c r="F1096" t="s">
        <v>1105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f t="shared" si="34"/>
        <v>6.1</v>
      </c>
      <c r="M1096">
        <f t="shared" si="35"/>
        <v>1</v>
      </c>
    </row>
    <row r="1097" spans="1:13" x14ac:dyDescent="0.3">
      <c r="A1097">
        <v>1095</v>
      </c>
      <c r="B1097">
        <v>1096</v>
      </c>
      <c r="C1097" t="s">
        <v>1143</v>
      </c>
      <c r="D1097">
        <v>2020</v>
      </c>
      <c r="E1097" t="s">
        <v>11</v>
      </c>
      <c r="F1097" t="s">
        <v>1105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f t="shared" si="34"/>
        <v>6.1</v>
      </c>
      <c r="M1097">
        <f t="shared" si="35"/>
        <v>1</v>
      </c>
    </row>
    <row r="1098" spans="1:13" x14ac:dyDescent="0.3">
      <c r="A1098">
        <v>1096</v>
      </c>
      <c r="B1098">
        <v>1097</v>
      </c>
      <c r="C1098" t="s">
        <v>1144</v>
      </c>
      <c r="D1098">
        <v>2016</v>
      </c>
      <c r="F1098" t="s">
        <v>1105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f t="shared" si="34"/>
        <v>6.1</v>
      </c>
      <c r="M1098">
        <f t="shared" si="35"/>
        <v>1</v>
      </c>
    </row>
    <row r="1099" spans="1:13" x14ac:dyDescent="0.3">
      <c r="A1099">
        <v>1097</v>
      </c>
      <c r="B1099">
        <v>1098</v>
      </c>
      <c r="C1099" t="s">
        <v>1145</v>
      </c>
      <c r="D1099">
        <v>2020</v>
      </c>
      <c r="F1099" t="s">
        <v>1105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f t="shared" si="34"/>
        <v>6.1</v>
      </c>
      <c r="M1099">
        <f t="shared" si="35"/>
        <v>1</v>
      </c>
    </row>
    <row r="1100" spans="1:13" x14ac:dyDescent="0.3">
      <c r="A1100">
        <v>1098</v>
      </c>
      <c r="B1100">
        <v>1099</v>
      </c>
      <c r="C1100" t="s">
        <v>1146</v>
      </c>
      <c r="D1100">
        <v>2006</v>
      </c>
      <c r="E1100" t="s">
        <v>22</v>
      </c>
      <c r="F1100" t="s">
        <v>1105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f t="shared" si="34"/>
        <v>6.1</v>
      </c>
      <c r="M1100">
        <f t="shared" si="35"/>
        <v>2</v>
      </c>
    </row>
    <row r="1101" spans="1:13" x14ac:dyDescent="0.3">
      <c r="A1101">
        <v>1099</v>
      </c>
      <c r="B1101">
        <v>1100</v>
      </c>
      <c r="C1101" t="s">
        <v>1147</v>
      </c>
      <c r="D1101">
        <v>2010</v>
      </c>
      <c r="E1101" t="s">
        <v>14</v>
      </c>
      <c r="F1101" t="s">
        <v>1105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f t="shared" si="34"/>
        <v>6.1</v>
      </c>
      <c r="M1101">
        <f t="shared" si="35"/>
        <v>1</v>
      </c>
    </row>
    <row r="1102" spans="1:13" x14ac:dyDescent="0.3">
      <c r="A1102">
        <v>1100</v>
      </c>
      <c r="B1102">
        <v>1101</v>
      </c>
      <c r="C1102" t="s">
        <v>1148</v>
      </c>
      <c r="D1102">
        <v>2021</v>
      </c>
      <c r="E1102" t="s">
        <v>11</v>
      </c>
      <c r="F1102" t="s">
        <v>1105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f t="shared" si="34"/>
        <v>6.1</v>
      </c>
      <c r="M1102">
        <f t="shared" si="35"/>
        <v>1</v>
      </c>
    </row>
    <row r="1103" spans="1:13" x14ac:dyDescent="0.3">
      <c r="A1103">
        <v>1101</v>
      </c>
      <c r="B1103">
        <v>1102</v>
      </c>
      <c r="C1103" t="s">
        <v>1149</v>
      </c>
      <c r="D1103">
        <v>2010</v>
      </c>
      <c r="F1103" t="s">
        <v>1105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f t="shared" si="34"/>
        <v>6.1</v>
      </c>
      <c r="M1103">
        <f t="shared" si="35"/>
        <v>1</v>
      </c>
    </row>
    <row r="1104" spans="1:13" x14ac:dyDescent="0.3">
      <c r="A1104">
        <v>1102</v>
      </c>
      <c r="B1104">
        <v>1103</v>
      </c>
      <c r="C1104" t="s">
        <v>1150</v>
      </c>
      <c r="D1104">
        <v>2009</v>
      </c>
      <c r="E1104" t="s">
        <v>22</v>
      </c>
      <c r="F1104" t="s">
        <v>1105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f t="shared" si="34"/>
        <v>6.1</v>
      </c>
      <c r="M1104">
        <f t="shared" si="35"/>
        <v>1</v>
      </c>
    </row>
    <row r="1105" spans="1:13" x14ac:dyDescent="0.3">
      <c r="A1105">
        <v>1103</v>
      </c>
      <c r="B1105">
        <v>1104</v>
      </c>
      <c r="C1105" t="s">
        <v>1151</v>
      </c>
      <c r="D1105">
        <v>2019</v>
      </c>
      <c r="F1105" t="s">
        <v>1105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f t="shared" si="34"/>
        <v>6.1</v>
      </c>
      <c r="M1105">
        <f t="shared" si="35"/>
        <v>1</v>
      </c>
    </row>
    <row r="1106" spans="1:13" x14ac:dyDescent="0.3">
      <c r="A1106">
        <v>1104</v>
      </c>
      <c r="B1106">
        <v>1105</v>
      </c>
      <c r="C1106" t="s">
        <v>1152</v>
      </c>
      <c r="D1106">
        <v>2018</v>
      </c>
      <c r="E1106" t="s">
        <v>11</v>
      </c>
      <c r="F1106" t="s">
        <v>1105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f t="shared" si="34"/>
        <v>6.1</v>
      </c>
      <c r="M1106">
        <f t="shared" si="35"/>
        <v>1</v>
      </c>
    </row>
    <row r="1107" spans="1:13" x14ac:dyDescent="0.3">
      <c r="A1107">
        <v>1105</v>
      </c>
      <c r="B1107">
        <v>1106</v>
      </c>
      <c r="C1107" t="s">
        <v>1153</v>
      </c>
      <c r="D1107">
        <v>1989</v>
      </c>
      <c r="E1107" t="s">
        <v>22</v>
      </c>
      <c r="F1107" t="s">
        <v>1105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f t="shared" si="34"/>
        <v>6.1</v>
      </c>
      <c r="M1107">
        <f t="shared" si="35"/>
        <v>1</v>
      </c>
    </row>
    <row r="1108" spans="1:13" x14ac:dyDescent="0.3">
      <c r="A1108">
        <v>1106</v>
      </c>
      <c r="B1108">
        <v>1107</v>
      </c>
      <c r="C1108" t="s">
        <v>1154</v>
      </c>
      <c r="D1108">
        <v>2016</v>
      </c>
      <c r="E1108" t="s">
        <v>22</v>
      </c>
      <c r="F1108" t="s">
        <v>1105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f t="shared" si="34"/>
        <v>6.1</v>
      </c>
      <c r="M1108">
        <f t="shared" si="35"/>
        <v>1</v>
      </c>
    </row>
    <row r="1109" spans="1:13" x14ac:dyDescent="0.3">
      <c r="A1109">
        <v>1107</v>
      </c>
      <c r="B1109">
        <v>1108</v>
      </c>
      <c r="C1109" t="s">
        <v>1155</v>
      </c>
      <c r="D1109">
        <v>2016</v>
      </c>
      <c r="F1109" t="s">
        <v>1105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f t="shared" si="34"/>
        <v>6.1</v>
      </c>
      <c r="M1109">
        <f t="shared" si="35"/>
        <v>1</v>
      </c>
    </row>
    <row r="1110" spans="1:13" x14ac:dyDescent="0.3">
      <c r="A1110">
        <v>1108</v>
      </c>
      <c r="B1110">
        <v>1109</v>
      </c>
      <c r="C1110" t="s">
        <v>1156</v>
      </c>
      <c r="D1110">
        <v>2017</v>
      </c>
      <c r="E1110" t="s">
        <v>11</v>
      </c>
      <c r="F1110" t="s">
        <v>1105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f t="shared" si="34"/>
        <v>6.1</v>
      </c>
      <c r="M1110">
        <f t="shared" si="35"/>
        <v>1</v>
      </c>
    </row>
    <row r="1111" spans="1:13" x14ac:dyDescent="0.3">
      <c r="A1111">
        <v>1109</v>
      </c>
      <c r="B1111">
        <v>1110</v>
      </c>
      <c r="C1111" t="s">
        <v>1157</v>
      </c>
      <c r="D1111">
        <v>2006</v>
      </c>
      <c r="E1111" t="s">
        <v>28</v>
      </c>
      <c r="F1111" t="s">
        <v>1105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f t="shared" si="34"/>
        <v>6.1</v>
      </c>
      <c r="M1111">
        <f t="shared" si="35"/>
        <v>1</v>
      </c>
    </row>
    <row r="1112" spans="1:13" x14ac:dyDescent="0.3">
      <c r="A1112">
        <v>1110</v>
      </c>
      <c r="B1112">
        <v>1111</v>
      </c>
      <c r="C1112" t="s">
        <v>1158</v>
      </c>
      <c r="D1112">
        <v>2017</v>
      </c>
      <c r="F1112" t="s">
        <v>1105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f t="shared" si="34"/>
        <v>6.1</v>
      </c>
      <c r="M1112">
        <f t="shared" si="35"/>
        <v>1</v>
      </c>
    </row>
    <row r="1113" spans="1:13" x14ac:dyDescent="0.3">
      <c r="A1113">
        <v>1111</v>
      </c>
      <c r="B1113">
        <v>1112</v>
      </c>
      <c r="C1113" t="s">
        <v>1159</v>
      </c>
      <c r="D1113">
        <v>2002</v>
      </c>
      <c r="F1113" t="s">
        <v>1105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f t="shared" si="34"/>
        <v>6.1</v>
      </c>
      <c r="M1113">
        <f t="shared" si="35"/>
        <v>1</v>
      </c>
    </row>
    <row r="1114" spans="1:13" x14ac:dyDescent="0.3">
      <c r="A1114">
        <v>1112</v>
      </c>
      <c r="B1114">
        <v>1113</v>
      </c>
      <c r="C1114" t="s">
        <v>1160</v>
      </c>
      <c r="D1114">
        <v>2018</v>
      </c>
      <c r="E1114" t="s">
        <v>11</v>
      </c>
      <c r="F1114" t="s">
        <v>1105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f t="shared" si="34"/>
        <v>6.1</v>
      </c>
      <c r="M1114">
        <f t="shared" si="35"/>
        <v>1</v>
      </c>
    </row>
    <row r="1115" spans="1:13" x14ac:dyDescent="0.3">
      <c r="A1115">
        <v>1113</v>
      </c>
      <c r="B1115">
        <v>1114</v>
      </c>
      <c r="C1115" t="s">
        <v>1161</v>
      </c>
      <c r="D1115">
        <v>2019</v>
      </c>
      <c r="F1115" t="s">
        <v>1105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f t="shared" si="34"/>
        <v>6.1</v>
      </c>
      <c r="M1115">
        <f t="shared" si="35"/>
        <v>1</v>
      </c>
    </row>
    <row r="1116" spans="1:13" x14ac:dyDescent="0.3">
      <c r="A1116">
        <v>1114</v>
      </c>
      <c r="B1116">
        <v>1115</v>
      </c>
      <c r="C1116" t="s">
        <v>1162</v>
      </c>
      <c r="D1116">
        <v>2020</v>
      </c>
      <c r="E1116" t="s">
        <v>11</v>
      </c>
      <c r="F1116" t="s">
        <v>1105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f t="shared" si="34"/>
        <v>6.1</v>
      </c>
      <c r="M1116">
        <f t="shared" si="35"/>
        <v>1</v>
      </c>
    </row>
    <row r="1117" spans="1:13" x14ac:dyDescent="0.3">
      <c r="A1117">
        <v>1115</v>
      </c>
      <c r="B1117">
        <v>1116</v>
      </c>
      <c r="C1117" t="s">
        <v>1163</v>
      </c>
      <c r="D1117">
        <v>2021</v>
      </c>
      <c r="E1117" t="s">
        <v>11</v>
      </c>
      <c r="F1117" t="s">
        <v>1105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f t="shared" si="34"/>
        <v>6.1</v>
      </c>
      <c r="M1117">
        <f t="shared" si="35"/>
        <v>2</v>
      </c>
    </row>
    <row r="1118" spans="1:13" x14ac:dyDescent="0.3">
      <c r="A1118">
        <v>1116</v>
      </c>
      <c r="B1118">
        <v>1117</v>
      </c>
      <c r="C1118" t="s">
        <v>1164</v>
      </c>
      <c r="D1118">
        <v>2009</v>
      </c>
      <c r="E1118" t="s">
        <v>22</v>
      </c>
      <c r="F1118" t="s">
        <v>1105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f t="shared" si="34"/>
        <v>6.1</v>
      </c>
      <c r="M1118">
        <f t="shared" si="35"/>
        <v>1</v>
      </c>
    </row>
    <row r="1119" spans="1:13" x14ac:dyDescent="0.3">
      <c r="A1119">
        <v>1117</v>
      </c>
      <c r="B1119">
        <v>1118</v>
      </c>
      <c r="C1119" t="s">
        <v>1165</v>
      </c>
      <c r="D1119">
        <v>2014</v>
      </c>
      <c r="E1119" t="s">
        <v>22</v>
      </c>
      <c r="F1119" t="s">
        <v>1105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f t="shared" si="34"/>
        <v>6.1</v>
      </c>
      <c r="M1119">
        <f t="shared" si="35"/>
        <v>1</v>
      </c>
    </row>
    <row r="1120" spans="1:13" x14ac:dyDescent="0.3">
      <c r="A1120">
        <v>1118</v>
      </c>
      <c r="B1120">
        <v>1119</v>
      </c>
      <c r="C1120" t="s">
        <v>1166</v>
      </c>
      <c r="D1120">
        <v>2016</v>
      </c>
      <c r="F1120" t="s">
        <v>1105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f t="shared" si="34"/>
        <v>6.1</v>
      </c>
      <c r="M1120">
        <f t="shared" si="35"/>
        <v>1</v>
      </c>
    </row>
    <row r="1121" spans="1:13" x14ac:dyDescent="0.3">
      <c r="A1121">
        <v>1119</v>
      </c>
      <c r="B1121">
        <v>1120</v>
      </c>
      <c r="C1121" t="s">
        <v>1167</v>
      </c>
      <c r="D1121">
        <v>2005</v>
      </c>
      <c r="E1121" t="s">
        <v>28</v>
      </c>
      <c r="F1121" t="s">
        <v>1105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f t="shared" si="34"/>
        <v>6.1</v>
      </c>
      <c r="M1121">
        <f t="shared" si="35"/>
        <v>1</v>
      </c>
    </row>
    <row r="1122" spans="1:13" x14ac:dyDescent="0.3">
      <c r="A1122">
        <v>1120</v>
      </c>
      <c r="B1122">
        <v>1121</v>
      </c>
      <c r="C1122" t="s">
        <v>1168</v>
      </c>
      <c r="D1122">
        <v>2013</v>
      </c>
      <c r="E1122" t="s">
        <v>22</v>
      </c>
      <c r="F1122" t="s">
        <v>1105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f t="shared" si="34"/>
        <v>6.1</v>
      </c>
      <c r="M1122">
        <f t="shared" si="35"/>
        <v>1</v>
      </c>
    </row>
    <row r="1123" spans="1:13" x14ac:dyDescent="0.3">
      <c r="A1123">
        <v>1121</v>
      </c>
      <c r="B1123">
        <v>1122</v>
      </c>
      <c r="C1123" t="s">
        <v>1169</v>
      </c>
      <c r="D1123">
        <v>1996</v>
      </c>
      <c r="E1123" t="s">
        <v>11</v>
      </c>
      <c r="F1123" t="s">
        <v>1105</v>
      </c>
      <c r="G1123">
        <v>1</v>
      </c>
      <c r="H1123">
        <v>1</v>
      </c>
      <c r="I1123">
        <v>0</v>
      </c>
      <c r="J1123">
        <v>0</v>
      </c>
      <c r="K1123">
        <v>0</v>
      </c>
      <c r="L1123">
        <f t="shared" si="34"/>
        <v>6.1</v>
      </c>
      <c r="M1123">
        <f t="shared" si="35"/>
        <v>2</v>
      </c>
    </row>
    <row r="1124" spans="1:13" x14ac:dyDescent="0.3">
      <c r="A1124">
        <v>1122</v>
      </c>
      <c r="B1124">
        <v>1123</v>
      </c>
      <c r="C1124" t="s">
        <v>1170</v>
      </c>
      <c r="D1124">
        <v>2016</v>
      </c>
      <c r="E1124" t="s">
        <v>28</v>
      </c>
      <c r="F1124" t="s">
        <v>1105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f t="shared" si="34"/>
        <v>6.1</v>
      </c>
      <c r="M1124">
        <f t="shared" si="35"/>
        <v>1</v>
      </c>
    </row>
    <row r="1125" spans="1:13" x14ac:dyDescent="0.3">
      <c r="A1125">
        <v>1123</v>
      </c>
      <c r="B1125">
        <v>1124</v>
      </c>
      <c r="C1125" t="s">
        <v>1171</v>
      </c>
      <c r="D1125">
        <v>2018</v>
      </c>
      <c r="E1125" t="s">
        <v>11</v>
      </c>
      <c r="F1125" t="s">
        <v>1105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f t="shared" si="34"/>
        <v>6.1</v>
      </c>
      <c r="M1125">
        <f t="shared" si="35"/>
        <v>1</v>
      </c>
    </row>
    <row r="1126" spans="1:13" x14ac:dyDescent="0.3">
      <c r="A1126">
        <v>1124</v>
      </c>
      <c r="B1126">
        <v>1125</v>
      </c>
      <c r="C1126" t="s">
        <v>1172</v>
      </c>
      <c r="D1126">
        <v>2020</v>
      </c>
      <c r="F1126" t="s">
        <v>1105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f t="shared" si="34"/>
        <v>6.1</v>
      </c>
      <c r="M1126">
        <f t="shared" si="35"/>
        <v>1</v>
      </c>
    </row>
    <row r="1127" spans="1:13" x14ac:dyDescent="0.3">
      <c r="A1127">
        <v>1125</v>
      </c>
      <c r="B1127">
        <v>1126</v>
      </c>
      <c r="C1127" t="s">
        <v>1173</v>
      </c>
      <c r="D1127">
        <v>2021</v>
      </c>
      <c r="E1127" t="s">
        <v>11</v>
      </c>
      <c r="F1127" t="s">
        <v>1105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f t="shared" si="34"/>
        <v>6.1</v>
      </c>
      <c r="M1127">
        <f t="shared" si="35"/>
        <v>1</v>
      </c>
    </row>
    <row r="1128" spans="1:13" x14ac:dyDescent="0.3">
      <c r="A1128">
        <v>1126</v>
      </c>
      <c r="B1128">
        <v>1127</v>
      </c>
      <c r="C1128" t="s">
        <v>1174</v>
      </c>
      <c r="D1128">
        <v>2020</v>
      </c>
      <c r="E1128" t="s">
        <v>11</v>
      </c>
      <c r="F1128" t="s">
        <v>1105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f t="shared" si="34"/>
        <v>6.1</v>
      </c>
      <c r="M1128">
        <f t="shared" si="35"/>
        <v>1</v>
      </c>
    </row>
    <row r="1129" spans="1:13" x14ac:dyDescent="0.3">
      <c r="A1129">
        <v>1127</v>
      </c>
      <c r="B1129">
        <v>1128</v>
      </c>
      <c r="C1129" t="s">
        <v>1175</v>
      </c>
      <c r="D1129">
        <v>2019</v>
      </c>
      <c r="E1129" t="s">
        <v>11</v>
      </c>
      <c r="F1129" t="s">
        <v>1105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f t="shared" si="34"/>
        <v>6.1</v>
      </c>
      <c r="M1129">
        <f t="shared" si="35"/>
        <v>1</v>
      </c>
    </row>
    <row r="1130" spans="1:13" x14ac:dyDescent="0.3">
      <c r="A1130">
        <v>1128</v>
      </c>
      <c r="B1130">
        <v>1129</v>
      </c>
      <c r="C1130" t="s">
        <v>1176</v>
      </c>
      <c r="D1130">
        <v>2020</v>
      </c>
      <c r="F1130" t="s">
        <v>1105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f t="shared" si="34"/>
        <v>6.1</v>
      </c>
      <c r="M1130">
        <f t="shared" si="35"/>
        <v>1</v>
      </c>
    </row>
    <row r="1131" spans="1:13" x14ac:dyDescent="0.3">
      <c r="A1131">
        <v>1129</v>
      </c>
      <c r="B1131">
        <v>1130</v>
      </c>
      <c r="C1131" t="s">
        <v>1177</v>
      </c>
      <c r="D1131">
        <v>2021</v>
      </c>
      <c r="E1131" t="s">
        <v>14</v>
      </c>
      <c r="F1131" t="s">
        <v>1105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f t="shared" si="34"/>
        <v>6.1</v>
      </c>
      <c r="M1131">
        <f t="shared" si="35"/>
        <v>1</v>
      </c>
    </row>
    <row r="1132" spans="1:13" x14ac:dyDescent="0.3">
      <c r="A1132">
        <v>1130</v>
      </c>
      <c r="B1132">
        <v>1131</v>
      </c>
      <c r="C1132" t="s">
        <v>1178</v>
      </c>
      <c r="D1132">
        <v>2018</v>
      </c>
      <c r="F1132" t="s">
        <v>1105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f t="shared" si="34"/>
        <v>6.1</v>
      </c>
      <c r="M1132">
        <f t="shared" si="35"/>
        <v>1</v>
      </c>
    </row>
    <row r="1133" spans="1:13" x14ac:dyDescent="0.3">
      <c r="A1133">
        <v>1131</v>
      </c>
      <c r="B1133">
        <v>1132</v>
      </c>
      <c r="C1133" t="s">
        <v>1179</v>
      </c>
      <c r="D1133">
        <v>2014</v>
      </c>
      <c r="E1133" t="s">
        <v>22</v>
      </c>
      <c r="F1133" t="s">
        <v>1180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f t="shared" si="34"/>
        <v>6</v>
      </c>
      <c r="M1133">
        <f t="shared" si="35"/>
        <v>1</v>
      </c>
    </row>
    <row r="1134" spans="1:13" x14ac:dyDescent="0.3">
      <c r="A1134">
        <v>1132</v>
      </c>
      <c r="B1134">
        <v>1133</v>
      </c>
      <c r="C1134" t="s">
        <v>1181</v>
      </c>
      <c r="D1134">
        <v>2021</v>
      </c>
      <c r="E1134" t="s">
        <v>11</v>
      </c>
      <c r="F1134" t="s">
        <v>1180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f t="shared" si="34"/>
        <v>6</v>
      </c>
      <c r="M1134">
        <f t="shared" si="35"/>
        <v>1</v>
      </c>
    </row>
    <row r="1135" spans="1:13" x14ac:dyDescent="0.3">
      <c r="A1135">
        <v>1133</v>
      </c>
      <c r="B1135">
        <v>1134</v>
      </c>
      <c r="C1135" t="s">
        <v>1182</v>
      </c>
      <c r="D1135">
        <v>2012</v>
      </c>
      <c r="E1135" t="s">
        <v>36</v>
      </c>
      <c r="F1135" t="s">
        <v>1180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f t="shared" si="34"/>
        <v>6</v>
      </c>
      <c r="M1135">
        <f t="shared" si="35"/>
        <v>1</v>
      </c>
    </row>
    <row r="1136" spans="1:13" x14ac:dyDescent="0.3">
      <c r="A1136">
        <v>1134</v>
      </c>
      <c r="B1136">
        <v>1135</v>
      </c>
      <c r="C1136" t="s">
        <v>1183</v>
      </c>
      <c r="D1136">
        <v>2021</v>
      </c>
      <c r="E1136" t="s">
        <v>11</v>
      </c>
      <c r="F1136" t="s">
        <v>1180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f t="shared" si="34"/>
        <v>6</v>
      </c>
      <c r="M1136">
        <f t="shared" si="35"/>
        <v>1</v>
      </c>
    </row>
    <row r="1137" spans="1:13" x14ac:dyDescent="0.3">
      <c r="A1137">
        <v>1135</v>
      </c>
      <c r="B1137">
        <v>1136</v>
      </c>
      <c r="C1137" t="s">
        <v>1184</v>
      </c>
      <c r="D1137">
        <v>2010</v>
      </c>
      <c r="F1137" t="s">
        <v>1180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f t="shared" si="34"/>
        <v>6</v>
      </c>
      <c r="M1137">
        <f t="shared" si="35"/>
        <v>1</v>
      </c>
    </row>
    <row r="1138" spans="1:13" x14ac:dyDescent="0.3">
      <c r="A1138">
        <v>1136</v>
      </c>
      <c r="B1138">
        <v>1137</v>
      </c>
      <c r="C1138" t="s">
        <v>1185</v>
      </c>
      <c r="D1138">
        <v>2017</v>
      </c>
      <c r="F1138" t="s">
        <v>1180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f t="shared" si="34"/>
        <v>6</v>
      </c>
      <c r="M1138">
        <f t="shared" si="35"/>
        <v>1</v>
      </c>
    </row>
    <row r="1139" spans="1:13" x14ac:dyDescent="0.3">
      <c r="A1139">
        <v>1137</v>
      </c>
      <c r="B1139">
        <v>1138</v>
      </c>
      <c r="C1139" t="s">
        <v>1186</v>
      </c>
      <c r="D1139">
        <v>2018</v>
      </c>
      <c r="E1139" t="s">
        <v>11</v>
      </c>
      <c r="F1139" t="s">
        <v>1180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f t="shared" si="34"/>
        <v>6</v>
      </c>
      <c r="M1139">
        <f t="shared" si="35"/>
        <v>1</v>
      </c>
    </row>
    <row r="1140" spans="1:13" x14ac:dyDescent="0.3">
      <c r="A1140">
        <v>1138</v>
      </c>
      <c r="B1140">
        <v>1139</v>
      </c>
      <c r="C1140" t="s">
        <v>1187</v>
      </c>
      <c r="D1140">
        <v>2012</v>
      </c>
      <c r="E1140" t="s">
        <v>36</v>
      </c>
      <c r="F1140" t="s">
        <v>1180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f t="shared" si="34"/>
        <v>6</v>
      </c>
      <c r="M1140">
        <f t="shared" si="35"/>
        <v>1</v>
      </c>
    </row>
    <row r="1141" spans="1:13" x14ac:dyDescent="0.3">
      <c r="A1141">
        <v>1139</v>
      </c>
      <c r="B1141">
        <v>1140</v>
      </c>
      <c r="C1141" t="s">
        <v>1188</v>
      </c>
      <c r="D1141">
        <v>2018</v>
      </c>
      <c r="E1141" t="s">
        <v>28</v>
      </c>
      <c r="F1141" t="s">
        <v>1180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f t="shared" si="34"/>
        <v>6</v>
      </c>
      <c r="M1141">
        <f t="shared" si="35"/>
        <v>1</v>
      </c>
    </row>
    <row r="1142" spans="1:13" x14ac:dyDescent="0.3">
      <c r="A1142">
        <v>1140</v>
      </c>
      <c r="B1142">
        <v>1141</v>
      </c>
      <c r="C1142" t="s">
        <v>1189</v>
      </c>
      <c r="D1142">
        <v>2021</v>
      </c>
      <c r="E1142" t="s">
        <v>11</v>
      </c>
      <c r="F1142" t="s">
        <v>1180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f t="shared" si="34"/>
        <v>6</v>
      </c>
      <c r="M1142">
        <f t="shared" si="35"/>
        <v>1</v>
      </c>
    </row>
    <row r="1143" spans="1:13" x14ac:dyDescent="0.3">
      <c r="A1143">
        <v>1141</v>
      </c>
      <c r="B1143">
        <v>1142</v>
      </c>
      <c r="C1143" t="s">
        <v>1190</v>
      </c>
      <c r="D1143">
        <v>2018</v>
      </c>
      <c r="E1143" t="s">
        <v>11</v>
      </c>
      <c r="F1143" t="s">
        <v>1180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f t="shared" si="34"/>
        <v>6</v>
      </c>
      <c r="M1143">
        <f t="shared" si="35"/>
        <v>1</v>
      </c>
    </row>
    <row r="1144" spans="1:13" x14ac:dyDescent="0.3">
      <c r="A1144">
        <v>1142</v>
      </c>
      <c r="B1144">
        <v>1143</v>
      </c>
      <c r="C1144" t="s">
        <v>1191</v>
      </c>
      <c r="D1144">
        <v>2018</v>
      </c>
      <c r="F1144" t="s">
        <v>1180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f t="shared" si="34"/>
        <v>6</v>
      </c>
      <c r="M1144">
        <f t="shared" si="35"/>
        <v>1</v>
      </c>
    </row>
    <row r="1145" spans="1:13" x14ac:dyDescent="0.3">
      <c r="A1145">
        <v>1143</v>
      </c>
      <c r="B1145">
        <v>1144</v>
      </c>
      <c r="C1145" t="s">
        <v>1192</v>
      </c>
      <c r="D1145">
        <v>2013</v>
      </c>
      <c r="E1145" t="s">
        <v>22</v>
      </c>
      <c r="F1145" t="s">
        <v>1180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f t="shared" si="34"/>
        <v>6</v>
      </c>
      <c r="M1145">
        <f t="shared" si="35"/>
        <v>1</v>
      </c>
    </row>
    <row r="1146" spans="1:13" x14ac:dyDescent="0.3">
      <c r="A1146">
        <v>1144</v>
      </c>
      <c r="B1146">
        <v>1145</v>
      </c>
      <c r="C1146" t="s">
        <v>1193</v>
      </c>
      <c r="D1146">
        <v>2014</v>
      </c>
      <c r="E1146" t="s">
        <v>11</v>
      </c>
      <c r="F1146" t="s">
        <v>1180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f t="shared" si="34"/>
        <v>6</v>
      </c>
      <c r="M1146">
        <f t="shared" si="35"/>
        <v>1</v>
      </c>
    </row>
    <row r="1147" spans="1:13" x14ac:dyDescent="0.3">
      <c r="A1147">
        <v>1145</v>
      </c>
      <c r="B1147">
        <v>1146</v>
      </c>
      <c r="C1147" t="s">
        <v>1194</v>
      </c>
      <c r="D1147">
        <v>2015</v>
      </c>
      <c r="E1147" t="s">
        <v>22</v>
      </c>
      <c r="F1147" t="s">
        <v>1180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f t="shared" si="34"/>
        <v>6</v>
      </c>
      <c r="M1147">
        <f t="shared" si="35"/>
        <v>1</v>
      </c>
    </row>
    <row r="1148" spans="1:13" x14ac:dyDescent="0.3">
      <c r="A1148">
        <v>1146</v>
      </c>
      <c r="B1148">
        <v>1147</v>
      </c>
      <c r="C1148" t="s">
        <v>1195</v>
      </c>
      <c r="D1148">
        <v>2020</v>
      </c>
      <c r="E1148" t="s">
        <v>11</v>
      </c>
      <c r="F1148" t="s">
        <v>1180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f t="shared" si="34"/>
        <v>6</v>
      </c>
      <c r="M1148">
        <f t="shared" si="35"/>
        <v>1</v>
      </c>
    </row>
    <row r="1149" spans="1:13" x14ac:dyDescent="0.3">
      <c r="A1149">
        <v>1147</v>
      </c>
      <c r="B1149">
        <v>1148</v>
      </c>
      <c r="C1149" t="s">
        <v>1196</v>
      </c>
      <c r="D1149">
        <v>2016</v>
      </c>
      <c r="F1149" t="s">
        <v>1180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f t="shared" si="34"/>
        <v>6</v>
      </c>
      <c r="M1149">
        <f t="shared" si="35"/>
        <v>1</v>
      </c>
    </row>
    <row r="1150" spans="1:13" x14ac:dyDescent="0.3">
      <c r="A1150">
        <v>1148</v>
      </c>
      <c r="B1150">
        <v>1149</v>
      </c>
      <c r="C1150" t="s">
        <v>1197</v>
      </c>
      <c r="D1150">
        <v>2008</v>
      </c>
      <c r="F1150" t="s">
        <v>1180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f t="shared" si="34"/>
        <v>6</v>
      </c>
      <c r="M1150">
        <f t="shared" si="35"/>
        <v>1</v>
      </c>
    </row>
    <row r="1151" spans="1:13" x14ac:dyDescent="0.3">
      <c r="A1151">
        <v>1149</v>
      </c>
      <c r="B1151">
        <v>1150</v>
      </c>
      <c r="C1151" t="s">
        <v>1198</v>
      </c>
      <c r="D1151">
        <v>2015</v>
      </c>
      <c r="F1151" t="s">
        <v>1180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f t="shared" si="34"/>
        <v>6</v>
      </c>
      <c r="M1151">
        <f t="shared" si="35"/>
        <v>1</v>
      </c>
    </row>
    <row r="1152" spans="1:13" x14ac:dyDescent="0.3">
      <c r="A1152">
        <v>1150</v>
      </c>
      <c r="B1152">
        <v>1151</v>
      </c>
      <c r="C1152" t="s">
        <v>1199</v>
      </c>
      <c r="D1152">
        <v>2016</v>
      </c>
      <c r="F1152" t="s">
        <v>1180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f t="shared" si="34"/>
        <v>6</v>
      </c>
      <c r="M1152">
        <f t="shared" si="35"/>
        <v>1</v>
      </c>
    </row>
    <row r="1153" spans="1:13" x14ac:dyDescent="0.3">
      <c r="A1153">
        <v>1151</v>
      </c>
      <c r="B1153">
        <v>1152</v>
      </c>
      <c r="C1153" t="s">
        <v>1200</v>
      </c>
      <c r="D1153">
        <v>2020</v>
      </c>
      <c r="E1153" t="s">
        <v>11</v>
      </c>
      <c r="F1153" t="s">
        <v>1180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f t="shared" si="34"/>
        <v>6</v>
      </c>
      <c r="M1153">
        <f t="shared" si="35"/>
        <v>1</v>
      </c>
    </row>
    <row r="1154" spans="1:13" x14ac:dyDescent="0.3">
      <c r="A1154">
        <v>1152</v>
      </c>
      <c r="B1154">
        <v>1153</v>
      </c>
      <c r="C1154" t="s">
        <v>1201</v>
      </c>
      <c r="D1154">
        <v>2019</v>
      </c>
      <c r="E1154" t="s">
        <v>11</v>
      </c>
      <c r="F1154" t="s">
        <v>1180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f t="shared" si="34"/>
        <v>6</v>
      </c>
      <c r="M1154">
        <f t="shared" si="35"/>
        <v>1</v>
      </c>
    </row>
    <row r="1155" spans="1:13" x14ac:dyDescent="0.3">
      <c r="A1155">
        <v>1153</v>
      </c>
      <c r="B1155">
        <v>1154</v>
      </c>
      <c r="C1155" t="s">
        <v>1202</v>
      </c>
      <c r="D1155">
        <v>2019</v>
      </c>
      <c r="E1155" t="s">
        <v>14</v>
      </c>
      <c r="F1155" t="s">
        <v>1180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f t="shared" ref="L1155:L1218" si="36">IFERROR(VALUE(LEFT(F1155,FIND("/",F1155)-1))/10,"")</f>
        <v>6</v>
      </c>
      <c r="M1155">
        <f t="shared" ref="M1155:M1218" si="37">SUM(G1155:J1155)</f>
        <v>1</v>
      </c>
    </row>
    <row r="1156" spans="1:13" x14ac:dyDescent="0.3">
      <c r="A1156">
        <v>1154</v>
      </c>
      <c r="B1156">
        <v>1155</v>
      </c>
      <c r="C1156" t="s">
        <v>1203</v>
      </c>
      <c r="D1156">
        <v>2014</v>
      </c>
      <c r="F1156" t="s">
        <v>1180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f t="shared" si="36"/>
        <v>6</v>
      </c>
      <c r="M1156">
        <f t="shared" si="37"/>
        <v>1</v>
      </c>
    </row>
    <row r="1157" spans="1:13" x14ac:dyDescent="0.3">
      <c r="A1157">
        <v>1155</v>
      </c>
      <c r="B1157">
        <v>1156</v>
      </c>
      <c r="C1157" t="s">
        <v>1204</v>
      </c>
      <c r="D1157">
        <v>2019</v>
      </c>
      <c r="E1157" t="s">
        <v>22</v>
      </c>
      <c r="F1157" t="s">
        <v>1180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f t="shared" si="36"/>
        <v>6</v>
      </c>
      <c r="M1157">
        <f t="shared" si="37"/>
        <v>1</v>
      </c>
    </row>
    <row r="1158" spans="1:13" x14ac:dyDescent="0.3">
      <c r="A1158">
        <v>1156</v>
      </c>
      <c r="B1158">
        <v>1157</v>
      </c>
      <c r="C1158" t="s">
        <v>1205</v>
      </c>
      <c r="D1158">
        <v>2020</v>
      </c>
      <c r="E1158" t="s">
        <v>22</v>
      </c>
      <c r="F1158" t="s">
        <v>1180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f t="shared" si="36"/>
        <v>6</v>
      </c>
      <c r="M1158">
        <f t="shared" si="37"/>
        <v>1</v>
      </c>
    </row>
    <row r="1159" spans="1:13" x14ac:dyDescent="0.3">
      <c r="A1159">
        <v>1157</v>
      </c>
      <c r="B1159">
        <v>1158</v>
      </c>
      <c r="C1159" t="s">
        <v>1206</v>
      </c>
      <c r="D1159">
        <v>2006</v>
      </c>
      <c r="E1159" t="s">
        <v>22</v>
      </c>
      <c r="F1159" t="s">
        <v>1180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f t="shared" si="36"/>
        <v>6</v>
      </c>
      <c r="M1159">
        <f t="shared" si="37"/>
        <v>1</v>
      </c>
    </row>
    <row r="1160" spans="1:13" x14ac:dyDescent="0.3">
      <c r="A1160">
        <v>1158</v>
      </c>
      <c r="B1160">
        <v>1159</v>
      </c>
      <c r="C1160" t="s">
        <v>1207</v>
      </c>
      <c r="D1160">
        <v>2019</v>
      </c>
      <c r="E1160" t="s">
        <v>14</v>
      </c>
      <c r="F1160" t="s">
        <v>1180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f t="shared" si="36"/>
        <v>6</v>
      </c>
      <c r="M1160">
        <f t="shared" si="37"/>
        <v>1</v>
      </c>
    </row>
    <row r="1161" spans="1:13" x14ac:dyDescent="0.3">
      <c r="A1161">
        <v>1159</v>
      </c>
      <c r="B1161">
        <v>1160</v>
      </c>
      <c r="C1161" t="s">
        <v>1208</v>
      </c>
      <c r="D1161">
        <v>2020</v>
      </c>
      <c r="E1161" t="s">
        <v>22</v>
      </c>
      <c r="F1161" t="s">
        <v>1180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f t="shared" si="36"/>
        <v>6</v>
      </c>
      <c r="M1161">
        <f t="shared" si="37"/>
        <v>1</v>
      </c>
    </row>
    <row r="1162" spans="1:13" x14ac:dyDescent="0.3">
      <c r="A1162">
        <v>1160</v>
      </c>
      <c r="B1162">
        <v>1161</v>
      </c>
      <c r="C1162" t="s">
        <v>1209</v>
      </c>
      <c r="D1162">
        <v>2018</v>
      </c>
      <c r="F1162" t="s">
        <v>1180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f t="shared" si="36"/>
        <v>6</v>
      </c>
      <c r="M1162">
        <f t="shared" si="37"/>
        <v>1</v>
      </c>
    </row>
    <row r="1163" spans="1:13" x14ac:dyDescent="0.3">
      <c r="A1163">
        <v>1161</v>
      </c>
      <c r="B1163">
        <v>1162</v>
      </c>
      <c r="C1163" t="s">
        <v>1210</v>
      </c>
      <c r="D1163">
        <v>2016</v>
      </c>
      <c r="E1163" t="s">
        <v>11</v>
      </c>
      <c r="F1163" t="s">
        <v>1180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f t="shared" si="36"/>
        <v>6</v>
      </c>
      <c r="M1163">
        <f t="shared" si="37"/>
        <v>1</v>
      </c>
    </row>
    <row r="1164" spans="1:13" x14ac:dyDescent="0.3">
      <c r="A1164">
        <v>1162</v>
      </c>
      <c r="B1164">
        <v>1163</v>
      </c>
      <c r="C1164" t="s">
        <v>1211</v>
      </c>
      <c r="D1164">
        <v>2016</v>
      </c>
      <c r="F1164" t="s">
        <v>1180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f t="shared" si="36"/>
        <v>6</v>
      </c>
      <c r="M1164">
        <f t="shared" si="37"/>
        <v>1</v>
      </c>
    </row>
    <row r="1165" spans="1:13" x14ac:dyDescent="0.3">
      <c r="A1165">
        <v>1163</v>
      </c>
      <c r="B1165">
        <v>1164</v>
      </c>
      <c r="C1165" t="s">
        <v>1212</v>
      </c>
      <c r="D1165">
        <v>2020</v>
      </c>
      <c r="E1165" t="s">
        <v>14</v>
      </c>
      <c r="F1165" t="s">
        <v>1180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f t="shared" si="36"/>
        <v>6</v>
      </c>
      <c r="M1165">
        <f t="shared" si="37"/>
        <v>1</v>
      </c>
    </row>
    <row r="1166" spans="1:13" x14ac:dyDescent="0.3">
      <c r="A1166">
        <v>1164</v>
      </c>
      <c r="B1166">
        <v>1165</v>
      </c>
      <c r="C1166" t="s">
        <v>1213</v>
      </c>
      <c r="D1166">
        <v>2012</v>
      </c>
      <c r="F1166" t="s">
        <v>1180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f t="shared" si="36"/>
        <v>6</v>
      </c>
      <c r="M1166">
        <f t="shared" si="37"/>
        <v>1</v>
      </c>
    </row>
    <row r="1167" spans="1:13" x14ac:dyDescent="0.3">
      <c r="A1167">
        <v>1165</v>
      </c>
      <c r="B1167">
        <v>1166</v>
      </c>
      <c r="C1167" t="s">
        <v>1214</v>
      </c>
      <c r="D1167">
        <v>2020</v>
      </c>
      <c r="F1167" t="s">
        <v>1180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f t="shared" si="36"/>
        <v>6</v>
      </c>
      <c r="M1167">
        <f t="shared" si="37"/>
        <v>1</v>
      </c>
    </row>
    <row r="1168" spans="1:13" x14ac:dyDescent="0.3">
      <c r="A1168">
        <v>1166</v>
      </c>
      <c r="B1168">
        <v>1167</v>
      </c>
      <c r="C1168" t="s">
        <v>1215</v>
      </c>
      <c r="D1168">
        <v>2018</v>
      </c>
      <c r="F1168" t="s">
        <v>1180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f t="shared" si="36"/>
        <v>6</v>
      </c>
      <c r="M1168">
        <f t="shared" si="37"/>
        <v>1</v>
      </c>
    </row>
    <row r="1169" spans="1:13" x14ac:dyDescent="0.3">
      <c r="A1169">
        <v>1167</v>
      </c>
      <c r="B1169">
        <v>1168</v>
      </c>
      <c r="C1169" t="s">
        <v>1216</v>
      </c>
      <c r="D1169">
        <v>2008</v>
      </c>
      <c r="E1169" t="s">
        <v>11</v>
      </c>
      <c r="F1169" t="s">
        <v>1180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f t="shared" si="36"/>
        <v>6</v>
      </c>
      <c r="M1169">
        <f t="shared" si="37"/>
        <v>1</v>
      </c>
    </row>
    <row r="1170" spans="1:13" x14ac:dyDescent="0.3">
      <c r="A1170">
        <v>1168</v>
      </c>
      <c r="B1170">
        <v>1169</v>
      </c>
      <c r="C1170" t="s">
        <v>1217</v>
      </c>
      <c r="D1170">
        <v>2018</v>
      </c>
      <c r="E1170" t="s">
        <v>14</v>
      </c>
      <c r="F1170" t="s">
        <v>1180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f t="shared" si="36"/>
        <v>6</v>
      </c>
      <c r="M1170">
        <f t="shared" si="37"/>
        <v>1</v>
      </c>
    </row>
    <row r="1171" spans="1:13" x14ac:dyDescent="0.3">
      <c r="A1171">
        <v>1169</v>
      </c>
      <c r="B1171">
        <v>1170</v>
      </c>
      <c r="C1171" t="s">
        <v>1218</v>
      </c>
      <c r="D1171">
        <v>2016</v>
      </c>
      <c r="F1171" t="s">
        <v>1180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f t="shared" si="36"/>
        <v>6</v>
      </c>
      <c r="M1171">
        <f t="shared" si="37"/>
        <v>1</v>
      </c>
    </row>
    <row r="1172" spans="1:13" x14ac:dyDescent="0.3">
      <c r="A1172">
        <v>1170</v>
      </c>
      <c r="B1172">
        <v>1171</v>
      </c>
      <c r="C1172" t="s">
        <v>1219</v>
      </c>
      <c r="D1172">
        <v>2020</v>
      </c>
      <c r="E1172" t="s">
        <v>11</v>
      </c>
      <c r="F1172" t="s">
        <v>1180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f t="shared" si="36"/>
        <v>6</v>
      </c>
      <c r="M1172">
        <f t="shared" si="37"/>
        <v>1</v>
      </c>
    </row>
    <row r="1173" spans="1:13" x14ac:dyDescent="0.3">
      <c r="A1173">
        <v>1171</v>
      </c>
      <c r="B1173">
        <v>1172</v>
      </c>
      <c r="C1173" t="s">
        <v>1220</v>
      </c>
      <c r="D1173">
        <v>2017</v>
      </c>
      <c r="F1173" t="s">
        <v>1180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f t="shared" si="36"/>
        <v>6</v>
      </c>
      <c r="M1173">
        <f t="shared" si="37"/>
        <v>1</v>
      </c>
    </row>
    <row r="1174" spans="1:13" x14ac:dyDescent="0.3">
      <c r="A1174">
        <v>1172</v>
      </c>
      <c r="B1174">
        <v>1173</v>
      </c>
      <c r="C1174" t="s">
        <v>1221</v>
      </c>
      <c r="D1174">
        <v>2020</v>
      </c>
      <c r="E1174" t="s">
        <v>22</v>
      </c>
      <c r="F1174" t="s">
        <v>1180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f t="shared" si="36"/>
        <v>6</v>
      </c>
      <c r="M1174">
        <f t="shared" si="37"/>
        <v>1</v>
      </c>
    </row>
    <row r="1175" spans="1:13" x14ac:dyDescent="0.3">
      <c r="A1175">
        <v>1173</v>
      </c>
      <c r="B1175">
        <v>1174</v>
      </c>
      <c r="C1175" t="s">
        <v>1222</v>
      </c>
      <c r="D1175">
        <v>2019</v>
      </c>
      <c r="E1175" t="s">
        <v>14</v>
      </c>
      <c r="F1175" t="s">
        <v>1180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f t="shared" si="36"/>
        <v>6</v>
      </c>
      <c r="M1175">
        <f t="shared" si="37"/>
        <v>1</v>
      </c>
    </row>
    <row r="1176" spans="1:13" x14ac:dyDescent="0.3">
      <c r="A1176">
        <v>1174</v>
      </c>
      <c r="B1176">
        <v>1175</v>
      </c>
      <c r="C1176" t="s">
        <v>1223</v>
      </c>
      <c r="D1176">
        <v>2015</v>
      </c>
      <c r="E1176" t="s">
        <v>14</v>
      </c>
      <c r="F1176" t="s">
        <v>1180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f t="shared" si="36"/>
        <v>6</v>
      </c>
      <c r="M1176">
        <f t="shared" si="37"/>
        <v>1</v>
      </c>
    </row>
    <row r="1177" spans="1:13" x14ac:dyDescent="0.3">
      <c r="A1177">
        <v>1175</v>
      </c>
      <c r="B1177">
        <v>1176</v>
      </c>
      <c r="C1177" t="s">
        <v>1224</v>
      </c>
      <c r="D1177">
        <v>2007</v>
      </c>
      <c r="F1177" t="s">
        <v>1180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f t="shared" si="36"/>
        <v>6</v>
      </c>
      <c r="M1177">
        <f t="shared" si="37"/>
        <v>1</v>
      </c>
    </row>
    <row r="1178" spans="1:13" x14ac:dyDescent="0.3">
      <c r="A1178">
        <v>1176</v>
      </c>
      <c r="B1178">
        <v>1177</v>
      </c>
      <c r="C1178" t="s">
        <v>1225</v>
      </c>
      <c r="D1178">
        <v>2020</v>
      </c>
      <c r="F1178" t="s">
        <v>1180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f t="shared" si="36"/>
        <v>6</v>
      </c>
      <c r="M1178">
        <f t="shared" si="37"/>
        <v>1</v>
      </c>
    </row>
    <row r="1179" spans="1:13" x14ac:dyDescent="0.3">
      <c r="A1179">
        <v>1177</v>
      </c>
      <c r="B1179">
        <v>1178</v>
      </c>
      <c r="C1179" t="s">
        <v>1226</v>
      </c>
      <c r="D1179">
        <v>2005</v>
      </c>
      <c r="E1179" t="s">
        <v>22</v>
      </c>
      <c r="F1179" t="s">
        <v>1180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f t="shared" si="36"/>
        <v>6</v>
      </c>
      <c r="M1179">
        <f t="shared" si="37"/>
        <v>1</v>
      </c>
    </row>
    <row r="1180" spans="1:13" x14ac:dyDescent="0.3">
      <c r="A1180">
        <v>1178</v>
      </c>
      <c r="B1180">
        <v>1179</v>
      </c>
      <c r="C1180" t="s">
        <v>1227</v>
      </c>
      <c r="D1180">
        <v>2019</v>
      </c>
      <c r="E1180" t="s">
        <v>22</v>
      </c>
      <c r="F1180" t="s">
        <v>1180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f t="shared" si="36"/>
        <v>6</v>
      </c>
      <c r="M1180">
        <f t="shared" si="37"/>
        <v>1</v>
      </c>
    </row>
    <row r="1181" spans="1:13" x14ac:dyDescent="0.3">
      <c r="A1181">
        <v>1179</v>
      </c>
      <c r="B1181">
        <v>1180</v>
      </c>
      <c r="C1181" t="s">
        <v>1228</v>
      </c>
      <c r="D1181">
        <v>2019</v>
      </c>
      <c r="E1181" t="s">
        <v>11</v>
      </c>
      <c r="F1181" t="s">
        <v>1180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f t="shared" si="36"/>
        <v>6</v>
      </c>
      <c r="M1181">
        <f t="shared" si="37"/>
        <v>1</v>
      </c>
    </row>
    <row r="1182" spans="1:13" x14ac:dyDescent="0.3">
      <c r="A1182">
        <v>1180</v>
      </c>
      <c r="B1182">
        <v>1181</v>
      </c>
      <c r="C1182" t="s">
        <v>1229</v>
      </c>
      <c r="D1182">
        <v>2018</v>
      </c>
      <c r="E1182" t="s">
        <v>11</v>
      </c>
      <c r="F1182" t="s">
        <v>1180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f t="shared" si="36"/>
        <v>6</v>
      </c>
      <c r="M1182">
        <f t="shared" si="37"/>
        <v>1</v>
      </c>
    </row>
    <row r="1183" spans="1:13" x14ac:dyDescent="0.3">
      <c r="A1183">
        <v>1181</v>
      </c>
      <c r="B1183">
        <v>1182</v>
      </c>
      <c r="C1183" t="s">
        <v>1230</v>
      </c>
      <c r="D1183">
        <v>2012</v>
      </c>
      <c r="F1183" t="s">
        <v>1180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f t="shared" si="36"/>
        <v>6</v>
      </c>
      <c r="M1183">
        <f t="shared" si="37"/>
        <v>1</v>
      </c>
    </row>
    <row r="1184" spans="1:13" x14ac:dyDescent="0.3">
      <c r="A1184">
        <v>1182</v>
      </c>
      <c r="B1184">
        <v>1183</v>
      </c>
      <c r="C1184" t="s">
        <v>1231</v>
      </c>
      <c r="D1184">
        <v>2014</v>
      </c>
      <c r="E1184" t="s">
        <v>28</v>
      </c>
      <c r="F1184" t="s">
        <v>1180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f t="shared" si="36"/>
        <v>6</v>
      </c>
      <c r="M1184">
        <f t="shared" si="37"/>
        <v>1</v>
      </c>
    </row>
    <row r="1185" spans="1:13" x14ac:dyDescent="0.3">
      <c r="A1185">
        <v>1183</v>
      </c>
      <c r="B1185">
        <v>1184</v>
      </c>
      <c r="C1185" t="s">
        <v>1232</v>
      </c>
      <c r="D1185">
        <v>2018</v>
      </c>
      <c r="F1185" t="s">
        <v>1180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f t="shared" si="36"/>
        <v>6</v>
      </c>
      <c r="M1185">
        <f t="shared" si="37"/>
        <v>1</v>
      </c>
    </row>
    <row r="1186" spans="1:13" x14ac:dyDescent="0.3">
      <c r="A1186">
        <v>1184</v>
      </c>
      <c r="B1186">
        <v>1185</v>
      </c>
      <c r="C1186" t="s">
        <v>1233</v>
      </c>
      <c r="D1186">
        <v>2019</v>
      </c>
      <c r="E1186" t="s">
        <v>11</v>
      </c>
      <c r="F1186" t="s">
        <v>1180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f t="shared" si="36"/>
        <v>6</v>
      </c>
      <c r="M1186">
        <f t="shared" si="37"/>
        <v>1</v>
      </c>
    </row>
    <row r="1187" spans="1:13" x14ac:dyDescent="0.3">
      <c r="A1187">
        <v>1185</v>
      </c>
      <c r="B1187">
        <v>1186</v>
      </c>
      <c r="C1187" t="s">
        <v>1234</v>
      </c>
      <c r="D1187">
        <v>2014</v>
      </c>
      <c r="F1187" t="s">
        <v>1180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f t="shared" si="36"/>
        <v>6</v>
      </c>
      <c r="M1187">
        <f t="shared" si="37"/>
        <v>1</v>
      </c>
    </row>
    <row r="1188" spans="1:13" x14ac:dyDescent="0.3">
      <c r="A1188">
        <v>1186</v>
      </c>
      <c r="B1188">
        <v>1187</v>
      </c>
      <c r="C1188" t="s">
        <v>1235</v>
      </c>
      <c r="D1188">
        <v>2018</v>
      </c>
      <c r="E1188" t="s">
        <v>11</v>
      </c>
      <c r="F1188" t="s">
        <v>1180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f t="shared" si="36"/>
        <v>6</v>
      </c>
      <c r="M1188">
        <f t="shared" si="37"/>
        <v>1</v>
      </c>
    </row>
    <row r="1189" spans="1:13" x14ac:dyDescent="0.3">
      <c r="A1189">
        <v>1187</v>
      </c>
      <c r="B1189">
        <v>1188</v>
      </c>
      <c r="C1189" t="s">
        <v>1236</v>
      </c>
      <c r="D1189">
        <v>2009</v>
      </c>
      <c r="E1189" t="s">
        <v>22</v>
      </c>
      <c r="F1189" t="s">
        <v>1180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f t="shared" si="36"/>
        <v>6</v>
      </c>
      <c r="M1189">
        <f t="shared" si="37"/>
        <v>1</v>
      </c>
    </row>
    <row r="1190" spans="1:13" x14ac:dyDescent="0.3">
      <c r="A1190">
        <v>1188</v>
      </c>
      <c r="B1190">
        <v>1189</v>
      </c>
      <c r="C1190" t="s">
        <v>1237</v>
      </c>
      <c r="D1190">
        <v>2013</v>
      </c>
      <c r="F1190" t="s">
        <v>1180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f t="shared" si="36"/>
        <v>6</v>
      </c>
      <c r="M1190">
        <f t="shared" si="37"/>
        <v>1</v>
      </c>
    </row>
    <row r="1191" spans="1:13" x14ac:dyDescent="0.3">
      <c r="A1191">
        <v>1189</v>
      </c>
      <c r="B1191">
        <v>1190</v>
      </c>
      <c r="C1191" t="s">
        <v>1238</v>
      </c>
      <c r="D1191">
        <v>2006</v>
      </c>
      <c r="E1191" t="s">
        <v>14</v>
      </c>
      <c r="F1191" t="s">
        <v>1180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f t="shared" si="36"/>
        <v>6</v>
      </c>
      <c r="M1191">
        <f t="shared" si="37"/>
        <v>1</v>
      </c>
    </row>
    <row r="1192" spans="1:13" x14ac:dyDescent="0.3">
      <c r="A1192">
        <v>1190</v>
      </c>
      <c r="B1192">
        <v>1191</v>
      </c>
      <c r="C1192" t="s">
        <v>1239</v>
      </c>
      <c r="D1192">
        <v>2021</v>
      </c>
      <c r="F1192" t="s">
        <v>1180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f t="shared" si="36"/>
        <v>6</v>
      </c>
      <c r="M1192">
        <f t="shared" si="37"/>
        <v>1</v>
      </c>
    </row>
    <row r="1193" spans="1:13" x14ac:dyDescent="0.3">
      <c r="A1193">
        <v>1191</v>
      </c>
      <c r="B1193">
        <v>1192</v>
      </c>
      <c r="C1193" t="s">
        <v>1240</v>
      </c>
      <c r="D1193">
        <v>2019</v>
      </c>
      <c r="E1193" t="s">
        <v>14</v>
      </c>
      <c r="F1193" t="s">
        <v>1180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f t="shared" si="36"/>
        <v>6</v>
      </c>
      <c r="M1193">
        <f t="shared" si="37"/>
        <v>1</v>
      </c>
    </row>
    <row r="1194" spans="1:13" x14ac:dyDescent="0.3">
      <c r="A1194">
        <v>1192</v>
      </c>
      <c r="B1194">
        <v>1193</v>
      </c>
      <c r="C1194" t="s">
        <v>1241</v>
      </c>
      <c r="D1194">
        <v>2021</v>
      </c>
      <c r="E1194" t="s">
        <v>11</v>
      </c>
      <c r="F1194" t="s">
        <v>1180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f t="shared" si="36"/>
        <v>6</v>
      </c>
      <c r="M1194">
        <f t="shared" si="37"/>
        <v>1</v>
      </c>
    </row>
    <row r="1195" spans="1:13" x14ac:dyDescent="0.3">
      <c r="A1195">
        <v>1193</v>
      </c>
      <c r="B1195">
        <v>1194</v>
      </c>
      <c r="C1195" t="s">
        <v>1242</v>
      </c>
      <c r="D1195">
        <v>2008</v>
      </c>
      <c r="F1195" t="s">
        <v>1180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f t="shared" si="36"/>
        <v>6</v>
      </c>
      <c r="M1195">
        <f t="shared" si="37"/>
        <v>1</v>
      </c>
    </row>
    <row r="1196" spans="1:13" x14ac:dyDescent="0.3">
      <c r="A1196">
        <v>1194</v>
      </c>
      <c r="B1196">
        <v>1195</v>
      </c>
      <c r="C1196" t="s">
        <v>1243</v>
      </c>
      <c r="D1196">
        <v>2019</v>
      </c>
      <c r="E1196" t="s">
        <v>11</v>
      </c>
      <c r="F1196" t="s">
        <v>1180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f t="shared" si="36"/>
        <v>6</v>
      </c>
      <c r="M1196">
        <f t="shared" si="37"/>
        <v>1</v>
      </c>
    </row>
    <row r="1197" spans="1:13" x14ac:dyDescent="0.3">
      <c r="A1197">
        <v>1195</v>
      </c>
      <c r="B1197">
        <v>1196</v>
      </c>
      <c r="C1197" t="s">
        <v>1244</v>
      </c>
      <c r="D1197">
        <v>2020</v>
      </c>
      <c r="F1197" t="s">
        <v>1180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f t="shared" si="36"/>
        <v>6</v>
      </c>
      <c r="M1197">
        <f t="shared" si="37"/>
        <v>1</v>
      </c>
    </row>
    <row r="1198" spans="1:13" x14ac:dyDescent="0.3">
      <c r="A1198">
        <v>1196</v>
      </c>
      <c r="B1198">
        <v>1197</v>
      </c>
      <c r="C1198" t="s">
        <v>1245</v>
      </c>
      <c r="D1198">
        <v>2011</v>
      </c>
      <c r="E1198" t="s">
        <v>11</v>
      </c>
      <c r="F1198" t="s">
        <v>1180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f t="shared" si="36"/>
        <v>6</v>
      </c>
      <c r="M1198">
        <f t="shared" si="37"/>
        <v>1</v>
      </c>
    </row>
    <row r="1199" spans="1:13" x14ac:dyDescent="0.3">
      <c r="A1199">
        <v>1197</v>
      </c>
      <c r="B1199">
        <v>1198</v>
      </c>
      <c r="C1199" t="s">
        <v>1246</v>
      </c>
      <c r="D1199">
        <v>2013</v>
      </c>
      <c r="F1199" t="s">
        <v>1180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f t="shared" si="36"/>
        <v>6</v>
      </c>
      <c r="M1199">
        <f t="shared" si="37"/>
        <v>1</v>
      </c>
    </row>
    <row r="1200" spans="1:13" x14ac:dyDescent="0.3">
      <c r="A1200">
        <v>1198</v>
      </c>
      <c r="B1200">
        <v>1199</v>
      </c>
      <c r="C1200" t="s">
        <v>1247</v>
      </c>
      <c r="D1200">
        <v>2017</v>
      </c>
      <c r="E1200" t="s">
        <v>11</v>
      </c>
      <c r="F1200" t="s">
        <v>1180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f t="shared" si="36"/>
        <v>6</v>
      </c>
      <c r="M1200">
        <f t="shared" si="37"/>
        <v>1</v>
      </c>
    </row>
    <row r="1201" spans="1:13" x14ac:dyDescent="0.3">
      <c r="A1201">
        <v>1199</v>
      </c>
      <c r="B1201">
        <v>1200</v>
      </c>
      <c r="C1201" t="s">
        <v>1248</v>
      </c>
      <c r="D1201">
        <v>2015</v>
      </c>
      <c r="E1201" t="s">
        <v>11</v>
      </c>
      <c r="F1201" t="s">
        <v>1180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f t="shared" si="36"/>
        <v>6</v>
      </c>
      <c r="M1201">
        <f t="shared" si="37"/>
        <v>1</v>
      </c>
    </row>
    <row r="1202" spans="1:13" x14ac:dyDescent="0.3">
      <c r="A1202">
        <v>1200</v>
      </c>
      <c r="B1202">
        <v>1201</v>
      </c>
      <c r="C1202" t="s">
        <v>1249</v>
      </c>
      <c r="D1202">
        <v>2020</v>
      </c>
      <c r="E1202" t="s">
        <v>11</v>
      </c>
      <c r="F1202" t="s">
        <v>1180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f t="shared" si="36"/>
        <v>6</v>
      </c>
      <c r="M1202">
        <f t="shared" si="37"/>
        <v>1</v>
      </c>
    </row>
    <row r="1203" spans="1:13" x14ac:dyDescent="0.3">
      <c r="A1203">
        <v>1201</v>
      </c>
      <c r="B1203">
        <v>1202</v>
      </c>
      <c r="C1203" t="s">
        <v>1250</v>
      </c>
      <c r="D1203">
        <v>2017</v>
      </c>
      <c r="F1203" t="s">
        <v>1180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f t="shared" si="36"/>
        <v>6</v>
      </c>
      <c r="M1203">
        <f t="shared" si="37"/>
        <v>1</v>
      </c>
    </row>
    <row r="1204" spans="1:13" x14ac:dyDescent="0.3">
      <c r="A1204">
        <v>1202</v>
      </c>
      <c r="B1204">
        <v>1203</v>
      </c>
      <c r="C1204" t="s">
        <v>1251</v>
      </c>
      <c r="D1204">
        <v>2020</v>
      </c>
      <c r="E1204" t="s">
        <v>28</v>
      </c>
      <c r="F1204" t="s">
        <v>1180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f t="shared" si="36"/>
        <v>6</v>
      </c>
      <c r="M1204">
        <f t="shared" si="37"/>
        <v>1</v>
      </c>
    </row>
    <row r="1205" spans="1:13" x14ac:dyDescent="0.3">
      <c r="A1205">
        <v>1203</v>
      </c>
      <c r="B1205">
        <v>1204</v>
      </c>
      <c r="C1205" t="s">
        <v>1252</v>
      </c>
      <c r="D1205">
        <v>2018</v>
      </c>
      <c r="E1205" t="s">
        <v>11</v>
      </c>
      <c r="F1205" t="s">
        <v>1180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f t="shared" si="36"/>
        <v>6</v>
      </c>
      <c r="M1205">
        <f t="shared" si="37"/>
        <v>1</v>
      </c>
    </row>
    <row r="1206" spans="1:13" x14ac:dyDescent="0.3">
      <c r="A1206">
        <v>1204</v>
      </c>
      <c r="B1206">
        <v>1205</v>
      </c>
      <c r="C1206" t="s">
        <v>1253</v>
      </c>
      <c r="D1206">
        <v>2020</v>
      </c>
      <c r="F1206" t="s">
        <v>1180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f t="shared" si="36"/>
        <v>6</v>
      </c>
      <c r="M1206">
        <f t="shared" si="37"/>
        <v>1</v>
      </c>
    </row>
    <row r="1207" spans="1:13" x14ac:dyDescent="0.3">
      <c r="A1207">
        <v>1205</v>
      </c>
      <c r="B1207">
        <v>1206</v>
      </c>
      <c r="C1207" t="s">
        <v>1254</v>
      </c>
      <c r="D1207">
        <v>2003</v>
      </c>
      <c r="E1207" t="s">
        <v>22</v>
      </c>
      <c r="F1207" t="s">
        <v>1180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f t="shared" si="36"/>
        <v>6</v>
      </c>
      <c r="M1207">
        <f t="shared" si="37"/>
        <v>1</v>
      </c>
    </row>
    <row r="1208" spans="1:13" x14ac:dyDescent="0.3">
      <c r="A1208">
        <v>1206</v>
      </c>
      <c r="B1208">
        <v>1207</v>
      </c>
      <c r="C1208" t="s">
        <v>1255</v>
      </c>
      <c r="D1208">
        <v>2018</v>
      </c>
      <c r="E1208" t="s">
        <v>22</v>
      </c>
      <c r="F1208" t="s">
        <v>1180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f t="shared" si="36"/>
        <v>6</v>
      </c>
      <c r="M1208">
        <f t="shared" si="37"/>
        <v>1</v>
      </c>
    </row>
    <row r="1209" spans="1:13" x14ac:dyDescent="0.3">
      <c r="A1209">
        <v>1207</v>
      </c>
      <c r="B1209">
        <v>1208</v>
      </c>
      <c r="C1209" t="s">
        <v>1256</v>
      </c>
      <c r="D1209">
        <v>2016</v>
      </c>
      <c r="E1209" t="s">
        <v>11</v>
      </c>
      <c r="F1209" t="s">
        <v>1180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f t="shared" si="36"/>
        <v>6</v>
      </c>
      <c r="M1209">
        <f t="shared" si="37"/>
        <v>1</v>
      </c>
    </row>
    <row r="1210" spans="1:13" x14ac:dyDescent="0.3">
      <c r="A1210">
        <v>1208</v>
      </c>
      <c r="B1210">
        <v>1209</v>
      </c>
      <c r="C1210" t="s">
        <v>1257</v>
      </c>
      <c r="D1210">
        <v>2021</v>
      </c>
      <c r="F1210" t="s">
        <v>1180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f t="shared" si="36"/>
        <v>6</v>
      </c>
      <c r="M1210">
        <f t="shared" si="37"/>
        <v>1</v>
      </c>
    </row>
    <row r="1211" spans="1:13" x14ac:dyDescent="0.3">
      <c r="A1211">
        <v>1209</v>
      </c>
      <c r="B1211">
        <v>1210</v>
      </c>
      <c r="C1211" t="s">
        <v>1258</v>
      </c>
      <c r="D1211">
        <v>2018</v>
      </c>
      <c r="E1211" t="s">
        <v>14</v>
      </c>
      <c r="F1211" t="s">
        <v>1180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f t="shared" si="36"/>
        <v>6</v>
      </c>
      <c r="M1211">
        <f t="shared" si="37"/>
        <v>1</v>
      </c>
    </row>
    <row r="1212" spans="1:13" x14ac:dyDescent="0.3">
      <c r="A1212">
        <v>1210</v>
      </c>
      <c r="B1212">
        <v>1211</v>
      </c>
      <c r="C1212" t="s">
        <v>1259</v>
      </c>
      <c r="D1212">
        <v>2001</v>
      </c>
      <c r="E1212" t="s">
        <v>11</v>
      </c>
      <c r="F1212" t="s">
        <v>1180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f t="shared" si="36"/>
        <v>6</v>
      </c>
      <c r="M1212">
        <f t="shared" si="37"/>
        <v>1</v>
      </c>
    </row>
    <row r="1213" spans="1:13" x14ac:dyDescent="0.3">
      <c r="A1213">
        <v>1211</v>
      </c>
      <c r="B1213">
        <v>1212</v>
      </c>
      <c r="C1213" t="s">
        <v>1260</v>
      </c>
      <c r="D1213">
        <v>2011</v>
      </c>
      <c r="E1213" t="s">
        <v>11</v>
      </c>
      <c r="F1213" t="s">
        <v>1180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f t="shared" si="36"/>
        <v>6</v>
      </c>
      <c r="M1213">
        <f t="shared" si="37"/>
        <v>1</v>
      </c>
    </row>
    <row r="1214" spans="1:13" x14ac:dyDescent="0.3">
      <c r="A1214">
        <v>1212</v>
      </c>
      <c r="B1214">
        <v>1213</v>
      </c>
      <c r="C1214" t="s">
        <v>1261</v>
      </c>
      <c r="D1214">
        <v>2018</v>
      </c>
      <c r="E1214" t="s">
        <v>11</v>
      </c>
      <c r="F1214" t="s">
        <v>1180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f t="shared" si="36"/>
        <v>6</v>
      </c>
      <c r="M1214">
        <f t="shared" si="37"/>
        <v>1</v>
      </c>
    </row>
    <row r="1215" spans="1:13" x14ac:dyDescent="0.3">
      <c r="A1215">
        <v>1213</v>
      </c>
      <c r="B1215">
        <v>1214</v>
      </c>
      <c r="C1215" t="s">
        <v>1262</v>
      </c>
      <c r="D1215">
        <v>2021</v>
      </c>
      <c r="E1215" t="s">
        <v>36</v>
      </c>
      <c r="F1215" t="s">
        <v>1180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f t="shared" si="36"/>
        <v>6</v>
      </c>
      <c r="M1215">
        <f t="shared" si="37"/>
        <v>1</v>
      </c>
    </row>
    <row r="1216" spans="1:13" x14ac:dyDescent="0.3">
      <c r="A1216">
        <v>1214</v>
      </c>
      <c r="B1216">
        <v>1215</v>
      </c>
      <c r="C1216" t="s">
        <v>1263</v>
      </c>
      <c r="D1216">
        <v>2020</v>
      </c>
      <c r="E1216" t="s">
        <v>11</v>
      </c>
      <c r="F1216" t="s">
        <v>1180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f t="shared" si="36"/>
        <v>6</v>
      </c>
      <c r="M1216">
        <f t="shared" si="37"/>
        <v>1</v>
      </c>
    </row>
    <row r="1217" spans="1:13" x14ac:dyDescent="0.3">
      <c r="A1217">
        <v>1215</v>
      </c>
      <c r="B1217">
        <v>1216</v>
      </c>
      <c r="C1217" t="s">
        <v>1264</v>
      </c>
      <c r="D1217">
        <v>2002</v>
      </c>
      <c r="E1217" t="s">
        <v>14</v>
      </c>
      <c r="F1217" t="s">
        <v>1180</v>
      </c>
      <c r="G1217">
        <v>1</v>
      </c>
      <c r="H1217">
        <v>0</v>
      </c>
      <c r="I1217">
        <v>1</v>
      </c>
      <c r="J1217">
        <v>0</v>
      </c>
      <c r="K1217">
        <v>0</v>
      </c>
      <c r="L1217">
        <f t="shared" si="36"/>
        <v>6</v>
      </c>
      <c r="M1217">
        <f t="shared" si="37"/>
        <v>2</v>
      </c>
    </row>
    <row r="1218" spans="1:13" x14ac:dyDescent="0.3">
      <c r="A1218">
        <v>1216</v>
      </c>
      <c r="B1218">
        <v>1217</v>
      </c>
      <c r="C1218" t="s">
        <v>1265</v>
      </c>
      <c r="D1218">
        <v>2019</v>
      </c>
      <c r="E1218" t="s">
        <v>11</v>
      </c>
      <c r="F1218" t="s">
        <v>1180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f t="shared" si="36"/>
        <v>6</v>
      </c>
      <c r="M1218">
        <f t="shared" si="37"/>
        <v>1</v>
      </c>
    </row>
    <row r="1219" spans="1:13" x14ac:dyDescent="0.3">
      <c r="A1219">
        <v>1217</v>
      </c>
      <c r="B1219">
        <v>1218</v>
      </c>
      <c r="C1219" t="s">
        <v>1266</v>
      </c>
      <c r="D1219">
        <v>1994</v>
      </c>
      <c r="E1219" t="s">
        <v>36</v>
      </c>
      <c r="F1219" t="s">
        <v>1180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f t="shared" ref="L1219:L1282" si="38">IFERROR(VALUE(LEFT(F1219,FIND("/",F1219)-1))/10,"")</f>
        <v>6</v>
      </c>
      <c r="M1219">
        <f t="shared" ref="M1219:M1282" si="39">SUM(G1219:J1219)</f>
        <v>1</v>
      </c>
    </row>
    <row r="1220" spans="1:13" x14ac:dyDescent="0.3">
      <c r="A1220">
        <v>1218</v>
      </c>
      <c r="B1220">
        <v>1219</v>
      </c>
      <c r="C1220" t="s">
        <v>1267</v>
      </c>
      <c r="D1220">
        <v>2018</v>
      </c>
      <c r="E1220" t="s">
        <v>11</v>
      </c>
      <c r="F1220" t="s">
        <v>1180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f t="shared" si="38"/>
        <v>6</v>
      </c>
      <c r="M1220">
        <f t="shared" si="39"/>
        <v>1</v>
      </c>
    </row>
    <row r="1221" spans="1:13" x14ac:dyDescent="0.3">
      <c r="A1221">
        <v>1219</v>
      </c>
      <c r="B1221">
        <v>1220</v>
      </c>
      <c r="C1221" t="s">
        <v>1268</v>
      </c>
      <c r="D1221">
        <v>2020</v>
      </c>
      <c r="E1221" t="s">
        <v>28</v>
      </c>
      <c r="F1221" t="s">
        <v>1180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f t="shared" si="38"/>
        <v>6</v>
      </c>
      <c r="M1221">
        <f t="shared" si="39"/>
        <v>1</v>
      </c>
    </row>
    <row r="1222" spans="1:13" x14ac:dyDescent="0.3">
      <c r="A1222">
        <v>1220</v>
      </c>
      <c r="B1222">
        <v>1221</v>
      </c>
      <c r="C1222" t="s">
        <v>1269</v>
      </c>
      <c r="D1222">
        <v>2017</v>
      </c>
      <c r="E1222" t="s">
        <v>11</v>
      </c>
      <c r="F1222" t="s">
        <v>1180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f t="shared" si="38"/>
        <v>6</v>
      </c>
      <c r="M1222">
        <f t="shared" si="39"/>
        <v>1</v>
      </c>
    </row>
    <row r="1223" spans="1:13" x14ac:dyDescent="0.3">
      <c r="A1223">
        <v>1221</v>
      </c>
      <c r="B1223">
        <v>1222</v>
      </c>
      <c r="C1223" t="s">
        <v>1270</v>
      </c>
      <c r="D1223">
        <v>2017</v>
      </c>
      <c r="F1223" t="s">
        <v>1180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f t="shared" si="38"/>
        <v>6</v>
      </c>
      <c r="M1223">
        <f t="shared" si="39"/>
        <v>1</v>
      </c>
    </row>
    <row r="1224" spans="1:13" x14ac:dyDescent="0.3">
      <c r="A1224">
        <v>1222</v>
      </c>
      <c r="B1224">
        <v>1223</v>
      </c>
      <c r="C1224" t="s">
        <v>1271</v>
      </c>
      <c r="D1224">
        <v>2019</v>
      </c>
      <c r="F1224" t="s">
        <v>1180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f t="shared" si="38"/>
        <v>6</v>
      </c>
      <c r="M1224">
        <f t="shared" si="39"/>
        <v>1</v>
      </c>
    </row>
    <row r="1225" spans="1:13" x14ac:dyDescent="0.3">
      <c r="A1225">
        <v>1223</v>
      </c>
      <c r="B1225">
        <v>1224</v>
      </c>
      <c r="C1225" t="s">
        <v>1272</v>
      </c>
      <c r="D1225">
        <v>2015</v>
      </c>
      <c r="F1225" t="s">
        <v>1180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f t="shared" si="38"/>
        <v>6</v>
      </c>
      <c r="M1225">
        <f t="shared" si="39"/>
        <v>1</v>
      </c>
    </row>
    <row r="1226" spans="1:13" x14ac:dyDescent="0.3">
      <c r="A1226">
        <v>1224</v>
      </c>
      <c r="B1226">
        <v>1225</v>
      </c>
      <c r="C1226" t="s">
        <v>1273</v>
      </c>
      <c r="D1226">
        <v>2016</v>
      </c>
      <c r="F1226" t="s">
        <v>1180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f t="shared" si="38"/>
        <v>6</v>
      </c>
      <c r="M1226">
        <f t="shared" si="39"/>
        <v>1</v>
      </c>
    </row>
    <row r="1227" spans="1:13" x14ac:dyDescent="0.3">
      <c r="A1227">
        <v>1225</v>
      </c>
      <c r="B1227">
        <v>1226</v>
      </c>
      <c r="C1227" t="s">
        <v>1274</v>
      </c>
      <c r="D1227">
        <v>2018</v>
      </c>
      <c r="E1227" t="s">
        <v>11</v>
      </c>
      <c r="F1227" t="s">
        <v>1180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f t="shared" si="38"/>
        <v>6</v>
      </c>
      <c r="M1227">
        <f t="shared" si="39"/>
        <v>1</v>
      </c>
    </row>
    <row r="1228" spans="1:13" x14ac:dyDescent="0.3">
      <c r="A1228">
        <v>1226</v>
      </c>
      <c r="B1228">
        <v>1227</v>
      </c>
      <c r="C1228" t="s">
        <v>1275</v>
      </c>
      <c r="D1228">
        <v>2012</v>
      </c>
      <c r="F1228" t="s">
        <v>1180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f t="shared" si="38"/>
        <v>6</v>
      </c>
      <c r="M1228">
        <f t="shared" si="39"/>
        <v>1</v>
      </c>
    </row>
    <row r="1229" spans="1:13" x14ac:dyDescent="0.3">
      <c r="A1229">
        <v>1227</v>
      </c>
      <c r="B1229">
        <v>1228</v>
      </c>
      <c r="C1229" t="s">
        <v>1276</v>
      </c>
      <c r="D1229">
        <v>2019</v>
      </c>
      <c r="F1229" t="s">
        <v>1180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f t="shared" si="38"/>
        <v>6</v>
      </c>
      <c r="M1229">
        <f t="shared" si="39"/>
        <v>1</v>
      </c>
    </row>
    <row r="1230" spans="1:13" x14ac:dyDescent="0.3">
      <c r="A1230">
        <v>1228</v>
      </c>
      <c r="B1230">
        <v>1229</v>
      </c>
      <c r="C1230" t="s">
        <v>1277</v>
      </c>
      <c r="D1230">
        <v>2020</v>
      </c>
      <c r="E1230" t="s">
        <v>11</v>
      </c>
      <c r="F1230" t="s">
        <v>1278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f t="shared" si="38"/>
        <v>5.9</v>
      </c>
      <c r="M1230">
        <f t="shared" si="39"/>
        <v>1</v>
      </c>
    </row>
    <row r="1231" spans="1:13" x14ac:dyDescent="0.3">
      <c r="A1231">
        <v>1229</v>
      </c>
      <c r="B1231">
        <v>1230</v>
      </c>
      <c r="C1231" t="s">
        <v>1279</v>
      </c>
      <c r="D1231">
        <v>2006</v>
      </c>
      <c r="E1231" t="s">
        <v>22</v>
      </c>
      <c r="F1231" t="s">
        <v>1278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f t="shared" si="38"/>
        <v>5.9</v>
      </c>
      <c r="M1231">
        <f t="shared" si="39"/>
        <v>1</v>
      </c>
    </row>
    <row r="1232" spans="1:13" x14ac:dyDescent="0.3">
      <c r="A1232">
        <v>1230</v>
      </c>
      <c r="B1232">
        <v>1231</v>
      </c>
      <c r="C1232" t="s">
        <v>1280</v>
      </c>
      <c r="D1232">
        <v>2019</v>
      </c>
      <c r="E1232" t="s">
        <v>22</v>
      </c>
      <c r="F1232" t="s">
        <v>1278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f t="shared" si="38"/>
        <v>5.9</v>
      </c>
      <c r="M1232">
        <f t="shared" si="39"/>
        <v>1</v>
      </c>
    </row>
    <row r="1233" spans="1:13" x14ac:dyDescent="0.3">
      <c r="A1233">
        <v>1231</v>
      </c>
      <c r="B1233">
        <v>1232</v>
      </c>
      <c r="C1233" t="s">
        <v>1281</v>
      </c>
      <c r="D1233">
        <v>2018</v>
      </c>
      <c r="E1233" t="s">
        <v>14</v>
      </c>
      <c r="F1233" t="s">
        <v>1278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f t="shared" si="38"/>
        <v>5.9</v>
      </c>
      <c r="M1233">
        <f t="shared" si="39"/>
        <v>1</v>
      </c>
    </row>
    <row r="1234" spans="1:13" x14ac:dyDescent="0.3">
      <c r="A1234">
        <v>1232</v>
      </c>
      <c r="B1234">
        <v>1233</v>
      </c>
      <c r="C1234" t="s">
        <v>1282</v>
      </c>
      <c r="D1234">
        <v>2017</v>
      </c>
      <c r="E1234" t="s">
        <v>28</v>
      </c>
      <c r="F1234" t="s">
        <v>1278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f t="shared" si="38"/>
        <v>5.9</v>
      </c>
      <c r="M1234">
        <f t="shared" si="39"/>
        <v>1</v>
      </c>
    </row>
    <row r="1235" spans="1:13" x14ac:dyDescent="0.3">
      <c r="A1235">
        <v>1233</v>
      </c>
      <c r="B1235">
        <v>1234</v>
      </c>
      <c r="C1235" t="s">
        <v>1283</v>
      </c>
      <c r="D1235">
        <v>2017</v>
      </c>
      <c r="F1235" t="s">
        <v>1278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f t="shared" si="38"/>
        <v>5.9</v>
      </c>
      <c r="M1235">
        <f t="shared" si="39"/>
        <v>1</v>
      </c>
    </row>
    <row r="1236" spans="1:13" x14ac:dyDescent="0.3">
      <c r="A1236">
        <v>1234</v>
      </c>
      <c r="B1236">
        <v>1235</v>
      </c>
      <c r="C1236" t="s">
        <v>1284</v>
      </c>
      <c r="D1236">
        <v>2016</v>
      </c>
      <c r="E1236" t="s">
        <v>11</v>
      </c>
      <c r="F1236" t="s">
        <v>1278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f t="shared" si="38"/>
        <v>5.9</v>
      </c>
      <c r="M1236">
        <f t="shared" si="39"/>
        <v>1</v>
      </c>
    </row>
    <row r="1237" spans="1:13" x14ac:dyDescent="0.3">
      <c r="A1237">
        <v>1235</v>
      </c>
      <c r="B1237">
        <v>1236</v>
      </c>
      <c r="C1237" t="s">
        <v>1285</v>
      </c>
      <c r="D1237">
        <v>2018</v>
      </c>
      <c r="F1237" t="s">
        <v>1278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f t="shared" si="38"/>
        <v>5.9</v>
      </c>
      <c r="M1237">
        <f t="shared" si="39"/>
        <v>1</v>
      </c>
    </row>
    <row r="1238" spans="1:13" x14ac:dyDescent="0.3">
      <c r="A1238">
        <v>1236</v>
      </c>
      <c r="B1238">
        <v>1237</v>
      </c>
      <c r="C1238" t="s">
        <v>1286</v>
      </c>
      <c r="D1238">
        <v>2018</v>
      </c>
      <c r="F1238" t="s">
        <v>1278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f t="shared" si="38"/>
        <v>5.9</v>
      </c>
      <c r="M1238">
        <f t="shared" si="39"/>
        <v>1</v>
      </c>
    </row>
    <row r="1239" spans="1:13" x14ac:dyDescent="0.3">
      <c r="A1239">
        <v>1237</v>
      </c>
      <c r="B1239">
        <v>1238</v>
      </c>
      <c r="C1239" t="s">
        <v>1287</v>
      </c>
      <c r="D1239">
        <v>2017</v>
      </c>
      <c r="E1239" t="s">
        <v>11</v>
      </c>
      <c r="F1239" t="s">
        <v>1278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f t="shared" si="38"/>
        <v>5.9</v>
      </c>
      <c r="M1239">
        <f t="shared" si="39"/>
        <v>1</v>
      </c>
    </row>
    <row r="1240" spans="1:13" x14ac:dyDescent="0.3">
      <c r="A1240">
        <v>1238</v>
      </c>
      <c r="B1240">
        <v>1239</v>
      </c>
      <c r="C1240" t="s">
        <v>1288</v>
      </c>
      <c r="D1240">
        <v>2020</v>
      </c>
      <c r="F1240" t="s">
        <v>1278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f t="shared" si="38"/>
        <v>5.9</v>
      </c>
      <c r="M1240">
        <f t="shared" si="39"/>
        <v>1</v>
      </c>
    </row>
    <row r="1241" spans="1:13" x14ac:dyDescent="0.3">
      <c r="A1241">
        <v>1239</v>
      </c>
      <c r="B1241">
        <v>1240</v>
      </c>
      <c r="C1241" t="s">
        <v>1289</v>
      </c>
      <c r="D1241">
        <v>2017</v>
      </c>
      <c r="E1241" t="s">
        <v>11</v>
      </c>
      <c r="F1241" t="s">
        <v>1278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f t="shared" si="38"/>
        <v>5.9</v>
      </c>
      <c r="M1241">
        <f t="shared" si="39"/>
        <v>1</v>
      </c>
    </row>
    <row r="1242" spans="1:13" x14ac:dyDescent="0.3">
      <c r="A1242">
        <v>1240</v>
      </c>
      <c r="B1242">
        <v>1241</v>
      </c>
      <c r="C1242" t="s">
        <v>1290</v>
      </c>
      <c r="D1242">
        <v>2018</v>
      </c>
      <c r="E1242" t="s">
        <v>14</v>
      </c>
      <c r="F1242" t="s">
        <v>1278</v>
      </c>
      <c r="G1242">
        <v>1</v>
      </c>
      <c r="H1242">
        <v>0</v>
      </c>
      <c r="I1242">
        <v>1</v>
      </c>
      <c r="J1242">
        <v>0</v>
      </c>
      <c r="K1242">
        <v>0</v>
      </c>
      <c r="L1242">
        <f t="shared" si="38"/>
        <v>5.9</v>
      </c>
      <c r="M1242">
        <f t="shared" si="39"/>
        <v>2</v>
      </c>
    </row>
    <row r="1243" spans="1:13" x14ac:dyDescent="0.3">
      <c r="A1243">
        <v>1241</v>
      </c>
      <c r="B1243">
        <v>1242</v>
      </c>
      <c r="C1243" t="s">
        <v>1291</v>
      </c>
      <c r="D1243">
        <v>2016</v>
      </c>
      <c r="E1243" t="s">
        <v>22</v>
      </c>
      <c r="F1243" t="s">
        <v>1278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f t="shared" si="38"/>
        <v>5.9</v>
      </c>
      <c r="M1243">
        <f t="shared" si="39"/>
        <v>1</v>
      </c>
    </row>
    <row r="1244" spans="1:13" x14ac:dyDescent="0.3">
      <c r="A1244">
        <v>1242</v>
      </c>
      <c r="B1244">
        <v>1243</v>
      </c>
      <c r="C1244" t="s">
        <v>1292</v>
      </c>
      <c r="D1244">
        <v>2011</v>
      </c>
      <c r="E1244" t="s">
        <v>11</v>
      </c>
      <c r="F1244" t="s">
        <v>1278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f t="shared" si="38"/>
        <v>5.9</v>
      </c>
      <c r="M1244">
        <f t="shared" si="39"/>
        <v>1</v>
      </c>
    </row>
    <row r="1245" spans="1:13" x14ac:dyDescent="0.3">
      <c r="A1245">
        <v>1243</v>
      </c>
      <c r="B1245">
        <v>1244</v>
      </c>
      <c r="C1245" t="s">
        <v>1293</v>
      </c>
      <c r="D1245">
        <v>1989</v>
      </c>
      <c r="E1245" t="s">
        <v>11</v>
      </c>
      <c r="F1245" t="s">
        <v>1278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f t="shared" si="38"/>
        <v>5.9</v>
      </c>
      <c r="M1245">
        <f t="shared" si="39"/>
        <v>1</v>
      </c>
    </row>
    <row r="1246" spans="1:13" x14ac:dyDescent="0.3">
      <c r="A1246">
        <v>1244</v>
      </c>
      <c r="B1246">
        <v>1245</v>
      </c>
      <c r="C1246" t="s">
        <v>1294</v>
      </c>
      <c r="D1246">
        <v>2017</v>
      </c>
      <c r="E1246" t="s">
        <v>22</v>
      </c>
      <c r="F1246" t="s">
        <v>1278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f t="shared" si="38"/>
        <v>5.9</v>
      </c>
      <c r="M1246">
        <f t="shared" si="39"/>
        <v>1</v>
      </c>
    </row>
    <row r="1247" spans="1:13" x14ac:dyDescent="0.3">
      <c r="A1247">
        <v>1245</v>
      </c>
      <c r="B1247">
        <v>1246</v>
      </c>
      <c r="C1247" t="s">
        <v>1295</v>
      </c>
      <c r="D1247">
        <v>2007</v>
      </c>
      <c r="F1247" t="s">
        <v>1278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f t="shared" si="38"/>
        <v>5.9</v>
      </c>
      <c r="M1247">
        <f t="shared" si="39"/>
        <v>1</v>
      </c>
    </row>
    <row r="1248" spans="1:13" x14ac:dyDescent="0.3">
      <c r="A1248">
        <v>1246</v>
      </c>
      <c r="B1248">
        <v>1247</v>
      </c>
      <c r="C1248" t="s">
        <v>1296</v>
      </c>
      <c r="D1248">
        <v>2018</v>
      </c>
      <c r="E1248" t="s">
        <v>11</v>
      </c>
      <c r="F1248" t="s">
        <v>1278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f t="shared" si="38"/>
        <v>5.9</v>
      </c>
      <c r="M1248">
        <f t="shared" si="39"/>
        <v>1</v>
      </c>
    </row>
    <row r="1249" spans="1:13" x14ac:dyDescent="0.3">
      <c r="A1249">
        <v>1247</v>
      </c>
      <c r="B1249">
        <v>1248</v>
      </c>
      <c r="C1249" t="s">
        <v>1297</v>
      </c>
      <c r="D1249">
        <v>1994</v>
      </c>
      <c r="E1249" t="s">
        <v>14</v>
      </c>
      <c r="F1249" t="s">
        <v>1278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f t="shared" si="38"/>
        <v>5.9</v>
      </c>
      <c r="M1249">
        <f t="shared" si="39"/>
        <v>1</v>
      </c>
    </row>
    <row r="1250" spans="1:13" x14ac:dyDescent="0.3">
      <c r="A1250">
        <v>1248</v>
      </c>
      <c r="B1250">
        <v>1249</v>
      </c>
      <c r="C1250" t="s">
        <v>1298</v>
      </c>
      <c r="D1250">
        <v>2012</v>
      </c>
      <c r="E1250" t="s">
        <v>36</v>
      </c>
      <c r="F1250" t="s">
        <v>1278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f t="shared" si="38"/>
        <v>5.9</v>
      </c>
      <c r="M1250">
        <f t="shared" si="39"/>
        <v>1</v>
      </c>
    </row>
    <row r="1251" spans="1:13" x14ac:dyDescent="0.3">
      <c r="A1251">
        <v>1249</v>
      </c>
      <c r="B1251">
        <v>1250</v>
      </c>
      <c r="C1251" t="s">
        <v>1299</v>
      </c>
      <c r="D1251">
        <v>2017</v>
      </c>
      <c r="F1251" t="s">
        <v>1278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f t="shared" si="38"/>
        <v>5.9</v>
      </c>
      <c r="M1251">
        <f t="shared" si="39"/>
        <v>1</v>
      </c>
    </row>
    <row r="1252" spans="1:13" x14ac:dyDescent="0.3">
      <c r="A1252">
        <v>1250</v>
      </c>
      <c r="B1252">
        <v>1251</v>
      </c>
      <c r="C1252" t="s">
        <v>1300</v>
      </c>
      <c r="D1252">
        <v>2010</v>
      </c>
      <c r="E1252" t="s">
        <v>28</v>
      </c>
      <c r="F1252" t="s">
        <v>1278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f t="shared" si="38"/>
        <v>5.9</v>
      </c>
      <c r="M1252">
        <f t="shared" si="39"/>
        <v>1</v>
      </c>
    </row>
    <row r="1253" spans="1:13" x14ac:dyDescent="0.3">
      <c r="A1253">
        <v>1251</v>
      </c>
      <c r="B1253">
        <v>1252</v>
      </c>
      <c r="C1253" t="s">
        <v>1301</v>
      </c>
      <c r="D1253">
        <v>2015</v>
      </c>
      <c r="F1253" t="s">
        <v>1278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f t="shared" si="38"/>
        <v>5.9</v>
      </c>
      <c r="M1253">
        <f t="shared" si="39"/>
        <v>1</v>
      </c>
    </row>
    <row r="1254" spans="1:13" x14ac:dyDescent="0.3">
      <c r="A1254">
        <v>1252</v>
      </c>
      <c r="B1254">
        <v>1253</v>
      </c>
      <c r="C1254" t="s">
        <v>1302</v>
      </c>
      <c r="D1254">
        <v>2016</v>
      </c>
      <c r="E1254" t="s">
        <v>11</v>
      </c>
      <c r="F1254" t="s">
        <v>1278</v>
      </c>
      <c r="G1254">
        <v>1</v>
      </c>
      <c r="H1254">
        <v>0</v>
      </c>
      <c r="I1254">
        <v>1</v>
      </c>
      <c r="J1254">
        <v>0</v>
      </c>
      <c r="K1254">
        <v>0</v>
      </c>
      <c r="L1254">
        <f t="shared" si="38"/>
        <v>5.9</v>
      </c>
      <c r="M1254">
        <f t="shared" si="39"/>
        <v>2</v>
      </c>
    </row>
    <row r="1255" spans="1:13" x14ac:dyDescent="0.3">
      <c r="A1255">
        <v>1253</v>
      </c>
      <c r="B1255">
        <v>1254</v>
      </c>
      <c r="C1255" t="s">
        <v>1303</v>
      </c>
      <c r="D1255">
        <v>2021</v>
      </c>
      <c r="E1255" t="s">
        <v>11</v>
      </c>
      <c r="F1255" t="s">
        <v>1278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f t="shared" si="38"/>
        <v>5.9</v>
      </c>
      <c r="M1255">
        <f t="shared" si="39"/>
        <v>1</v>
      </c>
    </row>
    <row r="1256" spans="1:13" x14ac:dyDescent="0.3">
      <c r="A1256">
        <v>1254</v>
      </c>
      <c r="B1256">
        <v>1255</v>
      </c>
      <c r="C1256" t="s">
        <v>1304</v>
      </c>
      <c r="D1256">
        <v>2020</v>
      </c>
      <c r="F1256" t="s">
        <v>1278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f t="shared" si="38"/>
        <v>5.9</v>
      </c>
      <c r="M1256">
        <f t="shared" si="39"/>
        <v>1</v>
      </c>
    </row>
    <row r="1257" spans="1:13" x14ac:dyDescent="0.3">
      <c r="A1257">
        <v>1255</v>
      </c>
      <c r="B1257">
        <v>1256</v>
      </c>
      <c r="C1257" t="s">
        <v>1305</v>
      </c>
      <c r="D1257">
        <v>2021</v>
      </c>
      <c r="E1257" t="s">
        <v>28</v>
      </c>
      <c r="F1257" t="s">
        <v>1278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f t="shared" si="38"/>
        <v>5.9</v>
      </c>
      <c r="M1257">
        <f t="shared" si="39"/>
        <v>1</v>
      </c>
    </row>
    <row r="1258" spans="1:13" x14ac:dyDescent="0.3">
      <c r="A1258">
        <v>1256</v>
      </c>
      <c r="B1258">
        <v>1257</v>
      </c>
      <c r="C1258" t="s">
        <v>1306</v>
      </c>
      <c r="D1258">
        <v>2014</v>
      </c>
      <c r="E1258" t="s">
        <v>11</v>
      </c>
      <c r="F1258" t="s">
        <v>1278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f t="shared" si="38"/>
        <v>5.9</v>
      </c>
      <c r="M1258">
        <f t="shared" si="39"/>
        <v>1</v>
      </c>
    </row>
    <row r="1259" spans="1:13" x14ac:dyDescent="0.3">
      <c r="A1259">
        <v>1257</v>
      </c>
      <c r="B1259">
        <v>1258</v>
      </c>
      <c r="C1259" t="s">
        <v>1307</v>
      </c>
      <c r="D1259">
        <v>2016</v>
      </c>
      <c r="E1259" t="s">
        <v>14</v>
      </c>
      <c r="F1259" t="s">
        <v>1278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f t="shared" si="38"/>
        <v>5.9</v>
      </c>
      <c r="M1259">
        <f t="shared" si="39"/>
        <v>1</v>
      </c>
    </row>
    <row r="1260" spans="1:13" x14ac:dyDescent="0.3">
      <c r="A1260">
        <v>1258</v>
      </c>
      <c r="B1260">
        <v>1259</v>
      </c>
      <c r="C1260" t="s">
        <v>1308</v>
      </c>
      <c r="D1260">
        <v>2016</v>
      </c>
      <c r="F1260" t="s">
        <v>1278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f t="shared" si="38"/>
        <v>5.9</v>
      </c>
      <c r="M1260">
        <f t="shared" si="39"/>
        <v>1</v>
      </c>
    </row>
    <row r="1261" spans="1:13" x14ac:dyDescent="0.3">
      <c r="A1261">
        <v>1259</v>
      </c>
      <c r="B1261">
        <v>1260</v>
      </c>
      <c r="C1261" t="s">
        <v>1309</v>
      </c>
      <c r="D1261">
        <v>2009</v>
      </c>
      <c r="E1261" t="s">
        <v>11</v>
      </c>
      <c r="F1261" t="s">
        <v>1278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f t="shared" si="38"/>
        <v>5.9</v>
      </c>
      <c r="M1261">
        <f t="shared" si="39"/>
        <v>1</v>
      </c>
    </row>
    <row r="1262" spans="1:13" x14ac:dyDescent="0.3">
      <c r="A1262">
        <v>1260</v>
      </c>
      <c r="B1262">
        <v>1261</v>
      </c>
      <c r="C1262" t="s">
        <v>1310</v>
      </c>
      <c r="D1262">
        <v>2019</v>
      </c>
      <c r="F1262" t="s">
        <v>1278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f t="shared" si="38"/>
        <v>5.9</v>
      </c>
      <c r="M1262">
        <f t="shared" si="39"/>
        <v>1</v>
      </c>
    </row>
    <row r="1263" spans="1:13" x14ac:dyDescent="0.3">
      <c r="A1263">
        <v>1261</v>
      </c>
      <c r="B1263">
        <v>1262</v>
      </c>
      <c r="C1263" t="s">
        <v>1311</v>
      </c>
      <c r="D1263">
        <v>2016</v>
      </c>
      <c r="E1263" t="s">
        <v>22</v>
      </c>
      <c r="F1263" t="s">
        <v>1278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f t="shared" si="38"/>
        <v>5.9</v>
      </c>
      <c r="M1263">
        <f t="shared" si="39"/>
        <v>1</v>
      </c>
    </row>
    <row r="1264" spans="1:13" x14ac:dyDescent="0.3">
      <c r="A1264">
        <v>1262</v>
      </c>
      <c r="B1264">
        <v>1263</v>
      </c>
      <c r="C1264" t="s">
        <v>1312</v>
      </c>
      <c r="D1264">
        <v>2020</v>
      </c>
      <c r="E1264" t="s">
        <v>22</v>
      </c>
      <c r="F1264" t="s">
        <v>1278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f t="shared" si="38"/>
        <v>5.9</v>
      </c>
      <c r="M1264">
        <f t="shared" si="39"/>
        <v>1</v>
      </c>
    </row>
    <row r="1265" spans="1:13" x14ac:dyDescent="0.3">
      <c r="A1265">
        <v>1263</v>
      </c>
      <c r="B1265">
        <v>1264</v>
      </c>
      <c r="C1265" t="s">
        <v>1313</v>
      </c>
      <c r="D1265">
        <v>2019</v>
      </c>
      <c r="E1265" t="s">
        <v>14</v>
      </c>
      <c r="F1265" t="s">
        <v>1278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f t="shared" si="38"/>
        <v>5.9</v>
      </c>
      <c r="M1265">
        <f t="shared" si="39"/>
        <v>1</v>
      </c>
    </row>
    <row r="1266" spans="1:13" x14ac:dyDescent="0.3">
      <c r="A1266">
        <v>1264</v>
      </c>
      <c r="B1266">
        <v>1265</v>
      </c>
      <c r="C1266" t="s">
        <v>1314</v>
      </c>
      <c r="D1266">
        <v>2018</v>
      </c>
      <c r="F1266" t="s">
        <v>1278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f t="shared" si="38"/>
        <v>5.9</v>
      </c>
      <c r="M1266">
        <f t="shared" si="39"/>
        <v>1</v>
      </c>
    </row>
    <row r="1267" spans="1:13" x14ac:dyDescent="0.3">
      <c r="A1267">
        <v>1265</v>
      </c>
      <c r="B1267">
        <v>1266</v>
      </c>
      <c r="C1267" t="s">
        <v>1315</v>
      </c>
      <c r="D1267">
        <v>2010</v>
      </c>
      <c r="E1267" t="s">
        <v>14</v>
      </c>
      <c r="F1267" t="s">
        <v>1278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f t="shared" si="38"/>
        <v>5.9</v>
      </c>
      <c r="M1267">
        <f t="shared" si="39"/>
        <v>1</v>
      </c>
    </row>
    <row r="1268" spans="1:13" x14ac:dyDescent="0.3">
      <c r="A1268">
        <v>1266</v>
      </c>
      <c r="B1268">
        <v>1267</v>
      </c>
      <c r="C1268" t="s">
        <v>1316</v>
      </c>
      <c r="D1268">
        <v>2020</v>
      </c>
      <c r="F1268" t="s">
        <v>1278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f t="shared" si="38"/>
        <v>5.9</v>
      </c>
      <c r="M1268">
        <f t="shared" si="39"/>
        <v>1</v>
      </c>
    </row>
    <row r="1269" spans="1:13" x14ac:dyDescent="0.3">
      <c r="A1269">
        <v>1267</v>
      </c>
      <c r="B1269">
        <v>1268</v>
      </c>
      <c r="C1269" t="s">
        <v>1317</v>
      </c>
      <c r="D1269">
        <v>1994</v>
      </c>
      <c r="F1269" t="s">
        <v>1278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f t="shared" si="38"/>
        <v>5.9</v>
      </c>
      <c r="M1269">
        <f t="shared" si="39"/>
        <v>1</v>
      </c>
    </row>
    <row r="1270" spans="1:13" x14ac:dyDescent="0.3">
      <c r="A1270">
        <v>1268</v>
      </c>
      <c r="B1270">
        <v>1269</v>
      </c>
      <c r="C1270" t="s">
        <v>1318</v>
      </c>
      <c r="D1270">
        <v>2020</v>
      </c>
      <c r="E1270" t="s">
        <v>22</v>
      </c>
      <c r="F1270" t="s">
        <v>1278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f t="shared" si="38"/>
        <v>5.9</v>
      </c>
      <c r="M1270">
        <f t="shared" si="39"/>
        <v>1</v>
      </c>
    </row>
    <row r="1271" spans="1:13" x14ac:dyDescent="0.3">
      <c r="A1271">
        <v>1269</v>
      </c>
      <c r="B1271">
        <v>1270</v>
      </c>
      <c r="C1271" t="s">
        <v>1319</v>
      </c>
      <c r="D1271">
        <v>2019</v>
      </c>
      <c r="E1271" t="s">
        <v>11</v>
      </c>
      <c r="F1271" t="s">
        <v>1278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f t="shared" si="38"/>
        <v>5.9</v>
      </c>
      <c r="M1271">
        <f t="shared" si="39"/>
        <v>1</v>
      </c>
    </row>
    <row r="1272" spans="1:13" x14ac:dyDescent="0.3">
      <c r="A1272">
        <v>1270</v>
      </c>
      <c r="B1272">
        <v>1271</v>
      </c>
      <c r="C1272" t="s">
        <v>1320</v>
      </c>
      <c r="D1272">
        <v>2020</v>
      </c>
      <c r="E1272" t="s">
        <v>14</v>
      </c>
      <c r="F1272" t="s">
        <v>1278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f t="shared" si="38"/>
        <v>5.9</v>
      </c>
      <c r="M1272">
        <f t="shared" si="39"/>
        <v>1</v>
      </c>
    </row>
    <row r="1273" spans="1:13" x14ac:dyDescent="0.3">
      <c r="A1273">
        <v>1271</v>
      </c>
      <c r="B1273">
        <v>1272</v>
      </c>
      <c r="C1273" t="s">
        <v>1321</v>
      </c>
      <c r="D1273">
        <v>2014</v>
      </c>
      <c r="E1273" t="s">
        <v>22</v>
      </c>
      <c r="F1273" t="s">
        <v>1278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f t="shared" si="38"/>
        <v>5.9</v>
      </c>
      <c r="M1273">
        <f t="shared" si="39"/>
        <v>1</v>
      </c>
    </row>
    <row r="1274" spans="1:13" x14ac:dyDescent="0.3">
      <c r="A1274">
        <v>1272</v>
      </c>
      <c r="B1274">
        <v>1273</v>
      </c>
      <c r="C1274" t="s">
        <v>1322</v>
      </c>
      <c r="D1274">
        <v>2006</v>
      </c>
      <c r="E1274" t="s">
        <v>11</v>
      </c>
      <c r="F1274" t="s">
        <v>1278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f t="shared" si="38"/>
        <v>5.9</v>
      </c>
      <c r="M1274">
        <f t="shared" si="39"/>
        <v>1</v>
      </c>
    </row>
    <row r="1275" spans="1:13" x14ac:dyDescent="0.3">
      <c r="A1275">
        <v>1273</v>
      </c>
      <c r="B1275">
        <v>1274</v>
      </c>
      <c r="C1275" t="s">
        <v>1323</v>
      </c>
      <c r="D1275">
        <v>2017</v>
      </c>
      <c r="E1275" t="s">
        <v>11</v>
      </c>
      <c r="F1275" t="s">
        <v>1278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f t="shared" si="38"/>
        <v>5.9</v>
      </c>
      <c r="M1275">
        <f t="shared" si="39"/>
        <v>1</v>
      </c>
    </row>
    <row r="1276" spans="1:13" x14ac:dyDescent="0.3">
      <c r="A1276">
        <v>1274</v>
      </c>
      <c r="B1276">
        <v>1275</v>
      </c>
      <c r="C1276" t="s">
        <v>1324</v>
      </c>
      <c r="D1276">
        <v>2015</v>
      </c>
      <c r="E1276" t="s">
        <v>11</v>
      </c>
      <c r="F1276" t="s">
        <v>1278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f t="shared" si="38"/>
        <v>5.9</v>
      </c>
      <c r="M1276">
        <f t="shared" si="39"/>
        <v>1</v>
      </c>
    </row>
    <row r="1277" spans="1:13" x14ac:dyDescent="0.3">
      <c r="A1277">
        <v>1275</v>
      </c>
      <c r="B1277">
        <v>1276</v>
      </c>
      <c r="C1277" t="s">
        <v>1325</v>
      </c>
      <c r="D1277">
        <v>2020</v>
      </c>
      <c r="F1277" t="s">
        <v>1278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f t="shared" si="38"/>
        <v>5.9</v>
      </c>
      <c r="M1277">
        <f t="shared" si="39"/>
        <v>1</v>
      </c>
    </row>
    <row r="1278" spans="1:13" x14ac:dyDescent="0.3">
      <c r="A1278">
        <v>1276</v>
      </c>
      <c r="B1278">
        <v>1277</v>
      </c>
      <c r="C1278" t="s">
        <v>1326</v>
      </c>
      <c r="D1278">
        <v>2016</v>
      </c>
      <c r="E1278" t="s">
        <v>22</v>
      </c>
      <c r="F1278" t="s">
        <v>1278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f t="shared" si="38"/>
        <v>5.9</v>
      </c>
      <c r="M1278">
        <f t="shared" si="39"/>
        <v>1</v>
      </c>
    </row>
    <row r="1279" spans="1:13" x14ac:dyDescent="0.3">
      <c r="A1279">
        <v>1277</v>
      </c>
      <c r="B1279">
        <v>1278</v>
      </c>
      <c r="C1279" t="s">
        <v>1327</v>
      </c>
      <c r="D1279">
        <v>2014</v>
      </c>
      <c r="F1279" t="s">
        <v>1278</v>
      </c>
      <c r="G1279">
        <v>1</v>
      </c>
      <c r="H1279">
        <v>0</v>
      </c>
      <c r="I1279">
        <v>1</v>
      </c>
      <c r="J1279">
        <v>0</v>
      </c>
      <c r="K1279">
        <v>0</v>
      </c>
      <c r="L1279">
        <f t="shared" si="38"/>
        <v>5.9</v>
      </c>
      <c r="M1279">
        <f t="shared" si="39"/>
        <v>2</v>
      </c>
    </row>
    <row r="1280" spans="1:13" x14ac:dyDescent="0.3">
      <c r="A1280">
        <v>1278</v>
      </c>
      <c r="B1280">
        <v>1279</v>
      </c>
      <c r="C1280" t="s">
        <v>1328</v>
      </c>
      <c r="D1280">
        <v>2020</v>
      </c>
      <c r="E1280" t="s">
        <v>22</v>
      </c>
      <c r="F1280" t="s">
        <v>1278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f t="shared" si="38"/>
        <v>5.9</v>
      </c>
      <c r="M1280">
        <f t="shared" si="39"/>
        <v>1</v>
      </c>
    </row>
    <row r="1281" spans="1:13" x14ac:dyDescent="0.3">
      <c r="A1281">
        <v>1279</v>
      </c>
      <c r="B1281">
        <v>1280</v>
      </c>
      <c r="C1281" t="s">
        <v>1329</v>
      </c>
      <c r="D1281">
        <v>2015</v>
      </c>
      <c r="F1281" t="s">
        <v>1278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f t="shared" si="38"/>
        <v>5.9</v>
      </c>
      <c r="M1281">
        <f t="shared" si="39"/>
        <v>1</v>
      </c>
    </row>
    <row r="1282" spans="1:13" x14ac:dyDescent="0.3">
      <c r="A1282">
        <v>1280</v>
      </c>
      <c r="B1282">
        <v>1281</v>
      </c>
      <c r="C1282" t="s">
        <v>1330</v>
      </c>
      <c r="D1282">
        <v>2020</v>
      </c>
      <c r="E1282" t="s">
        <v>11</v>
      </c>
      <c r="F1282" t="s">
        <v>1278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f t="shared" si="38"/>
        <v>5.9</v>
      </c>
      <c r="M1282">
        <f t="shared" si="39"/>
        <v>1</v>
      </c>
    </row>
    <row r="1283" spans="1:13" x14ac:dyDescent="0.3">
      <c r="A1283">
        <v>1281</v>
      </c>
      <c r="B1283">
        <v>1282</v>
      </c>
      <c r="C1283" t="s">
        <v>1331</v>
      </c>
      <c r="D1283">
        <v>2020</v>
      </c>
      <c r="F1283" t="s">
        <v>1278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f t="shared" ref="L1283:L1346" si="40">IFERROR(VALUE(LEFT(F1283,FIND("/",F1283)-1))/10,"")</f>
        <v>5.9</v>
      </c>
      <c r="M1283">
        <f t="shared" ref="M1283:M1346" si="41">SUM(G1283:J1283)</f>
        <v>1</v>
      </c>
    </row>
    <row r="1284" spans="1:13" x14ac:dyDescent="0.3">
      <c r="A1284">
        <v>1282</v>
      </c>
      <c r="B1284">
        <v>1283</v>
      </c>
      <c r="C1284" t="s">
        <v>1332</v>
      </c>
      <c r="D1284">
        <v>2018</v>
      </c>
      <c r="F1284" t="s">
        <v>1278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f t="shared" si="40"/>
        <v>5.9</v>
      </c>
      <c r="M1284">
        <f t="shared" si="41"/>
        <v>1</v>
      </c>
    </row>
    <row r="1285" spans="1:13" x14ac:dyDescent="0.3">
      <c r="A1285">
        <v>1283</v>
      </c>
      <c r="B1285">
        <v>1284</v>
      </c>
      <c r="C1285" t="s">
        <v>1333</v>
      </c>
      <c r="D1285">
        <v>2017</v>
      </c>
      <c r="E1285" t="s">
        <v>11</v>
      </c>
      <c r="F1285" t="s">
        <v>1278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f t="shared" si="40"/>
        <v>5.9</v>
      </c>
      <c r="M1285">
        <f t="shared" si="41"/>
        <v>1</v>
      </c>
    </row>
    <row r="1286" spans="1:13" x14ac:dyDescent="0.3">
      <c r="A1286">
        <v>1284</v>
      </c>
      <c r="B1286">
        <v>1285</v>
      </c>
      <c r="C1286" t="s">
        <v>1334</v>
      </c>
      <c r="D1286">
        <v>2019</v>
      </c>
      <c r="F1286" t="s">
        <v>1278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f t="shared" si="40"/>
        <v>5.9</v>
      </c>
      <c r="M1286">
        <f t="shared" si="41"/>
        <v>1</v>
      </c>
    </row>
    <row r="1287" spans="1:13" x14ac:dyDescent="0.3">
      <c r="A1287">
        <v>1285</v>
      </c>
      <c r="B1287">
        <v>1286</v>
      </c>
      <c r="C1287" t="s">
        <v>1335</v>
      </c>
      <c r="D1287">
        <v>2017</v>
      </c>
      <c r="F1287" t="s">
        <v>1278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f t="shared" si="40"/>
        <v>5.9</v>
      </c>
      <c r="M1287">
        <f t="shared" si="41"/>
        <v>1</v>
      </c>
    </row>
    <row r="1288" spans="1:13" x14ac:dyDescent="0.3">
      <c r="A1288">
        <v>1286</v>
      </c>
      <c r="B1288">
        <v>1287</v>
      </c>
      <c r="C1288" t="s">
        <v>1336</v>
      </c>
      <c r="D1288">
        <v>2015</v>
      </c>
      <c r="F1288" t="s">
        <v>1278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f t="shared" si="40"/>
        <v>5.9</v>
      </c>
      <c r="M1288">
        <f t="shared" si="41"/>
        <v>1</v>
      </c>
    </row>
    <row r="1289" spans="1:13" x14ac:dyDescent="0.3">
      <c r="A1289">
        <v>1287</v>
      </c>
      <c r="B1289">
        <v>1288</v>
      </c>
      <c r="C1289" t="s">
        <v>1337</v>
      </c>
      <c r="D1289">
        <v>2015</v>
      </c>
      <c r="E1289" t="s">
        <v>22</v>
      </c>
      <c r="F1289" t="s">
        <v>1278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f t="shared" si="40"/>
        <v>5.9</v>
      </c>
      <c r="M1289">
        <f t="shared" si="41"/>
        <v>1</v>
      </c>
    </row>
    <row r="1290" spans="1:13" x14ac:dyDescent="0.3">
      <c r="A1290">
        <v>1288</v>
      </c>
      <c r="B1290">
        <v>1289</v>
      </c>
      <c r="C1290" t="s">
        <v>1338</v>
      </c>
      <c r="D1290">
        <v>2017</v>
      </c>
      <c r="E1290" t="s">
        <v>11</v>
      </c>
      <c r="F1290" t="s">
        <v>1278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f t="shared" si="40"/>
        <v>5.9</v>
      </c>
      <c r="M1290">
        <f t="shared" si="41"/>
        <v>1</v>
      </c>
    </row>
    <row r="1291" spans="1:13" x14ac:dyDescent="0.3">
      <c r="A1291">
        <v>1289</v>
      </c>
      <c r="B1291">
        <v>1290</v>
      </c>
      <c r="C1291" t="s">
        <v>1339</v>
      </c>
      <c r="D1291">
        <v>2019</v>
      </c>
      <c r="E1291" t="s">
        <v>11</v>
      </c>
      <c r="F1291" t="s">
        <v>1278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f t="shared" si="40"/>
        <v>5.9</v>
      </c>
      <c r="M1291">
        <f t="shared" si="41"/>
        <v>1</v>
      </c>
    </row>
    <row r="1292" spans="1:13" x14ac:dyDescent="0.3">
      <c r="A1292">
        <v>1290</v>
      </c>
      <c r="B1292">
        <v>1291</v>
      </c>
      <c r="C1292" t="s">
        <v>1340</v>
      </c>
      <c r="D1292">
        <v>2003</v>
      </c>
      <c r="F1292" t="s">
        <v>1278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f t="shared" si="40"/>
        <v>5.9</v>
      </c>
      <c r="M1292">
        <f t="shared" si="41"/>
        <v>1</v>
      </c>
    </row>
    <row r="1293" spans="1:13" x14ac:dyDescent="0.3">
      <c r="A1293">
        <v>1291</v>
      </c>
      <c r="B1293">
        <v>1292</v>
      </c>
      <c r="C1293" t="s">
        <v>1341</v>
      </c>
      <c r="D1293">
        <v>1998</v>
      </c>
      <c r="E1293" t="s">
        <v>11</v>
      </c>
      <c r="F1293" t="s">
        <v>1278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f t="shared" si="40"/>
        <v>5.9</v>
      </c>
      <c r="M1293">
        <f t="shared" si="41"/>
        <v>1</v>
      </c>
    </row>
    <row r="1294" spans="1:13" x14ac:dyDescent="0.3">
      <c r="A1294">
        <v>1292</v>
      </c>
      <c r="B1294">
        <v>1293</v>
      </c>
      <c r="C1294" t="s">
        <v>1342</v>
      </c>
      <c r="D1294">
        <v>2017</v>
      </c>
      <c r="F1294" t="s">
        <v>1278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f t="shared" si="40"/>
        <v>5.9</v>
      </c>
      <c r="M1294">
        <f t="shared" si="41"/>
        <v>1</v>
      </c>
    </row>
    <row r="1295" spans="1:13" x14ac:dyDescent="0.3">
      <c r="A1295">
        <v>1293</v>
      </c>
      <c r="B1295">
        <v>1294</v>
      </c>
      <c r="C1295" t="s">
        <v>1343</v>
      </c>
      <c r="D1295">
        <v>2020</v>
      </c>
      <c r="E1295" t="s">
        <v>11</v>
      </c>
      <c r="F1295" t="s">
        <v>1278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f t="shared" si="40"/>
        <v>5.9</v>
      </c>
      <c r="M1295">
        <f t="shared" si="41"/>
        <v>1</v>
      </c>
    </row>
    <row r="1296" spans="1:13" x14ac:dyDescent="0.3">
      <c r="A1296">
        <v>1294</v>
      </c>
      <c r="B1296">
        <v>1295</v>
      </c>
      <c r="C1296" t="s">
        <v>1344</v>
      </c>
      <c r="D1296">
        <v>2017</v>
      </c>
      <c r="F1296" t="s">
        <v>1278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f t="shared" si="40"/>
        <v>5.9</v>
      </c>
      <c r="M1296">
        <f t="shared" si="41"/>
        <v>1</v>
      </c>
    </row>
    <row r="1297" spans="1:13" x14ac:dyDescent="0.3">
      <c r="A1297">
        <v>1295</v>
      </c>
      <c r="B1297">
        <v>1296</v>
      </c>
      <c r="C1297" t="s">
        <v>1345</v>
      </c>
      <c r="D1297">
        <v>2017</v>
      </c>
      <c r="E1297" t="s">
        <v>11</v>
      </c>
      <c r="F1297" t="s">
        <v>1278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f t="shared" si="40"/>
        <v>5.9</v>
      </c>
      <c r="M1297">
        <f t="shared" si="41"/>
        <v>1</v>
      </c>
    </row>
    <row r="1298" spans="1:13" x14ac:dyDescent="0.3">
      <c r="A1298">
        <v>1296</v>
      </c>
      <c r="B1298">
        <v>1297</v>
      </c>
      <c r="C1298" t="s">
        <v>1346</v>
      </c>
      <c r="D1298">
        <v>2018</v>
      </c>
      <c r="E1298" t="s">
        <v>11</v>
      </c>
      <c r="F1298" t="s">
        <v>1278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f t="shared" si="40"/>
        <v>5.9</v>
      </c>
      <c r="M1298">
        <f t="shared" si="41"/>
        <v>1</v>
      </c>
    </row>
    <row r="1299" spans="1:13" x14ac:dyDescent="0.3">
      <c r="A1299">
        <v>1297</v>
      </c>
      <c r="B1299">
        <v>1298</v>
      </c>
      <c r="C1299" t="s">
        <v>1347</v>
      </c>
      <c r="D1299">
        <v>2019</v>
      </c>
      <c r="F1299" t="s">
        <v>1278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f t="shared" si="40"/>
        <v>5.9</v>
      </c>
      <c r="M1299">
        <f t="shared" si="41"/>
        <v>1</v>
      </c>
    </row>
    <row r="1300" spans="1:13" x14ac:dyDescent="0.3">
      <c r="A1300">
        <v>1298</v>
      </c>
      <c r="B1300">
        <v>1299</v>
      </c>
      <c r="C1300" t="s">
        <v>1348</v>
      </c>
      <c r="D1300">
        <v>2017</v>
      </c>
      <c r="E1300" t="s">
        <v>11</v>
      </c>
      <c r="F1300" t="s">
        <v>1278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f t="shared" si="40"/>
        <v>5.9</v>
      </c>
      <c r="M1300">
        <f t="shared" si="41"/>
        <v>1</v>
      </c>
    </row>
    <row r="1301" spans="1:13" x14ac:dyDescent="0.3">
      <c r="A1301">
        <v>1299</v>
      </c>
      <c r="B1301">
        <v>1300</v>
      </c>
      <c r="C1301" t="s">
        <v>1349</v>
      </c>
      <c r="D1301">
        <v>2017</v>
      </c>
      <c r="F1301" t="s">
        <v>1278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f t="shared" si="40"/>
        <v>5.9</v>
      </c>
      <c r="M1301">
        <f t="shared" si="41"/>
        <v>1</v>
      </c>
    </row>
    <row r="1302" spans="1:13" x14ac:dyDescent="0.3">
      <c r="A1302">
        <v>1300</v>
      </c>
      <c r="B1302">
        <v>1301</v>
      </c>
      <c r="C1302" t="s">
        <v>1350</v>
      </c>
      <c r="D1302">
        <v>2017</v>
      </c>
      <c r="F1302" t="s">
        <v>1278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f t="shared" si="40"/>
        <v>5.9</v>
      </c>
      <c r="M1302">
        <f t="shared" si="41"/>
        <v>1</v>
      </c>
    </row>
    <row r="1303" spans="1:13" x14ac:dyDescent="0.3">
      <c r="A1303">
        <v>1301</v>
      </c>
      <c r="B1303">
        <v>1302</v>
      </c>
      <c r="C1303" t="s">
        <v>1351</v>
      </c>
      <c r="D1303">
        <v>2020</v>
      </c>
      <c r="E1303" t="s">
        <v>22</v>
      </c>
      <c r="F1303" t="s">
        <v>1278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f t="shared" si="40"/>
        <v>5.9</v>
      </c>
      <c r="M1303">
        <f t="shared" si="41"/>
        <v>1</v>
      </c>
    </row>
    <row r="1304" spans="1:13" x14ac:dyDescent="0.3">
      <c r="A1304">
        <v>1302</v>
      </c>
      <c r="B1304">
        <v>1303</v>
      </c>
      <c r="C1304" t="s">
        <v>1352</v>
      </c>
      <c r="D1304">
        <v>2015</v>
      </c>
      <c r="F1304" t="s">
        <v>1278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f t="shared" si="40"/>
        <v>5.9</v>
      </c>
      <c r="M1304">
        <f t="shared" si="41"/>
        <v>1</v>
      </c>
    </row>
    <row r="1305" spans="1:13" x14ac:dyDescent="0.3">
      <c r="A1305">
        <v>1303</v>
      </c>
      <c r="B1305">
        <v>1304</v>
      </c>
      <c r="C1305" t="s">
        <v>1353</v>
      </c>
      <c r="D1305">
        <v>2007</v>
      </c>
      <c r="E1305" t="s">
        <v>14</v>
      </c>
      <c r="F1305" t="s">
        <v>1278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f t="shared" si="40"/>
        <v>5.9</v>
      </c>
      <c r="M1305">
        <f t="shared" si="41"/>
        <v>1</v>
      </c>
    </row>
    <row r="1306" spans="1:13" x14ac:dyDescent="0.3">
      <c r="A1306">
        <v>1304</v>
      </c>
      <c r="B1306">
        <v>1305</v>
      </c>
      <c r="C1306" t="s">
        <v>1354</v>
      </c>
      <c r="D1306">
        <v>2018</v>
      </c>
      <c r="E1306" t="s">
        <v>11</v>
      </c>
      <c r="F1306" t="s">
        <v>1278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f t="shared" si="40"/>
        <v>5.9</v>
      </c>
      <c r="M1306">
        <f t="shared" si="41"/>
        <v>1</v>
      </c>
    </row>
    <row r="1307" spans="1:13" x14ac:dyDescent="0.3">
      <c r="A1307">
        <v>1305</v>
      </c>
      <c r="B1307">
        <v>1306</v>
      </c>
      <c r="C1307" t="s">
        <v>1355</v>
      </c>
      <c r="D1307">
        <v>2011</v>
      </c>
      <c r="E1307" t="s">
        <v>28</v>
      </c>
      <c r="F1307" t="s">
        <v>1278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f t="shared" si="40"/>
        <v>5.9</v>
      </c>
      <c r="M1307">
        <f t="shared" si="41"/>
        <v>1</v>
      </c>
    </row>
    <row r="1308" spans="1:13" x14ac:dyDescent="0.3">
      <c r="A1308">
        <v>1306</v>
      </c>
      <c r="B1308">
        <v>1307</v>
      </c>
      <c r="C1308" t="s">
        <v>1356</v>
      </c>
      <c r="D1308">
        <v>2019</v>
      </c>
      <c r="E1308" t="s">
        <v>11</v>
      </c>
      <c r="F1308" t="s">
        <v>1278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f t="shared" si="40"/>
        <v>5.9</v>
      </c>
      <c r="M1308">
        <f t="shared" si="41"/>
        <v>1</v>
      </c>
    </row>
    <row r="1309" spans="1:13" x14ac:dyDescent="0.3">
      <c r="A1309">
        <v>1307</v>
      </c>
      <c r="B1309">
        <v>1308</v>
      </c>
      <c r="C1309" t="s">
        <v>1357</v>
      </c>
      <c r="D1309">
        <v>2018</v>
      </c>
      <c r="F1309" t="s">
        <v>1278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f t="shared" si="40"/>
        <v>5.9</v>
      </c>
      <c r="M1309">
        <f t="shared" si="41"/>
        <v>1</v>
      </c>
    </row>
    <row r="1310" spans="1:13" x14ac:dyDescent="0.3">
      <c r="A1310">
        <v>1308</v>
      </c>
      <c r="B1310">
        <v>1309</v>
      </c>
      <c r="C1310" t="s">
        <v>1358</v>
      </c>
      <c r="D1310">
        <v>2018</v>
      </c>
      <c r="E1310" t="s">
        <v>11</v>
      </c>
      <c r="F1310" t="s">
        <v>1278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f t="shared" si="40"/>
        <v>5.9</v>
      </c>
      <c r="M1310">
        <f t="shared" si="41"/>
        <v>1</v>
      </c>
    </row>
    <row r="1311" spans="1:13" x14ac:dyDescent="0.3">
      <c r="A1311">
        <v>1309</v>
      </c>
      <c r="B1311">
        <v>1310</v>
      </c>
      <c r="C1311" t="s">
        <v>1359</v>
      </c>
      <c r="D1311">
        <v>2013</v>
      </c>
      <c r="F1311" t="s">
        <v>1278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f t="shared" si="40"/>
        <v>5.9</v>
      </c>
      <c r="M1311">
        <f t="shared" si="41"/>
        <v>1</v>
      </c>
    </row>
    <row r="1312" spans="1:13" x14ac:dyDescent="0.3">
      <c r="A1312">
        <v>1310</v>
      </c>
      <c r="B1312">
        <v>1311</v>
      </c>
      <c r="C1312" t="s">
        <v>1360</v>
      </c>
      <c r="D1312">
        <v>2019</v>
      </c>
      <c r="E1312" t="s">
        <v>11</v>
      </c>
      <c r="F1312" t="s">
        <v>1278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f t="shared" si="40"/>
        <v>5.9</v>
      </c>
      <c r="M1312">
        <f t="shared" si="41"/>
        <v>1</v>
      </c>
    </row>
    <row r="1313" spans="1:13" x14ac:dyDescent="0.3">
      <c r="A1313">
        <v>1311</v>
      </c>
      <c r="B1313">
        <v>1312</v>
      </c>
      <c r="C1313" t="s">
        <v>1361</v>
      </c>
      <c r="D1313">
        <v>2001</v>
      </c>
      <c r="E1313" t="s">
        <v>11</v>
      </c>
      <c r="F1313" t="s">
        <v>1278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f t="shared" si="40"/>
        <v>5.9</v>
      </c>
      <c r="M1313">
        <f t="shared" si="41"/>
        <v>1</v>
      </c>
    </row>
    <row r="1314" spans="1:13" x14ac:dyDescent="0.3">
      <c r="A1314">
        <v>1312</v>
      </c>
      <c r="B1314">
        <v>1313</v>
      </c>
      <c r="C1314" t="s">
        <v>1362</v>
      </c>
      <c r="D1314">
        <v>2015</v>
      </c>
      <c r="F1314" t="s">
        <v>1278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f t="shared" si="40"/>
        <v>5.9</v>
      </c>
      <c r="M1314">
        <f t="shared" si="41"/>
        <v>1</v>
      </c>
    </row>
    <row r="1315" spans="1:13" x14ac:dyDescent="0.3">
      <c r="A1315">
        <v>1313</v>
      </c>
      <c r="B1315">
        <v>1314</v>
      </c>
      <c r="C1315" t="s">
        <v>1363</v>
      </c>
      <c r="D1315">
        <v>2015</v>
      </c>
      <c r="F1315" t="s">
        <v>1278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f t="shared" si="40"/>
        <v>5.9</v>
      </c>
      <c r="M1315">
        <f t="shared" si="41"/>
        <v>1</v>
      </c>
    </row>
    <row r="1316" spans="1:13" x14ac:dyDescent="0.3">
      <c r="A1316">
        <v>1314</v>
      </c>
      <c r="B1316">
        <v>1315</v>
      </c>
      <c r="C1316" t="s">
        <v>1364</v>
      </c>
      <c r="D1316">
        <v>2019</v>
      </c>
      <c r="F1316" t="s">
        <v>1278</v>
      </c>
      <c r="G1316">
        <v>1</v>
      </c>
      <c r="H1316">
        <v>1</v>
      </c>
      <c r="I1316">
        <v>0</v>
      </c>
      <c r="J1316">
        <v>0</v>
      </c>
      <c r="K1316">
        <v>0</v>
      </c>
      <c r="L1316">
        <f t="shared" si="40"/>
        <v>5.9</v>
      </c>
      <c r="M1316">
        <f t="shared" si="41"/>
        <v>2</v>
      </c>
    </row>
    <row r="1317" spans="1:13" x14ac:dyDescent="0.3">
      <c r="A1317">
        <v>1315</v>
      </c>
      <c r="B1317">
        <v>1316</v>
      </c>
      <c r="C1317" t="s">
        <v>1365</v>
      </c>
      <c r="D1317">
        <v>2021</v>
      </c>
      <c r="F1317" t="s">
        <v>1278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f t="shared" si="40"/>
        <v>5.9</v>
      </c>
      <c r="M1317">
        <f t="shared" si="41"/>
        <v>1</v>
      </c>
    </row>
    <row r="1318" spans="1:13" x14ac:dyDescent="0.3">
      <c r="A1318">
        <v>1316</v>
      </c>
      <c r="B1318">
        <v>1317</v>
      </c>
      <c r="C1318" t="s">
        <v>1366</v>
      </c>
      <c r="D1318">
        <v>2014</v>
      </c>
      <c r="E1318" t="s">
        <v>11</v>
      </c>
      <c r="F1318" t="s">
        <v>1278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f t="shared" si="40"/>
        <v>5.9</v>
      </c>
      <c r="M1318">
        <f t="shared" si="41"/>
        <v>1</v>
      </c>
    </row>
    <row r="1319" spans="1:13" x14ac:dyDescent="0.3">
      <c r="A1319">
        <v>1317</v>
      </c>
      <c r="B1319">
        <v>1318</v>
      </c>
      <c r="C1319" t="s">
        <v>1367</v>
      </c>
      <c r="D1319">
        <v>2021</v>
      </c>
      <c r="E1319" t="s">
        <v>36</v>
      </c>
      <c r="F1319" t="s">
        <v>1278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f t="shared" si="40"/>
        <v>5.9</v>
      </c>
      <c r="M1319">
        <f t="shared" si="41"/>
        <v>1</v>
      </c>
    </row>
    <row r="1320" spans="1:13" x14ac:dyDescent="0.3">
      <c r="A1320">
        <v>1318</v>
      </c>
      <c r="B1320">
        <v>1319</v>
      </c>
      <c r="C1320" t="s">
        <v>1368</v>
      </c>
      <c r="D1320">
        <v>2021</v>
      </c>
      <c r="E1320" t="s">
        <v>28</v>
      </c>
      <c r="F1320" t="s">
        <v>1278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f t="shared" si="40"/>
        <v>5.9</v>
      </c>
      <c r="M1320">
        <f t="shared" si="41"/>
        <v>1</v>
      </c>
    </row>
    <row r="1321" spans="1:13" x14ac:dyDescent="0.3">
      <c r="A1321">
        <v>1319</v>
      </c>
      <c r="B1321">
        <v>1320</v>
      </c>
      <c r="C1321" t="s">
        <v>1369</v>
      </c>
      <c r="D1321">
        <v>2004</v>
      </c>
      <c r="F1321" t="s">
        <v>1278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f t="shared" si="40"/>
        <v>5.9</v>
      </c>
      <c r="M1321">
        <f t="shared" si="41"/>
        <v>1</v>
      </c>
    </row>
    <row r="1322" spans="1:13" x14ac:dyDescent="0.3">
      <c r="A1322">
        <v>1320</v>
      </c>
      <c r="B1322">
        <v>1321</v>
      </c>
      <c r="C1322" t="s">
        <v>1370</v>
      </c>
      <c r="D1322">
        <v>2021</v>
      </c>
      <c r="E1322" t="s">
        <v>11</v>
      </c>
      <c r="F1322" t="s">
        <v>1278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f t="shared" si="40"/>
        <v>5.9</v>
      </c>
      <c r="M1322">
        <f t="shared" si="41"/>
        <v>1</v>
      </c>
    </row>
    <row r="1323" spans="1:13" x14ac:dyDescent="0.3">
      <c r="A1323">
        <v>1321</v>
      </c>
      <c r="B1323">
        <v>1322</v>
      </c>
      <c r="C1323" t="s">
        <v>1371</v>
      </c>
      <c r="D1323">
        <v>2011</v>
      </c>
      <c r="E1323" t="s">
        <v>22</v>
      </c>
      <c r="F1323" t="s">
        <v>1278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f t="shared" si="40"/>
        <v>5.9</v>
      </c>
      <c r="M1323">
        <f t="shared" si="41"/>
        <v>1</v>
      </c>
    </row>
    <row r="1324" spans="1:13" x14ac:dyDescent="0.3">
      <c r="A1324">
        <v>1322</v>
      </c>
      <c r="B1324">
        <v>1323</v>
      </c>
      <c r="C1324" t="s">
        <v>1372</v>
      </c>
      <c r="D1324">
        <v>2006</v>
      </c>
      <c r="F1324" t="s">
        <v>1278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f t="shared" si="40"/>
        <v>5.9</v>
      </c>
      <c r="M1324">
        <f t="shared" si="41"/>
        <v>1</v>
      </c>
    </row>
    <row r="1325" spans="1:13" x14ac:dyDescent="0.3">
      <c r="A1325">
        <v>1323</v>
      </c>
      <c r="B1325">
        <v>1324</v>
      </c>
      <c r="C1325" t="s">
        <v>1373</v>
      </c>
      <c r="D1325">
        <v>2019</v>
      </c>
      <c r="F1325" t="s">
        <v>1278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f t="shared" si="40"/>
        <v>5.9</v>
      </c>
      <c r="M1325">
        <f t="shared" si="41"/>
        <v>1</v>
      </c>
    </row>
    <row r="1326" spans="1:13" x14ac:dyDescent="0.3">
      <c r="A1326">
        <v>1324</v>
      </c>
      <c r="B1326">
        <v>1325</v>
      </c>
      <c r="C1326" t="s">
        <v>1374</v>
      </c>
      <c r="D1326">
        <v>2014</v>
      </c>
      <c r="E1326" t="s">
        <v>14</v>
      </c>
      <c r="F1326" t="s">
        <v>1278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f t="shared" si="40"/>
        <v>5.9</v>
      </c>
      <c r="M1326">
        <f t="shared" si="41"/>
        <v>1</v>
      </c>
    </row>
    <row r="1327" spans="1:13" x14ac:dyDescent="0.3">
      <c r="A1327">
        <v>1325</v>
      </c>
      <c r="B1327">
        <v>1326</v>
      </c>
      <c r="C1327" t="s">
        <v>1375</v>
      </c>
      <c r="D1327">
        <v>2013</v>
      </c>
      <c r="E1327" t="s">
        <v>22</v>
      </c>
      <c r="F1327" t="s">
        <v>1278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f t="shared" si="40"/>
        <v>5.9</v>
      </c>
      <c r="M1327">
        <f t="shared" si="41"/>
        <v>1</v>
      </c>
    </row>
    <row r="1328" spans="1:13" x14ac:dyDescent="0.3">
      <c r="A1328">
        <v>1326</v>
      </c>
      <c r="B1328">
        <v>1327</v>
      </c>
      <c r="C1328" t="s">
        <v>1376</v>
      </c>
      <c r="D1328">
        <v>2012</v>
      </c>
      <c r="F1328" t="s">
        <v>1278</v>
      </c>
      <c r="G1328">
        <v>1</v>
      </c>
      <c r="H1328">
        <v>1</v>
      </c>
      <c r="I1328">
        <v>0</v>
      </c>
      <c r="J1328">
        <v>0</v>
      </c>
      <c r="K1328">
        <v>0</v>
      </c>
      <c r="L1328">
        <f t="shared" si="40"/>
        <v>5.9</v>
      </c>
      <c r="M1328">
        <f t="shared" si="41"/>
        <v>2</v>
      </c>
    </row>
    <row r="1329" spans="1:13" x14ac:dyDescent="0.3">
      <c r="A1329">
        <v>1327</v>
      </c>
      <c r="B1329">
        <v>1328</v>
      </c>
      <c r="C1329" t="s">
        <v>1377</v>
      </c>
      <c r="D1329">
        <v>2002</v>
      </c>
      <c r="E1329" t="s">
        <v>11</v>
      </c>
      <c r="F1329" t="s">
        <v>1278</v>
      </c>
      <c r="G1329">
        <v>1</v>
      </c>
      <c r="H1329">
        <v>0</v>
      </c>
      <c r="I1329">
        <v>1</v>
      </c>
      <c r="J1329">
        <v>0</v>
      </c>
      <c r="K1329">
        <v>0</v>
      </c>
      <c r="L1329">
        <f t="shared" si="40"/>
        <v>5.9</v>
      </c>
      <c r="M1329">
        <f t="shared" si="41"/>
        <v>2</v>
      </c>
    </row>
    <row r="1330" spans="1:13" x14ac:dyDescent="0.3">
      <c r="A1330">
        <v>1328</v>
      </c>
      <c r="B1330">
        <v>1329</v>
      </c>
      <c r="C1330" t="s">
        <v>1378</v>
      </c>
      <c r="D1330">
        <v>2019</v>
      </c>
      <c r="F1330" t="s">
        <v>1278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f t="shared" si="40"/>
        <v>5.9</v>
      </c>
      <c r="M1330">
        <f t="shared" si="41"/>
        <v>1</v>
      </c>
    </row>
    <row r="1331" spans="1:13" x14ac:dyDescent="0.3">
      <c r="A1331">
        <v>1329</v>
      </c>
      <c r="B1331">
        <v>1330</v>
      </c>
      <c r="C1331" t="s">
        <v>1379</v>
      </c>
      <c r="D1331">
        <v>1992</v>
      </c>
      <c r="E1331" t="s">
        <v>11</v>
      </c>
      <c r="F1331" t="s">
        <v>1278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f t="shared" si="40"/>
        <v>5.9</v>
      </c>
      <c r="M1331">
        <f t="shared" si="41"/>
        <v>1</v>
      </c>
    </row>
    <row r="1332" spans="1:13" x14ac:dyDescent="0.3">
      <c r="A1332">
        <v>1330</v>
      </c>
      <c r="B1332">
        <v>1331</v>
      </c>
      <c r="C1332" t="s">
        <v>1380</v>
      </c>
      <c r="D1332">
        <v>2014</v>
      </c>
      <c r="E1332" t="s">
        <v>36</v>
      </c>
      <c r="F1332" t="s">
        <v>1278</v>
      </c>
      <c r="G1332">
        <v>1</v>
      </c>
      <c r="H1332">
        <v>1</v>
      </c>
      <c r="I1332">
        <v>1</v>
      </c>
      <c r="J1332">
        <v>1</v>
      </c>
      <c r="K1332">
        <v>0</v>
      </c>
      <c r="L1332">
        <f t="shared" si="40"/>
        <v>5.9</v>
      </c>
      <c r="M1332">
        <f t="shared" si="41"/>
        <v>4</v>
      </c>
    </row>
    <row r="1333" spans="1:13" x14ac:dyDescent="0.3">
      <c r="A1333">
        <v>1331</v>
      </c>
      <c r="B1333">
        <v>1332</v>
      </c>
      <c r="C1333" t="s">
        <v>1381</v>
      </c>
      <c r="D1333">
        <v>2017</v>
      </c>
      <c r="F1333" t="s">
        <v>1278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f t="shared" si="40"/>
        <v>5.9</v>
      </c>
      <c r="M1333">
        <f t="shared" si="41"/>
        <v>1</v>
      </c>
    </row>
    <row r="1334" spans="1:13" x14ac:dyDescent="0.3">
      <c r="A1334">
        <v>1332</v>
      </c>
      <c r="B1334">
        <v>1333</v>
      </c>
      <c r="C1334" t="s">
        <v>1382</v>
      </c>
      <c r="D1334">
        <v>2016</v>
      </c>
      <c r="E1334" t="s">
        <v>11</v>
      </c>
      <c r="F1334" t="s">
        <v>1278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f t="shared" si="40"/>
        <v>5.9</v>
      </c>
      <c r="M1334">
        <f t="shared" si="41"/>
        <v>1</v>
      </c>
    </row>
    <row r="1335" spans="1:13" x14ac:dyDescent="0.3">
      <c r="A1335">
        <v>1333</v>
      </c>
      <c r="B1335">
        <v>1334</v>
      </c>
      <c r="C1335" t="s">
        <v>1383</v>
      </c>
      <c r="D1335">
        <v>2018</v>
      </c>
      <c r="E1335" t="s">
        <v>11</v>
      </c>
      <c r="F1335" t="s">
        <v>1384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f t="shared" si="40"/>
        <v>5.8</v>
      </c>
      <c r="M1335">
        <f t="shared" si="41"/>
        <v>1</v>
      </c>
    </row>
    <row r="1336" spans="1:13" x14ac:dyDescent="0.3">
      <c r="A1336">
        <v>1334</v>
      </c>
      <c r="B1336">
        <v>1335</v>
      </c>
      <c r="C1336" t="s">
        <v>1385</v>
      </c>
      <c r="D1336">
        <v>2003</v>
      </c>
      <c r="E1336" t="s">
        <v>14</v>
      </c>
      <c r="F1336" t="s">
        <v>1384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f t="shared" si="40"/>
        <v>5.8</v>
      </c>
      <c r="M1336">
        <f t="shared" si="41"/>
        <v>1</v>
      </c>
    </row>
    <row r="1337" spans="1:13" x14ac:dyDescent="0.3">
      <c r="A1337">
        <v>1335</v>
      </c>
      <c r="B1337">
        <v>1336</v>
      </c>
      <c r="C1337" t="s">
        <v>1386</v>
      </c>
      <c r="D1337">
        <v>2018</v>
      </c>
      <c r="E1337" t="s">
        <v>11</v>
      </c>
      <c r="F1337" t="s">
        <v>1384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f t="shared" si="40"/>
        <v>5.8</v>
      </c>
      <c r="M1337">
        <f t="shared" si="41"/>
        <v>1</v>
      </c>
    </row>
    <row r="1338" spans="1:13" x14ac:dyDescent="0.3">
      <c r="A1338">
        <v>1336</v>
      </c>
      <c r="B1338">
        <v>1337</v>
      </c>
      <c r="C1338" t="s">
        <v>1387</v>
      </c>
      <c r="D1338">
        <v>2019</v>
      </c>
      <c r="E1338" t="s">
        <v>11</v>
      </c>
      <c r="F1338" t="s">
        <v>1384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f t="shared" si="40"/>
        <v>5.8</v>
      </c>
      <c r="M1338">
        <f t="shared" si="41"/>
        <v>1</v>
      </c>
    </row>
    <row r="1339" spans="1:13" x14ac:dyDescent="0.3">
      <c r="A1339">
        <v>1337</v>
      </c>
      <c r="B1339">
        <v>1338</v>
      </c>
      <c r="C1339" t="s">
        <v>1388</v>
      </c>
      <c r="D1339">
        <v>2010</v>
      </c>
      <c r="E1339" t="s">
        <v>36</v>
      </c>
      <c r="F1339" t="s">
        <v>1384</v>
      </c>
      <c r="G1339">
        <v>1</v>
      </c>
      <c r="H1339">
        <v>0</v>
      </c>
      <c r="I1339">
        <v>1</v>
      </c>
      <c r="J1339">
        <v>0</v>
      </c>
      <c r="K1339">
        <v>0</v>
      </c>
      <c r="L1339">
        <f t="shared" si="40"/>
        <v>5.8</v>
      </c>
      <c r="M1339">
        <f t="shared" si="41"/>
        <v>2</v>
      </c>
    </row>
    <row r="1340" spans="1:13" x14ac:dyDescent="0.3">
      <c r="A1340">
        <v>1338</v>
      </c>
      <c r="B1340">
        <v>1339</v>
      </c>
      <c r="C1340" t="s">
        <v>1389</v>
      </c>
      <c r="D1340">
        <v>2018</v>
      </c>
      <c r="E1340" t="s">
        <v>11</v>
      </c>
      <c r="F1340" t="s">
        <v>1384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f t="shared" si="40"/>
        <v>5.8</v>
      </c>
      <c r="M1340">
        <f t="shared" si="41"/>
        <v>1</v>
      </c>
    </row>
    <row r="1341" spans="1:13" x14ac:dyDescent="0.3">
      <c r="A1341">
        <v>1339</v>
      </c>
      <c r="B1341">
        <v>1340</v>
      </c>
      <c r="C1341" t="s">
        <v>1390</v>
      </c>
      <c r="D1341">
        <v>2017</v>
      </c>
      <c r="E1341" t="s">
        <v>11</v>
      </c>
      <c r="F1341" t="s">
        <v>1384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f t="shared" si="40"/>
        <v>5.8</v>
      </c>
      <c r="M1341">
        <f t="shared" si="41"/>
        <v>1</v>
      </c>
    </row>
    <row r="1342" spans="1:13" x14ac:dyDescent="0.3">
      <c r="A1342">
        <v>1340</v>
      </c>
      <c r="B1342">
        <v>1341</v>
      </c>
      <c r="C1342" t="s">
        <v>1391</v>
      </c>
      <c r="D1342">
        <v>2018</v>
      </c>
      <c r="E1342" t="s">
        <v>11</v>
      </c>
      <c r="F1342" t="s">
        <v>1384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f t="shared" si="40"/>
        <v>5.8</v>
      </c>
      <c r="M1342">
        <f t="shared" si="41"/>
        <v>1</v>
      </c>
    </row>
    <row r="1343" spans="1:13" x14ac:dyDescent="0.3">
      <c r="A1343">
        <v>1341</v>
      </c>
      <c r="B1343">
        <v>1342</v>
      </c>
      <c r="C1343" t="s">
        <v>1392</v>
      </c>
      <c r="D1343">
        <v>2005</v>
      </c>
      <c r="E1343" t="s">
        <v>22</v>
      </c>
      <c r="F1343" t="s">
        <v>1384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f t="shared" si="40"/>
        <v>5.8</v>
      </c>
      <c r="M1343">
        <f t="shared" si="41"/>
        <v>1</v>
      </c>
    </row>
    <row r="1344" spans="1:13" x14ac:dyDescent="0.3">
      <c r="A1344">
        <v>1342</v>
      </c>
      <c r="B1344">
        <v>1343</v>
      </c>
      <c r="C1344" t="s">
        <v>1393</v>
      </c>
      <c r="D1344">
        <v>1981</v>
      </c>
      <c r="E1344" t="s">
        <v>14</v>
      </c>
      <c r="F1344" t="s">
        <v>1384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f t="shared" si="40"/>
        <v>5.8</v>
      </c>
      <c r="M1344">
        <f t="shared" si="41"/>
        <v>1</v>
      </c>
    </row>
    <row r="1345" spans="1:13" x14ac:dyDescent="0.3">
      <c r="A1345">
        <v>1343</v>
      </c>
      <c r="B1345">
        <v>1344</v>
      </c>
      <c r="C1345" t="s">
        <v>1394</v>
      </c>
      <c r="D1345">
        <v>2011</v>
      </c>
      <c r="F1345" t="s">
        <v>1384</v>
      </c>
      <c r="G1345">
        <v>1</v>
      </c>
      <c r="H1345">
        <v>0</v>
      </c>
      <c r="I1345">
        <v>1</v>
      </c>
      <c r="J1345">
        <v>0</v>
      </c>
      <c r="K1345">
        <v>0</v>
      </c>
      <c r="L1345">
        <f t="shared" si="40"/>
        <v>5.8</v>
      </c>
      <c r="M1345">
        <f t="shared" si="41"/>
        <v>2</v>
      </c>
    </row>
    <row r="1346" spans="1:13" x14ac:dyDescent="0.3">
      <c r="A1346">
        <v>1344</v>
      </c>
      <c r="B1346">
        <v>1345</v>
      </c>
      <c r="C1346" t="s">
        <v>1395</v>
      </c>
      <c r="D1346">
        <v>2017</v>
      </c>
      <c r="E1346" t="s">
        <v>11</v>
      </c>
      <c r="F1346" t="s">
        <v>1384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f t="shared" si="40"/>
        <v>5.8</v>
      </c>
      <c r="M1346">
        <f t="shared" si="41"/>
        <v>1</v>
      </c>
    </row>
    <row r="1347" spans="1:13" x14ac:dyDescent="0.3">
      <c r="A1347">
        <v>1345</v>
      </c>
      <c r="B1347">
        <v>1346</v>
      </c>
      <c r="C1347" t="s">
        <v>1396</v>
      </c>
      <c r="D1347">
        <v>2020</v>
      </c>
      <c r="E1347" t="s">
        <v>11</v>
      </c>
      <c r="F1347" t="s">
        <v>1384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f t="shared" ref="L1347:L1410" si="42">IFERROR(VALUE(LEFT(F1347,FIND("/",F1347)-1))/10,"")</f>
        <v>5.8</v>
      </c>
      <c r="M1347">
        <f t="shared" ref="M1347:M1410" si="43">SUM(G1347:J1347)</f>
        <v>1</v>
      </c>
    </row>
    <row r="1348" spans="1:13" x14ac:dyDescent="0.3">
      <c r="A1348">
        <v>1346</v>
      </c>
      <c r="B1348">
        <v>1347</v>
      </c>
      <c r="C1348" t="s">
        <v>1397</v>
      </c>
      <c r="D1348">
        <v>2021</v>
      </c>
      <c r="E1348" t="s">
        <v>28</v>
      </c>
      <c r="F1348" t="s">
        <v>1384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f t="shared" si="42"/>
        <v>5.8</v>
      </c>
      <c r="M1348">
        <f t="shared" si="43"/>
        <v>1</v>
      </c>
    </row>
    <row r="1349" spans="1:13" x14ac:dyDescent="0.3">
      <c r="A1349">
        <v>1347</v>
      </c>
      <c r="B1349">
        <v>1348</v>
      </c>
      <c r="C1349" t="s">
        <v>1398</v>
      </c>
      <c r="D1349">
        <v>2020</v>
      </c>
      <c r="F1349" t="s">
        <v>1384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f t="shared" si="42"/>
        <v>5.8</v>
      </c>
      <c r="M1349">
        <f t="shared" si="43"/>
        <v>1</v>
      </c>
    </row>
    <row r="1350" spans="1:13" x14ac:dyDescent="0.3">
      <c r="A1350">
        <v>1348</v>
      </c>
      <c r="B1350">
        <v>1349</v>
      </c>
      <c r="C1350" t="s">
        <v>1399</v>
      </c>
      <c r="D1350">
        <v>2015</v>
      </c>
      <c r="F1350" t="s">
        <v>1384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f t="shared" si="42"/>
        <v>5.8</v>
      </c>
      <c r="M1350">
        <f t="shared" si="43"/>
        <v>1</v>
      </c>
    </row>
    <row r="1351" spans="1:13" x14ac:dyDescent="0.3">
      <c r="A1351">
        <v>1349</v>
      </c>
      <c r="B1351">
        <v>1350</v>
      </c>
      <c r="C1351" t="s">
        <v>1400</v>
      </c>
      <c r="D1351">
        <v>2017</v>
      </c>
      <c r="E1351" t="s">
        <v>11</v>
      </c>
      <c r="F1351" t="s">
        <v>1384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f t="shared" si="42"/>
        <v>5.8</v>
      </c>
      <c r="M1351">
        <f t="shared" si="43"/>
        <v>1</v>
      </c>
    </row>
    <row r="1352" spans="1:13" x14ac:dyDescent="0.3">
      <c r="A1352">
        <v>1350</v>
      </c>
      <c r="B1352">
        <v>1351</v>
      </c>
      <c r="C1352" t="s">
        <v>1401</v>
      </c>
      <c r="D1352">
        <v>2019</v>
      </c>
      <c r="E1352" t="s">
        <v>11</v>
      </c>
      <c r="F1352" t="s">
        <v>1384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f t="shared" si="42"/>
        <v>5.8</v>
      </c>
      <c r="M1352">
        <f t="shared" si="43"/>
        <v>1</v>
      </c>
    </row>
    <row r="1353" spans="1:13" x14ac:dyDescent="0.3">
      <c r="A1353">
        <v>1351</v>
      </c>
      <c r="B1353">
        <v>1352</v>
      </c>
      <c r="C1353" t="s">
        <v>1402</v>
      </c>
      <c r="D1353">
        <v>2018</v>
      </c>
      <c r="F1353" t="s">
        <v>1384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f t="shared" si="42"/>
        <v>5.8</v>
      </c>
      <c r="M1353">
        <f t="shared" si="43"/>
        <v>1</v>
      </c>
    </row>
    <row r="1354" spans="1:13" x14ac:dyDescent="0.3">
      <c r="A1354">
        <v>1352</v>
      </c>
      <c r="B1354">
        <v>1353</v>
      </c>
      <c r="C1354" t="s">
        <v>1403</v>
      </c>
      <c r="D1354">
        <v>2008</v>
      </c>
      <c r="E1354" t="s">
        <v>28</v>
      </c>
      <c r="F1354" t="s">
        <v>1384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f t="shared" si="42"/>
        <v>5.8</v>
      </c>
      <c r="M1354">
        <f t="shared" si="43"/>
        <v>1</v>
      </c>
    </row>
    <row r="1355" spans="1:13" x14ac:dyDescent="0.3">
      <c r="A1355">
        <v>1353</v>
      </c>
      <c r="B1355">
        <v>1354</v>
      </c>
      <c r="C1355" t="s">
        <v>1404</v>
      </c>
      <c r="D1355">
        <v>2017</v>
      </c>
      <c r="E1355" t="s">
        <v>11</v>
      </c>
      <c r="F1355" t="s">
        <v>1384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f t="shared" si="42"/>
        <v>5.8</v>
      </c>
      <c r="M1355">
        <f t="shared" si="43"/>
        <v>1</v>
      </c>
    </row>
    <row r="1356" spans="1:13" x14ac:dyDescent="0.3">
      <c r="A1356">
        <v>1354</v>
      </c>
      <c r="B1356">
        <v>1355</v>
      </c>
      <c r="C1356" t="s">
        <v>1405</v>
      </c>
      <c r="D1356">
        <v>2014</v>
      </c>
      <c r="E1356" t="s">
        <v>22</v>
      </c>
      <c r="F1356" t="s">
        <v>1384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f t="shared" si="42"/>
        <v>5.8</v>
      </c>
      <c r="M1356">
        <f t="shared" si="43"/>
        <v>1</v>
      </c>
    </row>
    <row r="1357" spans="1:13" x14ac:dyDescent="0.3">
      <c r="A1357">
        <v>1355</v>
      </c>
      <c r="B1357">
        <v>1356</v>
      </c>
      <c r="C1357" t="s">
        <v>1406</v>
      </c>
      <c r="D1357">
        <v>2020</v>
      </c>
      <c r="F1357" t="s">
        <v>1384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f t="shared" si="42"/>
        <v>5.8</v>
      </c>
      <c r="M1357">
        <f t="shared" si="43"/>
        <v>1</v>
      </c>
    </row>
    <row r="1358" spans="1:13" x14ac:dyDescent="0.3">
      <c r="A1358">
        <v>1356</v>
      </c>
      <c r="B1358">
        <v>1357</v>
      </c>
      <c r="C1358" t="s">
        <v>1407</v>
      </c>
      <c r="D1358">
        <v>2017</v>
      </c>
      <c r="E1358" t="s">
        <v>14</v>
      </c>
      <c r="F1358" t="s">
        <v>1384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f t="shared" si="42"/>
        <v>5.8</v>
      </c>
      <c r="M1358">
        <f t="shared" si="43"/>
        <v>1</v>
      </c>
    </row>
    <row r="1359" spans="1:13" x14ac:dyDescent="0.3">
      <c r="A1359">
        <v>1357</v>
      </c>
      <c r="B1359">
        <v>1358</v>
      </c>
      <c r="C1359" t="s">
        <v>1408</v>
      </c>
      <c r="D1359">
        <v>2021</v>
      </c>
      <c r="F1359" t="s">
        <v>1384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f t="shared" si="42"/>
        <v>5.8</v>
      </c>
      <c r="M1359">
        <f t="shared" si="43"/>
        <v>1</v>
      </c>
    </row>
    <row r="1360" spans="1:13" x14ac:dyDescent="0.3">
      <c r="A1360">
        <v>1358</v>
      </c>
      <c r="B1360">
        <v>1359</v>
      </c>
      <c r="C1360" t="s">
        <v>1409</v>
      </c>
      <c r="D1360">
        <v>2018</v>
      </c>
      <c r="F1360" t="s">
        <v>1384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f t="shared" si="42"/>
        <v>5.8</v>
      </c>
      <c r="M1360">
        <f t="shared" si="43"/>
        <v>1</v>
      </c>
    </row>
    <row r="1361" spans="1:13" x14ac:dyDescent="0.3">
      <c r="A1361">
        <v>1359</v>
      </c>
      <c r="B1361">
        <v>1360</v>
      </c>
      <c r="C1361" t="s">
        <v>1410</v>
      </c>
      <c r="D1361">
        <v>1982</v>
      </c>
      <c r="E1361" t="s">
        <v>11</v>
      </c>
      <c r="F1361" t="s">
        <v>1384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f t="shared" si="42"/>
        <v>5.8</v>
      </c>
      <c r="M1361">
        <f t="shared" si="43"/>
        <v>1</v>
      </c>
    </row>
    <row r="1362" spans="1:13" x14ac:dyDescent="0.3">
      <c r="A1362">
        <v>1360</v>
      </c>
      <c r="B1362">
        <v>1361</v>
      </c>
      <c r="C1362" t="s">
        <v>1411</v>
      </c>
      <c r="D1362">
        <v>2021</v>
      </c>
      <c r="E1362" t="s">
        <v>11</v>
      </c>
      <c r="F1362" t="s">
        <v>1384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f t="shared" si="42"/>
        <v>5.8</v>
      </c>
      <c r="M1362">
        <f t="shared" si="43"/>
        <v>1</v>
      </c>
    </row>
    <row r="1363" spans="1:13" x14ac:dyDescent="0.3">
      <c r="A1363">
        <v>1361</v>
      </c>
      <c r="B1363">
        <v>1362</v>
      </c>
      <c r="C1363" t="s">
        <v>1412</v>
      </c>
      <c r="D1363">
        <v>2008</v>
      </c>
      <c r="F1363" t="s">
        <v>1384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f t="shared" si="42"/>
        <v>5.8</v>
      </c>
      <c r="M1363">
        <f t="shared" si="43"/>
        <v>1</v>
      </c>
    </row>
    <row r="1364" spans="1:13" x14ac:dyDescent="0.3">
      <c r="A1364">
        <v>1362</v>
      </c>
      <c r="B1364">
        <v>1363</v>
      </c>
      <c r="C1364" t="s">
        <v>1413</v>
      </c>
      <c r="D1364">
        <v>2021</v>
      </c>
      <c r="E1364" t="s">
        <v>28</v>
      </c>
      <c r="F1364" t="s">
        <v>1384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f t="shared" si="42"/>
        <v>5.8</v>
      </c>
      <c r="M1364">
        <f t="shared" si="43"/>
        <v>1</v>
      </c>
    </row>
    <row r="1365" spans="1:13" x14ac:dyDescent="0.3">
      <c r="A1365">
        <v>1363</v>
      </c>
      <c r="B1365">
        <v>1364</v>
      </c>
      <c r="C1365" t="s">
        <v>1414</v>
      </c>
      <c r="D1365">
        <v>2006</v>
      </c>
      <c r="E1365" t="s">
        <v>11</v>
      </c>
      <c r="F1365" t="s">
        <v>1384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f t="shared" si="42"/>
        <v>5.8</v>
      </c>
      <c r="M1365">
        <f t="shared" si="43"/>
        <v>1</v>
      </c>
    </row>
    <row r="1366" spans="1:13" x14ac:dyDescent="0.3">
      <c r="A1366">
        <v>1364</v>
      </c>
      <c r="B1366">
        <v>1365</v>
      </c>
      <c r="C1366" t="s">
        <v>1415</v>
      </c>
      <c r="D1366">
        <v>2017</v>
      </c>
      <c r="F1366" t="s">
        <v>1384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f t="shared" si="42"/>
        <v>5.8</v>
      </c>
      <c r="M1366">
        <f t="shared" si="43"/>
        <v>1</v>
      </c>
    </row>
    <row r="1367" spans="1:13" x14ac:dyDescent="0.3">
      <c r="A1367">
        <v>1365</v>
      </c>
      <c r="B1367">
        <v>1366</v>
      </c>
      <c r="C1367" t="s">
        <v>1416</v>
      </c>
      <c r="D1367">
        <v>2018</v>
      </c>
      <c r="E1367" t="s">
        <v>22</v>
      </c>
      <c r="F1367" t="s">
        <v>1384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f t="shared" si="42"/>
        <v>5.8</v>
      </c>
      <c r="M1367">
        <f t="shared" si="43"/>
        <v>1</v>
      </c>
    </row>
    <row r="1368" spans="1:13" x14ac:dyDescent="0.3">
      <c r="A1368">
        <v>1366</v>
      </c>
      <c r="B1368">
        <v>1367</v>
      </c>
      <c r="C1368" t="s">
        <v>1417</v>
      </c>
      <c r="D1368">
        <v>2019</v>
      </c>
      <c r="E1368" t="s">
        <v>22</v>
      </c>
      <c r="F1368" t="s">
        <v>1384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f t="shared" si="42"/>
        <v>5.8</v>
      </c>
      <c r="M1368">
        <f t="shared" si="43"/>
        <v>1</v>
      </c>
    </row>
    <row r="1369" spans="1:13" x14ac:dyDescent="0.3">
      <c r="A1369">
        <v>1367</v>
      </c>
      <c r="B1369">
        <v>1368</v>
      </c>
      <c r="C1369" t="s">
        <v>1418</v>
      </c>
      <c r="D1369">
        <v>2015</v>
      </c>
      <c r="E1369" t="s">
        <v>14</v>
      </c>
      <c r="F1369" t="s">
        <v>1384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f t="shared" si="42"/>
        <v>5.8</v>
      </c>
      <c r="M1369">
        <f t="shared" si="43"/>
        <v>1</v>
      </c>
    </row>
    <row r="1370" spans="1:13" x14ac:dyDescent="0.3">
      <c r="A1370">
        <v>1368</v>
      </c>
      <c r="B1370">
        <v>1369</v>
      </c>
      <c r="C1370" t="s">
        <v>1419</v>
      </c>
      <c r="D1370">
        <v>2016</v>
      </c>
      <c r="E1370" t="s">
        <v>11</v>
      </c>
      <c r="F1370" t="s">
        <v>1384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f t="shared" si="42"/>
        <v>5.8</v>
      </c>
      <c r="M1370">
        <f t="shared" si="43"/>
        <v>1</v>
      </c>
    </row>
    <row r="1371" spans="1:13" x14ac:dyDescent="0.3">
      <c r="A1371">
        <v>1369</v>
      </c>
      <c r="B1371">
        <v>1370</v>
      </c>
      <c r="C1371" t="s">
        <v>1420</v>
      </c>
      <c r="D1371">
        <v>2015</v>
      </c>
      <c r="E1371" t="s">
        <v>11</v>
      </c>
      <c r="F1371" t="s">
        <v>1384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f t="shared" si="42"/>
        <v>5.8</v>
      </c>
      <c r="M1371">
        <f t="shared" si="43"/>
        <v>1</v>
      </c>
    </row>
    <row r="1372" spans="1:13" x14ac:dyDescent="0.3">
      <c r="A1372">
        <v>1370</v>
      </c>
      <c r="B1372">
        <v>1371</v>
      </c>
      <c r="C1372" t="s">
        <v>1421</v>
      </c>
      <c r="D1372">
        <v>2021</v>
      </c>
      <c r="E1372" t="s">
        <v>11</v>
      </c>
      <c r="F1372" t="s">
        <v>1384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f t="shared" si="42"/>
        <v>5.8</v>
      </c>
      <c r="M1372">
        <f t="shared" si="43"/>
        <v>1</v>
      </c>
    </row>
    <row r="1373" spans="1:13" x14ac:dyDescent="0.3">
      <c r="A1373">
        <v>1371</v>
      </c>
      <c r="B1373">
        <v>1372</v>
      </c>
      <c r="C1373" t="s">
        <v>1422</v>
      </c>
      <c r="D1373">
        <v>2018</v>
      </c>
      <c r="F1373" t="s">
        <v>1384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f t="shared" si="42"/>
        <v>5.8</v>
      </c>
      <c r="M1373">
        <f t="shared" si="43"/>
        <v>1</v>
      </c>
    </row>
    <row r="1374" spans="1:13" x14ac:dyDescent="0.3">
      <c r="A1374">
        <v>1372</v>
      </c>
      <c r="B1374">
        <v>1373</v>
      </c>
      <c r="C1374" t="s">
        <v>1423</v>
      </c>
      <c r="D1374">
        <v>2018</v>
      </c>
      <c r="E1374" t="s">
        <v>11</v>
      </c>
      <c r="F1374" t="s">
        <v>1384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f t="shared" si="42"/>
        <v>5.8</v>
      </c>
      <c r="M1374">
        <f t="shared" si="43"/>
        <v>1</v>
      </c>
    </row>
    <row r="1375" spans="1:13" x14ac:dyDescent="0.3">
      <c r="A1375">
        <v>1373</v>
      </c>
      <c r="B1375">
        <v>1374</v>
      </c>
      <c r="C1375" t="s">
        <v>1424</v>
      </c>
      <c r="D1375">
        <v>2002</v>
      </c>
      <c r="E1375" t="s">
        <v>14</v>
      </c>
      <c r="F1375" t="s">
        <v>1384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f t="shared" si="42"/>
        <v>5.8</v>
      </c>
      <c r="M1375">
        <f t="shared" si="43"/>
        <v>1</v>
      </c>
    </row>
    <row r="1376" spans="1:13" x14ac:dyDescent="0.3">
      <c r="A1376">
        <v>1374</v>
      </c>
      <c r="B1376">
        <v>1375</v>
      </c>
      <c r="C1376" t="s">
        <v>1425</v>
      </c>
      <c r="D1376">
        <v>2019</v>
      </c>
      <c r="E1376" t="s">
        <v>11</v>
      </c>
      <c r="F1376" t="s">
        <v>1384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f t="shared" si="42"/>
        <v>5.8</v>
      </c>
      <c r="M1376">
        <f t="shared" si="43"/>
        <v>1</v>
      </c>
    </row>
    <row r="1377" spans="1:13" x14ac:dyDescent="0.3">
      <c r="A1377">
        <v>1375</v>
      </c>
      <c r="B1377">
        <v>1376</v>
      </c>
      <c r="C1377" t="s">
        <v>1426</v>
      </c>
      <c r="D1377">
        <v>2015</v>
      </c>
      <c r="F1377" t="s">
        <v>1384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f t="shared" si="42"/>
        <v>5.8</v>
      </c>
      <c r="M1377">
        <f t="shared" si="43"/>
        <v>1</v>
      </c>
    </row>
    <row r="1378" spans="1:13" x14ac:dyDescent="0.3">
      <c r="A1378">
        <v>1376</v>
      </c>
      <c r="B1378">
        <v>1377</v>
      </c>
      <c r="C1378" t="s">
        <v>1427</v>
      </c>
      <c r="D1378">
        <v>2009</v>
      </c>
      <c r="E1378" t="s">
        <v>14</v>
      </c>
      <c r="F1378" t="s">
        <v>1384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f t="shared" si="42"/>
        <v>5.8</v>
      </c>
      <c r="M1378">
        <f t="shared" si="43"/>
        <v>1</v>
      </c>
    </row>
    <row r="1379" spans="1:13" x14ac:dyDescent="0.3">
      <c r="A1379">
        <v>1377</v>
      </c>
      <c r="B1379">
        <v>1378</v>
      </c>
      <c r="C1379" t="s">
        <v>1428</v>
      </c>
      <c r="D1379">
        <v>2019</v>
      </c>
      <c r="E1379" t="s">
        <v>14</v>
      </c>
      <c r="F1379" t="s">
        <v>1384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f t="shared" si="42"/>
        <v>5.8</v>
      </c>
      <c r="M1379">
        <f t="shared" si="43"/>
        <v>1</v>
      </c>
    </row>
    <row r="1380" spans="1:13" x14ac:dyDescent="0.3">
      <c r="A1380">
        <v>1378</v>
      </c>
      <c r="B1380">
        <v>1379</v>
      </c>
      <c r="C1380" t="s">
        <v>1429</v>
      </c>
      <c r="D1380">
        <v>2019</v>
      </c>
      <c r="E1380" t="s">
        <v>14</v>
      </c>
      <c r="F1380" t="s">
        <v>1384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f t="shared" si="42"/>
        <v>5.8</v>
      </c>
      <c r="M1380">
        <f t="shared" si="43"/>
        <v>1</v>
      </c>
    </row>
    <row r="1381" spans="1:13" x14ac:dyDescent="0.3">
      <c r="A1381">
        <v>1379</v>
      </c>
      <c r="B1381">
        <v>1380</v>
      </c>
      <c r="C1381" t="s">
        <v>1430</v>
      </c>
      <c r="D1381">
        <v>2017</v>
      </c>
      <c r="E1381" t="s">
        <v>22</v>
      </c>
      <c r="F1381" t="s">
        <v>1384</v>
      </c>
      <c r="G1381">
        <v>1</v>
      </c>
      <c r="H1381">
        <v>0</v>
      </c>
      <c r="I1381">
        <v>1</v>
      </c>
      <c r="J1381">
        <v>0</v>
      </c>
      <c r="K1381">
        <v>0</v>
      </c>
      <c r="L1381">
        <f t="shared" si="42"/>
        <v>5.8</v>
      </c>
      <c r="M1381">
        <f t="shared" si="43"/>
        <v>2</v>
      </c>
    </row>
    <row r="1382" spans="1:13" x14ac:dyDescent="0.3">
      <c r="A1382">
        <v>1380</v>
      </c>
      <c r="B1382">
        <v>1381</v>
      </c>
      <c r="C1382" t="s">
        <v>1431</v>
      </c>
      <c r="D1382">
        <v>2012</v>
      </c>
      <c r="E1382" t="s">
        <v>22</v>
      </c>
      <c r="F1382" t="s">
        <v>1384</v>
      </c>
      <c r="G1382">
        <v>1</v>
      </c>
      <c r="H1382">
        <v>0</v>
      </c>
      <c r="I1382">
        <v>1</v>
      </c>
      <c r="J1382">
        <v>0</v>
      </c>
      <c r="K1382">
        <v>0</v>
      </c>
      <c r="L1382">
        <f t="shared" si="42"/>
        <v>5.8</v>
      </c>
      <c r="M1382">
        <f t="shared" si="43"/>
        <v>2</v>
      </c>
    </row>
    <row r="1383" spans="1:13" x14ac:dyDescent="0.3">
      <c r="A1383">
        <v>1381</v>
      </c>
      <c r="B1383">
        <v>1382</v>
      </c>
      <c r="C1383" t="s">
        <v>1432</v>
      </c>
      <c r="D1383">
        <v>2020</v>
      </c>
      <c r="E1383" t="s">
        <v>11</v>
      </c>
      <c r="F1383" t="s">
        <v>1384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f t="shared" si="42"/>
        <v>5.8</v>
      </c>
      <c r="M1383">
        <f t="shared" si="43"/>
        <v>1</v>
      </c>
    </row>
    <row r="1384" spans="1:13" x14ac:dyDescent="0.3">
      <c r="A1384">
        <v>1382</v>
      </c>
      <c r="B1384">
        <v>1383</v>
      </c>
      <c r="C1384" t="s">
        <v>1433</v>
      </c>
      <c r="D1384">
        <v>2021</v>
      </c>
      <c r="E1384" t="s">
        <v>22</v>
      </c>
      <c r="F1384" t="s">
        <v>1384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f t="shared" si="42"/>
        <v>5.8</v>
      </c>
      <c r="M1384">
        <f t="shared" si="43"/>
        <v>1</v>
      </c>
    </row>
    <row r="1385" spans="1:13" x14ac:dyDescent="0.3">
      <c r="A1385">
        <v>1383</v>
      </c>
      <c r="B1385">
        <v>1384</v>
      </c>
      <c r="C1385" t="s">
        <v>1434</v>
      </c>
      <c r="D1385">
        <v>2021</v>
      </c>
      <c r="E1385" t="s">
        <v>11</v>
      </c>
      <c r="F1385" t="s">
        <v>1384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f t="shared" si="42"/>
        <v>5.8</v>
      </c>
      <c r="M1385">
        <f t="shared" si="43"/>
        <v>1</v>
      </c>
    </row>
    <row r="1386" spans="1:13" x14ac:dyDescent="0.3">
      <c r="A1386">
        <v>1384</v>
      </c>
      <c r="B1386">
        <v>1385</v>
      </c>
      <c r="C1386" t="s">
        <v>1435</v>
      </c>
      <c r="D1386">
        <v>2001</v>
      </c>
      <c r="E1386" t="s">
        <v>22</v>
      </c>
      <c r="F1386" t="s">
        <v>1384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f t="shared" si="42"/>
        <v>5.8</v>
      </c>
      <c r="M1386">
        <f t="shared" si="43"/>
        <v>1</v>
      </c>
    </row>
    <row r="1387" spans="1:13" x14ac:dyDescent="0.3">
      <c r="A1387">
        <v>1385</v>
      </c>
      <c r="B1387">
        <v>1386</v>
      </c>
      <c r="C1387" t="s">
        <v>1436</v>
      </c>
      <c r="D1387">
        <v>2014</v>
      </c>
      <c r="E1387" t="s">
        <v>22</v>
      </c>
      <c r="F1387" t="s">
        <v>1384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f t="shared" si="42"/>
        <v>5.8</v>
      </c>
      <c r="M1387">
        <f t="shared" si="43"/>
        <v>1</v>
      </c>
    </row>
    <row r="1388" spans="1:13" x14ac:dyDescent="0.3">
      <c r="A1388">
        <v>1386</v>
      </c>
      <c r="B1388">
        <v>1387</v>
      </c>
      <c r="C1388" t="s">
        <v>1437</v>
      </c>
      <c r="D1388">
        <v>2018</v>
      </c>
      <c r="E1388" t="s">
        <v>22</v>
      </c>
      <c r="F1388" t="s">
        <v>1384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f t="shared" si="42"/>
        <v>5.8</v>
      </c>
      <c r="M1388">
        <f t="shared" si="43"/>
        <v>1</v>
      </c>
    </row>
    <row r="1389" spans="1:13" x14ac:dyDescent="0.3">
      <c r="A1389">
        <v>1387</v>
      </c>
      <c r="B1389">
        <v>1388</v>
      </c>
      <c r="C1389" t="s">
        <v>1438</v>
      </c>
      <c r="D1389">
        <v>2016</v>
      </c>
      <c r="F1389" t="s">
        <v>1384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f t="shared" si="42"/>
        <v>5.8</v>
      </c>
      <c r="M1389">
        <f t="shared" si="43"/>
        <v>1</v>
      </c>
    </row>
    <row r="1390" spans="1:13" x14ac:dyDescent="0.3">
      <c r="A1390">
        <v>1388</v>
      </c>
      <c r="B1390">
        <v>1389</v>
      </c>
      <c r="C1390" t="s">
        <v>1439</v>
      </c>
      <c r="D1390">
        <v>2016</v>
      </c>
      <c r="F1390" t="s">
        <v>1384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f t="shared" si="42"/>
        <v>5.8</v>
      </c>
      <c r="M1390">
        <f t="shared" si="43"/>
        <v>1</v>
      </c>
    </row>
    <row r="1391" spans="1:13" x14ac:dyDescent="0.3">
      <c r="A1391">
        <v>1389</v>
      </c>
      <c r="B1391">
        <v>1390</v>
      </c>
      <c r="C1391" t="s">
        <v>1440</v>
      </c>
      <c r="D1391">
        <v>2018</v>
      </c>
      <c r="E1391" t="s">
        <v>14</v>
      </c>
      <c r="F1391" t="s">
        <v>1384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f t="shared" si="42"/>
        <v>5.8</v>
      </c>
      <c r="M1391">
        <f t="shared" si="43"/>
        <v>1</v>
      </c>
    </row>
    <row r="1392" spans="1:13" x14ac:dyDescent="0.3">
      <c r="A1392">
        <v>1390</v>
      </c>
      <c r="B1392">
        <v>1391</v>
      </c>
      <c r="C1392" t="s">
        <v>1441</v>
      </c>
      <c r="D1392">
        <v>2017</v>
      </c>
      <c r="E1392" t="s">
        <v>14</v>
      </c>
      <c r="F1392" t="s">
        <v>1384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f t="shared" si="42"/>
        <v>5.8</v>
      </c>
      <c r="M1392">
        <f t="shared" si="43"/>
        <v>1</v>
      </c>
    </row>
    <row r="1393" spans="1:13" x14ac:dyDescent="0.3">
      <c r="A1393">
        <v>1391</v>
      </c>
      <c r="B1393">
        <v>1392</v>
      </c>
      <c r="C1393" t="s">
        <v>1442</v>
      </c>
      <c r="D1393">
        <v>2018</v>
      </c>
      <c r="F1393" t="s">
        <v>1384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f t="shared" si="42"/>
        <v>5.8</v>
      </c>
      <c r="M1393">
        <f t="shared" si="43"/>
        <v>1</v>
      </c>
    </row>
    <row r="1394" spans="1:13" x14ac:dyDescent="0.3">
      <c r="A1394">
        <v>1392</v>
      </c>
      <c r="B1394">
        <v>1393</v>
      </c>
      <c r="C1394" t="s">
        <v>1443</v>
      </c>
      <c r="D1394">
        <v>2017</v>
      </c>
      <c r="E1394" t="s">
        <v>22</v>
      </c>
      <c r="F1394" t="s">
        <v>1384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f t="shared" si="42"/>
        <v>5.8</v>
      </c>
      <c r="M1394">
        <f t="shared" si="43"/>
        <v>1</v>
      </c>
    </row>
    <row r="1395" spans="1:13" x14ac:dyDescent="0.3">
      <c r="A1395">
        <v>1393</v>
      </c>
      <c r="B1395">
        <v>1394</v>
      </c>
      <c r="C1395" t="s">
        <v>1444</v>
      </c>
      <c r="D1395">
        <v>2002</v>
      </c>
      <c r="E1395" t="s">
        <v>14</v>
      </c>
      <c r="F1395" t="s">
        <v>1384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f t="shared" si="42"/>
        <v>5.8</v>
      </c>
      <c r="M1395">
        <f t="shared" si="43"/>
        <v>1</v>
      </c>
    </row>
    <row r="1396" spans="1:13" x14ac:dyDescent="0.3">
      <c r="A1396">
        <v>1394</v>
      </c>
      <c r="B1396">
        <v>1395</v>
      </c>
      <c r="C1396" t="s">
        <v>1445</v>
      </c>
      <c r="D1396">
        <v>2011</v>
      </c>
      <c r="E1396" t="s">
        <v>36</v>
      </c>
      <c r="F1396" t="s">
        <v>1384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f t="shared" si="42"/>
        <v>5.8</v>
      </c>
      <c r="M1396">
        <f t="shared" si="43"/>
        <v>1</v>
      </c>
    </row>
    <row r="1397" spans="1:13" x14ac:dyDescent="0.3">
      <c r="A1397">
        <v>1395</v>
      </c>
      <c r="B1397">
        <v>1396</v>
      </c>
      <c r="C1397" t="s">
        <v>1446</v>
      </c>
      <c r="D1397">
        <v>2011</v>
      </c>
      <c r="E1397" t="s">
        <v>22</v>
      </c>
      <c r="F1397" t="s">
        <v>1384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f t="shared" si="42"/>
        <v>5.8</v>
      </c>
      <c r="M1397">
        <f t="shared" si="43"/>
        <v>1</v>
      </c>
    </row>
    <row r="1398" spans="1:13" x14ac:dyDescent="0.3">
      <c r="A1398">
        <v>1396</v>
      </c>
      <c r="B1398">
        <v>1397</v>
      </c>
      <c r="C1398" t="s">
        <v>1447</v>
      </c>
      <c r="D1398">
        <v>2021</v>
      </c>
      <c r="E1398" t="s">
        <v>11</v>
      </c>
      <c r="F1398" t="s">
        <v>1384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f t="shared" si="42"/>
        <v>5.8</v>
      </c>
      <c r="M1398">
        <f t="shared" si="43"/>
        <v>1</v>
      </c>
    </row>
    <row r="1399" spans="1:13" x14ac:dyDescent="0.3">
      <c r="A1399">
        <v>1397</v>
      </c>
      <c r="B1399">
        <v>1398</v>
      </c>
      <c r="C1399" t="s">
        <v>1448</v>
      </c>
      <c r="D1399">
        <v>2018</v>
      </c>
      <c r="F1399" t="s">
        <v>1384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f t="shared" si="42"/>
        <v>5.8</v>
      </c>
      <c r="M1399">
        <f t="shared" si="43"/>
        <v>1</v>
      </c>
    </row>
    <row r="1400" spans="1:13" x14ac:dyDescent="0.3">
      <c r="A1400">
        <v>1398</v>
      </c>
      <c r="B1400">
        <v>1399</v>
      </c>
      <c r="C1400" t="s">
        <v>1449</v>
      </c>
      <c r="D1400">
        <v>2011</v>
      </c>
      <c r="F1400" t="s">
        <v>1384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f t="shared" si="42"/>
        <v>5.8</v>
      </c>
      <c r="M1400">
        <f t="shared" si="43"/>
        <v>1</v>
      </c>
    </row>
    <row r="1401" spans="1:13" x14ac:dyDescent="0.3">
      <c r="A1401">
        <v>1399</v>
      </c>
      <c r="B1401">
        <v>1400</v>
      </c>
      <c r="C1401" t="s">
        <v>1450</v>
      </c>
      <c r="D1401">
        <v>2004</v>
      </c>
      <c r="F1401" t="s">
        <v>1384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f t="shared" si="42"/>
        <v>5.8</v>
      </c>
      <c r="M1401">
        <f t="shared" si="43"/>
        <v>1</v>
      </c>
    </row>
    <row r="1402" spans="1:13" x14ac:dyDescent="0.3">
      <c r="A1402">
        <v>1400</v>
      </c>
      <c r="B1402">
        <v>1401</v>
      </c>
      <c r="C1402" t="s">
        <v>1451</v>
      </c>
      <c r="D1402">
        <v>2001</v>
      </c>
      <c r="F1402" t="s">
        <v>1384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f t="shared" si="42"/>
        <v>5.8</v>
      </c>
      <c r="M1402">
        <f t="shared" si="43"/>
        <v>1</v>
      </c>
    </row>
    <row r="1403" spans="1:13" x14ac:dyDescent="0.3">
      <c r="A1403">
        <v>1401</v>
      </c>
      <c r="B1403">
        <v>1402</v>
      </c>
      <c r="C1403" t="s">
        <v>1452</v>
      </c>
      <c r="D1403">
        <v>2018</v>
      </c>
      <c r="E1403" t="s">
        <v>11</v>
      </c>
      <c r="F1403" t="s">
        <v>1384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f t="shared" si="42"/>
        <v>5.8</v>
      </c>
      <c r="M1403">
        <f t="shared" si="43"/>
        <v>1</v>
      </c>
    </row>
    <row r="1404" spans="1:13" x14ac:dyDescent="0.3">
      <c r="A1404">
        <v>1402</v>
      </c>
      <c r="B1404">
        <v>1403</v>
      </c>
      <c r="C1404" t="s">
        <v>1453</v>
      </c>
      <c r="D1404">
        <v>2010</v>
      </c>
      <c r="E1404" t="s">
        <v>11</v>
      </c>
      <c r="F1404" t="s">
        <v>1384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f t="shared" si="42"/>
        <v>5.8</v>
      </c>
      <c r="M1404">
        <f t="shared" si="43"/>
        <v>1</v>
      </c>
    </row>
    <row r="1405" spans="1:13" x14ac:dyDescent="0.3">
      <c r="A1405">
        <v>1403</v>
      </c>
      <c r="B1405">
        <v>1404</v>
      </c>
      <c r="C1405" t="s">
        <v>1454</v>
      </c>
      <c r="D1405">
        <v>2017</v>
      </c>
      <c r="E1405" t="s">
        <v>14</v>
      </c>
      <c r="F1405" t="s">
        <v>1384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f t="shared" si="42"/>
        <v>5.8</v>
      </c>
      <c r="M1405">
        <f t="shared" si="43"/>
        <v>1</v>
      </c>
    </row>
    <row r="1406" spans="1:13" x14ac:dyDescent="0.3">
      <c r="A1406">
        <v>1404</v>
      </c>
      <c r="B1406">
        <v>1405</v>
      </c>
      <c r="C1406" t="s">
        <v>1455</v>
      </c>
      <c r="D1406">
        <v>2014</v>
      </c>
      <c r="E1406" t="s">
        <v>22</v>
      </c>
      <c r="F1406" t="s">
        <v>1384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f t="shared" si="42"/>
        <v>5.8</v>
      </c>
      <c r="M1406">
        <f t="shared" si="43"/>
        <v>1</v>
      </c>
    </row>
    <row r="1407" spans="1:13" x14ac:dyDescent="0.3">
      <c r="A1407">
        <v>1405</v>
      </c>
      <c r="B1407">
        <v>1406</v>
      </c>
      <c r="C1407" t="s">
        <v>1456</v>
      </c>
      <c r="D1407">
        <v>2019</v>
      </c>
      <c r="E1407" t="s">
        <v>28</v>
      </c>
      <c r="F1407" t="s">
        <v>1384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f t="shared" si="42"/>
        <v>5.8</v>
      </c>
      <c r="M1407">
        <f t="shared" si="43"/>
        <v>1</v>
      </c>
    </row>
    <row r="1408" spans="1:13" x14ac:dyDescent="0.3">
      <c r="A1408">
        <v>1406</v>
      </c>
      <c r="B1408">
        <v>1407</v>
      </c>
      <c r="C1408" t="s">
        <v>1457</v>
      </c>
      <c r="D1408">
        <v>1980</v>
      </c>
      <c r="E1408" t="s">
        <v>11</v>
      </c>
      <c r="F1408" t="s">
        <v>1384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f t="shared" si="42"/>
        <v>5.8</v>
      </c>
      <c r="M1408">
        <f t="shared" si="43"/>
        <v>1</v>
      </c>
    </row>
    <row r="1409" spans="1:13" x14ac:dyDescent="0.3">
      <c r="A1409">
        <v>1407</v>
      </c>
      <c r="B1409">
        <v>1408</v>
      </c>
      <c r="C1409" t="s">
        <v>1458</v>
      </c>
      <c r="D1409">
        <v>2017</v>
      </c>
      <c r="F1409" t="s">
        <v>1384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f t="shared" si="42"/>
        <v>5.8</v>
      </c>
      <c r="M1409">
        <f t="shared" si="43"/>
        <v>1</v>
      </c>
    </row>
    <row r="1410" spans="1:13" x14ac:dyDescent="0.3">
      <c r="A1410">
        <v>1408</v>
      </c>
      <c r="B1410">
        <v>1409</v>
      </c>
      <c r="C1410" t="s">
        <v>1459</v>
      </c>
      <c r="D1410">
        <v>2021</v>
      </c>
      <c r="F1410" t="s">
        <v>1384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f t="shared" si="42"/>
        <v>5.8</v>
      </c>
      <c r="M1410">
        <f t="shared" si="43"/>
        <v>1</v>
      </c>
    </row>
    <row r="1411" spans="1:13" x14ac:dyDescent="0.3">
      <c r="A1411">
        <v>1409</v>
      </c>
      <c r="B1411">
        <v>1410</v>
      </c>
      <c r="C1411" t="s">
        <v>1460</v>
      </c>
      <c r="D1411">
        <v>2017</v>
      </c>
      <c r="E1411" t="s">
        <v>28</v>
      </c>
      <c r="F1411" t="s">
        <v>1384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f t="shared" ref="L1411:L1474" si="44">IFERROR(VALUE(LEFT(F1411,FIND("/",F1411)-1))/10,"")</f>
        <v>5.8</v>
      </c>
      <c r="M1411">
        <f t="shared" ref="M1411:M1474" si="45">SUM(G1411:J1411)</f>
        <v>1</v>
      </c>
    </row>
    <row r="1412" spans="1:13" x14ac:dyDescent="0.3">
      <c r="A1412">
        <v>1410</v>
      </c>
      <c r="B1412">
        <v>1411</v>
      </c>
      <c r="C1412" t="s">
        <v>1461</v>
      </c>
      <c r="D1412">
        <v>2020</v>
      </c>
      <c r="E1412" t="s">
        <v>28</v>
      </c>
      <c r="F1412" t="s">
        <v>1384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f t="shared" si="44"/>
        <v>5.8</v>
      </c>
      <c r="M1412">
        <f t="shared" si="45"/>
        <v>1</v>
      </c>
    </row>
    <row r="1413" spans="1:13" x14ac:dyDescent="0.3">
      <c r="A1413">
        <v>1411</v>
      </c>
      <c r="B1413">
        <v>1412</v>
      </c>
      <c r="C1413" t="s">
        <v>1462</v>
      </c>
      <c r="D1413">
        <v>2020</v>
      </c>
      <c r="F1413" t="s">
        <v>1384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f t="shared" si="44"/>
        <v>5.8</v>
      </c>
      <c r="M1413">
        <f t="shared" si="45"/>
        <v>1</v>
      </c>
    </row>
    <row r="1414" spans="1:13" x14ac:dyDescent="0.3">
      <c r="A1414">
        <v>1412</v>
      </c>
      <c r="B1414">
        <v>1413</v>
      </c>
      <c r="C1414" t="s">
        <v>1463</v>
      </c>
      <c r="D1414">
        <v>2020</v>
      </c>
      <c r="E1414" t="s">
        <v>11</v>
      </c>
      <c r="F1414" t="s">
        <v>1384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f t="shared" si="44"/>
        <v>5.8</v>
      </c>
      <c r="M1414">
        <f t="shared" si="45"/>
        <v>1</v>
      </c>
    </row>
    <row r="1415" spans="1:13" x14ac:dyDescent="0.3">
      <c r="A1415">
        <v>1413</v>
      </c>
      <c r="B1415">
        <v>1414</v>
      </c>
      <c r="C1415" t="s">
        <v>1464</v>
      </c>
      <c r="D1415">
        <v>2021</v>
      </c>
      <c r="F1415" t="s">
        <v>1384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f t="shared" si="44"/>
        <v>5.8</v>
      </c>
      <c r="M1415">
        <f t="shared" si="45"/>
        <v>1</v>
      </c>
    </row>
    <row r="1416" spans="1:13" x14ac:dyDescent="0.3">
      <c r="A1416">
        <v>1414</v>
      </c>
      <c r="B1416">
        <v>1415</v>
      </c>
      <c r="C1416" t="s">
        <v>1465</v>
      </c>
      <c r="D1416">
        <v>2016</v>
      </c>
      <c r="F1416" t="s">
        <v>1384</v>
      </c>
      <c r="G1416">
        <v>1</v>
      </c>
      <c r="H1416">
        <v>0</v>
      </c>
      <c r="I1416">
        <v>1</v>
      </c>
      <c r="J1416">
        <v>0</v>
      </c>
      <c r="K1416">
        <v>0</v>
      </c>
      <c r="L1416">
        <f t="shared" si="44"/>
        <v>5.8</v>
      </c>
      <c r="M1416">
        <f t="shared" si="45"/>
        <v>2</v>
      </c>
    </row>
    <row r="1417" spans="1:13" x14ac:dyDescent="0.3">
      <c r="A1417">
        <v>1415</v>
      </c>
      <c r="B1417">
        <v>1416</v>
      </c>
      <c r="C1417" t="s">
        <v>1466</v>
      </c>
      <c r="D1417">
        <v>2016</v>
      </c>
      <c r="E1417" t="s">
        <v>11</v>
      </c>
      <c r="F1417" t="s">
        <v>1384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f t="shared" si="44"/>
        <v>5.8</v>
      </c>
      <c r="M1417">
        <f t="shared" si="45"/>
        <v>1</v>
      </c>
    </row>
    <row r="1418" spans="1:13" x14ac:dyDescent="0.3">
      <c r="A1418">
        <v>1416</v>
      </c>
      <c r="B1418">
        <v>1417</v>
      </c>
      <c r="C1418" t="s">
        <v>1467</v>
      </c>
      <c r="D1418">
        <v>2019</v>
      </c>
      <c r="F1418" t="s">
        <v>1384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f t="shared" si="44"/>
        <v>5.8</v>
      </c>
      <c r="M1418">
        <f t="shared" si="45"/>
        <v>1</v>
      </c>
    </row>
    <row r="1419" spans="1:13" x14ac:dyDescent="0.3">
      <c r="A1419">
        <v>1417</v>
      </c>
      <c r="B1419">
        <v>1418</v>
      </c>
      <c r="C1419" t="s">
        <v>1468</v>
      </c>
      <c r="D1419">
        <v>2017</v>
      </c>
      <c r="E1419" t="s">
        <v>36</v>
      </c>
      <c r="F1419" t="s">
        <v>1384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f t="shared" si="44"/>
        <v>5.8</v>
      </c>
      <c r="M1419">
        <f t="shared" si="45"/>
        <v>1</v>
      </c>
    </row>
    <row r="1420" spans="1:13" x14ac:dyDescent="0.3">
      <c r="A1420">
        <v>1418</v>
      </c>
      <c r="B1420">
        <v>1419</v>
      </c>
      <c r="C1420" t="s">
        <v>1469</v>
      </c>
      <c r="D1420">
        <v>2019</v>
      </c>
      <c r="E1420" t="s">
        <v>14</v>
      </c>
      <c r="F1420" t="s">
        <v>1384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f t="shared" si="44"/>
        <v>5.8</v>
      </c>
      <c r="M1420">
        <f t="shared" si="45"/>
        <v>1</v>
      </c>
    </row>
    <row r="1421" spans="1:13" x14ac:dyDescent="0.3">
      <c r="A1421">
        <v>1419</v>
      </c>
      <c r="B1421">
        <v>1420</v>
      </c>
      <c r="C1421" t="s">
        <v>1470</v>
      </c>
      <c r="D1421">
        <v>2014</v>
      </c>
      <c r="E1421" t="s">
        <v>14</v>
      </c>
      <c r="F1421" t="s">
        <v>1471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f t="shared" si="44"/>
        <v>5.7</v>
      </c>
      <c r="M1421">
        <f t="shared" si="45"/>
        <v>1</v>
      </c>
    </row>
    <row r="1422" spans="1:13" x14ac:dyDescent="0.3">
      <c r="A1422">
        <v>1420</v>
      </c>
      <c r="B1422">
        <v>1421</v>
      </c>
      <c r="C1422" t="s">
        <v>1472</v>
      </c>
      <c r="D1422">
        <v>2016</v>
      </c>
      <c r="E1422" t="s">
        <v>11</v>
      </c>
      <c r="F1422" t="s">
        <v>1471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f t="shared" si="44"/>
        <v>5.7</v>
      </c>
      <c r="M1422">
        <f t="shared" si="45"/>
        <v>1</v>
      </c>
    </row>
    <row r="1423" spans="1:13" x14ac:dyDescent="0.3">
      <c r="A1423">
        <v>1421</v>
      </c>
      <c r="B1423">
        <v>1422</v>
      </c>
      <c r="C1423" t="s">
        <v>1473</v>
      </c>
      <c r="D1423">
        <v>2020</v>
      </c>
      <c r="E1423" t="s">
        <v>36</v>
      </c>
      <c r="F1423" t="s">
        <v>1471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f t="shared" si="44"/>
        <v>5.7</v>
      </c>
      <c r="M1423">
        <f t="shared" si="45"/>
        <v>1</v>
      </c>
    </row>
    <row r="1424" spans="1:13" x14ac:dyDescent="0.3">
      <c r="A1424">
        <v>1422</v>
      </c>
      <c r="B1424">
        <v>1423</v>
      </c>
      <c r="C1424" t="s">
        <v>1474</v>
      </c>
      <c r="D1424">
        <v>2020</v>
      </c>
      <c r="E1424" t="s">
        <v>11</v>
      </c>
      <c r="F1424" t="s">
        <v>1471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f t="shared" si="44"/>
        <v>5.7</v>
      </c>
      <c r="M1424">
        <f t="shared" si="45"/>
        <v>1</v>
      </c>
    </row>
    <row r="1425" spans="1:13" x14ac:dyDescent="0.3">
      <c r="A1425">
        <v>1423</v>
      </c>
      <c r="B1425">
        <v>1424</v>
      </c>
      <c r="C1425" t="s">
        <v>1475</v>
      </c>
      <c r="D1425">
        <v>2017</v>
      </c>
      <c r="F1425" t="s">
        <v>1471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f t="shared" si="44"/>
        <v>5.7</v>
      </c>
      <c r="M1425">
        <f t="shared" si="45"/>
        <v>1</v>
      </c>
    </row>
    <row r="1426" spans="1:13" x14ac:dyDescent="0.3">
      <c r="A1426">
        <v>1424</v>
      </c>
      <c r="B1426">
        <v>1425</v>
      </c>
      <c r="C1426" t="s">
        <v>1476</v>
      </c>
      <c r="D1426">
        <v>1977</v>
      </c>
      <c r="E1426" t="s">
        <v>14</v>
      </c>
      <c r="F1426" t="s">
        <v>1471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f t="shared" si="44"/>
        <v>5.7</v>
      </c>
      <c r="M1426">
        <f t="shared" si="45"/>
        <v>1</v>
      </c>
    </row>
    <row r="1427" spans="1:13" x14ac:dyDescent="0.3">
      <c r="A1427">
        <v>1425</v>
      </c>
      <c r="B1427">
        <v>1426</v>
      </c>
      <c r="C1427" t="s">
        <v>1477</v>
      </c>
      <c r="D1427">
        <v>2020</v>
      </c>
      <c r="F1427" t="s">
        <v>1471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f t="shared" si="44"/>
        <v>5.7</v>
      </c>
      <c r="M1427">
        <f t="shared" si="45"/>
        <v>1</v>
      </c>
    </row>
    <row r="1428" spans="1:13" x14ac:dyDescent="0.3">
      <c r="A1428">
        <v>1426</v>
      </c>
      <c r="B1428">
        <v>1427</v>
      </c>
      <c r="C1428" t="s">
        <v>1478</v>
      </c>
      <c r="D1428">
        <v>2017</v>
      </c>
      <c r="E1428" t="s">
        <v>28</v>
      </c>
      <c r="F1428" t="s">
        <v>1471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f t="shared" si="44"/>
        <v>5.7</v>
      </c>
      <c r="M1428">
        <f t="shared" si="45"/>
        <v>1</v>
      </c>
    </row>
    <row r="1429" spans="1:13" x14ac:dyDescent="0.3">
      <c r="A1429">
        <v>1427</v>
      </c>
      <c r="B1429">
        <v>1428</v>
      </c>
      <c r="C1429" t="s">
        <v>1479</v>
      </c>
      <c r="D1429">
        <v>2021</v>
      </c>
      <c r="F1429" t="s">
        <v>1471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f t="shared" si="44"/>
        <v>5.7</v>
      </c>
      <c r="M1429">
        <f t="shared" si="45"/>
        <v>1</v>
      </c>
    </row>
    <row r="1430" spans="1:13" x14ac:dyDescent="0.3">
      <c r="A1430">
        <v>1428</v>
      </c>
      <c r="B1430">
        <v>1429</v>
      </c>
      <c r="C1430" t="s">
        <v>1480</v>
      </c>
      <c r="D1430">
        <v>2014</v>
      </c>
      <c r="E1430" t="s">
        <v>28</v>
      </c>
      <c r="F1430" t="s">
        <v>1471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f t="shared" si="44"/>
        <v>5.7</v>
      </c>
      <c r="M1430">
        <f t="shared" si="45"/>
        <v>1</v>
      </c>
    </row>
    <row r="1431" spans="1:13" x14ac:dyDescent="0.3">
      <c r="A1431">
        <v>1429</v>
      </c>
      <c r="B1431">
        <v>1430</v>
      </c>
      <c r="C1431" t="s">
        <v>1481</v>
      </c>
      <c r="D1431">
        <v>2011</v>
      </c>
      <c r="F1431" t="s">
        <v>1471</v>
      </c>
      <c r="G1431">
        <v>1</v>
      </c>
      <c r="H1431">
        <v>0</v>
      </c>
      <c r="I1431">
        <v>1</v>
      </c>
      <c r="J1431">
        <v>0</v>
      </c>
      <c r="K1431">
        <v>0</v>
      </c>
      <c r="L1431">
        <f t="shared" si="44"/>
        <v>5.7</v>
      </c>
      <c r="M1431">
        <f t="shared" si="45"/>
        <v>2</v>
      </c>
    </row>
    <row r="1432" spans="1:13" x14ac:dyDescent="0.3">
      <c r="A1432">
        <v>1430</v>
      </c>
      <c r="B1432">
        <v>1431</v>
      </c>
      <c r="C1432" t="s">
        <v>1482</v>
      </c>
      <c r="D1432">
        <v>2020</v>
      </c>
      <c r="F1432" t="s">
        <v>1471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f t="shared" si="44"/>
        <v>5.7</v>
      </c>
      <c r="M1432">
        <f t="shared" si="45"/>
        <v>1</v>
      </c>
    </row>
    <row r="1433" spans="1:13" x14ac:dyDescent="0.3">
      <c r="A1433">
        <v>1431</v>
      </c>
      <c r="B1433">
        <v>1432</v>
      </c>
      <c r="C1433" t="s">
        <v>1483</v>
      </c>
      <c r="D1433">
        <v>2018</v>
      </c>
      <c r="E1433" t="s">
        <v>14</v>
      </c>
      <c r="F1433" t="s">
        <v>1471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f t="shared" si="44"/>
        <v>5.7</v>
      </c>
      <c r="M1433">
        <f t="shared" si="45"/>
        <v>1</v>
      </c>
    </row>
    <row r="1434" spans="1:13" x14ac:dyDescent="0.3">
      <c r="A1434">
        <v>1432</v>
      </c>
      <c r="B1434">
        <v>1433</v>
      </c>
      <c r="C1434" t="s">
        <v>1484</v>
      </c>
      <c r="D1434">
        <v>2010</v>
      </c>
      <c r="E1434" t="s">
        <v>14</v>
      </c>
      <c r="F1434" t="s">
        <v>1471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f t="shared" si="44"/>
        <v>5.7</v>
      </c>
      <c r="M1434">
        <f t="shared" si="45"/>
        <v>1</v>
      </c>
    </row>
    <row r="1435" spans="1:13" x14ac:dyDescent="0.3">
      <c r="A1435">
        <v>1433</v>
      </c>
      <c r="B1435">
        <v>1434</v>
      </c>
      <c r="C1435" t="s">
        <v>1485</v>
      </c>
      <c r="D1435">
        <v>2020</v>
      </c>
      <c r="E1435" t="s">
        <v>11</v>
      </c>
      <c r="F1435" t="s">
        <v>1471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f t="shared" si="44"/>
        <v>5.7</v>
      </c>
      <c r="M1435">
        <f t="shared" si="45"/>
        <v>1</v>
      </c>
    </row>
    <row r="1436" spans="1:13" x14ac:dyDescent="0.3">
      <c r="A1436">
        <v>1434</v>
      </c>
      <c r="B1436">
        <v>1435</v>
      </c>
      <c r="C1436" t="s">
        <v>1486</v>
      </c>
      <c r="D1436">
        <v>2020</v>
      </c>
      <c r="E1436" t="s">
        <v>11</v>
      </c>
      <c r="F1436" t="s">
        <v>1471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f t="shared" si="44"/>
        <v>5.7</v>
      </c>
      <c r="M1436">
        <f t="shared" si="45"/>
        <v>1</v>
      </c>
    </row>
    <row r="1437" spans="1:13" x14ac:dyDescent="0.3">
      <c r="A1437">
        <v>1435</v>
      </c>
      <c r="B1437">
        <v>1436</v>
      </c>
      <c r="C1437" t="s">
        <v>1487</v>
      </c>
      <c r="D1437">
        <v>2004</v>
      </c>
      <c r="E1437" t="s">
        <v>14</v>
      </c>
      <c r="F1437" t="s">
        <v>1471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f t="shared" si="44"/>
        <v>5.7</v>
      </c>
      <c r="M1437">
        <f t="shared" si="45"/>
        <v>1</v>
      </c>
    </row>
    <row r="1438" spans="1:13" x14ac:dyDescent="0.3">
      <c r="A1438">
        <v>1436</v>
      </c>
      <c r="B1438">
        <v>1437</v>
      </c>
      <c r="C1438" t="s">
        <v>1488</v>
      </c>
      <c r="D1438">
        <v>2019</v>
      </c>
      <c r="F1438" t="s">
        <v>1471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f t="shared" si="44"/>
        <v>5.7</v>
      </c>
      <c r="M1438">
        <f t="shared" si="45"/>
        <v>1</v>
      </c>
    </row>
    <row r="1439" spans="1:13" x14ac:dyDescent="0.3">
      <c r="A1439">
        <v>1437</v>
      </c>
      <c r="B1439">
        <v>1438</v>
      </c>
      <c r="C1439" t="s">
        <v>1489</v>
      </c>
      <c r="D1439">
        <v>1983</v>
      </c>
      <c r="E1439" t="s">
        <v>11</v>
      </c>
      <c r="F1439" t="s">
        <v>1471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f t="shared" si="44"/>
        <v>5.7</v>
      </c>
      <c r="M1439">
        <f t="shared" si="45"/>
        <v>1</v>
      </c>
    </row>
    <row r="1440" spans="1:13" x14ac:dyDescent="0.3">
      <c r="A1440">
        <v>1438</v>
      </c>
      <c r="B1440">
        <v>1439</v>
      </c>
      <c r="C1440" t="s">
        <v>1490</v>
      </c>
      <c r="D1440">
        <v>1970</v>
      </c>
      <c r="F1440" t="s">
        <v>1471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f t="shared" si="44"/>
        <v>5.7</v>
      </c>
      <c r="M1440">
        <f t="shared" si="45"/>
        <v>1</v>
      </c>
    </row>
    <row r="1441" spans="1:13" x14ac:dyDescent="0.3">
      <c r="A1441">
        <v>1439</v>
      </c>
      <c r="B1441">
        <v>1440</v>
      </c>
      <c r="C1441" t="s">
        <v>1491</v>
      </c>
      <c r="D1441">
        <v>2019</v>
      </c>
      <c r="E1441" t="s">
        <v>11</v>
      </c>
      <c r="F1441" t="s">
        <v>1471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f t="shared" si="44"/>
        <v>5.7</v>
      </c>
      <c r="M1441">
        <f t="shared" si="45"/>
        <v>1</v>
      </c>
    </row>
    <row r="1442" spans="1:13" x14ac:dyDescent="0.3">
      <c r="A1442">
        <v>1440</v>
      </c>
      <c r="B1442">
        <v>1441</v>
      </c>
      <c r="C1442" t="s">
        <v>1492</v>
      </c>
      <c r="D1442">
        <v>2018</v>
      </c>
      <c r="F1442" t="s">
        <v>1471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f t="shared" si="44"/>
        <v>5.7</v>
      </c>
      <c r="M1442">
        <f t="shared" si="45"/>
        <v>1</v>
      </c>
    </row>
    <row r="1443" spans="1:13" x14ac:dyDescent="0.3">
      <c r="A1443">
        <v>1441</v>
      </c>
      <c r="B1443">
        <v>1442</v>
      </c>
      <c r="C1443" t="s">
        <v>1493</v>
      </c>
      <c r="D1443">
        <v>2020</v>
      </c>
      <c r="F1443" t="s">
        <v>1471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f t="shared" si="44"/>
        <v>5.7</v>
      </c>
      <c r="M1443">
        <f t="shared" si="45"/>
        <v>1</v>
      </c>
    </row>
    <row r="1444" spans="1:13" x14ac:dyDescent="0.3">
      <c r="A1444">
        <v>1442</v>
      </c>
      <c r="B1444">
        <v>1443</v>
      </c>
      <c r="C1444" t="s">
        <v>1494</v>
      </c>
      <c r="D1444">
        <v>2010</v>
      </c>
      <c r="E1444" t="s">
        <v>36</v>
      </c>
      <c r="F1444" t="s">
        <v>1471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f t="shared" si="44"/>
        <v>5.7</v>
      </c>
      <c r="M1444">
        <f t="shared" si="45"/>
        <v>1</v>
      </c>
    </row>
    <row r="1445" spans="1:13" x14ac:dyDescent="0.3">
      <c r="A1445">
        <v>1443</v>
      </c>
      <c r="B1445">
        <v>1444</v>
      </c>
      <c r="C1445" t="s">
        <v>1495</v>
      </c>
      <c r="D1445">
        <v>2017</v>
      </c>
      <c r="E1445" t="s">
        <v>11</v>
      </c>
      <c r="F1445" t="s">
        <v>1471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f t="shared" si="44"/>
        <v>5.7</v>
      </c>
      <c r="M1445">
        <f t="shared" si="45"/>
        <v>1</v>
      </c>
    </row>
    <row r="1446" spans="1:13" x14ac:dyDescent="0.3">
      <c r="A1446">
        <v>1444</v>
      </c>
      <c r="B1446">
        <v>1445</v>
      </c>
      <c r="C1446" t="s">
        <v>1496</v>
      </c>
      <c r="D1446">
        <v>2018</v>
      </c>
      <c r="F1446" t="s">
        <v>1471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f t="shared" si="44"/>
        <v>5.7</v>
      </c>
      <c r="M1446">
        <f t="shared" si="45"/>
        <v>1</v>
      </c>
    </row>
    <row r="1447" spans="1:13" x14ac:dyDescent="0.3">
      <c r="A1447">
        <v>1445</v>
      </c>
      <c r="B1447">
        <v>1446</v>
      </c>
      <c r="C1447" t="s">
        <v>1497</v>
      </c>
      <c r="D1447">
        <v>2015</v>
      </c>
      <c r="E1447" t="s">
        <v>14</v>
      </c>
      <c r="F1447" t="s">
        <v>1471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f t="shared" si="44"/>
        <v>5.7</v>
      </c>
      <c r="M1447">
        <f t="shared" si="45"/>
        <v>1</v>
      </c>
    </row>
    <row r="1448" spans="1:13" x14ac:dyDescent="0.3">
      <c r="A1448">
        <v>1446</v>
      </c>
      <c r="B1448">
        <v>1447</v>
      </c>
      <c r="C1448" t="s">
        <v>1498</v>
      </c>
      <c r="D1448">
        <v>2021</v>
      </c>
      <c r="E1448" t="s">
        <v>22</v>
      </c>
      <c r="F1448" t="s">
        <v>1471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f t="shared" si="44"/>
        <v>5.7</v>
      </c>
      <c r="M1448">
        <f t="shared" si="45"/>
        <v>1</v>
      </c>
    </row>
    <row r="1449" spans="1:13" x14ac:dyDescent="0.3">
      <c r="A1449">
        <v>1447</v>
      </c>
      <c r="B1449">
        <v>1448</v>
      </c>
      <c r="C1449" t="s">
        <v>1499</v>
      </c>
      <c r="D1449">
        <v>2020</v>
      </c>
      <c r="F1449" t="s">
        <v>1471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f t="shared" si="44"/>
        <v>5.7</v>
      </c>
      <c r="M1449">
        <f t="shared" si="45"/>
        <v>1</v>
      </c>
    </row>
    <row r="1450" spans="1:13" x14ac:dyDescent="0.3">
      <c r="A1450">
        <v>1448</v>
      </c>
      <c r="B1450">
        <v>1449</v>
      </c>
      <c r="C1450" t="s">
        <v>1500</v>
      </c>
      <c r="D1450">
        <v>2017</v>
      </c>
      <c r="E1450" t="s">
        <v>22</v>
      </c>
      <c r="F1450" t="s">
        <v>1471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f t="shared" si="44"/>
        <v>5.7</v>
      </c>
      <c r="M1450">
        <f t="shared" si="45"/>
        <v>1</v>
      </c>
    </row>
    <row r="1451" spans="1:13" x14ac:dyDescent="0.3">
      <c r="A1451">
        <v>1449</v>
      </c>
      <c r="B1451">
        <v>1450</v>
      </c>
      <c r="C1451" t="s">
        <v>1501</v>
      </c>
      <c r="D1451">
        <v>2016</v>
      </c>
      <c r="F1451" t="s">
        <v>1471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f t="shared" si="44"/>
        <v>5.7</v>
      </c>
      <c r="M1451">
        <f t="shared" si="45"/>
        <v>1</v>
      </c>
    </row>
    <row r="1452" spans="1:13" x14ac:dyDescent="0.3">
      <c r="A1452">
        <v>1450</v>
      </c>
      <c r="B1452">
        <v>1451</v>
      </c>
      <c r="C1452" t="s">
        <v>1502</v>
      </c>
      <c r="D1452">
        <v>2017</v>
      </c>
      <c r="E1452" t="s">
        <v>11</v>
      </c>
      <c r="F1452" t="s">
        <v>1471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f t="shared" si="44"/>
        <v>5.7</v>
      </c>
      <c r="M1452">
        <f t="shared" si="45"/>
        <v>1</v>
      </c>
    </row>
    <row r="1453" spans="1:13" x14ac:dyDescent="0.3">
      <c r="A1453">
        <v>1451</v>
      </c>
      <c r="B1453">
        <v>1452</v>
      </c>
      <c r="C1453" t="s">
        <v>1503</v>
      </c>
      <c r="D1453">
        <v>2005</v>
      </c>
      <c r="F1453" t="s">
        <v>1471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f t="shared" si="44"/>
        <v>5.7</v>
      </c>
      <c r="M1453">
        <f t="shared" si="45"/>
        <v>1</v>
      </c>
    </row>
    <row r="1454" spans="1:13" x14ac:dyDescent="0.3">
      <c r="A1454">
        <v>1452</v>
      </c>
      <c r="B1454">
        <v>1453</v>
      </c>
      <c r="C1454" t="s">
        <v>1504</v>
      </c>
      <c r="D1454">
        <v>2016</v>
      </c>
      <c r="E1454" t="s">
        <v>22</v>
      </c>
      <c r="F1454" t="s">
        <v>1471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f t="shared" si="44"/>
        <v>5.7</v>
      </c>
      <c r="M1454">
        <f t="shared" si="45"/>
        <v>1</v>
      </c>
    </row>
    <row r="1455" spans="1:13" x14ac:dyDescent="0.3">
      <c r="A1455">
        <v>1453</v>
      </c>
      <c r="B1455">
        <v>1454</v>
      </c>
      <c r="C1455">
        <v>678</v>
      </c>
      <c r="D1455">
        <v>2010</v>
      </c>
      <c r="F1455" t="s">
        <v>1471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f t="shared" si="44"/>
        <v>5.7</v>
      </c>
      <c r="M1455">
        <f t="shared" si="45"/>
        <v>1</v>
      </c>
    </row>
    <row r="1456" spans="1:13" x14ac:dyDescent="0.3">
      <c r="A1456">
        <v>1454</v>
      </c>
      <c r="B1456">
        <v>1455</v>
      </c>
      <c r="C1456" t="s">
        <v>1505</v>
      </c>
      <c r="D1456">
        <v>2011</v>
      </c>
      <c r="E1456" t="s">
        <v>22</v>
      </c>
      <c r="F1456" t="s">
        <v>1471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f t="shared" si="44"/>
        <v>5.7</v>
      </c>
      <c r="M1456">
        <f t="shared" si="45"/>
        <v>1</v>
      </c>
    </row>
    <row r="1457" spans="1:13" x14ac:dyDescent="0.3">
      <c r="A1457">
        <v>1455</v>
      </c>
      <c r="B1457">
        <v>1456</v>
      </c>
      <c r="C1457" t="s">
        <v>1506</v>
      </c>
      <c r="D1457">
        <v>2013</v>
      </c>
      <c r="F1457" t="s">
        <v>1471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f t="shared" si="44"/>
        <v>5.7</v>
      </c>
      <c r="M1457">
        <f t="shared" si="45"/>
        <v>1</v>
      </c>
    </row>
    <row r="1458" spans="1:13" x14ac:dyDescent="0.3">
      <c r="A1458">
        <v>1456</v>
      </c>
      <c r="B1458">
        <v>1457</v>
      </c>
      <c r="C1458" t="s">
        <v>1507</v>
      </c>
      <c r="D1458">
        <v>2014</v>
      </c>
      <c r="F1458" t="s">
        <v>1471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f t="shared" si="44"/>
        <v>5.7</v>
      </c>
      <c r="M1458">
        <f t="shared" si="45"/>
        <v>1</v>
      </c>
    </row>
    <row r="1459" spans="1:13" x14ac:dyDescent="0.3">
      <c r="A1459">
        <v>1457</v>
      </c>
      <c r="B1459">
        <v>1458</v>
      </c>
      <c r="C1459" t="s">
        <v>1508</v>
      </c>
      <c r="D1459">
        <v>2019</v>
      </c>
      <c r="E1459" t="s">
        <v>11</v>
      </c>
      <c r="F1459" t="s">
        <v>1471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f t="shared" si="44"/>
        <v>5.7</v>
      </c>
      <c r="M1459">
        <f t="shared" si="45"/>
        <v>1</v>
      </c>
    </row>
    <row r="1460" spans="1:13" x14ac:dyDescent="0.3">
      <c r="A1460">
        <v>1458</v>
      </c>
      <c r="B1460">
        <v>1459</v>
      </c>
      <c r="C1460" t="s">
        <v>1509</v>
      </c>
      <c r="D1460">
        <v>2019</v>
      </c>
      <c r="F1460" t="s">
        <v>1471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f t="shared" si="44"/>
        <v>5.7</v>
      </c>
      <c r="M1460">
        <f t="shared" si="45"/>
        <v>1</v>
      </c>
    </row>
    <row r="1461" spans="1:13" x14ac:dyDescent="0.3">
      <c r="A1461">
        <v>1459</v>
      </c>
      <c r="B1461">
        <v>1460</v>
      </c>
      <c r="C1461" t="s">
        <v>1510</v>
      </c>
      <c r="D1461">
        <v>2021</v>
      </c>
      <c r="F1461" t="s">
        <v>1471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f t="shared" si="44"/>
        <v>5.7</v>
      </c>
      <c r="M1461">
        <f t="shared" si="45"/>
        <v>1</v>
      </c>
    </row>
    <row r="1462" spans="1:13" x14ac:dyDescent="0.3">
      <c r="A1462">
        <v>1460</v>
      </c>
      <c r="B1462">
        <v>1461</v>
      </c>
      <c r="C1462" t="s">
        <v>1511</v>
      </c>
      <c r="D1462">
        <v>2018</v>
      </c>
      <c r="F1462" t="s">
        <v>1471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f t="shared" si="44"/>
        <v>5.7</v>
      </c>
      <c r="M1462">
        <f t="shared" si="45"/>
        <v>1</v>
      </c>
    </row>
    <row r="1463" spans="1:13" x14ac:dyDescent="0.3">
      <c r="A1463">
        <v>1461</v>
      </c>
      <c r="B1463">
        <v>1462</v>
      </c>
      <c r="C1463" t="s">
        <v>1512</v>
      </c>
      <c r="D1463">
        <v>2020</v>
      </c>
      <c r="E1463" t="s">
        <v>22</v>
      </c>
      <c r="F1463" t="s">
        <v>1471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f t="shared" si="44"/>
        <v>5.7</v>
      </c>
      <c r="M1463">
        <f t="shared" si="45"/>
        <v>1</v>
      </c>
    </row>
    <row r="1464" spans="1:13" x14ac:dyDescent="0.3">
      <c r="A1464">
        <v>1462</v>
      </c>
      <c r="B1464">
        <v>1463</v>
      </c>
      <c r="C1464" t="s">
        <v>1513</v>
      </c>
      <c r="D1464">
        <v>1988</v>
      </c>
      <c r="F1464" t="s">
        <v>1471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f t="shared" si="44"/>
        <v>5.7</v>
      </c>
      <c r="M1464">
        <f t="shared" si="45"/>
        <v>1</v>
      </c>
    </row>
    <row r="1465" spans="1:13" x14ac:dyDescent="0.3">
      <c r="A1465">
        <v>1463</v>
      </c>
      <c r="B1465">
        <v>1464</v>
      </c>
      <c r="C1465" t="s">
        <v>1514</v>
      </c>
      <c r="D1465">
        <v>2019</v>
      </c>
      <c r="E1465" t="s">
        <v>14</v>
      </c>
      <c r="F1465" t="s">
        <v>1471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f t="shared" si="44"/>
        <v>5.7</v>
      </c>
      <c r="M1465">
        <f t="shared" si="45"/>
        <v>1</v>
      </c>
    </row>
    <row r="1466" spans="1:13" x14ac:dyDescent="0.3">
      <c r="A1466">
        <v>1464</v>
      </c>
      <c r="B1466">
        <v>1465</v>
      </c>
      <c r="C1466" t="s">
        <v>1515</v>
      </c>
      <c r="D1466">
        <v>2019</v>
      </c>
      <c r="E1466" t="s">
        <v>11</v>
      </c>
      <c r="F1466" t="s">
        <v>1471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f t="shared" si="44"/>
        <v>5.7</v>
      </c>
      <c r="M1466">
        <f t="shared" si="45"/>
        <v>1</v>
      </c>
    </row>
    <row r="1467" spans="1:13" x14ac:dyDescent="0.3">
      <c r="A1467">
        <v>1465</v>
      </c>
      <c r="B1467">
        <v>1466</v>
      </c>
      <c r="C1467" t="s">
        <v>1516</v>
      </c>
      <c r="D1467">
        <v>2015</v>
      </c>
      <c r="F1467" t="s">
        <v>1471</v>
      </c>
      <c r="G1467">
        <v>1</v>
      </c>
      <c r="H1467">
        <v>1</v>
      </c>
      <c r="I1467">
        <v>1</v>
      </c>
      <c r="J1467">
        <v>0</v>
      </c>
      <c r="K1467">
        <v>0</v>
      </c>
      <c r="L1467">
        <f t="shared" si="44"/>
        <v>5.7</v>
      </c>
      <c r="M1467">
        <f t="shared" si="45"/>
        <v>3</v>
      </c>
    </row>
    <row r="1468" spans="1:13" x14ac:dyDescent="0.3">
      <c r="A1468">
        <v>1466</v>
      </c>
      <c r="B1468">
        <v>1467</v>
      </c>
      <c r="C1468" t="s">
        <v>1517</v>
      </c>
      <c r="D1468">
        <v>2018</v>
      </c>
      <c r="E1468" t="s">
        <v>11</v>
      </c>
      <c r="F1468" t="s">
        <v>1471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f t="shared" si="44"/>
        <v>5.7</v>
      </c>
      <c r="M1468">
        <f t="shared" si="45"/>
        <v>1</v>
      </c>
    </row>
    <row r="1469" spans="1:13" x14ac:dyDescent="0.3">
      <c r="A1469">
        <v>1467</v>
      </c>
      <c r="B1469">
        <v>1468</v>
      </c>
      <c r="C1469" t="s">
        <v>1518</v>
      </c>
      <c r="D1469">
        <v>2019</v>
      </c>
      <c r="E1469" t="s">
        <v>11</v>
      </c>
      <c r="F1469" t="s">
        <v>1471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f t="shared" si="44"/>
        <v>5.7</v>
      </c>
      <c r="M1469">
        <f t="shared" si="45"/>
        <v>1</v>
      </c>
    </row>
    <row r="1470" spans="1:13" x14ac:dyDescent="0.3">
      <c r="A1470">
        <v>1468</v>
      </c>
      <c r="B1470">
        <v>1469</v>
      </c>
      <c r="C1470" t="s">
        <v>1519</v>
      </c>
      <c r="D1470">
        <v>2018</v>
      </c>
      <c r="E1470" t="s">
        <v>22</v>
      </c>
      <c r="F1470" t="s">
        <v>1471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f t="shared" si="44"/>
        <v>5.7</v>
      </c>
      <c r="M1470">
        <f t="shared" si="45"/>
        <v>1</v>
      </c>
    </row>
    <row r="1471" spans="1:13" x14ac:dyDescent="0.3">
      <c r="A1471">
        <v>1469</v>
      </c>
      <c r="B1471">
        <v>1470</v>
      </c>
      <c r="C1471" t="s">
        <v>1520</v>
      </c>
      <c r="D1471">
        <v>2020</v>
      </c>
      <c r="E1471" t="s">
        <v>11</v>
      </c>
      <c r="F1471" t="s">
        <v>1471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f t="shared" si="44"/>
        <v>5.7</v>
      </c>
      <c r="M1471">
        <f t="shared" si="45"/>
        <v>1</v>
      </c>
    </row>
    <row r="1472" spans="1:13" x14ac:dyDescent="0.3">
      <c r="A1472">
        <v>1470</v>
      </c>
      <c r="B1472">
        <v>1471</v>
      </c>
      <c r="C1472" t="s">
        <v>1521</v>
      </c>
      <c r="D1472">
        <v>2007</v>
      </c>
      <c r="F1472" t="s">
        <v>1471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f t="shared" si="44"/>
        <v>5.7</v>
      </c>
      <c r="M1472">
        <f t="shared" si="45"/>
        <v>1</v>
      </c>
    </row>
    <row r="1473" spans="1:13" x14ac:dyDescent="0.3">
      <c r="A1473">
        <v>1471</v>
      </c>
      <c r="B1473">
        <v>1472</v>
      </c>
      <c r="C1473" t="s">
        <v>1522</v>
      </c>
      <c r="D1473">
        <v>2018</v>
      </c>
      <c r="E1473" t="s">
        <v>11</v>
      </c>
      <c r="F1473" t="s">
        <v>1471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f t="shared" si="44"/>
        <v>5.7</v>
      </c>
      <c r="M1473">
        <f t="shared" si="45"/>
        <v>1</v>
      </c>
    </row>
    <row r="1474" spans="1:13" x14ac:dyDescent="0.3">
      <c r="A1474">
        <v>1472</v>
      </c>
      <c r="B1474">
        <v>1473</v>
      </c>
      <c r="C1474" t="s">
        <v>1523</v>
      </c>
      <c r="D1474">
        <v>2001</v>
      </c>
      <c r="E1474" t="s">
        <v>14</v>
      </c>
      <c r="F1474" t="s">
        <v>1471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f t="shared" si="44"/>
        <v>5.7</v>
      </c>
      <c r="M1474">
        <f t="shared" si="45"/>
        <v>1</v>
      </c>
    </row>
    <row r="1475" spans="1:13" x14ac:dyDescent="0.3">
      <c r="A1475">
        <v>1473</v>
      </c>
      <c r="B1475">
        <v>1474</v>
      </c>
      <c r="C1475" t="s">
        <v>1524</v>
      </c>
      <c r="D1475">
        <v>2018</v>
      </c>
      <c r="E1475" t="s">
        <v>11</v>
      </c>
      <c r="F1475" t="s">
        <v>1471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f t="shared" ref="L1475:L1538" si="46">IFERROR(VALUE(LEFT(F1475,FIND("/",F1475)-1))/10,"")</f>
        <v>5.7</v>
      </c>
      <c r="M1475">
        <f t="shared" ref="M1475:M1538" si="47">SUM(G1475:J1475)</f>
        <v>1</v>
      </c>
    </row>
    <row r="1476" spans="1:13" x14ac:dyDescent="0.3">
      <c r="A1476">
        <v>1474</v>
      </c>
      <c r="B1476">
        <v>1475</v>
      </c>
      <c r="C1476" t="s">
        <v>1525</v>
      </c>
      <c r="D1476">
        <v>2016</v>
      </c>
      <c r="E1476" t="s">
        <v>11</v>
      </c>
      <c r="F1476" t="s">
        <v>1471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f t="shared" si="46"/>
        <v>5.7</v>
      </c>
      <c r="M1476">
        <f t="shared" si="47"/>
        <v>1</v>
      </c>
    </row>
    <row r="1477" spans="1:13" x14ac:dyDescent="0.3">
      <c r="A1477">
        <v>1475</v>
      </c>
      <c r="B1477">
        <v>1476</v>
      </c>
      <c r="C1477" t="s">
        <v>1526</v>
      </c>
      <c r="D1477">
        <v>2014</v>
      </c>
      <c r="F1477" t="s">
        <v>1471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f t="shared" si="46"/>
        <v>5.7</v>
      </c>
      <c r="M1477">
        <f t="shared" si="47"/>
        <v>1</v>
      </c>
    </row>
    <row r="1478" spans="1:13" x14ac:dyDescent="0.3">
      <c r="A1478">
        <v>1476</v>
      </c>
      <c r="B1478">
        <v>1477</v>
      </c>
      <c r="C1478" t="s">
        <v>1527</v>
      </c>
      <c r="D1478">
        <v>2020</v>
      </c>
      <c r="F1478" t="s">
        <v>1471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f t="shared" si="46"/>
        <v>5.7</v>
      </c>
      <c r="M1478">
        <f t="shared" si="47"/>
        <v>1</v>
      </c>
    </row>
    <row r="1479" spans="1:13" x14ac:dyDescent="0.3">
      <c r="A1479">
        <v>1477</v>
      </c>
      <c r="B1479">
        <v>1478</v>
      </c>
      <c r="C1479" t="s">
        <v>1528</v>
      </c>
      <c r="D1479">
        <v>2016</v>
      </c>
      <c r="E1479" t="s">
        <v>14</v>
      </c>
      <c r="F1479" t="s">
        <v>1471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f t="shared" si="46"/>
        <v>5.7</v>
      </c>
      <c r="M1479">
        <f t="shared" si="47"/>
        <v>1</v>
      </c>
    </row>
    <row r="1480" spans="1:13" x14ac:dyDescent="0.3">
      <c r="A1480">
        <v>1478</v>
      </c>
      <c r="B1480">
        <v>1479</v>
      </c>
      <c r="C1480" t="s">
        <v>1529</v>
      </c>
      <c r="D1480">
        <v>2018</v>
      </c>
      <c r="E1480" t="s">
        <v>11</v>
      </c>
      <c r="F1480" t="s">
        <v>1471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f t="shared" si="46"/>
        <v>5.7</v>
      </c>
      <c r="M1480">
        <f t="shared" si="47"/>
        <v>1</v>
      </c>
    </row>
    <row r="1481" spans="1:13" x14ac:dyDescent="0.3">
      <c r="A1481">
        <v>1479</v>
      </c>
      <c r="B1481">
        <v>1480</v>
      </c>
      <c r="C1481" t="s">
        <v>1530</v>
      </c>
      <c r="D1481">
        <v>2020</v>
      </c>
      <c r="E1481" t="s">
        <v>11</v>
      </c>
      <c r="F1481" t="s">
        <v>1471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f t="shared" si="46"/>
        <v>5.7</v>
      </c>
      <c r="M1481">
        <f t="shared" si="47"/>
        <v>1</v>
      </c>
    </row>
    <row r="1482" spans="1:13" x14ac:dyDescent="0.3">
      <c r="A1482">
        <v>1480</v>
      </c>
      <c r="B1482">
        <v>1481</v>
      </c>
      <c r="C1482" t="s">
        <v>1531</v>
      </c>
      <c r="D1482">
        <v>2013</v>
      </c>
      <c r="E1482" t="s">
        <v>22</v>
      </c>
      <c r="F1482" t="s">
        <v>1471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f t="shared" si="46"/>
        <v>5.7</v>
      </c>
      <c r="M1482">
        <f t="shared" si="47"/>
        <v>1</v>
      </c>
    </row>
    <row r="1483" spans="1:13" x14ac:dyDescent="0.3">
      <c r="A1483">
        <v>1481</v>
      </c>
      <c r="B1483">
        <v>1482</v>
      </c>
      <c r="C1483" t="s">
        <v>1532</v>
      </c>
      <c r="D1483">
        <v>1997</v>
      </c>
      <c r="E1483" t="s">
        <v>11</v>
      </c>
      <c r="F1483" t="s">
        <v>1471</v>
      </c>
      <c r="G1483">
        <v>1</v>
      </c>
      <c r="H1483">
        <v>0</v>
      </c>
      <c r="I1483">
        <v>1</v>
      </c>
      <c r="J1483">
        <v>0</v>
      </c>
      <c r="K1483">
        <v>0</v>
      </c>
      <c r="L1483">
        <f t="shared" si="46"/>
        <v>5.7</v>
      </c>
      <c r="M1483">
        <f t="shared" si="47"/>
        <v>2</v>
      </c>
    </row>
    <row r="1484" spans="1:13" x14ac:dyDescent="0.3">
      <c r="A1484">
        <v>1482</v>
      </c>
      <c r="B1484">
        <v>1483</v>
      </c>
      <c r="C1484" t="s">
        <v>1533</v>
      </c>
      <c r="D1484">
        <v>2018</v>
      </c>
      <c r="F1484" t="s">
        <v>1471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f t="shared" si="46"/>
        <v>5.7</v>
      </c>
      <c r="M1484">
        <f t="shared" si="47"/>
        <v>1</v>
      </c>
    </row>
    <row r="1485" spans="1:13" x14ac:dyDescent="0.3">
      <c r="A1485">
        <v>1483</v>
      </c>
      <c r="B1485">
        <v>1484</v>
      </c>
      <c r="C1485" t="s">
        <v>1534</v>
      </c>
      <c r="D1485">
        <v>2018</v>
      </c>
      <c r="E1485" t="s">
        <v>22</v>
      </c>
      <c r="F1485" t="s">
        <v>1471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f t="shared" si="46"/>
        <v>5.7</v>
      </c>
      <c r="M1485">
        <f t="shared" si="47"/>
        <v>1</v>
      </c>
    </row>
    <row r="1486" spans="1:13" x14ac:dyDescent="0.3">
      <c r="A1486">
        <v>1484</v>
      </c>
      <c r="B1486">
        <v>1485</v>
      </c>
      <c r="C1486" t="s">
        <v>1535</v>
      </c>
      <c r="D1486">
        <v>2008</v>
      </c>
      <c r="E1486" t="s">
        <v>22</v>
      </c>
      <c r="F1486" t="s">
        <v>1471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f t="shared" si="46"/>
        <v>5.7</v>
      </c>
      <c r="M1486">
        <f t="shared" si="47"/>
        <v>1</v>
      </c>
    </row>
    <row r="1487" spans="1:13" x14ac:dyDescent="0.3">
      <c r="A1487">
        <v>1485</v>
      </c>
      <c r="B1487">
        <v>1486</v>
      </c>
      <c r="C1487" t="s">
        <v>1536</v>
      </c>
      <c r="D1487">
        <v>2016</v>
      </c>
      <c r="F1487" t="s">
        <v>1471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f t="shared" si="46"/>
        <v>5.7</v>
      </c>
      <c r="M1487">
        <f t="shared" si="47"/>
        <v>1</v>
      </c>
    </row>
    <row r="1488" spans="1:13" x14ac:dyDescent="0.3">
      <c r="A1488">
        <v>1486</v>
      </c>
      <c r="B1488">
        <v>1487</v>
      </c>
      <c r="C1488" t="s">
        <v>1537</v>
      </c>
      <c r="D1488">
        <v>2011</v>
      </c>
      <c r="E1488" t="s">
        <v>22</v>
      </c>
      <c r="F1488" t="s">
        <v>1471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f t="shared" si="46"/>
        <v>5.7</v>
      </c>
      <c r="M1488">
        <f t="shared" si="47"/>
        <v>1</v>
      </c>
    </row>
    <row r="1489" spans="1:13" x14ac:dyDescent="0.3">
      <c r="A1489">
        <v>1487</v>
      </c>
      <c r="B1489">
        <v>1488</v>
      </c>
      <c r="C1489" t="s">
        <v>1538</v>
      </c>
      <c r="D1489">
        <v>2017</v>
      </c>
      <c r="E1489" t="s">
        <v>28</v>
      </c>
      <c r="F1489" t="s">
        <v>1471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f t="shared" si="46"/>
        <v>5.7</v>
      </c>
      <c r="M1489">
        <f t="shared" si="47"/>
        <v>1</v>
      </c>
    </row>
    <row r="1490" spans="1:13" x14ac:dyDescent="0.3">
      <c r="A1490">
        <v>1488</v>
      </c>
      <c r="B1490">
        <v>1489</v>
      </c>
      <c r="C1490" t="s">
        <v>1539</v>
      </c>
      <c r="D1490">
        <v>2020</v>
      </c>
      <c r="E1490" t="s">
        <v>14</v>
      </c>
      <c r="F1490" t="s">
        <v>1471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f t="shared" si="46"/>
        <v>5.7</v>
      </c>
      <c r="M1490">
        <f t="shared" si="47"/>
        <v>1</v>
      </c>
    </row>
    <row r="1491" spans="1:13" x14ac:dyDescent="0.3">
      <c r="A1491">
        <v>1489</v>
      </c>
      <c r="B1491">
        <v>1490</v>
      </c>
      <c r="C1491" t="s">
        <v>1540</v>
      </c>
      <c r="D1491">
        <v>2020</v>
      </c>
      <c r="F1491" t="s">
        <v>1471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f t="shared" si="46"/>
        <v>5.7</v>
      </c>
      <c r="M1491">
        <f t="shared" si="47"/>
        <v>1</v>
      </c>
    </row>
    <row r="1492" spans="1:13" x14ac:dyDescent="0.3">
      <c r="A1492">
        <v>1490</v>
      </c>
      <c r="B1492">
        <v>1491</v>
      </c>
      <c r="C1492" t="s">
        <v>1541</v>
      </c>
      <c r="D1492">
        <v>2020</v>
      </c>
      <c r="F1492" t="s">
        <v>1471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f t="shared" si="46"/>
        <v>5.7</v>
      </c>
      <c r="M1492">
        <f t="shared" si="47"/>
        <v>1</v>
      </c>
    </row>
    <row r="1493" spans="1:13" x14ac:dyDescent="0.3">
      <c r="A1493">
        <v>1491</v>
      </c>
      <c r="B1493">
        <v>1492</v>
      </c>
      <c r="C1493" t="s">
        <v>1542</v>
      </c>
      <c r="D1493">
        <v>2019</v>
      </c>
      <c r="F1493" t="s">
        <v>1471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f t="shared" si="46"/>
        <v>5.7</v>
      </c>
      <c r="M1493">
        <f t="shared" si="47"/>
        <v>1</v>
      </c>
    </row>
    <row r="1494" spans="1:13" x14ac:dyDescent="0.3">
      <c r="A1494">
        <v>1492</v>
      </c>
      <c r="B1494">
        <v>1493</v>
      </c>
      <c r="C1494" t="s">
        <v>1543</v>
      </c>
      <c r="D1494">
        <v>2020</v>
      </c>
      <c r="E1494" t="s">
        <v>11</v>
      </c>
      <c r="F1494" t="s">
        <v>1471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f t="shared" si="46"/>
        <v>5.7</v>
      </c>
      <c r="M1494">
        <f t="shared" si="47"/>
        <v>1</v>
      </c>
    </row>
    <row r="1495" spans="1:13" x14ac:dyDescent="0.3">
      <c r="A1495">
        <v>1493</v>
      </c>
      <c r="B1495">
        <v>1494</v>
      </c>
      <c r="C1495" t="s">
        <v>1544</v>
      </c>
      <c r="D1495">
        <v>2018</v>
      </c>
      <c r="E1495" t="s">
        <v>22</v>
      </c>
      <c r="F1495" t="s">
        <v>1471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f t="shared" si="46"/>
        <v>5.7</v>
      </c>
      <c r="M1495">
        <f t="shared" si="47"/>
        <v>1</v>
      </c>
    </row>
    <row r="1496" spans="1:13" x14ac:dyDescent="0.3">
      <c r="A1496">
        <v>1494</v>
      </c>
      <c r="B1496">
        <v>1495</v>
      </c>
      <c r="C1496" t="s">
        <v>1545</v>
      </c>
      <c r="D1496">
        <v>2009</v>
      </c>
      <c r="E1496" t="s">
        <v>36</v>
      </c>
      <c r="F1496" t="s">
        <v>1471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f t="shared" si="46"/>
        <v>5.7</v>
      </c>
      <c r="M1496">
        <f t="shared" si="47"/>
        <v>1</v>
      </c>
    </row>
    <row r="1497" spans="1:13" x14ac:dyDescent="0.3">
      <c r="A1497">
        <v>1495</v>
      </c>
      <c r="B1497">
        <v>1496</v>
      </c>
      <c r="C1497" t="s">
        <v>1546</v>
      </c>
      <c r="D1497">
        <v>2015</v>
      </c>
      <c r="E1497" t="s">
        <v>11</v>
      </c>
      <c r="F1497" t="s">
        <v>1471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f t="shared" si="46"/>
        <v>5.7</v>
      </c>
      <c r="M1497">
        <f t="shared" si="47"/>
        <v>1</v>
      </c>
    </row>
    <row r="1498" spans="1:13" x14ac:dyDescent="0.3">
      <c r="A1498">
        <v>1496</v>
      </c>
      <c r="B1498">
        <v>1497</v>
      </c>
      <c r="C1498" t="s">
        <v>1547</v>
      </c>
      <c r="D1498">
        <v>2018</v>
      </c>
      <c r="F1498" t="s">
        <v>1471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f t="shared" si="46"/>
        <v>5.7</v>
      </c>
      <c r="M1498">
        <f t="shared" si="47"/>
        <v>1</v>
      </c>
    </row>
    <row r="1499" spans="1:13" x14ac:dyDescent="0.3">
      <c r="A1499">
        <v>1497</v>
      </c>
      <c r="B1499">
        <v>1498</v>
      </c>
      <c r="C1499" t="s">
        <v>1548</v>
      </c>
      <c r="D1499">
        <v>2000</v>
      </c>
      <c r="E1499" t="s">
        <v>14</v>
      </c>
      <c r="F1499" t="s">
        <v>1471</v>
      </c>
      <c r="G1499">
        <v>1</v>
      </c>
      <c r="H1499">
        <v>0</v>
      </c>
      <c r="I1499">
        <v>1</v>
      </c>
      <c r="J1499">
        <v>0</v>
      </c>
      <c r="K1499">
        <v>0</v>
      </c>
      <c r="L1499">
        <f t="shared" si="46"/>
        <v>5.7</v>
      </c>
      <c r="M1499">
        <f t="shared" si="47"/>
        <v>2</v>
      </c>
    </row>
    <row r="1500" spans="1:13" x14ac:dyDescent="0.3">
      <c r="A1500">
        <v>1498</v>
      </c>
      <c r="B1500">
        <v>1499</v>
      </c>
      <c r="C1500" t="s">
        <v>1549</v>
      </c>
      <c r="D1500">
        <v>2020</v>
      </c>
      <c r="E1500" t="s">
        <v>22</v>
      </c>
      <c r="F1500" t="s">
        <v>1471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f t="shared" si="46"/>
        <v>5.7</v>
      </c>
      <c r="M1500">
        <f t="shared" si="47"/>
        <v>1</v>
      </c>
    </row>
    <row r="1501" spans="1:13" x14ac:dyDescent="0.3">
      <c r="A1501">
        <v>1499</v>
      </c>
      <c r="B1501">
        <v>1500</v>
      </c>
      <c r="C1501" t="s">
        <v>1550</v>
      </c>
      <c r="D1501">
        <v>2016</v>
      </c>
      <c r="E1501" t="s">
        <v>11</v>
      </c>
      <c r="F1501" t="s">
        <v>1471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f t="shared" si="46"/>
        <v>5.7</v>
      </c>
      <c r="M1501">
        <f t="shared" si="47"/>
        <v>1</v>
      </c>
    </row>
    <row r="1502" spans="1:13" x14ac:dyDescent="0.3">
      <c r="A1502">
        <v>1500</v>
      </c>
      <c r="B1502">
        <v>1501</v>
      </c>
      <c r="C1502">
        <v>3022</v>
      </c>
      <c r="D1502">
        <v>2019</v>
      </c>
      <c r="E1502" t="s">
        <v>11</v>
      </c>
      <c r="F1502" t="s">
        <v>1471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f t="shared" si="46"/>
        <v>5.7</v>
      </c>
      <c r="M1502">
        <f t="shared" si="47"/>
        <v>1</v>
      </c>
    </row>
    <row r="1503" spans="1:13" x14ac:dyDescent="0.3">
      <c r="A1503">
        <v>1501</v>
      </c>
      <c r="B1503">
        <v>1502</v>
      </c>
      <c r="C1503" t="s">
        <v>1551</v>
      </c>
      <c r="D1503">
        <v>2020</v>
      </c>
      <c r="E1503" t="s">
        <v>22</v>
      </c>
      <c r="F1503" t="s">
        <v>1471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f t="shared" si="46"/>
        <v>5.7</v>
      </c>
      <c r="M1503">
        <f t="shared" si="47"/>
        <v>1</v>
      </c>
    </row>
    <row r="1504" spans="1:13" x14ac:dyDescent="0.3">
      <c r="A1504">
        <v>1502</v>
      </c>
      <c r="B1504">
        <v>1503</v>
      </c>
      <c r="C1504" t="s">
        <v>1552</v>
      </c>
      <c r="D1504">
        <v>2020</v>
      </c>
      <c r="E1504" t="s">
        <v>11</v>
      </c>
      <c r="F1504" t="s">
        <v>1471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f t="shared" si="46"/>
        <v>5.7</v>
      </c>
      <c r="M1504">
        <f t="shared" si="47"/>
        <v>1</v>
      </c>
    </row>
    <row r="1505" spans="1:13" x14ac:dyDescent="0.3">
      <c r="A1505">
        <v>1503</v>
      </c>
      <c r="B1505">
        <v>1504</v>
      </c>
      <c r="C1505" t="s">
        <v>1553</v>
      </c>
      <c r="D1505">
        <v>2017</v>
      </c>
      <c r="E1505" t="s">
        <v>22</v>
      </c>
      <c r="F1505" t="s">
        <v>1471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f t="shared" si="46"/>
        <v>5.7</v>
      </c>
      <c r="M1505">
        <f t="shared" si="47"/>
        <v>1</v>
      </c>
    </row>
    <row r="1506" spans="1:13" x14ac:dyDescent="0.3">
      <c r="A1506">
        <v>1504</v>
      </c>
      <c r="B1506">
        <v>1505</v>
      </c>
      <c r="C1506" t="s">
        <v>1554</v>
      </c>
      <c r="D1506">
        <v>2012</v>
      </c>
      <c r="E1506" t="s">
        <v>28</v>
      </c>
      <c r="F1506" t="s">
        <v>1471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f t="shared" si="46"/>
        <v>5.7</v>
      </c>
      <c r="M1506">
        <f t="shared" si="47"/>
        <v>1</v>
      </c>
    </row>
    <row r="1507" spans="1:13" x14ac:dyDescent="0.3">
      <c r="A1507">
        <v>1505</v>
      </c>
      <c r="B1507">
        <v>1506</v>
      </c>
      <c r="C1507" t="s">
        <v>1555</v>
      </c>
      <c r="D1507">
        <v>2020</v>
      </c>
      <c r="E1507" t="s">
        <v>11</v>
      </c>
      <c r="F1507" t="s">
        <v>1471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f t="shared" si="46"/>
        <v>5.7</v>
      </c>
      <c r="M1507">
        <f t="shared" si="47"/>
        <v>1</v>
      </c>
    </row>
    <row r="1508" spans="1:13" x14ac:dyDescent="0.3">
      <c r="A1508">
        <v>1506</v>
      </c>
      <c r="B1508">
        <v>1507</v>
      </c>
      <c r="C1508" t="s">
        <v>1556</v>
      </c>
      <c r="D1508">
        <v>2021</v>
      </c>
      <c r="E1508" t="s">
        <v>11</v>
      </c>
      <c r="F1508" t="s">
        <v>1471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f t="shared" si="46"/>
        <v>5.7</v>
      </c>
      <c r="M1508">
        <f t="shared" si="47"/>
        <v>1</v>
      </c>
    </row>
    <row r="1509" spans="1:13" x14ac:dyDescent="0.3">
      <c r="A1509">
        <v>1507</v>
      </c>
      <c r="B1509">
        <v>1508</v>
      </c>
      <c r="C1509" t="s">
        <v>1557</v>
      </c>
      <c r="D1509">
        <v>2020</v>
      </c>
      <c r="E1509" t="s">
        <v>11</v>
      </c>
      <c r="F1509" t="s">
        <v>1471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f t="shared" si="46"/>
        <v>5.7</v>
      </c>
      <c r="M1509">
        <f t="shared" si="47"/>
        <v>1</v>
      </c>
    </row>
    <row r="1510" spans="1:13" x14ac:dyDescent="0.3">
      <c r="A1510">
        <v>1508</v>
      </c>
      <c r="B1510">
        <v>1509</v>
      </c>
      <c r="C1510" t="s">
        <v>1558</v>
      </c>
      <c r="D1510">
        <v>1989</v>
      </c>
      <c r="F1510" t="s">
        <v>1471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f t="shared" si="46"/>
        <v>5.7</v>
      </c>
      <c r="M1510">
        <f t="shared" si="47"/>
        <v>1</v>
      </c>
    </row>
    <row r="1511" spans="1:13" x14ac:dyDescent="0.3">
      <c r="A1511">
        <v>1509</v>
      </c>
      <c r="B1511">
        <v>1510</v>
      </c>
      <c r="C1511" t="s">
        <v>1559</v>
      </c>
      <c r="D1511">
        <v>2009</v>
      </c>
      <c r="E1511" t="s">
        <v>11</v>
      </c>
      <c r="F1511" t="s">
        <v>1471</v>
      </c>
      <c r="G1511">
        <v>1</v>
      </c>
      <c r="H1511">
        <v>0</v>
      </c>
      <c r="I1511">
        <v>1</v>
      </c>
      <c r="J1511">
        <v>0</v>
      </c>
      <c r="K1511">
        <v>0</v>
      </c>
      <c r="L1511">
        <f t="shared" si="46"/>
        <v>5.7</v>
      </c>
      <c r="M1511">
        <f t="shared" si="47"/>
        <v>2</v>
      </c>
    </row>
    <row r="1512" spans="1:13" x14ac:dyDescent="0.3">
      <c r="A1512">
        <v>1510</v>
      </c>
      <c r="B1512">
        <v>1511</v>
      </c>
      <c r="C1512" t="s">
        <v>1560</v>
      </c>
      <c r="D1512">
        <v>2020</v>
      </c>
      <c r="E1512" t="s">
        <v>14</v>
      </c>
      <c r="F1512" t="s">
        <v>1471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f t="shared" si="46"/>
        <v>5.7</v>
      </c>
      <c r="M1512">
        <f t="shared" si="47"/>
        <v>1</v>
      </c>
    </row>
    <row r="1513" spans="1:13" x14ac:dyDescent="0.3">
      <c r="A1513">
        <v>1511</v>
      </c>
      <c r="B1513">
        <v>1512</v>
      </c>
      <c r="C1513" t="s">
        <v>1561</v>
      </c>
      <c r="D1513">
        <v>2020</v>
      </c>
      <c r="E1513" t="s">
        <v>36</v>
      </c>
      <c r="F1513" t="s">
        <v>1471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f t="shared" si="46"/>
        <v>5.7</v>
      </c>
      <c r="M1513">
        <f t="shared" si="47"/>
        <v>1</v>
      </c>
    </row>
    <row r="1514" spans="1:13" x14ac:dyDescent="0.3">
      <c r="A1514">
        <v>1512</v>
      </c>
      <c r="B1514">
        <v>1513</v>
      </c>
      <c r="C1514" t="s">
        <v>1562</v>
      </c>
      <c r="D1514">
        <v>2009</v>
      </c>
      <c r="F1514" t="s">
        <v>1471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f t="shared" si="46"/>
        <v>5.7</v>
      </c>
      <c r="M1514">
        <f t="shared" si="47"/>
        <v>1</v>
      </c>
    </row>
    <row r="1515" spans="1:13" x14ac:dyDescent="0.3">
      <c r="A1515">
        <v>1513</v>
      </c>
      <c r="B1515">
        <v>1514</v>
      </c>
      <c r="C1515" t="s">
        <v>1563</v>
      </c>
      <c r="D1515">
        <v>2017</v>
      </c>
      <c r="E1515" t="s">
        <v>36</v>
      </c>
      <c r="F1515" t="s">
        <v>1471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f t="shared" si="46"/>
        <v>5.7</v>
      </c>
      <c r="M1515">
        <f t="shared" si="47"/>
        <v>1</v>
      </c>
    </row>
    <row r="1516" spans="1:13" x14ac:dyDescent="0.3">
      <c r="A1516">
        <v>1514</v>
      </c>
      <c r="B1516">
        <v>1515</v>
      </c>
      <c r="C1516" t="s">
        <v>1564</v>
      </c>
      <c r="D1516">
        <v>2021</v>
      </c>
      <c r="F1516" t="s">
        <v>1471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f t="shared" si="46"/>
        <v>5.7</v>
      </c>
      <c r="M1516">
        <f t="shared" si="47"/>
        <v>1</v>
      </c>
    </row>
    <row r="1517" spans="1:13" x14ac:dyDescent="0.3">
      <c r="A1517">
        <v>1515</v>
      </c>
      <c r="B1517">
        <v>1516</v>
      </c>
      <c r="C1517" t="s">
        <v>1565</v>
      </c>
      <c r="D1517">
        <v>2017</v>
      </c>
      <c r="E1517" t="s">
        <v>11</v>
      </c>
      <c r="F1517" t="s">
        <v>1471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f t="shared" si="46"/>
        <v>5.7</v>
      </c>
      <c r="M1517">
        <f t="shared" si="47"/>
        <v>1</v>
      </c>
    </row>
    <row r="1518" spans="1:13" x14ac:dyDescent="0.3">
      <c r="A1518">
        <v>1516</v>
      </c>
      <c r="B1518">
        <v>1517</v>
      </c>
      <c r="C1518" t="s">
        <v>1566</v>
      </c>
      <c r="D1518">
        <v>2014</v>
      </c>
      <c r="E1518" t="s">
        <v>11</v>
      </c>
      <c r="F1518" t="s">
        <v>1471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f t="shared" si="46"/>
        <v>5.7</v>
      </c>
      <c r="M1518">
        <f t="shared" si="47"/>
        <v>1</v>
      </c>
    </row>
    <row r="1519" spans="1:13" x14ac:dyDescent="0.3">
      <c r="A1519">
        <v>1517</v>
      </c>
      <c r="B1519">
        <v>1518</v>
      </c>
      <c r="C1519" t="s">
        <v>1567</v>
      </c>
      <c r="D1519">
        <v>2019</v>
      </c>
      <c r="E1519" t="s">
        <v>14</v>
      </c>
      <c r="F1519" t="s">
        <v>1471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f t="shared" si="46"/>
        <v>5.7</v>
      </c>
      <c r="M1519">
        <f t="shared" si="47"/>
        <v>1</v>
      </c>
    </row>
    <row r="1520" spans="1:13" x14ac:dyDescent="0.3">
      <c r="A1520">
        <v>1518</v>
      </c>
      <c r="B1520">
        <v>1519</v>
      </c>
      <c r="C1520" t="s">
        <v>1568</v>
      </c>
      <c r="D1520">
        <v>2017</v>
      </c>
      <c r="E1520" t="s">
        <v>14</v>
      </c>
      <c r="F1520" t="s">
        <v>1471</v>
      </c>
      <c r="G1520">
        <v>1</v>
      </c>
      <c r="H1520">
        <v>0</v>
      </c>
      <c r="I1520">
        <v>1</v>
      </c>
      <c r="J1520">
        <v>0</v>
      </c>
      <c r="K1520">
        <v>0</v>
      </c>
      <c r="L1520">
        <f t="shared" si="46"/>
        <v>5.7</v>
      </c>
      <c r="M1520">
        <f t="shared" si="47"/>
        <v>2</v>
      </c>
    </row>
    <row r="1521" spans="1:13" x14ac:dyDescent="0.3">
      <c r="A1521">
        <v>1519</v>
      </c>
      <c r="B1521">
        <v>1520</v>
      </c>
      <c r="C1521" t="s">
        <v>1569</v>
      </c>
      <c r="D1521">
        <v>2019</v>
      </c>
      <c r="F1521" t="s">
        <v>1471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f t="shared" si="46"/>
        <v>5.7</v>
      </c>
      <c r="M1521">
        <f t="shared" si="47"/>
        <v>1</v>
      </c>
    </row>
    <row r="1522" spans="1:13" x14ac:dyDescent="0.3">
      <c r="A1522">
        <v>1520</v>
      </c>
      <c r="B1522">
        <v>1521</v>
      </c>
      <c r="C1522" t="s">
        <v>1570</v>
      </c>
      <c r="D1522">
        <v>2021</v>
      </c>
      <c r="E1522" t="s">
        <v>11</v>
      </c>
      <c r="F1522" t="s">
        <v>1471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f t="shared" si="46"/>
        <v>5.7</v>
      </c>
      <c r="M1522">
        <f t="shared" si="47"/>
        <v>1</v>
      </c>
    </row>
    <row r="1523" spans="1:13" x14ac:dyDescent="0.3">
      <c r="A1523">
        <v>1521</v>
      </c>
      <c r="B1523">
        <v>1522</v>
      </c>
      <c r="C1523" t="s">
        <v>1571</v>
      </c>
      <c r="D1523">
        <v>2017</v>
      </c>
      <c r="F1523" t="s">
        <v>1471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f t="shared" si="46"/>
        <v>5.7</v>
      </c>
      <c r="M1523">
        <f t="shared" si="47"/>
        <v>1</v>
      </c>
    </row>
    <row r="1524" spans="1:13" x14ac:dyDescent="0.3">
      <c r="A1524">
        <v>1522</v>
      </c>
      <c r="B1524">
        <v>1523</v>
      </c>
      <c r="C1524" t="s">
        <v>1572</v>
      </c>
      <c r="D1524">
        <v>2019</v>
      </c>
      <c r="E1524" t="s">
        <v>14</v>
      </c>
      <c r="F1524" t="s">
        <v>1471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f t="shared" si="46"/>
        <v>5.7</v>
      </c>
      <c r="M1524">
        <f t="shared" si="47"/>
        <v>1</v>
      </c>
    </row>
    <row r="1525" spans="1:13" x14ac:dyDescent="0.3">
      <c r="A1525">
        <v>1523</v>
      </c>
      <c r="B1525">
        <v>1524</v>
      </c>
      <c r="C1525" t="s">
        <v>1573</v>
      </c>
      <c r="D1525">
        <v>2019</v>
      </c>
      <c r="F1525" t="s">
        <v>1574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f t="shared" si="46"/>
        <v>5.6</v>
      </c>
      <c r="M1525">
        <f t="shared" si="47"/>
        <v>1</v>
      </c>
    </row>
    <row r="1526" spans="1:13" x14ac:dyDescent="0.3">
      <c r="A1526">
        <v>1524</v>
      </c>
      <c r="B1526">
        <v>1525</v>
      </c>
      <c r="C1526" t="s">
        <v>1575</v>
      </c>
      <c r="D1526">
        <v>2016</v>
      </c>
      <c r="E1526" t="s">
        <v>11</v>
      </c>
      <c r="F1526" t="s">
        <v>1574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f t="shared" si="46"/>
        <v>5.6</v>
      </c>
      <c r="M1526">
        <f t="shared" si="47"/>
        <v>1</v>
      </c>
    </row>
    <row r="1527" spans="1:13" x14ac:dyDescent="0.3">
      <c r="A1527">
        <v>1525</v>
      </c>
      <c r="B1527">
        <v>1526</v>
      </c>
      <c r="C1527" t="s">
        <v>1576</v>
      </c>
      <c r="D1527">
        <v>2019</v>
      </c>
      <c r="F1527" t="s">
        <v>1574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f t="shared" si="46"/>
        <v>5.6</v>
      </c>
      <c r="M1527">
        <f t="shared" si="47"/>
        <v>1</v>
      </c>
    </row>
    <row r="1528" spans="1:13" x14ac:dyDescent="0.3">
      <c r="A1528">
        <v>1526</v>
      </c>
      <c r="B1528">
        <v>1527</v>
      </c>
      <c r="C1528" t="s">
        <v>1577</v>
      </c>
      <c r="D1528">
        <v>2017</v>
      </c>
      <c r="F1528" t="s">
        <v>1574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f t="shared" si="46"/>
        <v>5.6</v>
      </c>
      <c r="M1528">
        <f t="shared" si="47"/>
        <v>1</v>
      </c>
    </row>
    <row r="1529" spans="1:13" x14ac:dyDescent="0.3">
      <c r="A1529">
        <v>1527</v>
      </c>
      <c r="B1529">
        <v>1528</v>
      </c>
      <c r="C1529" t="s">
        <v>1578</v>
      </c>
      <c r="D1529">
        <v>2008</v>
      </c>
      <c r="E1529" t="s">
        <v>22</v>
      </c>
      <c r="F1529" t="s">
        <v>1574</v>
      </c>
      <c r="G1529">
        <v>1</v>
      </c>
      <c r="H1529">
        <v>0</v>
      </c>
      <c r="I1529">
        <v>1</v>
      </c>
      <c r="J1529">
        <v>0</v>
      </c>
      <c r="K1529">
        <v>0</v>
      </c>
      <c r="L1529">
        <f t="shared" si="46"/>
        <v>5.6</v>
      </c>
      <c r="M1529">
        <f t="shared" si="47"/>
        <v>2</v>
      </c>
    </row>
    <row r="1530" spans="1:13" x14ac:dyDescent="0.3">
      <c r="A1530">
        <v>1528</v>
      </c>
      <c r="B1530">
        <v>1529</v>
      </c>
      <c r="C1530">
        <v>122</v>
      </c>
      <c r="D1530">
        <v>2019</v>
      </c>
      <c r="F1530" t="s">
        <v>1574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f t="shared" si="46"/>
        <v>5.6</v>
      </c>
      <c r="M1530">
        <f t="shared" si="47"/>
        <v>1</v>
      </c>
    </row>
    <row r="1531" spans="1:13" x14ac:dyDescent="0.3">
      <c r="A1531">
        <v>1529</v>
      </c>
      <c r="B1531">
        <v>1530</v>
      </c>
      <c r="C1531" t="s">
        <v>1579</v>
      </c>
      <c r="D1531">
        <v>2016</v>
      </c>
      <c r="E1531" t="s">
        <v>22</v>
      </c>
      <c r="F1531" t="s">
        <v>1574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f t="shared" si="46"/>
        <v>5.6</v>
      </c>
      <c r="M1531">
        <f t="shared" si="47"/>
        <v>1</v>
      </c>
    </row>
    <row r="1532" spans="1:13" x14ac:dyDescent="0.3">
      <c r="A1532">
        <v>1530</v>
      </c>
      <c r="B1532">
        <v>1531</v>
      </c>
      <c r="C1532" t="s">
        <v>1580</v>
      </c>
      <c r="D1532">
        <v>2018</v>
      </c>
      <c r="E1532" t="s">
        <v>36</v>
      </c>
      <c r="F1532" t="s">
        <v>1574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f t="shared" si="46"/>
        <v>5.6</v>
      </c>
      <c r="M1532">
        <f t="shared" si="47"/>
        <v>1</v>
      </c>
    </row>
    <row r="1533" spans="1:13" x14ac:dyDescent="0.3">
      <c r="A1533">
        <v>1531</v>
      </c>
      <c r="B1533">
        <v>1532</v>
      </c>
      <c r="C1533" t="s">
        <v>1581</v>
      </c>
      <c r="D1533">
        <v>2018</v>
      </c>
      <c r="E1533" t="s">
        <v>36</v>
      </c>
      <c r="F1533" t="s">
        <v>1574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f t="shared" si="46"/>
        <v>5.6</v>
      </c>
      <c r="M1533">
        <f t="shared" si="47"/>
        <v>1</v>
      </c>
    </row>
    <row r="1534" spans="1:13" x14ac:dyDescent="0.3">
      <c r="A1534">
        <v>1532</v>
      </c>
      <c r="B1534">
        <v>1533</v>
      </c>
      <c r="C1534" t="s">
        <v>1582</v>
      </c>
      <c r="D1534">
        <v>2016</v>
      </c>
      <c r="E1534" t="s">
        <v>11</v>
      </c>
      <c r="F1534" t="s">
        <v>1574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f t="shared" si="46"/>
        <v>5.6</v>
      </c>
      <c r="M1534">
        <f t="shared" si="47"/>
        <v>1</v>
      </c>
    </row>
    <row r="1535" spans="1:13" x14ac:dyDescent="0.3">
      <c r="A1535">
        <v>1533</v>
      </c>
      <c r="B1535">
        <v>1534</v>
      </c>
      <c r="C1535" t="s">
        <v>1583</v>
      </c>
      <c r="D1535">
        <v>2016</v>
      </c>
      <c r="E1535" t="s">
        <v>22</v>
      </c>
      <c r="F1535" t="s">
        <v>1574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f t="shared" si="46"/>
        <v>5.6</v>
      </c>
      <c r="M1535">
        <f t="shared" si="47"/>
        <v>1</v>
      </c>
    </row>
    <row r="1536" spans="1:13" x14ac:dyDescent="0.3">
      <c r="A1536">
        <v>1534</v>
      </c>
      <c r="B1536">
        <v>1535</v>
      </c>
      <c r="C1536" t="s">
        <v>1584</v>
      </c>
      <c r="D1536">
        <v>2020</v>
      </c>
      <c r="E1536" t="s">
        <v>11</v>
      </c>
      <c r="F1536" t="s">
        <v>1574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f t="shared" si="46"/>
        <v>5.6</v>
      </c>
      <c r="M1536">
        <f t="shared" si="47"/>
        <v>1</v>
      </c>
    </row>
    <row r="1537" spans="1:13" x14ac:dyDescent="0.3">
      <c r="A1537">
        <v>1535</v>
      </c>
      <c r="B1537">
        <v>1536</v>
      </c>
      <c r="C1537" t="s">
        <v>1585</v>
      </c>
      <c r="D1537">
        <v>2020</v>
      </c>
      <c r="F1537" t="s">
        <v>1574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f t="shared" si="46"/>
        <v>5.6</v>
      </c>
      <c r="M1537">
        <f t="shared" si="47"/>
        <v>1</v>
      </c>
    </row>
    <row r="1538" spans="1:13" x14ac:dyDescent="0.3">
      <c r="A1538">
        <v>1536</v>
      </c>
      <c r="B1538">
        <v>1537</v>
      </c>
      <c r="C1538" t="s">
        <v>1586</v>
      </c>
      <c r="D1538">
        <v>2020</v>
      </c>
      <c r="E1538" t="s">
        <v>11</v>
      </c>
      <c r="F1538" t="s">
        <v>1574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f t="shared" si="46"/>
        <v>5.6</v>
      </c>
      <c r="M1538">
        <f t="shared" si="47"/>
        <v>1</v>
      </c>
    </row>
    <row r="1539" spans="1:13" x14ac:dyDescent="0.3">
      <c r="A1539">
        <v>1537</v>
      </c>
      <c r="B1539">
        <v>1538</v>
      </c>
      <c r="C1539" t="s">
        <v>1587</v>
      </c>
      <c r="D1539">
        <v>2011</v>
      </c>
      <c r="E1539" t="s">
        <v>14</v>
      </c>
      <c r="F1539" t="s">
        <v>1574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f t="shared" ref="L1539:L1602" si="48">IFERROR(VALUE(LEFT(F1539,FIND("/",F1539)-1))/10,"")</f>
        <v>5.6</v>
      </c>
      <c r="M1539">
        <f t="shared" ref="M1539:M1602" si="49">SUM(G1539:J1539)</f>
        <v>1</v>
      </c>
    </row>
    <row r="1540" spans="1:13" x14ac:dyDescent="0.3">
      <c r="A1540">
        <v>1538</v>
      </c>
      <c r="B1540">
        <v>1539</v>
      </c>
      <c r="C1540" t="s">
        <v>1588</v>
      </c>
      <c r="D1540">
        <v>2019</v>
      </c>
      <c r="E1540" t="s">
        <v>11</v>
      </c>
      <c r="F1540" t="s">
        <v>1574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f t="shared" si="48"/>
        <v>5.6</v>
      </c>
      <c r="M1540">
        <f t="shared" si="49"/>
        <v>1</v>
      </c>
    </row>
    <row r="1541" spans="1:13" x14ac:dyDescent="0.3">
      <c r="A1541">
        <v>1539</v>
      </c>
      <c r="B1541">
        <v>1540</v>
      </c>
      <c r="C1541" t="s">
        <v>1589</v>
      </c>
      <c r="D1541">
        <v>2016</v>
      </c>
      <c r="F1541" t="s">
        <v>1574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f t="shared" si="48"/>
        <v>5.6</v>
      </c>
      <c r="M1541">
        <f t="shared" si="49"/>
        <v>1</v>
      </c>
    </row>
    <row r="1542" spans="1:13" x14ac:dyDescent="0.3">
      <c r="A1542">
        <v>1540</v>
      </c>
      <c r="B1542">
        <v>1541</v>
      </c>
      <c r="C1542" t="s">
        <v>1590</v>
      </c>
      <c r="D1542">
        <v>2017</v>
      </c>
      <c r="F1542" t="s">
        <v>1574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f t="shared" si="48"/>
        <v>5.6</v>
      </c>
      <c r="M1542">
        <f t="shared" si="49"/>
        <v>1</v>
      </c>
    </row>
    <row r="1543" spans="1:13" x14ac:dyDescent="0.3">
      <c r="A1543">
        <v>1541</v>
      </c>
      <c r="B1543">
        <v>1542</v>
      </c>
      <c r="C1543" t="s">
        <v>1591</v>
      </c>
      <c r="D1543">
        <v>2012</v>
      </c>
      <c r="F1543" t="s">
        <v>1574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f t="shared" si="48"/>
        <v>5.6</v>
      </c>
      <c r="M1543">
        <f t="shared" si="49"/>
        <v>1</v>
      </c>
    </row>
    <row r="1544" spans="1:13" x14ac:dyDescent="0.3">
      <c r="A1544">
        <v>1542</v>
      </c>
      <c r="B1544">
        <v>1543</v>
      </c>
      <c r="C1544" t="s">
        <v>1592</v>
      </c>
      <c r="D1544">
        <v>2010</v>
      </c>
      <c r="E1544" t="s">
        <v>14</v>
      </c>
      <c r="F1544" t="s">
        <v>1574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f t="shared" si="48"/>
        <v>5.6</v>
      </c>
      <c r="M1544">
        <f t="shared" si="49"/>
        <v>1</v>
      </c>
    </row>
    <row r="1545" spans="1:13" x14ac:dyDescent="0.3">
      <c r="A1545">
        <v>1543</v>
      </c>
      <c r="B1545">
        <v>1544</v>
      </c>
      <c r="C1545" t="s">
        <v>1593</v>
      </c>
      <c r="D1545">
        <v>2016</v>
      </c>
      <c r="F1545" t="s">
        <v>1574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f t="shared" si="48"/>
        <v>5.6</v>
      </c>
      <c r="M1545">
        <f t="shared" si="49"/>
        <v>1</v>
      </c>
    </row>
    <row r="1546" spans="1:13" x14ac:dyDescent="0.3">
      <c r="A1546">
        <v>1544</v>
      </c>
      <c r="B1546">
        <v>1545</v>
      </c>
      <c r="C1546" t="s">
        <v>1594</v>
      </c>
      <c r="D1546">
        <v>2014</v>
      </c>
      <c r="E1546" t="s">
        <v>28</v>
      </c>
      <c r="F1546" t="s">
        <v>1574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f t="shared" si="48"/>
        <v>5.6</v>
      </c>
      <c r="M1546">
        <f t="shared" si="49"/>
        <v>1</v>
      </c>
    </row>
    <row r="1547" spans="1:13" x14ac:dyDescent="0.3">
      <c r="A1547">
        <v>1545</v>
      </c>
      <c r="B1547">
        <v>1546</v>
      </c>
      <c r="C1547" t="s">
        <v>1595</v>
      </c>
      <c r="D1547">
        <v>2020</v>
      </c>
      <c r="F1547" t="s">
        <v>1574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f t="shared" si="48"/>
        <v>5.6</v>
      </c>
      <c r="M1547">
        <f t="shared" si="49"/>
        <v>1</v>
      </c>
    </row>
    <row r="1548" spans="1:13" x14ac:dyDescent="0.3">
      <c r="A1548">
        <v>1546</v>
      </c>
      <c r="B1548">
        <v>1547</v>
      </c>
      <c r="C1548" t="s">
        <v>1596</v>
      </c>
      <c r="D1548">
        <v>2007</v>
      </c>
      <c r="E1548" t="s">
        <v>11</v>
      </c>
      <c r="F1548" t="s">
        <v>1574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f t="shared" si="48"/>
        <v>5.6</v>
      </c>
      <c r="M1548">
        <f t="shared" si="49"/>
        <v>1</v>
      </c>
    </row>
    <row r="1549" spans="1:13" x14ac:dyDescent="0.3">
      <c r="A1549">
        <v>1547</v>
      </c>
      <c r="B1549">
        <v>1548</v>
      </c>
      <c r="C1549" t="s">
        <v>1597</v>
      </c>
      <c r="D1549">
        <v>1994</v>
      </c>
      <c r="E1549" t="s">
        <v>28</v>
      </c>
      <c r="F1549" t="s">
        <v>1574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f t="shared" si="48"/>
        <v>5.6</v>
      </c>
      <c r="M1549">
        <f t="shared" si="49"/>
        <v>1</v>
      </c>
    </row>
    <row r="1550" spans="1:13" x14ac:dyDescent="0.3">
      <c r="A1550">
        <v>1548</v>
      </c>
      <c r="B1550">
        <v>1549</v>
      </c>
      <c r="C1550" t="s">
        <v>1598</v>
      </c>
      <c r="D1550">
        <v>2021</v>
      </c>
      <c r="E1550" t="s">
        <v>11</v>
      </c>
      <c r="F1550" t="s">
        <v>1574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f t="shared" si="48"/>
        <v>5.6</v>
      </c>
      <c r="M1550">
        <f t="shared" si="49"/>
        <v>1</v>
      </c>
    </row>
    <row r="1551" spans="1:13" x14ac:dyDescent="0.3">
      <c r="A1551">
        <v>1549</v>
      </c>
      <c r="B1551">
        <v>1550</v>
      </c>
      <c r="C1551" t="s">
        <v>1599</v>
      </c>
      <c r="D1551">
        <v>2020</v>
      </c>
      <c r="E1551" t="s">
        <v>14</v>
      </c>
      <c r="F1551" t="s">
        <v>1574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f t="shared" si="48"/>
        <v>5.6</v>
      </c>
      <c r="M1551">
        <f t="shared" si="49"/>
        <v>1</v>
      </c>
    </row>
    <row r="1552" spans="1:13" x14ac:dyDescent="0.3">
      <c r="A1552">
        <v>1550</v>
      </c>
      <c r="B1552">
        <v>1551</v>
      </c>
      <c r="C1552" t="s">
        <v>1600</v>
      </c>
      <c r="D1552">
        <v>2018</v>
      </c>
      <c r="F1552" t="s">
        <v>1574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f t="shared" si="48"/>
        <v>5.6</v>
      </c>
      <c r="M1552">
        <f t="shared" si="49"/>
        <v>1</v>
      </c>
    </row>
    <row r="1553" spans="1:13" x14ac:dyDescent="0.3">
      <c r="A1553">
        <v>1551</v>
      </c>
      <c r="B1553">
        <v>1552</v>
      </c>
      <c r="C1553" t="s">
        <v>1601</v>
      </c>
      <c r="D1553">
        <v>2016</v>
      </c>
      <c r="E1553" t="s">
        <v>22</v>
      </c>
      <c r="F1553" t="s">
        <v>1574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f t="shared" si="48"/>
        <v>5.6</v>
      </c>
      <c r="M1553">
        <f t="shared" si="49"/>
        <v>1</v>
      </c>
    </row>
    <row r="1554" spans="1:13" x14ac:dyDescent="0.3">
      <c r="A1554">
        <v>1552</v>
      </c>
      <c r="B1554">
        <v>1553</v>
      </c>
      <c r="C1554" t="s">
        <v>1602</v>
      </c>
      <c r="D1554">
        <v>2018</v>
      </c>
      <c r="E1554" t="s">
        <v>11</v>
      </c>
      <c r="F1554" t="s">
        <v>1574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f t="shared" si="48"/>
        <v>5.6</v>
      </c>
      <c r="M1554">
        <f t="shared" si="49"/>
        <v>1</v>
      </c>
    </row>
    <row r="1555" spans="1:13" x14ac:dyDescent="0.3">
      <c r="A1555">
        <v>1553</v>
      </c>
      <c r="B1555">
        <v>1554</v>
      </c>
      <c r="C1555" t="s">
        <v>1603</v>
      </c>
      <c r="D1555">
        <v>2019</v>
      </c>
      <c r="F1555" t="s">
        <v>1574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f t="shared" si="48"/>
        <v>5.6</v>
      </c>
      <c r="M1555">
        <f t="shared" si="49"/>
        <v>1</v>
      </c>
    </row>
    <row r="1556" spans="1:13" x14ac:dyDescent="0.3">
      <c r="A1556">
        <v>1554</v>
      </c>
      <c r="B1556">
        <v>1555</v>
      </c>
      <c r="C1556" t="s">
        <v>1604</v>
      </c>
      <c r="D1556">
        <v>2020</v>
      </c>
      <c r="F1556" t="s">
        <v>1574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f t="shared" si="48"/>
        <v>5.6</v>
      </c>
      <c r="M1556">
        <f t="shared" si="49"/>
        <v>1</v>
      </c>
    </row>
    <row r="1557" spans="1:13" x14ac:dyDescent="0.3">
      <c r="A1557">
        <v>1555</v>
      </c>
      <c r="B1557">
        <v>1556</v>
      </c>
      <c r="C1557" t="s">
        <v>1605</v>
      </c>
      <c r="D1557">
        <v>2020</v>
      </c>
      <c r="F1557" t="s">
        <v>1574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f t="shared" si="48"/>
        <v>5.6</v>
      </c>
      <c r="M1557">
        <f t="shared" si="49"/>
        <v>1</v>
      </c>
    </row>
    <row r="1558" spans="1:13" x14ac:dyDescent="0.3">
      <c r="A1558">
        <v>1556</v>
      </c>
      <c r="B1558">
        <v>1557</v>
      </c>
      <c r="C1558" t="s">
        <v>1606</v>
      </c>
      <c r="D1558">
        <v>2020</v>
      </c>
      <c r="E1558" t="s">
        <v>11</v>
      </c>
      <c r="F1558" t="s">
        <v>1574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f t="shared" si="48"/>
        <v>5.6</v>
      </c>
      <c r="M1558">
        <f t="shared" si="49"/>
        <v>1</v>
      </c>
    </row>
    <row r="1559" spans="1:13" x14ac:dyDescent="0.3">
      <c r="A1559">
        <v>1557</v>
      </c>
      <c r="B1559">
        <v>1558</v>
      </c>
      <c r="C1559" t="s">
        <v>1607</v>
      </c>
      <c r="D1559">
        <v>2018</v>
      </c>
      <c r="F1559" t="s">
        <v>1574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f t="shared" si="48"/>
        <v>5.6</v>
      </c>
      <c r="M1559">
        <f t="shared" si="49"/>
        <v>1</v>
      </c>
    </row>
    <row r="1560" spans="1:13" x14ac:dyDescent="0.3">
      <c r="A1560">
        <v>1558</v>
      </c>
      <c r="B1560">
        <v>1559</v>
      </c>
      <c r="C1560" t="s">
        <v>1608</v>
      </c>
      <c r="D1560">
        <v>2006</v>
      </c>
      <c r="F1560" t="s">
        <v>1574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f t="shared" si="48"/>
        <v>5.6</v>
      </c>
      <c r="M1560">
        <f t="shared" si="49"/>
        <v>1</v>
      </c>
    </row>
    <row r="1561" spans="1:13" x14ac:dyDescent="0.3">
      <c r="A1561">
        <v>1559</v>
      </c>
      <c r="B1561">
        <v>1560</v>
      </c>
      <c r="C1561" t="s">
        <v>1609</v>
      </c>
      <c r="D1561">
        <v>2008</v>
      </c>
      <c r="E1561" t="s">
        <v>22</v>
      </c>
      <c r="F1561" t="s">
        <v>1574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f t="shared" si="48"/>
        <v>5.6</v>
      </c>
      <c r="M1561">
        <f t="shared" si="49"/>
        <v>1</v>
      </c>
    </row>
    <row r="1562" spans="1:13" x14ac:dyDescent="0.3">
      <c r="A1562">
        <v>1560</v>
      </c>
      <c r="B1562">
        <v>1561</v>
      </c>
      <c r="C1562" t="s">
        <v>1610</v>
      </c>
      <c r="D1562">
        <v>2017</v>
      </c>
      <c r="F1562" t="s">
        <v>1574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f t="shared" si="48"/>
        <v>5.6</v>
      </c>
      <c r="M1562">
        <f t="shared" si="49"/>
        <v>1</v>
      </c>
    </row>
    <row r="1563" spans="1:13" x14ac:dyDescent="0.3">
      <c r="A1563">
        <v>1561</v>
      </c>
      <c r="B1563">
        <v>1562</v>
      </c>
      <c r="C1563" t="s">
        <v>1611</v>
      </c>
      <c r="D1563">
        <v>2010</v>
      </c>
      <c r="E1563" t="s">
        <v>14</v>
      </c>
      <c r="F1563" t="s">
        <v>1574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f t="shared" si="48"/>
        <v>5.6</v>
      </c>
      <c r="M1563">
        <f t="shared" si="49"/>
        <v>1</v>
      </c>
    </row>
    <row r="1564" spans="1:13" x14ac:dyDescent="0.3">
      <c r="A1564">
        <v>1562</v>
      </c>
      <c r="B1564">
        <v>1563</v>
      </c>
      <c r="C1564" t="s">
        <v>1612</v>
      </c>
      <c r="D1564">
        <v>1982</v>
      </c>
      <c r="F1564" t="s">
        <v>1574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f t="shared" si="48"/>
        <v>5.6</v>
      </c>
      <c r="M1564">
        <f t="shared" si="49"/>
        <v>1</v>
      </c>
    </row>
    <row r="1565" spans="1:13" x14ac:dyDescent="0.3">
      <c r="A1565">
        <v>1563</v>
      </c>
      <c r="B1565">
        <v>1564</v>
      </c>
      <c r="C1565" t="s">
        <v>1613</v>
      </c>
      <c r="D1565">
        <v>2020</v>
      </c>
      <c r="F1565" t="s">
        <v>1574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f t="shared" si="48"/>
        <v>5.6</v>
      </c>
      <c r="M1565">
        <f t="shared" si="49"/>
        <v>1</v>
      </c>
    </row>
    <row r="1566" spans="1:13" x14ac:dyDescent="0.3">
      <c r="A1566">
        <v>1564</v>
      </c>
      <c r="B1566">
        <v>1565</v>
      </c>
      <c r="C1566" t="s">
        <v>1614</v>
      </c>
      <c r="D1566">
        <v>2021</v>
      </c>
      <c r="F1566" t="s">
        <v>1574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f t="shared" si="48"/>
        <v>5.6</v>
      </c>
      <c r="M1566">
        <f t="shared" si="49"/>
        <v>1</v>
      </c>
    </row>
    <row r="1567" spans="1:13" x14ac:dyDescent="0.3">
      <c r="A1567">
        <v>1565</v>
      </c>
      <c r="B1567">
        <v>1566</v>
      </c>
      <c r="C1567" t="s">
        <v>1615</v>
      </c>
      <c r="D1567">
        <v>2017</v>
      </c>
      <c r="F1567" t="s">
        <v>1574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f t="shared" si="48"/>
        <v>5.6</v>
      </c>
      <c r="M1567">
        <f t="shared" si="49"/>
        <v>1</v>
      </c>
    </row>
    <row r="1568" spans="1:13" x14ac:dyDescent="0.3">
      <c r="A1568">
        <v>1566</v>
      </c>
      <c r="B1568">
        <v>1567</v>
      </c>
      <c r="C1568" t="s">
        <v>1616</v>
      </c>
      <c r="D1568">
        <v>2021</v>
      </c>
      <c r="E1568" t="s">
        <v>11</v>
      </c>
      <c r="F1568" t="s">
        <v>1574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f t="shared" si="48"/>
        <v>5.6</v>
      </c>
      <c r="M1568">
        <f t="shared" si="49"/>
        <v>1</v>
      </c>
    </row>
    <row r="1569" spans="1:13" x14ac:dyDescent="0.3">
      <c r="A1569">
        <v>1567</v>
      </c>
      <c r="B1569">
        <v>1568</v>
      </c>
      <c r="C1569" t="s">
        <v>1617</v>
      </c>
      <c r="D1569">
        <v>2018</v>
      </c>
      <c r="F1569" t="s">
        <v>1574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f t="shared" si="48"/>
        <v>5.6</v>
      </c>
      <c r="M1569">
        <f t="shared" si="49"/>
        <v>1</v>
      </c>
    </row>
    <row r="1570" spans="1:13" x14ac:dyDescent="0.3">
      <c r="A1570">
        <v>1568</v>
      </c>
      <c r="B1570">
        <v>1569</v>
      </c>
      <c r="C1570" t="s">
        <v>1618</v>
      </c>
      <c r="D1570">
        <v>2017</v>
      </c>
      <c r="E1570" t="s">
        <v>11</v>
      </c>
      <c r="F1570" t="s">
        <v>1574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f t="shared" si="48"/>
        <v>5.6</v>
      </c>
      <c r="M1570">
        <f t="shared" si="49"/>
        <v>1</v>
      </c>
    </row>
    <row r="1571" spans="1:13" x14ac:dyDescent="0.3">
      <c r="A1571">
        <v>1569</v>
      </c>
      <c r="B1571">
        <v>1570</v>
      </c>
      <c r="C1571" t="s">
        <v>1619</v>
      </c>
      <c r="D1571">
        <v>2011</v>
      </c>
      <c r="F1571" t="s">
        <v>1574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f t="shared" si="48"/>
        <v>5.6</v>
      </c>
      <c r="M1571">
        <f t="shared" si="49"/>
        <v>1</v>
      </c>
    </row>
    <row r="1572" spans="1:13" x14ac:dyDescent="0.3">
      <c r="A1572">
        <v>1570</v>
      </c>
      <c r="B1572">
        <v>1571</v>
      </c>
      <c r="C1572" t="s">
        <v>1620</v>
      </c>
      <c r="D1572">
        <v>2019</v>
      </c>
      <c r="E1572" t="s">
        <v>11</v>
      </c>
      <c r="F1572" t="s">
        <v>1574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f t="shared" si="48"/>
        <v>5.6</v>
      </c>
      <c r="M1572">
        <f t="shared" si="49"/>
        <v>1</v>
      </c>
    </row>
    <row r="1573" spans="1:13" x14ac:dyDescent="0.3">
      <c r="A1573">
        <v>1571</v>
      </c>
      <c r="B1573">
        <v>1572</v>
      </c>
      <c r="C1573" t="s">
        <v>1621</v>
      </c>
      <c r="D1573">
        <v>2021</v>
      </c>
      <c r="F1573" t="s">
        <v>1574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f t="shared" si="48"/>
        <v>5.6</v>
      </c>
      <c r="M1573">
        <f t="shared" si="49"/>
        <v>1</v>
      </c>
    </row>
    <row r="1574" spans="1:13" x14ac:dyDescent="0.3">
      <c r="A1574">
        <v>1572</v>
      </c>
      <c r="B1574">
        <v>1573</v>
      </c>
      <c r="C1574" t="s">
        <v>1622</v>
      </c>
      <c r="D1574">
        <v>2011</v>
      </c>
      <c r="F1574" t="s">
        <v>1574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f t="shared" si="48"/>
        <v>5.6</v>
      </c>
      <c r="M1574">
        <f t="shared" si="49"/>
        <v>1</v>
      </c>
    </row>
    <row r="1575" spans="1:13" x14ac:dyDescent="0.3">
      <c r="A1575">
        <v>1573</v>
      </c>
      <c r="B1575">
        <v>1574</v>
      </c>
      <c r="C1575" t="s">
        <v>1623</v>
      </c>
      <c r="D1575">
        <v>2010</v>
      </c>
      <c r="E1575" t="s">
        <v>28</v>
      </c>
      <c r="F1575" t="s">
        <v>1574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f t="shared" si="48"/>
        <v>5.6</v>
      </c>
      <c r="M1575">
        <f t="shared" si="49"/>
        <v>1</v>
      </c>
    </row>
    <row r="1576" spans="1:13" x14ac:dyDescent="0.3">
      <c r="A1576">
        <v>1574</v>
      </c>
      <c r="B1576">
        <v>1575</v>
      </c>
      <c r="C1576" t="s">
        <v>1624</v>
      </c>
      <c r="D1576">
        <v>2021</v>
      </c>
      <c r="E1576" t="s">
        <v>11</v>
      </c>
      <c r="F1576" t="s">
        <v>1574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f t="shared" si="48"/>
        <v>5.6</v>
      </c>
      <c r="M1576">
        <f t="shared" si="49"/>
        <v>1</v>
      </c>
    </row>
    <row r="1577" spans="1:13" x14ac:dyDescent="0.3">
      <c r="A1577">
        <v>1575</v>
      </c>
      <c r="B1577">
        <v>1576</v>
      </c>
      <c r="C1577" t="s">
        <v>1625</v>
      </c>
      <c r="D1577">
        <v>2017</v>
      </c>
      <c r="F1577" t="s">
        <v>1574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f t="shared" si="48"/>
        <v>5.6</v>
      </c>
      <c r="M1577">
        <f t="shared" si="49"/>
        <v>1</v>
      </c>
    </row>
    <row r="1578" spans="1:13" x14ac:dyDescent="0.3">
      <c r="A1578">
        <v>1576</v>
      </c>
      <c r="B1578">
        <v>1577</v>
      </c>
      <c r="C1578" t="s">
        <v>1626</v>
      </c>
      <c r="D1578">
        <v>2020</v>
      </c>
      <c r="F1578" t="s">
        <v>1574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f t="shared" si="48"/>
        <v>5.6</v>
      </c>
      <c r="M1578">
        <f t="shared" si="49"/>
        <v>1</v>
      </c>
    </row>
    <row r="1579" spans="1:13" x14ac:dyDescent="0.3">
      <c r="A1579">
        <v>1577</v>
      </c>
      <c r="B1579">
        <v>1578</v>
      </c>
      <c r="C1579" t="s">
        <v>1627</v>
      </c>
      <c r="D1579">
        <v>2009</v>
      </c>
      <c r="E1579" t="s">
        <v>11</v>
      </c>
      <c r="F1579" t="s">
        <v>1574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f t="shared" si="48"/>
        <v>5.6</v>
      </c>
      <c r="M1579">
        <f t="shared" si="49"/>
        <v>1</v>
      </c>
    </row>
    <row r="1580" spans="1:13" x14ac:dyDescent="0.3">
      <c r="A1580">
        <v>1578</v>
      </c>
      <c r="B1580">
        <v>1579</v>
      </c>
      <c r="C1580" t="s">
        <v>1628</v>
      </c>
      <c r="D1580">
        <v>2017</v>
      </c>
      <c r="E1580" t="s">
        <v>11</v>
      </c>
      <c r="F1580" t="s">
        <v>1574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f t="shared" si="48"/>
        <v>5.6</v>
      </c>
      <c r="M1580">
        <f t="shared" si="49"/>
        <v>1</v>
      </c>
    </row>
    <row r="1581" spans="1:13" x14ac:dyDescent="0.3">
      <c r="A1581">
        <v>1579</v>
      </c>
      <c r="B1581">
        <v>1580</v>
      </c>
      <c r="C1581" t="s">
        <v>1629</v>
      </c>
      <c r="D1581">
        <v>2018</v>
      </c>
      <c r="F1581" t="s">
        <v>1574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f t="shared" si="48"/>
        <v>5.6</v>
      </c>
      <c r="M1581">
        <f t="shared" si="49"/>
        <v>1</v>
      </c>
    </row>
    <row r="1582" spans="1:13" x14ac:dyDescent="0.3">
      <c r="A1582">
        <v>1580</v>
      </c>
      <c r="B1582">
        <v>1581</v>
      </c>
      <c r="C1582" t="s">
        <v>1630</v>
      </c>
      <c r="D1582">
        <v>2018</v>
      </c>
      <c r="F1582" t="s">
        <v>1574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f t="shared" si="48"/>
        <v>5.6</v>
      </c>
      <c r="M1582">
        <f t="shared" si="49"/>
        <v>1</v>
      </c>
    </row>
    <row r="1583" spans="1:13" x14ac:dyDescent="0.3">
      <c r="A1583">
        <v>1581</v>
      </c>
      <c r="B1583">
        <v>1582</v>
      </c>
      <c r="C1583" t="s">
        <v>1631</v>
      </c>
      <c r="D1583">
        <v>2017</v>
      </c>
      <c r="E1583" t="s">
        <v>11</v>
      </c>
      <c r="F1583" t="s">
        <v>1574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f t="shared" si="48"/>
        <v>5.6</v>
      </c>
      <c r="M1583">
        <f t="shared" si="49"/>
        <v>1</v>
      </c>
    </row>
    <row r="1584" spans="1:13" x14ac:dyDescent="0.3">
      <c r="A1584">
        <v>1582</v>
      </c>
      <c r="B1584">
        <v>1583</v>
      </c>
      <c r="C1584" t="s">
        <v>1632</v>
      </c>
      <c r="D1584">
        <v>2017</v>
      </c>
      <c r="F1584" t="s">
        <v>1574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f t="shared" si="48"/>
        <v>5.6</v>
      </c>
      <c r="M1584">
        <f t="shared" si="49"/>
        <v>1</v>
      </c>
    </row>
    <row r="1585" spans="1:13" x14ac:dyDescent="0.3">
      <c r="A1585">
        <v>1583</v>
      </c>
      <c r="B1585">
        <v>1584</v>
      </c>
      <c r="C1585" t="s">
        <v>1633</v>
      </c>
      <c r="D1585">
        <v>2008</v>
      </c>
      <c r="E1585" t="s">
        <v>22</v>
      </c>
      <c r="F1585" t="s">
        <v>1574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f t="shared" si="48"/>
        <v>5.6</v>
      </c>
      <c r="M1585">
        <f t="shared" si="49"/>
        <v>1</v>
      </c>
    </row>
    <row r="1586" spans="1:13" x14ac:dyDescent="0.3">
      <c r="A1586">
        <v>1584</v>
      </c>
      <c r="B1586">
        <v>1585</v>
      </c>
      <c r="C1586" t="s">
        <v>1634</v>
      </c>
      <c r="D1586">
        <v>2018</v>
      </c>
      <c r="E1586" t="s">
        <v>14</v>
      </c>
      <c r="F1586" t="s">
        <v>1574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f t="shared" si="48"/>
        <v>5.6</v>
      </c>
      <c r="M1586">
        <f t="shared" si="49"/>
        <v>1</v>
      </c>
    </row>
    <row r="1587" spans="1:13" x14ac:dyDescent="0.3">
      <c r="A1587">
        <v>1585</v>
      </c>
      <c r="B1587">
        <v>1586</v>
      </c>
      <c r="C1587" t="s">
        <v>1635</v>
      </c>
      <c r="D1587">
        <v>2015</v>
      </c>
      <c r="E1587" t="s">
        <v>36</v>
      </c>
      <c r="F1587" t="s">
        <v>1574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f t="shared" si="48"/>
        <v>5.6</v>
      </c>
      <c r="M1587">
        <f t="shared" si="49"/>
        <v>1</v>
      </c>
    </row>
    <row r="1588" spans="1:13" x14ac:dyDescent="0.3">
      <c r="A1588">
        <v>1586</v>
      </c>
      <c r="B1588">
        <v>1587</v>
      </c>
      <c r="C1588" t="s">
        <v>1636</v>
      </c>
      <c r="D1588">
        <v>2020</v>
      </c>
      <c r="E1588" t="s">
        <v>11</v>
      </c>
      <c r="F1588" t="s">
        <v>1574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f t="shared" si="48"/>
        <v>5.6</v>
      </c>
      <c r="M1588">
        <f t="shared" si="49"/>
        <v>1</v>
      </c>
    </row>
    <row r="1589" spans="1:13" x14ac:dyDescent="0.3">
      <c r="A1589">
        <v>1587</v>
      </c>
      <c r="B1589">
        <v>1588</v>
      </c>
      <c r="C1589" t="s">
        <v>1637</v>
      </c>
      <c r="D1589">
        <v>2014</v>
      </c>
      <c r="E1589" t="s">
        <v>11</v>
      </c>
      <c r="F1589" t="s">
        <v>1574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f t="shared" si="48"/>
        <v>5.6</v>
      </c>
      <c r="M1589">
        <f t="shared" si="49"/>
        <v>1</v>
      </c>
    </row>
    <row r="1590" spans="1:13" x14ac:dyDescent="0.3">
      <c r="A1590">
        <v>1588</v>
      </c>
      <c r="B1590">
        <v>1589</v>
      </c>
      <c r="C1590" t="s">
        <v>1638</v>
      </c>
      <c r="D1590">
        <v>2021</v>
      </c>
      <c r="F1590" t="s">
        <v>1574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f t="shared" si="48"/>
        <v>5.6</v>
      </c>
      <c r="M1590">
        <f t="shared" si="49"/>
        <v>1</v>
      </c>
    </row>
    <row r="1591" spans="1:13" x14ac:dyDescent="0.3">
      <c r="A1591">
        <v>1589</v>
      </c>
      <c r="B1591">
        <v>1590</v>
      </c>
      <c r="C1591" t="s">
        <v>1639</v>
      </c>
      <c r="D1591">
        <v>2021</v>
      </c>
      <c r="F1591" t="s">
        <v>1574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f t="shared" si="48"/>
        <v>5.6</v>
      </c>
      <c r="M1591">
        <f t="shared" si="49"/>
        <v>1</v>
      </c>
    </row>
    <row r="1592" spans="1:13" x14ac:dyDescent="0.3">
      <c r="A1592">
        <v>1590</v>
      </c>
      <c r="B1592">
        <v>1591</v>
      </c>
      <c r="C1592" t="s">
        <v>1640</v>
      </c>
      <c r="D1592">
        <v>2020</v>
      </c>
      <c r="F1592" t="s">
        <v>1574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f t="shared" si="48"/>
        <v>5.6</v>
      </c>
      <c r="M1592">
        <f t="shared" si="49"/>
        <v>1</v>
      </c>
    </row>
    <row r="1593" spans="1:13" x14ac:dyDescent="0.3">
      <c r="A1593">
        <v>1591</v>
      </c>
      <c r="B1593">
        <v>1592</v>
      </c>
      <c r="C1593" t="s">
        <v>1641</v>
      </c>
      <c r="D1593">
        <v>2014</v>
      </c>
      <c r="F1593" t="s">
        <v>1574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f t="shared" si="48"/>
        <v>5.6</v>
      </c>
      <c r="M1593">
        <f t="shared" si="49"/>
        <v>1</v>
      </c>
    </row>
    <row r="1594" spans="1:13" x14ac:dyDescent="0.3">
      <c r="A1594">
        <v>1592</v>
      </c>
      <c r="B1594">
        <v>1593</v>
      </c>
      <c r="C1594" t="s">
        <v>1642</v>
      </c>
      <c r="D1594">
        <v>2000</v>
      </c>
      <c r="E1594" t="s">
        <v>22</v>
      </c>
      <c r="F1594" t="s">
        <v>1574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f t="shared" si="48"/>
        <v>5.6</v>
      </c>
      <c r="M1594">
        <f t="shared" si="49"/>
        <v>1</v>
      </c>
    </row>
    <row r="1595" spans="1:13" x14ac:dyDescent="0.3">
      <c r="A1595">
        <v>1593</v>
      </c>
      <c r="B1595">
        <v>1594</v>
      </c>
      <c r="C1595" t="s">
        <v>1643</v>
      </c>
      <c r="D1595">
        <v>2014</v>
      </c>
      <c r="E1595" t="s">
        <v>11</v>
      </c>
      <c r="F1595" t="s">
        <v>1574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f t="shared" si="48"/>
        <v>5.6</v>
      </c>
      <c r="M1595">
        <f t="shared" si="49"/>
        <v>1</v>
      </c>
    </row>
    <row r="1596" spans="1:13" x14ac:dyDescent="0.3">
      <c r="A1596">
        <v>1594</v>
      </c>
      <c r="B1596">
        <v>1595</v>
      </c>
      <c r="C1596" t="s">
        <v>1644</v>
      </c>
      <c r="D1596">
        <v>2020</v>
      </c>
      <c r="F1596" t="s">
        <v>1574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f t="shared" si="48"/>
        <v>5.6</v>
      </c>
      <c r="M1596">
        <f t="shared" si="49"/>
        <v>1</v>
      </c>
    </row>
    <row r="1597" spans="1:13" x14ac:dyDescent="0.3">
      <c r="A1597">
        <v>1595</v>
      </c>
      <c r="B1597">
        <v>1596</v>
      </c>
      <c r="C1597" t="s">
        <v>1645</v>
      </c>
      <c r="D1597">
        <v>2010</v>
      </c>
      <c r="F1597" t="s">
        <v>1574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f t="shared" si="48"/>
        <v>5.6</v>
      </c>
      <c r="M1597">
        <f t="shared" si="49"/>
        <v>1</v>
      </c>
    </row>
    <row r="1598" spans="1:13" x14ac:dyDescent="0.3">
      <c r="A1598">
        <v>1596</v>
      </c>
      <c r="B1598">
        <v>1597</v>
      </c>
      <c r="C1598" t="s">
        <v>1646</v>
      </c>
      <c r="D1598">
        <v>2019</v>
      </c>
      <c r="E1598" t="s">
        <v>11</v>
      </c>
      <c r="F1598" t="s">
        <v>1574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f t="shared" si="48"/>
        <v>5.6</v>
      </c>
      <c r="M1598">
        <f t="shared" si="49"/>
        <v>1</v>
      </c>
    </row>
    <row r="1599" spans="1:13" x14ac:dyDescent="0.3">
      <c r="A1599">
        <v>1597</v>
      </c>
      <c r="B1599">
        <v>1598</v>
      </c>
      <c r="C1599" t="s">
        <v>1647</v>
      </c>
      <c r="D1599">
        <v>2018</v>
      </c>
      <c r="F1599" t="s">
        <v>1574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f t="shared" si="48"/>
        <v>5.6</v>
      </c>
      <c r="M1599">
        <f t="shared" si="49"/>
        <v>1</v>
      </c>
    </row>
    <row r="1600" spans="1:13" x14ac:dyDescent="0.3">
      <c r="A1600">
        <v>1598</v>
      </c>
      <c r="B1600">
        <v>1599</v>
      </c>
      <c r="C1600" t="s">
        <v>1648</v>
      </c>
      <c r="D1600">
        <v>2018</v>
      </c>
      <c r="E1600" t="s">
        <v>11</v>
      </c>
      <c r="F1600" t="s">
        <v>1574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f t="shared" si="48"/>
        <v>5.6</v>
      </c>
      <c r="M1600">
        <f t="shared" si="49"/>
        <v>1</v>
      </c>
    </row>
    <row r="1601" spans="1:13" x14ac:dyDescent="0.3">
      <c r="A1601">
        <v>1599</v>
      </c>
      <c r="B1601">
        <v>1600</v>
      </c>
      <c r="C1601" t="s">
        <v>1649</v>
      </c>
      <c r="D1601">
        <v>2015</v>
      </c>
      <c r="F1601" t="s">
        <v>1574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f t="shared" si="48"/>
        <v>5.6</v>
      </c>
      <c r="M1601">
        <f t="shared" si="49"/>
        <v>1</v>
      </c>
    </row>
    <row r="1602" spans="1:13" x14ac:dyDescent="0.3">
      <c r="A1602">
        <v>1600</v>
      </c>
      <c r="B1602">
        <v>1601</v>
      </c>
      <c r="C1602" t="s">
        <v>1650</v>
      </c>
      <c r="D1602">
        <v>2020</v>
      </c>
      <c r="E1602" t="s">
        <v>11</v>
      </c>
      <c r="F1602" t="s">
        <v>1574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f t="shared" si="48"/>
        <v>5.6</v>
      </c>
      <c r="M1602">
        <f t="shared" si="49"/>
        <v>1</v>
      </c>
    </row>
    <row r="1603" spans="1:13" x14ac:dyDescent="0.3">
      <c r="A1603">
        <v>1601</v>
      </c>
      <c r="B1603">
        <v>1602</v>
      </c>
      <c r="C1603" t="s">
        <v>1651</v>
      </c>
      <c r="D1603">
        <v>2015</v>
      </c>
      <c r="E1603" t="s">
        <v>11</v>
      </c>
      <c r="F1603" t="s">
        <v>1574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f t="shared" ref="L1603:L1666" si="50">IFERROR(VALUE(LEFT(F1603,FIND("/",F1603)-1))/10,"")</f>
        <v>5.6</v>
      </c>
      <c r="M1603">
        <f t="shared" ref="M1603:M1666" si="51">SUM(G1603:J1603)</f>
        <v>1</v>
      </c>
    </row>
    <row r="1604" spans="1:13" x14ac:dyDescent="0.3">
      <c r="A1604">
        <v>1602</v>
      </c>
      <c r="B1604">
        <v>1603</v>
      </c>
      <c r="C1604" t="s">
        <v>1652</v>
      </c>
      <c r="D1604">
        <v>1981</v>
      </c>
      <c r="F1604" t="s">
        <v>1574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f t="shared" si="50"/>
        <v>5.6</v>
      </c>
      <c r="M1604">
        <f t="shared" si="51"/>
        <v>1</v>
      </c>
    </row>
    <row r="1605" spans="1:13" x14ac:dyDescent="0.3">
      <c r="A1605">
        <v>1603</v>
      </c>
      <c r="B1605">
        <v>1604</v>
      </c>
      <c r="C1605" t="s">
        <v>1653</v>
      </c>
      <c r="D1605">
        <v>2019</v>
      </c>
      <c r="F1605" t="s">
        <v>1574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f t="shared" si="50"/>
        <v>5.6</v>
      </c>
      <c r="M1605">
        <f t="shared" si="51"/>
        <v>1</v>
      </c>
    </row>
    <row r="1606" spans="1:13" x14ac:dyDescent="0.3">
      <c r="A1606">
        <v>1604</v>
      </c>
      <c r="B1606">
        <v>1605</v>
      </c>
      <c r="C1606" t="s">
        <v>1654</v>
      </c>
      <c r="D1606">
        <v>2018</v>
      </c>
      <c r="E1606" t="s">
        <v>11</v>
      </c>
      <c r="F1606" t="s">
        <v>1574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f t="shared" si="50"/>
        <v>5.6</v>
      </c>
      <c r="M1606">
        <f t="shared" si="51"/>
        <v>1</v>
      </c>
    </row>
    <row r="1607" spans="1:13" x14ac:dyDescent="0.3">
      <c r="A1607">
        <v>1605</v>
      </c>
      <c r="B1607">
        <v>1606</v>
      </c>
      <c r="C1607" t="s">
        <v>1655</v>
      </c>
      <c r="D1607">
        <v>2015</v>
      </c>
      <c r="F1607" t="s">
        <v>1574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f t="shared" si="50"/>
        <v>5.6</v>
      </c>
      <c r="M1607">
        <f t="shared" si="51"/>
        <v>1</v>
      </c>
    </row>
    <row r="1608" spans="1:13" x14ac:dyDescent="0.3">
      <c r="A1608">
        <v>1606</v>
      </c>
      <c r="B1608">
        <v>1607</v>
      </c>
      <c r="C1608" t="s">
        <v>1656</v>
      </c>
      <c r="D1608">
        <v>2021</v>
      </c>
      <c r="E1608" t="s">
        <v>36</v>
      </c>
      <c r="F1608" t="s">
        <v>1574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f t="shared" si="50"/>
        <v>5.6</v>
      </c>
      <c r="M1608">
        <f t="shared" si="51"/>
        <v>1</v>
      </c>
    </row>
    <row r="1609" spans="1:13" x14ac:dyDescent="0.3">
      <c r="A1609">
        <v>1607</v>
      </c>
      <c r="B1609">
        <v>1608</v>
      </c>
      <c r="C1609" t="s">
        <v>1657</v>
      </c>
      <c r="D1609">
        <v>2019</v>
      </c>
      <c r="F1609" t="s">
        <v>1574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f t="shared" si="50"/>
        <v>5.6</v>
      </c>
      <c r="M1609">
        <f t="shared" si="51"/>
        <v>1</v>
      </c>
    </row>
    <row r="1610" spans="1:13" x14ac:dyDescent="0.3">
      <c r="A1610">
        <v>1608</v>
      </c>
      <c r="B1610">
        <v>1609</v>
      </c>
      <c r="C1610" t="s">
        <v>1658</v>
      </c>
      <c r="D1610">
        <v>2009</v>
      </c>
      <c r="E1610" t="s">
        <v>11</v>
      </c>
      <c r="F1610" t="s">
        <v>1574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f t="shared" si="50"/>
        <v>5.6</v>
      </c>
      <c r="M1610">
        <f t="shared" si="51"/>
        <v>1</v>
      </c>
    </row>
    <row r="1611" spans="1:13" x14ac:dyDescent="0.3">
      <c r="A1611">
        <v>1609</v>
      </c>
      <c r="B1611">
        <v>1610</v>
      </c>
      <c r="C1611" t="s">
        <v>1659</v>
      </c>
      <c r="D1611">
        <v>2019</v>
      </c>
      <c r="E1611" t="s">
        <v>11</v>
      </c>
      <c r="F1611" t="s">
        <v>1574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f t="shared" si="50"/>
        <v>5.6</v>
      </c>
      <c r="M1611">
        <f t="shared" si="51"/>
        <v>1</v>
      </c>
    </row>
    <row r="1612" spans="1:13" x14ac:dyDescent="0.3">
      <c r="A1612">
        <v>1610</v>
      </c>
      <c r="B1612">
        <v>1611</v>
      </c>
      <c r="C1612" t="s">
        <v>1660</v>
      </c>
      <c r="D1612">
        <v>2005</v>
      </c>
      <c r="F1612" t="s">
        <v>1574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f t="shared" si="50"/>
        <v>5.6</v>
      </c>
      <c r="M1612">
        <f t="shared" si="51"/>
        <v>1</v>
      </c>
    </row>
    <row r="1613" spans="1:13" x14ac:dyDescent="0.3">
      <c r="A1613">
        <v>1611</v>
      </c>
      <c r="B1613">
        <v>1612</v>
      </c>
      <c r="C1613" t="s">
        <v>1661</v>
      </c>
      <c r="D1613">
        <v>2020</v>
      </c>
      <c r="E1613" t="s">
        <v>11</v>
      </c>
      <c r="F1613" t="s">
        <v>1574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f t="shared" si="50"/>
        <v>5.6</v>
      </c>
      <c r="M1613">
        <f t="shared" si="51"/>
        <v>1</v>
      </c>
    </row>
    <row r="1614" spans="1:13" x14ac:dyDescent="0.3">
      <c r="A1614">
        <v>1612</v>
      </c>
      <c r="B1614">
        <v>1613</v>
      </c>
      <c r="C1614" t="s">
        <v>1662</v>
      </c>
      <c r="D1614">
        <v>2007</v>
      </c>
      <c r="F1614" t="s">
        <v>1574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f t="shared" si="50"/>
        <v>5.6</v>
      </c>
      <c r="M1614">
        <f t="shared" si="51"/>
        <v>1</v>
      </c>
    </row>
    <row r="1615" spans="1:13" x14ac:dyDescent="0.3">
      <c r="A1615">
        <v>1613</v>
      </c>
      <c r="B1615">
        <v>1614</v>
      </c>
      <c r="C1615" t="s">
        <v>1663</v>
      </c>
      <c r="D1615">
        <v>2017</v>
      </c>
      <c r="F1615" t="s">
        <v>1574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f t="shared" si="50"/>
        <v>5.6</v>
      </c>
      <c r="M1615">
        <f t="shared" si="51"/>
        <v>1</v>
      </c>
    </row>
    <row r="1616" spans="1:13" x14ac:dyDescent="0.3">
      <c r="A1616">
        <v>1614</v>
      </c>
      <c r="B1616">
        <v>1615</v>
      </c>
      <c r="C1616" t="s">
        <v>1664</v>
      </c>
      <c r="D1616">
        <v>2017</v>
      </c>
      <c r="F1616" t="s">
        <v>1574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f t="shared" si="50"/>
        <v>5.6</v>
      </c>
      <c r="M1616">
        <f t="shared" si="51"/>
        <v>1</v>
      </c>
    </row>
    <row r="1617" spans="1:13" x14ac:dyDescent="0.3">
      <c r="A1617">
        <v>1615</v>
      </c>
      <c r="B1617">
        <v>1616</v>
      </c>
      <c r="C1617" t="s">
        <v>1665</v>
      </c>
      <c r="D1617">
        <v>2012</v>
      </c>
      <c r="E1617" t="s">
        <v>22</v>
      </c>
      <c r="F1617" t="s">
        <v>1574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f t="shared" si="50"/>
        <v>5.6</v>
      </c>
      <c r="M1617">
        <f t="shared" si="51"/>
        <v>1</v>
      </c>
    </row>
    <row r="1618" spans="1:13" x14ac:dyDescent="0.3">
      <c r="A1618">
        <v>1616</v>
      </c>
      <c r="B1618">
        <v>1617</v>
      </c>
      <c r="C1618" t="s">
        <v>1666</v>
      </c>
      <c r="D1618">
        <v>2016</v>
      </c>
      <c r="E1618" t="s">
        <v>28</v>
      </c>
      <c r="F1618" t="s">
        <v>1574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f t="shared" si="50"/>
        <v>5.6</v>
      </c>
      <c r="M1618">
        <f t="shared" si="51"/>
        <v>1</v>
      </c>
    </row>
    <row r="1619" spans="1:13" x14ac:dyDescent="0.3">
      <c r="A1619">
        <v>1617</v>
      </c>
      <c r="B1619">
        <v>1618</v>
      </c>
      <c r="C1619" t="s">
        <v>1667</v>
      </c>
      <c r="D1619">
        <v>2016</v>
      </c>
      <c r="E1619" t="s">
        <v>11</v>
      </c>
      <c r="F1619" t="s">
        <v>1574</v>
      </c>
      <c r="G1619">
        <v>1</v>
      </c>
      <c r="H1619">
        <v>1</v>
      </c>
      <c r="I1619">
        <v>0</v>
      </c>
      <c r="J1619">
        <v>0</v>
      </c>
      <c r="K1619">
        <v>0</v>
      </c>
      <c r="L1619">
        <f t="shared" si="50"/>
        <v>5.6</v>
      </c>
      <c r="M1619">
        <f t="shared" si="51"/>
        <v>2</v>
      </c>
    </row>
    <row r="1620" spans="1:13" x14ac:dyDescent="0.3">
      <c r="A1620">
        <v>1618</v>
      </c>
      <c r="B1620">
        <v>1619</v>
      </c>
      <c r="C1620" t="s">
        <v>1668</v>
      </c>
      <c r="D1620">
        <v>2020</v>
      </c>
      <c r="E1620" t="s">
        <v>14</v>
      </c>
      <c r="F1620" t="s">
        <v>1574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f t="shared" si="50"/>
        <v>5.6</v>
      </c>
      <c r="M1620">
        <f t="shared" si="51"/>
        <v>1</v>
      </c>
    </row>
    <row r="1621" spans="1:13" x14ac:dyDescent="0.3">
      <c r="A1621">
        <v>1619</v>
      </c>
      <c r="B1621">
        <v>1620</v>
      </c>
      <c r="C1621" t="s">
        <v>1669</v>
      </c>
      <c r="D1621">
        <v>2021</v>
      </c>
      <c r="F1621" t="s">
        <v>1574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f t="shared" si="50"/>
        <v>5.6</v>
      </c>
      <c r="M1621">
        <f t="shared" si="51"/>
        <v>1</v>
      </c>
    </row>
    <row r="1622" spans="1:13" x14ac:dyDescent="0.3">
      <c r="A1622">
        <v>1620</v>
      </c>
      <c r="B1622">
        <v>1621</v>
      </c>
      <c r="C1622" t="s">
        <v>1670</v>
      </c>
      <c r="D1622">
        <v>2015</v>
      </c>
      <c r="E1622" t="s">
        <v>11</v>
      </c>
      <c r="F1622" t="s">
        <v>1574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f t="shared" si="50"/>
        <v>5.6</v>
      </c>
      <c r="M1622">
        <f t="shared" si="51"/>
        <v>1</v>
      </c>
    </row>
    <row r="1623" spans="1:13" x14ac:dyDescent="0.3">
      <c r="A1623">
        <v>1621</v>
      </c>
      <c r="B1623">
        <v>1622</v>
      </c>
      <c r="C1623" t="s">
        <v>1671</v>
      </c>
      <c r="D1623">
        <v>2018</v>
      </c>
      <c r="F1623" t="s">
        <v>1574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f t="shared" si="50"/>
        <v>5.6</v>
      </c>
      <c r="M1623">
        <f t="shared" si="51"/>
        <v>1</v>
      </c>
    </row>
    <row r="1624" spans="1:13" x14ac:dyDescent="0.3">
      <c r="A1624">
        <v>1622</v>
      </c>
      <c r="B1624">
        <v>1623</v>
      </c>
      <c r="C1624" t="s">
        <v>1672</v>
      </c>
      <c r="D1624">
        <v>2020</v>
      </c>
      <c r="F1624" t="s">
        <v>1574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f t="shared" si="50"/>
        <v>5.6</v>
      </c>
      <c r="M1624">
        <f t="shared" si="51"/>
        <v>1</v>
      </c>
    </row>
    <row r="1625" spans="1:13" x14ac:dyDescent="0.3">
      <c r="A1625">
        <v>1623</v>
      </c>
      <c r="B1625">
        <v>1624</v>
      </c>
      <c r="C1625" t="s">
        <v>1673</v>
      </c>
      <c r="D1625">
        <v>2021</v>
      </c>
      <c r="E1625" t="s">
        <v>11</v>
      </c>
      <c r="F1625" t="s">
        <v>1574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f t="shared" si="50"/>
        <v>5.6</v>
      </c>
      <c r="M1625">
        <f t="shared" si="51"/>
        <v>1</v>
      </c>
    </row>
    <row r="1626" spans="1:13" x14ac:dyDescent="0.3">
      <c r="A1626">
        <v>1624</v>
      </c>
      <c r="B1626">
        <v>1625</v>
      </c>
      <c r="C1626" t="s">
        <v>1674</v>
      </c>
      <c r="D1626">
        <v>2021</v>
      </c>
      <c r="F1626" t="s">
        <v>1574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f t="shared" si="50"/>
        <v>5.6</v>
      </c>
      <c r="M1626">
        <f t="shared" si="51"/>
        <v>1</v>
      </c>
    </row>
    <row r="1627" spans="1:13" x14ac:dyDescent="0.3">
      <c r="A1627">
        <v>1625</v>
      </c>
      <c r="B1627">
        <v>1626</v>
      </c>
      <c r="C1627" t="s">
        <v>1675</v>
      </c>
      <c r="D1627">
        <v>2021</v>
      </c>
      <c r="E1627" t="s">
        <v>11</v>
      </c>
      <c r="F1627" t="s">
        <v>1574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f t="shared" si="50"/>
        <v>5.6</v>
      </c>
      <c r="M1627">
        <f t="shared" si="51"/>
        <v>1</v>
      </c>
    </row>
    <row r="1628" spans="1:13" x14ac:dyDescent="0.3">
      <c r="A1628">
        <v>1626</v>
      </c>
      <c r="B1628">
        <v>1627</v>
      </c>
      <c r="C1628" t="s">
        <v>1676</v>
      </c>
      <c r="D1628">
        <v>2020</v>
      </c>
      <c r="F1628" t="s">
        <v>1574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f t="shared" si="50"/>
        <v>5.6</v>
      </c>
      <c r="M1628">
        <f t="shared" si="51"/>
        <v>1</v>
      </c>
    </row>
    <row r="1629" spans="1:13" x14ac:dyDescent="0.3">
      <c r="A1629">
        <v>1627</v>
      </c>
      <c r="B1629">
        <v>1628</v>
      </c>
      <c r="C1629" t="s">
        <v>1677</v>
      </c>
      <c r="D1629">
        <v>2018</v>
      </c>
      <c r="E1629" t="s">
        <v>28</v>
      </c>
      <c r="F1629" t="s">
        <v>1574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f t="shared" si="50"/>
        <v>5.6</v>
      </c>
      <c r="M1629">
        <f t="shared" si="51"/>
        <v>1</v>
      </c>
    </row>
    <row r="1630" spans="1:13" x14ac:dyDescent="0.3">
      <c r="A1630">
        <v>1628</v>
      </c>
      <c r="B1630">
        <v>1629</v>
      </c>
      <c r="C1630" t="s">
        <v>1678</v>
      </c>
      <c r="D1630">
        <v>2018</v>
      </c>
      <c r="E1630" t="s">
        <v>11</v>
      </c>
      <c r="F1630" t="s">
        <v>1574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f t="shared" si="50"/>
        <v>5.6</v>
      </c>
      <c r="M1630">
        <f t="shared" si="51"/>
        <v>1</v>
      </c>
    </row>
    <row r="1631" spans="1:13" x14ac:dyDescent="0.3">
      <c r="A1631">
        <v>1629</v>
      </c>
      <c r="B1631">
        <v>1630</v>
      </c>
      <c r="C1631" t="s">
        <v>1679</v>
      </c>
      <c r="D1631">
        <v>2018</v>
      </c>
      <c r="E1631" t="s">
        <v>11</v>
      </c>
      <c r="F1631" t="s">
        <v>1574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f t="shared" si="50"/>
        <v>5.6</v>
      </c>
      <c r="M1631">
        <f t="shared" si="51"/>
        <v>1</v>
      </c>
    </row>
    <row r="1632" spans="1:13" x14ac:dyDescent="0.3">
      <c r="A1632">
        <v>1630</v>
      </c>
      <c r="B1632">
        <v>1631</v>
      </c>
      <c r="C1632" t="s">
        <v>1680</v>
      </c>
      <c r="D1632">
        <v>2021</v>
      </c>
      <c r="F1632" t="s">
        <v>1574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f t="shared" si="50"/>
        <v>5.6</v>
      </c>
      <c r="M1632">
        <f t="shared" si="51"/>
        <v>1</v>
      </c>
    </row>
    <row r="1633" spans="1:13" x14ac:dyDescent="0.3">
      <c r="A1633">
        <v>1631</v>
      </c>
      <c r="B1633">
        <v>1632</v>
      </c>
      <c r="C1633" t="s">
        <v>1681</v>
      </c>
      <c r="D1633">
        <v>2019</v>
      </c>
      <c r="E1633" t="s">
        <v>36</v>
      </c>
      <c r="F1633" t="s">
        <v>1574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f t="shared" si="50"/>
        <v>5.6</v>
      </c>
      <c r="M1633">
        <f t="shared" si="51"/>
        <v>1</v>
      </c>
    </row>
    <row r="1634" spans="1:13" x14ac:dyDescent="0.3">
      <c r="A1634">
        <v>1632</v>
      </c>
      <c r="B1634">
        <v>1633</v>
      </c>
      <c r="C1634" t="s">
        <v>1682</v>
      </c>
      <c r="D1634">
        <v>2020</v>
      </c>
      <c r="E1634" t="s">
        <v>11</v>
      </c>
      <c r="F1634" t="s">
        <v>1574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f t="shared" si="50"/>
        <v>5.6</v>
      </c>
      <c r="M1634">
        <f t="shared" si="51"/>
        <v>1</v>
      </c>
    </row>
    <row r="1635" spans="1:13" x14ac:dyDescent="0.3">
      <c r="A1635">
        <v>1633</v>
      </c>
      <c r="B1635">
        <v>1634</v>
      </c>
      <c r="C1635" t="s">
        <v>1683</v>
      </c>
      <c r="D1635">
        <v>2016</v>
      </c>
      <c r="F1635" t="s">
        <v>1574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f t="shared" si="50"/>
        <v>5.6</v>
      </c>
      <c r="M1635">
        <f t="shared" si="51"/>
        <v>1</v>
      </c>
    </row>
    <row r="1636" spans="1:13" x14ac:dyDescent="0.3">
      <c r="A1636">
        <v>1634</v>
      </c>
      <c r="B1636">
        <v>1635</v>
      </c>
      <c r="C1636" t="s">
        <v>1684</v>
      </c>
      <c r="D1636">
        <v>2014</v>
      </c>
      <c r="F1636" t="s">
        <v>1574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f t="shared" si="50"/>
        <v>5.6</v>
      </c>
      <c r="M1636">
        <f t="shared" si="51"/>
        <v>1</v>
      </c>
    </row>
    <row r="1637" spans="1:13" x14ac:dyDescent="0.3">
      <c r="A1637">
        <v>1635</v>
      </c>
      <c r="B1637">
        <v>1636</v>
      </c>
      <c r="C1637" t="s">
        <v>1685</v>
      </c>
      <c r="D1637">
        <v>2019</v>
      </c>
      <c r="E1637" t="s">
        <v>11</v>
      </c>
      <c r="F1637" t="s">
        <v>1574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f t="shared" si="50"/>
        <v>5.6</v>
      </c>
      <c r="M1637">
        <f t="shared" si="51"/>
        <v>1</v>
      </c>
    </row>
    <row r="1638" spans="1:13" x14ac:dyDescent="0.3">
      <c r="A1638">
        <v>1636</v>
      </c>
      <c r="B1638">
        <v>1637</v>
      </c>
      <c r="C1638" t="s">
        <v>1686</v>
      </c>
      <c r="D1638">
        <v>1990</v>
      </c>
      <c r="F1638" t="s">
        <v>1687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f t="shared" si="50"/>
        <v>5.5</v>
      </c>
      <c r="M1638">
        <f t="shared" si="51"/>
        <v>1</v>
      </c>
    </row>
    <row r="1639" spans="1:13" x14ac:dyDescent="0.3">
      <c r="A1639">
        <v>1637</v>
      </c>
      <c r="B1639">
        <v>1638</v>
      </c>
      <c r="C1639" t="s">
        <v>1688</v>
      </c>
      <c r="D1639">
        <v>2008</v>
      </c>
      <c r="F1639" t="s">
        <v>1687</v>
      </c>
      <c r="G1639">
        <v>1</v>
      </c>
      <c r="H1639">
        <v>0</v>
      </c>
      <c r="I1639">
        <v>1</v>
      </c>
      <c r="J1639">
        <v>0</v>
      </c>
      <c r="K1639">
        <v>0</v>
      </c>
      <c r="L1639">
        <f t="shared" si="50"/>
        <v>5.5</v>
      </c>
      <c r="M1639">
        <f t="shared" si="51"/>
        <v>2</v>
      </c>
    </row>
    <row r="1640" spans="1:13" x14ac:dyDescent="0.3">
      <c r="A1640">
        <v>1638</v>
      </c>
      <c r="B1640">
        <v>1639</v>
      </c>
      <c r="C1640" t="s">
        <v>1689</v>
      </c>
      <c r="D1640">
        <v>2019</v>
      </c>
      <c r="E1640" t="s">
        <v>11</v>
      </c>
      <c r="F1640" t="s">
        <v>1687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f t="shared" si="50"/>
        <v>5.5</v>
      </c>
      <c r="M1640">
        <f t="shared" si="51"/>
        <v>1</v>
      </c>
    </row>
    <row r="1641" spans="1:13" x14ac:dyDescent="0.3">
      <c r="A1641">
        <v>1639</v>
      </c>
      <c r="B1641">
        <v>1640</v>
      </c>
      <c r="C1641" t="s">
        <v>1690</v>
      </c>
      <c r="D1641">
        <v>2018</v>
      </c>
      <c r="E1641" t="s">
        <v>11</v>
      </c>
      <c r="F1641" t="s">
        <v>1687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f t="shared" si="50"/>
        <v>5.5</v>
      </c>
      <c r="M1641">
        <f t="shared" si="51"/>
        <v>1</v>
      </c>
    </row>
    <row r="1642" spans="1:13" x14ac:dyDescent="0.3">
      <c r="A1642">
        <v>1640</v>
      </c>
      <c r="B1642">
        <v>1641</v>
      </c>
      <c r="C1642" t="s">
        <v>1691</v>
      </c>
      <c r="D1642">
        <v>2016</v>
      </c>
      <c r="E1642" t="s">
        <v>11</v>
      </c>
      <c r="F1642" t="s">
        <v>1687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f t="shared" si="50"/>
        <v>5.5</v>
      </c>
      <c r="M1642">
        <f t="shared" si="51"/>
        <v>1</v>
      </c>
    </row>
    <row r="1643" spans="1:13" x14ac:dyDescent="0.3">
      <c r="A1643">
        <v>1641</v>
      </c>
      <c r="B1643">
        <v>1642</v>
      </c>
      <c r="C1643" t="s">
        <v>1692</v>
      </c>
      <c r="D1643">
        <v>2016</v>
      </c>
      <c r="F1643" t="s">
        <v>1687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f t="shared" si="50"/>
        <v>5.5</v>
      </c>
      <c r="M1643">
        <f t="shared" si="51"/>
        <v>1</v>
      </c>
    </row>
    <row r="1644" spans="1:13" x14ac:dyDescent="0.3">
      <c r="A1644">
        <v>1642</v>
      </c>
      <c r="B1644">
        <v>1643</v>
      </c>
      <c r="C1644" t="s">
        <v>1693</v>
      </c>
      <c r="D1644">
        <v>2018</v>
      </c>
      <c r="E1644" t="s">
        <v>11</v>
      </c>
      <c r="F1644" t="s">
        <v>1687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f t="shared" si="50"/>
        <v>5.5</v>
      </c>
      <c r="M1644">
        <f t="shared" si="51"/>
        <v>1</v>
      </c>
    </row>
    <row r="1645" spans="1:13" x14ac:dyDescent="0.3">
      <c r="A1645">
        <v>1643</v>
      </c>
      <c r="B1645">
        <v>1644</v>
      </c>
      <c r="C1645" t="s">
        <v>1694</v>
      </c>
      <c r="D1645">
        <v>2019</v>
      </c>
      <c r="E1645" t="s">
        <v>11</v>
      </c>
      <c r="F1645" t="s">
        <v>1687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f t="shared" si="50"/>
        <v>5.5</v>
      </c>
      <c r="M1645">
        <f t="shared" si="51"/>
        <v>1</v>
      </c>
    </row>
    <row r="1646" spans="1:13" x14ac:dyDescent="0.3">
      <c r="A1646">
        <v>1644</v>
      </c>
      <c r="B1646">
        <v>1645</v>
      </c>
      <c r="C1646" t="s">
        <v>1695</v>
      </c>
      <c r="D1646">
        <v>2018</v>
      </c>
      <c r="E1646" t="s">
        <v>11</v>
      </c>
      <c r="F1646" t="s">
        <v>1687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f t="shared" si="50"/>
        <v>5.5</v>
      </c>
      <c r="M1646">
        <f t="shared" si="51"/>
        <v>1</v>
      </c>
    </row>
    <row r="1647" spans="1:13" x14ac:dyDescent="0.3">
      <c r="A1647">
        <v>1645</v>
      </c>
      <c r="B1647">
        <v>1646</v>
      </c>
      <c r="C1647" t="s">
        <v>1696</v>
      </c>
      <c r="D1647">
        <v>2017</v>
      </c>
      <c r="E1647" t="s">
        <v>11</v>
      </c>
      <c r="F1647" t="s">
        <v>1687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f t="shared" si="50"/>
        <v>5.5</v>
      </c>
      <c r="M1647">
        <f t="shared" si="51"/>
        <v>1</v>
      </c>
    </row>
    <row r="1648" spans="1:13" x14ac:dyDescent="0.3">
      <c r="A1648">
        <v>1646</v>
      </c>
      <c r="B1648">
        <v>1647</v>
      </c>
      <c r="C1648" t="s">
        <v>1697</v>
      </c>
      <c r="D1648">
        <v>2017</v>
      </c>
      <c r="E1648" t="s">
        <v>22</v>
      </c>
      <c r="F1648" t="s">
        <v>1687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f t="shared" si="50"/>
        <v>5.5</v>
      </c>
      <c r="M1648">
        <f t="shared" si="51"/>
        <v>1</v>
      </c>
    </row>
    <row r="1649" spans="1:13" x14ac:dyDescent="0.3">
      <c r="A1649">
        <v>1647</v>
      </c>
      <c r="B1649">
        <v>1648</v>
      </c>
      <c r="C1649" t="s">
        <v>1698</v>
      </c>
      <c r="D1649">
        <v>1992</v>
      </c>
      <c r="E1649" t="s">
        <v>22</v>
      </c>
      <c r="F1649" t="s">
        <v>1687</v>
      </c>
      <c r="G1649">
        <v>1</v>
      </c>
      <c r="H1649">
        <v>0</v>
      </c>
      <c r="I1649">
        <v>1</v>
      </c>
      <c r="J1649">
        <v>0</v>
      </c>
      <c r="K1649">
        <v>0</v>
      </c>
      <c r="L1649">
        <f t="shared" si="50"/>
        <v>5.5</v>
      </c>
      <c r="M1649">
        <f t="shared" si="51"/>
        <v>2</v>
      </c>
    </row>
    <row r="1650" spans="1:13" x14ac:dyDescent="0.3">
      <c r="A1650">
        <v>1648</v>
      </c>
      <c r="B1650">
        <v>1649</v>
      </c>
      <c r="C1650" t="s">
        <v>1699</v>
      </c>
      <c r="D1650">
        <v>2016</v>
      </c>
      <c r="E1650" t="s">
        <v>36</v>
      </c>
      <c r="F1650" t="s">
        <v>1687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f t="shared" si="50"/>
        <v>5.5</v>
      </c>
      <c r="M1650">
        <f t="shared" si="51"/>
        <v>1</v>
      </c>
    </row>
    <row r="1651" spans="1:13" x14ac:dyDescent="0.3">
      <c r="A1651">
        <v>1649</v>
      </c>
      <c r="B1651">
        <v>1650</v>
      </c>
      <c r="C1651" t="s">
        <v>1700</v>
      </c>
      <c r="D1651">
        <v>2021</v>
      </c>
      <c r="E1651" t="s">
        <v>11</v>
      </c>
      <c r="F1651" t="s">
        <v>1687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f t="shared" si="50"/>
        <v>5.5</v>
      </c>
      <c r="M1651">
        <f t="shared" si="51"/>
        <v>1</v>
      </c>
    </row>
    <row r="1652" spans="1:13" x14ac:dyDescent="0.3">
      <c r="A1652">
        <v>1650</v>
      </c>
      <c r="B1652">
        <v>1651</v>
      </c>
      <c r="C1652" t="s">
        <v>1701</v>
      </c>
      <c r="D1652">
        <v>2017</v>
      </c>
      <c r="E1652" t="s">
        <v>28</v>
      </c>
      <c r="F1652" t="s">
        <v>1687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f t="shared" si="50"/>
        <v>5.5</v>
      </c>
      <c r="M1652">
        <f t="shared" si="51"/>
        <v>1</v>
      </c>
    </row>
    <row r="1653" spans="1:13" x14ac:dyDescent="0.3">
      <c r="A1653">
        <v>1651</v>
      </c>
      <c r="B1653">
        <v>1652</v>
      </c>
      <c r="C1653" t="s">
        <v>1702</v>
      </c>
      <c r="D1653">
        <v>2018</v>
      </c>
      <c r="E1653" t="s">
        <v>11</v>
      </c>
      <c r="F1653" t="s">
        <v>1687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f t="shared" si="50"/>
        <v>5.5</v>
      </c>
      <c r="M1653">
        <f t="shared" si="51"/>
        <v>1</v>
      </c>
    </row>
    <row r="1654" spans="1:13" x14ac:dyDescent="0.3">
      <c r="A1654">
        <v>1652</v>
      </c>
      <c r="B1654">
        <v>1653</v>
      </c>
      <c r="C1654" t="s">
        <v>1703</v>
      </c>
      <c r="D1654">
        <v>2016</v>
      </c>
      <c r="E1654" t="s">
        <v>11</v>
      </c>
      <c r="F1654" t="s">
        <v>1687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f t="shared" si="50"/>
        <v>5.5</v>
      </c>
      <c r="M1654">
        <f t="shared" si="51"/>
        <v>1</v>
      </c>
    </row>
    <row r="1655" spans="1:13" x14ac:dyDescent="0.3">
      <c r="A1655">
        <v>1653</v>
      </c>
      <c r="B1655">
        <v>1654</v>
      </c>
      <c r="C1655" t="s">
        <v>1704</v>
      </c>
      <c r="D1655">
        <v>2018</v>
      </c>
      <c r="E1655" t="s">
        <v>28</v>
      </c>
      <c r="F1655" t="s">
        <v>1687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f t="shared" si="50"/>
        <v>5.5</v>
      </c>
      <c r="M1655">
        <f t="shared" si="51"/>
        <v>1</v>
      </c>
    </row>
    <row r="1656" spans="1:13" x14ac:dyDescent="0.3">
      <c r="A1656">
        <v>1654</v>
      </c>
      <c r="B1656">
        <v>1655</v>
      </c>
      <c r="C1656" t="s">
        <v>1705</v>
      </c>
      <c r="D1656">
        <v>2017</v>
      </c>
      <c r="F1656" t="s">
        <v>1687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f t="shared" si="50"/>
        <v>5.5</v>
      </c>
      <c r="M1656">
        <f t="shared" si="51"/>
        <v>1</v>
      </c>
    </row>
    <row r="1657" spans="1:13" x14ac:dyDescent="0.3">
      <c r="A1657">
        <v>1655</v>
      </c>
      <c r="B1657">
        <v>1656</v>
      </c>
      <c r="C1657" t="s">
        <v>1706</v>
      </c>
      <c r="D1657">
        <v>2019</v>
      </c>
      <c r="E1657" t="s">
        <v>11</v>
      </c>
      <c r="F1657" t="s">
        <v>1687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f t="shared" si="50"/>
        <v>5.5</v>
      </c>
      <c r="M1657">
        <f t="shared" si="51"/>
        <v>1</v>
      </c>
    </row>
    <row r="1658" spans="1:13" x14ac:dyDescent="0.3">
      <c r="A1658">
        <v>1656</v>
      </c>
      <c r="B1658">
        <v>1657</v>
      </c>
      <c r="C1658" t="s">
        <v>1707</v>
      </c>
      <c r="D1658">
        <v>2016</v>
      </c>
      <c r="E1658" t="s">
        <v>14</v>
      </c>
      <c r="F1658" t="s">
        <v>1687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f t="shared" si="50"/>
        <v>5.5</v>
      </c>
      <c r="M1658">
        <f t="shared" si="51"/>
        <v>1</v>
      </c>
    </row>
    <row r="1659" spans="1:13" x14ac:dyDescent="0.3">
      <c r="A1659">
        <v>1657</v>
      </c>
      <c r="B1659">
        <v>1658</v>
      </c>
      <c r="C1659" t="s">
        <v>1708</v>
      </c>
      <c r="D1659">
        <v>2006</v>
      </c>
      <c r="F1659" t="s">
        <v>1687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f t="shared" si="50"/>
        <v>5.5</v>
      </c>
      <c r="M1659">
        <f t="shared" si="51"/>
        <v>1</v>
      </c>
    </row>
    <row r="1660" spans="1:13" x14ac:dyDescent="0.3">
      <c r="A1660">
        <v>1658</v>
      </c>
      <c r="B1660">
        <v>1659</v>
      </c>
      <c r="C1660" t="s">
        <v>1709</v>
      </c>
      <c r="D1660">
        <v>2009</v>
      </c>
      <c r="E1660" t="s">
        <v>14</v>
      </c>
      <c r="F1660" t="s">
        <v>1687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f t="shared" si="50"/>
        <v>5.5</v>
      </c>
      <c r="M1660">
        <f t="shared" si="51"/>
        <v>1</v>
      </c>
    </row>
    <row r="1661" spans="1:13" x14ac:dyDescent="0.3">
      <c r="A1661">
        <v>1659</v>
      </c>
      <c r="B1661">
        <v>1660</v>
      </c>
      <c r="C1661" t="s">
        <v>1710</v>
      </c>
      <c r="D1661">
        <v>2019</v>
      </c>
      <c r="F1661" t="s">
        <v>1687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f t="shared" si="50"/>
        <v>5.5</v>
      </c>
      <c r="M1661">
        <f t="shared" si="51"/>
        <v>1</v>
      </c>
    </row>
    <row r="1662" spans="1:13" x14ac:dyDescent="0.3">
      <c r="A1662">
        <v>1660</v>
      </c>
      <c r="B1662">
        <v>1661</v>
      </c>
      <c r="C1662" t="s">
        <v>1711</v>
      </c>
      <c r="D1662">
        <v>2013</v>
      </c>
      <c r="F1662" t="s">
        <v>1687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f t="shared" si="50"/>
        <v>5.5</v>
      </c>
      <c r="M1662">
        <f t="shared" si="51"/>
        <v>1</v>
      </c>
    </row>
    <row r="1663" spans="1:13" x14ac:dyDescent="0.3">
      <c r="A1663">
        <v>1661</v>
      </c>
      <c r="B1663">
        <v>1662</v>
      </c>
      <c r="C1663" t="s">
        <v>1712</v>
      </c>
      <c r="D1663">
        <v>2015</v>
      </c>
      <c r="F1663" t="s">
        <v>1687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f t="shared" si="50"/>
        <v>5.5</v>
      </c>
      <c r="M1663">
        <f t="shared" si="51"/>
        <v>1</v>
      </c>
    </row>
    <row r="1664" spans="1:13" x14ac:dyDescent="0.3">
      <c r="A1664">
        <v>1662</v>
      </c>
      <c r="B1664">
        <v>1663</v>
      </c>
      <c r="C1664" t="s">
        <v>1713</v>
      </c>
      <c r="D1664">
        <v>2019</v>
      </c>
      <c r="F1664" t="s">
        <v>1687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f t="shared" si="50"/>
        <v>5.5</v>
      </c>
      <c r="M1664">
        <f t="shared" si="51"/>
        <v>1</v>
      </c>
    </row>
    <row r="1665" spans="1:13" x14ac:dyDescent="0.3">
      <c r="A1665">
        <v>1663</v>
      </c>
      <c r="B1665">
        <v>1664</v>
      </c>
      <c r="C1665" t="s">
        <v>1714</v>
      </c>
      <c r="D1665">
        <v>2021</v>
      </c>
      <c r="E1665" t="s">
        <v>28</v>
      </c>
      <c r="F1665" t="s">
        <v>1687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f t="shared" si="50"/>
        <v>5.5</v>
      </c>
      <c r="M1665">
        <f t="shared" si="51"/>
        <v>1</v>
      </c>
    </row>
    <row r="1666" spans="1:13" x14ac:dyDescent="0.3">
      <c r="A1666">
        <v>1664</v>
      </c>
      <c r="B1666">
        <v>1665</v>
      </c>
      <c r="C1666" t="s">
        <v>1715</v>
      </c>
      <c r="D1666">
        <v>2018</v>
      </c>
      <c r="E1666" t="s">
        <v>28</v>
      </c>
      <c r="F1666" t="s">
        <v>1687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f t="shared" si="50"/>
        <v>5.5</v>
      </c>
      <c r="M1666">
        <f t="shared" si="51"/>
        <v>1</v>
      </c>
    </row>
    <row r="1667" spans="1:13" x14ac:dyDescent="0.3">
      <c r="A1667">
        <v>1665</v>
      </c>
      <c r="B1667">
        <v>1666</v>
      </c>
      <c r="C1667" t="s">
        <v>1716</v>
      </c>
      <c r="D1667">
        <v>2018</v>
      </c>
      <c r="F1667" t="s">
        <v>1687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f t="shared" ref="L1667:L1730" si="52">IFERROR(VALUE(LEFT(F1667,FIND("/",F1667)-1))/10,"")</f>
        <v>5.5</v>
      </c>
      <c r="M1667">
        <f t="shared" ref="M1667:M1730" si="53">SUM(G1667:J1667)</f>
        <v>1</v>
      </c>
    </row>
    <row r="1668" spans="1:13" x14ac:dyDescent="0.3">
      <c r="A1668">
        <v>1666</v>
      </c>
      <c r="B1668">
        <v>1667</v>
      </c>
      <c r="C1668" t="s">
        <v>1717</v>
      </c>
      <c r="D1668">
        <v>2019</v>
      </c>
      <c r="E1668" t="s">
        <v>11</v>
      </c>
      <c r="F1668" t="s">
        <v>1687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f t="shared" si="52"/>
        <v>5.5</v>
      </c>
      <c r="M1668">
        <f t="shared" si="53"/>
        <v>1</v>
      </c>
    </row>
    <row r="1669" spans="1:13" x14ac:dyDescent="0.3">
      <c r="A1669">
        <v>1667</v>
      </c>
      <c r="B1669">
        <v>1668</v>
      </c>
      <c r="C1669" t="s">
        <v>1718</v>
      </c>
      <c r="D1669">
        <v>2018</v>
      </c>
      <c r="E1669" t="s">
        <v>11</v>
      </c>
      <c r="F1669" t="s">
        <v>1687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f t="shared" si="52"/>
        <v>5.5</v>
      </c>
      <c r="M1669">
        <f t="shared" si="53"/>
        <v>1</v>
      </c>
    </row>
    <row r="1670" spans="1:13" x14ac:dyDescent="0.3">
      <c r="A1670">
        <v>1668</v>
      </c>
      <c r="B1670">
        <v>1669</v>
      </c>
      <c r="C1670" t="s">
        <v>1719</v>
      </c>
      <c r="D1670">
        <v>2016</v>
      </c>
      <c r="E1670" t="s">
        <v>14</v>
      </c>
      <c r="F1670" t="s">
        <v>1687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f t="shared" si="52"/>
        <v>5.5</v>
      </c>
      <c r="M1670">
        <f t="shared" si="53"/>
        <v>1</v>
      </c>
    </row>
    <row r="1671" spans="1:13" x14ac:dyDescent="0.3">
      <c r="A1671">
        <v>1669</v>
      </c>
      <c r="B1671">
        <v>1670</v>
      </c>
      <c r="C1671" t="s">
        <v>1720</v>
      </c>
      <c r="D1671">
        <v>2017</v>
      </c>
      <c r="E1671" t="s">
        <v>14</v>
      </c>
      <c r="F1671" t="s">
        <v>1687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f t="shared" si="52"/>
        <v>5.5</v>
      </c>
      <c r="M1671">
        <f t="shared" si="53"/>
        <v>1</v>
      </c>
    </row>
    <row r="1672" spans="1:13" x14ac:dyDescent="0.3">
      <c r="A1672">
        <v>1670</v>
      </c>
      <c r="B1672">
        <v>1671</v>
      </c>
      <c r="C1672" t="s">
        <v>1721</v>
      </c>
      <c r="D1672">
        <v>2020</v>
      </c>
      <c r="F1672" t="s">
        <v>1687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f t="shared" si="52"/>
        <v>5.5</v>
      </c>
      <c r="M1672">
        <f t="shared" si="53"/>
        <v>1</v>
      </c>
    </row>
    <row r="1673" spans="1:13" x14ac:dyDescent="0.3">
      <c r="A1673">
        <v>1671</v>
      </c>
      <c r="B1673">
        <v>1672</v>
      </c>
      <c r="C1673" t="s">
        <v>1722</v>
      </c>
      <c r="D1673">
        <v>2016</v>
      </c>
      <c r="F1673" t="s">
        <v>1687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f t="shared" si="52"/>
        <v>5.5</v>
      </c>
      <c r="M1673">
        <f t="shared" si="53"/>
        <v>1</v>
      </c>
    </row>
    <row r="1674" spans="1:13" x14ac:dyDescent="0.3">
      <c r="A1674">
        <v>1672</v>
      </c>
      <c r="B1674">
        <v>1673</v>
      </c>
      <c r="C1674" t="s">
        <v>1723</v>
      </c>
      <c r="D1674">
        <v>2017</v>
      </c>
      <c r="F1674" t="s">
        <v>1687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f t="shared" si="52"/>
        <v>5.5</v>
      </c>
      <c r="M1674">
        <f t="shared" si="53"/>
        <v>1</v>
      </c>
    </row>
    <row r="1675" spans="1:13" x14ac:dyDescent="0.3">
      <c r="A1675">
        <v>1673</v>
      </c>
      <c r="B1675">
        <v>1674</v>
      </c>
      <c r="C1675" t="s">
        <v>1724</v>
      </c>
      <c r="D1675">
        <v>2012</v>
      </c>
      <c r="E1675" t="s">
        <v>11</v>
      </c>
      <c r="F1675" t="s">
        <v>1687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f t="shared" si="52"/>
        <v>5.5</v>
      </c>
      <c r="M1675">
        <f t="shared" si="53"/>
        <v>1</v>
      </c>
    </row>
    <row r="1676" spans="1:13" x14ac:dyDescent="0.3">
      <c r="A1676">
        <v>1674</v>
      </c>
      <c r="B1676">
        <v>1675</v>
      </c>
      <c r="C1676" t="s">
        <v>1725</v>
      </c>
      <c r="D1676">
        <v>2020</v>
      </c>
      <c r="F1676" t="s">
        <v>1687</v>
      </c>
      <c r="G1676">
        <v>1</v>
      </c>
      <c r="H1676">
        <v>1</v>
      </c>
      <c r="I1676">
        <v>0</v>
      </c>
      <c r="J1676">
        <v>0</v>
      </c>
      <c r="K1676">
        <v>0</v>
      </c>
      <c r="L1676">
        <f t="shared" si="52"/>
        <v>5.5</v>
      </c>
      <c r="M1676">
        <f t="shared" si="53"/>
        <v>2</v>
      </c>
    </row>
    <row r="1677" spans="1:13" x14ac:dyDescent="0.3">
      <c r="A1677">
        <v>1675</v>
      </c>
      <c r="B1677">
        <v>1676</v>
      </c>
      <c r="C1677" t="s">
        <v>1726</v>
      </c>
      <c r="D1677">
        <v>2019</v>
      </c>
      <c r="F1677" t="s">
        <v>1687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f t="shared" si="52"/>
        <v>5.5</v>
      </c>
      <c r="M1677">
        <f t="shared" si="53"/>
        <v>1</v>
      </c>
    </row>
    <row r="1678" spans="1:13" x14ac:dyDescent="0.3">
      <c r="A1678">
        <v>1676</v>
      </c>
      <c r="B1678">
        <v>1677</v>
      </c>
      <c r="C1678" t="s">
        <v>1727</v>
      </c>
      <c r="D1678">
        <v>2017</v>
      </c>
      <c r="E1678" t="s">
        <v>11</v>
      </c>
      <c r="F1678" t="s">
        <v>1687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f t="shared" si="52"/>
        <v>5.5</v>
      </c>
      <c r="M1678">
        <f t="shared" si="53"/>
        <v>1</v>
      </c>
    </row>
    <row r="1679" spans="1:13" x14ac:dyDescent="0.3">
      <c r="A1679">
        <v>1677</v>
      </c>
      <c r="B1679">
        <v>1678</v>
      </c>
      <c r="C1679" t="s">
        <v>1728</v>
      </c>
      <c r="D1679">
        <v>2018</v>
      </c>
      <c r="E1679" t="s">
        <v>22</v>
      </c>
      <c r="F1679" t="s">
        <v>1687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f t="shared" si="52"/>
        <v>5.5</v>
      </c>
      <c r="M1679">
        <f t="shared" si="53"/>
        <v>1</v>
      </c>
    </row>
    <row r="1680" spans="1:13" x14ac:dyDescent="0.3">
      <c r="A1680">
        <v>1678</v>
      </c>
      <c r="B1680">
        <v>1679</v>
      </c>
      <c r="C1680" t="s">
        <v>1729</v>
      </c>
      <c r="D1680">
        <v>2019</v>
      </c>
      <c r="F1680" t="s">
        <v>1687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f t="shared" si="52"/>
        <v>5.5</v>
      </c>
      <c r="M1680">
        <f t="shared" si="53"/>
        <v>1</v>
      </c>
    </row>
    <row r="1681" spans="1:13" x14ac:dyDescent="0.3">
      <c r="A1681">
        <v>1679</v>
      </c>
      <c r="B1681">
        <v>1680</v>
      </c>
      <c r="C1681" t="s">
        <v>1730</v>
      </c>
      <c r="D1681">
        <v>2019</v>
      </c>
      <c r="E1681" t="s">
        <v>28</v>
      </c>
      <c r="F1681" t="s">
        <v>1687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f t="shared" si="52"/>
        <v>5.5</v>
      </c>
      <c r="M1681">
        <f t="shared" si="53"/>
        <v>1</v>
      </c>
    </row>
    <row r="1682" spans="1:13" x14ac:dyDescent="0.3">
      <c r="A1682">
        <v>1680</v>
      </c>
      <c r="B1682">
        <v>1681</v>
      </c>
      <c r="C1682" t="s">
        <v>1731</v>
      </c>
      <c r="D1682">
        <v>2015</v>
      </c>
      <c r="E1682" t="s">
        <v>14</v>
      </c>
      <c r="F1682" t="s">
        <v>1687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f t="shared" si="52"/>
        <v>5.5</v>
      </c>
      <c r="M1682">
        <f t="shared" si="53"/>
        <v>1</v>
      </c>
    </row>
    <row r="1683" spans="1:13" x14ac:dyDescent="0.3">
      <c r="A1683">
        <v>1681</v>
      </c>
      <c r="B1683">
        <v>1682</v>
      </c>
      <c r="C1683" t="s">
        <v>1732</v>
      </c>
      <c r="D1683">
        <v>2017</v>
      </c>
      <c r="F1683" t="s">
        <v>1687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f t="shared" si="52"/>
        <v>5.5</v>
      </c>
      <c r="M1683">
        <f t="shared" si="53"/>
        <v>1</v>
      </c>
    </row>
    <row r="1684" spans="1:13" x14ac:dyDescent="0.3">
      <c r="A1684">
        <v>1682</v>
      </c>
      <c r="B1684">
        <v>1683</v>
      </c>
      <c r="C1684" t="s">
        <v>1733</v>
      </c>
      <c r="D1684">
        <v>2016</v>
      </c>
      <c r="F1684" t="s">
        <v>1687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f t="shared" si="52"/>
        <v>5.5</v>
      </c>
      <c r="M1684">
        <f t="shared" si="53"/>
        <v>1</v>
      </c>
    </row>
    <row r="1685" spans="1:13" x14ac:dyDescent="0.3">
      <c r="A1685">
        <v>1683</v>
      </c>
      <c r="B1685">
        <v>1684</v>
      </c>
      <c r="C1685" t="s">
        <v>1734</v>
      </c>
      <c r="D1685">
        <v>2019</v>
      </c>
      <c r="E1685" t="s">
        <v>28</v>
      </c>
      <c r="F1685" t="s">
        <v>1687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f t="shared" si="52"/>
        <v>5.5</v>
      </c>
      <c r="M1685">
        <f t="shared" si="53"/>
        <v>1</v>
      </c>
    </row>
    <row r="1686" spans="1:13" x14ac:dyDescent="0.3">
      <c r="A1686">
        <v>1684</v>
      </c>
      <c r="B1686">
        <v>1685</v>
      </c>
      <c r="C1686" t="s">
        <v>1735</v>
      </c>
      <c r="D1686">
        <v>2018</v>
      </c>
      <c r="E1686" t="s">
        <v>22</v>
      </c>
      <c r="F1686" t="s">
        <v>1687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f t="shared" si="52"/>
        <v>5.5</v>
      </c>
      <c r="M1686">
        <f t="shared" si="53"/>
        <v>1</v>
      </c>
    </row>
    <row r="1687" spans="1:13" x14ac:dyDescent="0.3">
      <c r="A1687">
        <v>1685</v>
      </c>
      <c r="B1687">
        <v>1686</v>
      </c>
      <c r="C1687" t="s">
        <v>1736</v>
      </c>
      <c r="D1687">
        <v>2017</v>
      </c>
      <c r="E1687" t="s">
        <v>14</v>
      </c>
      <c r="F1687" t="s">
        <v>1687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f t="shared" si="52"/>
        <v>5.5</v>
      </c>
      <c r="M1687">
        <f t="shared" si="53"/>
        <v>1</v>
      </c>
    </row>
    <row r="1688" spans="1:13" x14ac:dyDescent="0.3">
      <c r="A1688">
        <v>1686</v>
      </c>
      <c r="B1688">
        <v>1687</v>
      </c>
      <c r="C1688" t="s">
        <v>1737</v>
      </c>
      <c r="D1688">
        <v>2021</v>
      </c>
      <c r="E1688" t="s">
        <v>11</v>
      </c>
      <c r="F1688" t="s">
        <v>1687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f t="shared" si="52"/>
        <v>5.5</v>
      </c>
      <c r="M1688">
        <f t="shared" si="53"/>
        <v>1</v>
      </c>
    </row>
    <row r="1689" spans="1:13" x14ac:dyDescent="0.3">
      <c r="A1689">
        <v>1687</v>
      </c>
      <c r="B1689">
        <v>1688</v>
      </c>
      <c r="C1689" t="s">
        <v>1738</v>
      </c>
      <c r="D1689">
        <v>2019</v>
      </c>
      <c r="E1689" t="s">
        <v>28</v>
      </c>
      <c r="F1689" t="s">
        <v>1687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f t="shared" si="52"/>
        <v>5.5</v>
      </c>
      <c r="M1689">
        <f t="shared" si="53"/>
        <v>1</v>
      </c>
    </row>
    <row r="1690" spans="1:13" x14ac:dyDescent="0.3">
      <c r="A1690">
        <v>1688</v>
      </c>
      <c r="B1690">
        <v>1689</v>
      </c>
      <c r="C1690" t="s">
        <v>1739</v>
      </c>
      <c r="D1690">
        <v>2014</v>
      </c>
      <c r="E1690" t="s">
        <v>11</v>
      </c>
      <c r="F1690" t="s">
        <v>1687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f t="shared" si="52"/>
        <v>5.5</v>
      </c>
      <c r="M1690">
        <f t="shared" si="53"/>
        <v>1</v>
      </c>
    </row>
    <row r="1691" spans="1:13" x14ac:dyDescent="0.3">
      <c r="A1691">
        <v>1689</v>
      </c>
      <c r="B1691">
        <v>1690</v>
      </c>
      <c r="C1691" t="s">
        <v>1740</v>
      </c>
      <c r="D1691">
        <v>2014</v>
      </c>
      <c r="F1691" t="s">
        <v>1687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f t="shared" si="52"/>
        <v>5.5</v>
      </c>
      <c r="M1691">
        <f t="shared" si="53"/>
        <v>1</v>
      </c>
    </row>
    <row r="1692" spans="1:13" x14ac:dyDescent="0.3">
      <c r="A1692">
        <v>1690</v>
      </c>
      <c r="B1692">
        <v>1691</v>
      </c>
      <c r="C1692" t="s">
        <v>1741</v>
      </c>
      <c r="D1692">
        <v>2020</v>
      </c>
      <c r="F1692" t="s">
        <v>1687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f t="shared" si="52"/>
        <v>5.5</v>
      </c>
      <c r="M1692">
        <f t="shared" si="53"/>
        <v>1</v>
      </c>
    </row>
    <row r="1693" spans="1:13" x14ac:dyDescent="0.3">
      <c r="A1693">
        <v>1691</v>
      </c>
      <c r="B1693">
        <v>1692</v>
      </c>
      <c r="C1693" t="s">
        <v>1742</v>
      </c>
      <c r="D1693">
        <v>2012</v>
      </c>
      <c r="E1693" t="s">
        <v>11</v>
      </c>
      <c r="F1693" t="s">
        <v>1687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f t="shared" si="52"/>
        <v>5.5</v>
      </c>
      <c r="M1693">
        <f t="shared" si="53"/>
        <v>1</v>
      </c>
    </row>
    <row r="1694" spans="1:13" x14ac:dyDescent="0.3">
      <c r="A1694">
        <v>1692</v>
      </c>
      <c r="B1694">
        <v>1693</v>
      </c>
      <c r="C1694" t="s">
        <v>1743</v>
      </c>
      <c r="D1694">
        <v>2019</v>
      </c>
      <c r="F1694" t="s">
        <v>1687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f t="shared" si="52"/>
        <v>5.5</v>
      </c>
      <c r="M1694">
        <f t="shared" si="53"/>
        <v>1</v>
      </c>
    </row>
    <row r="1695" spans="1:13" x14ac:dyDescent="0.3">
      <c r="A1695">
        <v>1693</v>
      </c>
      <c r="B1695">
        <v>1694</v>
      </c>
      <c r="C1695" t="s">
        <v>1744</v>
      </c>
      <c r="D1695">
        <v>2016</v>
      </c>
      <c r="E1695" t="s">
        <v>22</v>
      </c>
      <c r="F1695" t="s">
        <v>1687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f t="shared" si="52"/>
        <v>5.5</v>
      </c>
      <c r="M1695">
        <f t="shared" si="53"/>
        <v>1</v>
      </c>
    </row>
    <row r="1696" spans="1:13" x14ac:dyDescent="0.3">
      <c r="A1696">
        <v>1694</v>
      </c>
      <c r="B1696">
        <v>1695</v>
      </c>
      <c r="C1696" t="s">
        <v>1745</v>
      </c>
      <c r="D1696">
        <v>2019</v>
      </c>
      <c r="E1696" t="s">
        <v>11</v>
      </c>
      <c r="F1696" t="s">
        <v>1687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f t="shared" si="52"/>
        <v>5.5</v>
      </c>
      <c r="M1696">
        <f t="shared" si="53"/>
        <v>1</v>
      </c>
    </row>
    <row r="1697" spans="1:13" x14ac:dyDescent="0.3">
      <c r="A1697">
        <v>1695</v>
      </c>
      <c r="B1697">
        <v>1696</v>
      </c>
      <c r="C1697" t="s">
        <v>1746</v>
      </c>
      <c r="D1697">
        <v>2021</v>
      </c>
      <c r="F1697" t="s">
        <v>1687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f t="shared" si="52"/>
        <v>5.5</v>
      </c>
      <c r="M1697">
        <f t="shared" si="53"/>
        <v>1</v>
      </c>
    </row>
    <row r="1698" spans="1:13" x14ac:dyDescent="0.3">
      <c r="A1698">
        <v>1696</v>
      </c>
      <c r="B1698">
        <v>1697</v>
      </c>
      <c r="C1698" t="s">
        <v>1747</v>
      </c>
      <c r="D1698">
        <v>2021</v>
      </c>
      <c r="F1698" t="s">
        <v>1687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f t="shared" si="52"/>
        <v>5.5</v>
      </c>
      <c r="M1698">
        <f t="shared" si="53"/>
        <v>1</v>
      </c>
    </row>
    <row r="1699" spans="1:13" x14ac:dyDescent="0.3">
      <c r="A1699">
        <v>1697</v>
      </c>
      <c r="B1699">
        <v>1698</v>
      </c>
      <c r="C1699" t="s">
        <v>1748</v>
      </c>
      <c r="D1699">
        <v>2011</v>
      </c>
      <c r="E1699" t="s">
        <v>11</v>
      </c>
      <c r="F1699" t="s">
        <v>1687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f t="shared" si="52"/>
        <v>5.5</v>
      </c>
      <c r="M1699">
        <f t="shared" si="53"/>
        <v>1</v>
      </c>
    </row>
    <row r="1700" spans="1:13" x14ac:dyDescent="0.3">
      <c r="A1700">
        <v>1698</v>
      </c>
      <c r="B1700">
        <v>1699</v>
      </c>
      <c r="C1700" t="s">
        <v>1749</v>
      </c>
      <c r="D1700">
        <v>2018</v>
      </c>
      <c r="F1700" t="s">
        <v>1687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f t="shared" si="52"/>
        <v>5.5</v>
      </c>
      <c r="M1700">
        <f t="shared" si="53"/>
        <v>1</v>
      </c>
    </row>
    <row r="1701" spans="1:13" x14ac:dyDescent="0.3">
      <c r="A1701">
        <v>1699</v>
      </c>
      <c r="B1701">
        <v>1700</v>
      </c>
      <c r="C1701" t="s">
        <v>1750</v>
      </c>
      <c r="D1701">
        <v>2016</v>
      </c>
      <c r="E1701" t="s">
        <v>11</v>
      </c>
      <c r="F1701" t="s">
        <v>1687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f t="shared" si="52"/>
        <v>5.5</v>
      </c>
      <c r="M1701">
        <f t="shared" si="53"/>
        <v>1</v>
      </c>
    </row>
    <row r="1702" spans="1:13" x14ac:dyDescent="0.3">
      <c r="A1702">
        <v>1700</v>
      </c>
      <c r="B1702">
        <v>1701</v>
      </c>
      <c r="C1702" t="s">
        <v>1751</v>
      </c>
      <c r="D1702">
        <v>2019</v>
      </c>
      <c r="E1702" t="s">
        <v>11</v>
      </c>
      <c r="F1702" t="s">
        <v>1687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f t="shared" si="52"/>
        <v>5.5</v>
      </c>
      <c r="M1702">
        <f t="shared" si="53"/>
        <v>1</v>
      </c>
    </row>
    <row r="1703" spans="1:13" x14ac:dyDescent="0.3">
      <c r="A1703">
        <v>1701</v>
      </c>
      <c r="B1703">
        <v>1702</v>
      </c>
      <c r="C1703" t="s">
        <v>1752</v>
      </c>
      <c r="D1703">
        <v>2020</v>
      </c>
      <c r="F1703" t="s">
        <v>1687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f t="shared" si="52"/>
        <v>5.5</v>
      </c>
      <c r="M1703">
        <f t="shared" si="53"/>
        <v>1</v>
      </c>
    </row>
    <row r="1704" spans="1:13" x14ac:dyDescent="0.3">
      <c r="A1704">
        <v>1702</v>
      </c>
      <c r="B1704">
        <v>1703</v>
      </c>
      <c r="C1704" t="s">
        <v>1753</v>
      </c>
      <c r="D1704">
        <v>2013</v>
      </c>
      <c r="E1704" t="s">
        <v>22</v>
      </c>
      <c r="F1704" t="s">
        <v>1687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f t="shared" si="52"/>
        <v>5.5</v>
      </c>
      <c r="M1704">
        <f t="shared" si="53"/>
        <v>1</v>
      </c>
    </row>
    <row r="1705" spans="1:13" x14ac:dyDescent="0.3">
      <c r="A1705">
        <v>1703</v>
      </c>
      <c r="B1705">
        <v>1704</v>
      </c>
      <c r="C1705" t="s">
        <v>1754</v>
      </c>
      <c r="D1705">
        <v>2019</v>
      </c>
      <c r="E1705" t="s">
        <v>11</v>
      </c>
      <c r="F1705" t="s">
        <v>1687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f t="shared" si="52"/>
        <v>5.5</v>
      </c>
      <c r="M1705">
        <f t="shared" si="53"/>
        <v>1</v>
      </c>
    </row>
    <row r="1706" spans="1:13" x14ac:dyDescent="0.3">
      <c r="A1706">
        <v>1704</v>
      </c>
      <c r="B1706">
        <v>1705</v>
      </c>
      <c r="C1706" t="s">
        <v>1755</v>
      </c>
      <c r="D1706">
        <v>2013</v>
      </c>
      <c r="F1706" t="s">
        <v>1687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f t="shared" si="52"/>
        <v>5.5</v>
      </c>
      <c r="M1706">
        <f t="shared" si="53"/>
        <v>1</v>
      </c>
    </row>
    <row r="1707" spans="1:13" x14ac:dyDescent="0.3">
      <c r="A1707">
        <v>1705</v>
      </c>
      <c r="B1707">
        <v>1706</v>
      </c>
      <c r="C1707" t="s">
        <v>1756</v>
      </c>
      <c r="D1707">
        <v>2020</v>
      </c>
      <c r="F1707" t="s">
        <v>1687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f t="shared" si="52"/>
        <v>5.5</v>
      </c>
      <c r="M1707">
        <f t="shared" si="53"/>
        <v>1</v>
      </c>
    </row>
    <row r="1708" spans="1:13" x14ac:dyDescent="0.3">
      <c r="A1708">
        <v>1706</v>
      </c>
      <c r="B1708">
        <v>1707</v>
      </c>
      <c r="C1708" t="s">
        <v>1757</v>
      </c>
      <c r="D1708">
        <v>2021</v>
      </c>
      <c r="F1708" t="s">
        <v>1687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f t="shared" si="52"/>
        <v>5.5</v>
      </c>
      <c r="M1708">
        <f t="shared" si="53"/>
        <v>1</v>
      </c>
    </row>
    <row r="1709" spans="1:13" x14ac:dyDescent="0.3">
      <c r="A1709">
        <v>1707</v>
      </c>
      <c r="B1709">
        <v>1708</v>
      </c>
      <c r="C1709" t="s">
        <v>1758</v>
      </c>
      <c r="D1709">
        <v>2013</v>
      </c>
      <c r="E1709" t="s">
        <v>11</v>
      </c>
      <c r="F1709" t="s">
        <v>1687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f t="shared" si="52"/>
        <v>5.5</v>
      </c>
      <c r="M1709">
        <f t="shared" si="53"/>
        <v>1</v>
      </c>
    </row>
    <row r="1710" spans="1:13" x14ac:dyDescent="0.3">
      <c r="A1710">
        <v>1708</v>
      </c>
      <c r="B1710">
        <v>1709</v>
      </c>
      <c r="C1710" t="s">
        <v>1759</v>
      </c>
      <c r="D1710">
        <v>2012</v>
      </c>
      <c r="E1710" t="s">
        <v>22</v>
      </c>
      <c r="F1710" t="s">
        <v>1687</v>
      </c>
      <c r="G1710">
        <v>1</v>
      </c>
      <c r="H1710">
        <v>0</v>
      </c>
      <c r="I1710">
        <v>1</v>
      </c>
      <c r="J1710">
        <v>0</v>
      </c>
      <c r="K1710">
        <v>0</v>
      </c>
      <c r="L1710">
        <f t="shared" si="52"/>
        <v>5.5</v>
      </c>
      <c r="M1710">
        <f t="shared" si="53"/>
        <v>2</v>
      </c>
    </row>
    <row r="1711" spans="1:13" x14ac:dyDescent="0.3">
      <c r="A1711">
        <v>1709</v>
      </c>
      <c r="B1711">
        <v>1710</v>
      </c>
      <c r="C1711" t="s">
        <v>1760</v>
      </c>
      <c r="D1711">
        <v>2017</v>
      </c>
      <c r="E1711" t="s">
        <v>14</v>
      </c>
      <c r="F1711" t="s">
        <v>1687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f t="shared" si="52"/>
        <v>5.5</v>
      </c>
      <c r="M1711">
        <f t="shared" si="53"/>
        <v>1</v>
      </c>
    </row>
    <row r="1712" spans="1:13" x14ac:dyDescent="0.3">
      <c r="A1712">
        <v>1710</v>
      </c>
      <c r="B1712">
        <v>1711</v>
      </c>
      <c r="C1712" t="s">
        <v>1761</v>
      </c>
      <c r="D1712">
        <v>2015</v>
      </c>
      <c r="E1712" t="s">
        <v>36</v>
      </c>
      <c r="F1712" t="s">
        <v>1687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f t="shared" si="52"/>
        <v>5.5</v>
      </c>
      <c r="M1712">
        <f t="shared" si="53"/>
        <v>1</v>
      </c>
    </row>
    <row r="1713" spans="1:13" x14ac:dyDescent="0.3">
      <c r="A1713">
        <v>1711</v>
      </c>
      <c r="B1713">
        <v>1712</v>
      </c>
      <c r="C1713" t="s">
        <v>1762</v>
      </c>
      <c r="D1713">
        <v>2017</v>
      </c>
      <c r="E1713" t="s">
        <v>14</v>
      </c>
      <c r="F1713" t="s">
        <v>1687</v>
      </c>
      <c r="G1713">
        <v>1</v>
      </c>
      <c r="H1713">
        <v>0</v>
      </c>
      <c r="I1713">
        <v>1</v>
      </c>
      <c r="J1713">
        <v>0</v>
      </c>
      <c r="K1713">
        <v>0</v>
      </c>
      <c r="L1713">
        <f t="shared" si="52"/>
        <v>5.5</v>
      </c>
      <c r="M1713">
        <f t="shared" si="53"/>
        <v>2</v>
      </c>
    </row>
    <row r="1714" spans="1:13" x14ac:dyDescent="0.3">
      <c r="A1714">
        <v>1712</v>
      </c>
      <c r="B1714">
        <v>1713</v>
      </c>
      <c r="C1714" t="s">
        <v>1763</v>
      </c>
      <c r="D1714">
        <v>2015</v>
      </c>
      <c r="E1714" t="s">
        <v>28</v>
      </c>
      <c r="F1714" t="s">
        <v>1687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f t="shared" si="52"/>
        <v>5.5</v>
      </c>
      <c r="M1714">
        <f t="shared" si="53"/>
        <v>1</v>
      </c>
    </row>
    <row r="1715" spans="1:13" x14ac:dyDescent="0.3">
      <c r="A1715">
        <v>1713</v>
      </c>
      <c r="B1715">
        <v>1714</v>
      </c>
      <c r="C1715" t="s">
        <v>1764</v>
      </c>
      <c r="D1715">
        <v>2015</v>
      </c>
      <c r="E1715" t="s">
        <v>22</v>
      </c>
      <c r="F1715" t="s">
        <v>1687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f t="shared" si="52"/>
        <v>5.5</v>
      </c>
      <c r="M1715">
        <f t="shared" si="53"/>
        <v>1</v>
      </c>
    </row>
    <row r="1716" spans="1:13" x14ac:dyDescent="0.3">
      <c r="A1716">
        <v>1714</v>
      </c>
      <c r="B1716">
        <v>1715</v>
      </c>
      <c r="C1716" t="s">
        <v>1765</v>
      </c>
      <c r="D1716">
        <v>1981</v>
      </c>
      <c r="F1716" t="s">
        <v>1687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f t="shared" si="52"/>
        <v>5.5</v>
      </c>
      <c r="M1716">
        <f t="shared" si="53"/>
        <v>1</v>
      </c>
    </row>
    <row r="1717" spans="1:13" x14ac:dyDescent="0.3">
      <c r="A1717">
        <v>1715</v>
      </c>
      <c r="B1717">
        <v>1716</v>
      </c>
      <c r="C1717" t="s">
        <v>1766</v>
      </c>
      <c r="D1717">
        <v>2007</v>
      </c>
      <c r="E1717" t="s">
        <v>11</v>
      </c>
      <c r="F1717" t="s">
        <v>1687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f t="shared" si="52"/>
        <v>5.5</v>
      </c>
      <c r="M1717">
        <f t="shared" si="53"/>
        <v>1</v>
      </c>
    </row>
    <row r="1718" spans="1:13" x14ac:dyDescent="0.3">
      <c r="A1718">
        <v>1716</v>
      </c>
      <c r="B1718">
        <v>1717</v>
      </c>
      <c r="C1718" t="s">
        <v>1767</v>
      </c>
      <c r="D1718">
        <v>2018</v>
      </c>
      <c r="F1718" t="s">
        <v>1687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f t="shared" si="52"/>
        <v>5.5</v>
      </c>
      <c r="M1718">
        <f t="shared" si="53"/>
        <v>1</v>
      </c>
    </row>
    <row r="1719" spans="1:13" x14ac:dyDescent="0.3">
      <c r="A1719">
        <v>1717</v>
      </c>
      <c r="B1719">
        <v>1718</v>
      </c>
      <c r="C1719" t="s">
        <v>1768</v>
      </c>
      <c r="D1719">
        <v>2018</v>
      </c>
      <c r="F1719" t="s">
        <v>1687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f t="shared" si="52"/>
        <v>5.5</v>
      </c>
      <c r="M1719">
        <f t="shared" si="53"/>
        <v>1</v>
      </c>
    </row>
    <row r="1720" spans="1:13" x14ac:dyDescent="0.3">
      <c r="A1720">
        <v>1718</v>
      </c>
      <c r="B1720">
        <v>1719</v>
      </c>
      <c r="C1720" t="s">
        <v>1769</v>
      </c>
      <c r="D1720">
        <v>2019</v>
      </c>
      <c r="E1720" t="s">
        <v>11</v>
      </c>
      <c r="F1720" t="s">
        <v>1687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f t="shared" si="52"/>
        <v>5.5</v>
      </c>
      <c r="M1720">
        <f t="shared" si="53"/>
        <v>1</v>
      </c>
    </row>
    <row r="1721" spans="1:13" x14ac:dyDescent="0.3">
      <c r="A1721">
        <v>1719</v>
      </c>
      <c r="B1721">
        <v>1720</v>
      </c>
      <c r="C1721" t="s">
        <v>1770</v>
      </c>
      <c r="D1721">
        <v>2014</v>
      </c>
      <c r="E1721" t="s">
        <v>36</v>
      </c>
      <c r="F1721" t="s">
        <v>1687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f t="shared" si="52"/>
        <v>5.5</v>
      </c>
      <c r="M1721">
        <f t="shared" si="53"/>
        <v>1</v>
      </c>
    </row>
    <row r="1722" spans="1:13" x14ac:dyDescent="0.3">
      <c r="A1722">
        <v>1720</v>
      </c>
      <c r="B1722">
        <v>1721</v>
      </c>
      <c r="C1722" t="s">
        <v>1771</v>
      </c>
      <c r="D1722">
        <v>2017</v>
      </c>
      <c r="F1722" t="s">
        <v>1687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f t="shared" si="52"/>
        <v>5.5</v>
      </c>
      <c r="M1722">
        <f t="shared" si="53"/>
        <v>1</v>
      </c>
    </row>
    <row r="1723" spans="1:13" x14ac:dyDescent="0.3">
      <c r="A1723">
        <v>1721</v>
      </c>
      <c r="B1723">
        <v>1722</v>
      </c>
      <c r="C1723" t="s">
        <v>1772</v>
      </c>
      <c r="D1723">
        <v>2017</v>
      </c>
      <c r="F1723" t="s">
        <v>1687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f t="shared" si="52"/>
        <v>5.5</v>
      </c>
      <c r="M1723">
        <f t="shared" si="53"/>
        <v>1</v>
      </c>
    </row>
    <row r="1724" spans="1:13" x14ac:dyDescent="0.3">
      <c r="A1724">
        <v>1722</v>
      </c>
      <c r="B1724">
        <v>1723</v>
      </c>
      <c r="C1724" t="s">
        <v>1773</v>
      </c>
      <c r="D1724">
        <v>2020</v>
      </c>
      <c r="E1724" t="s">
        <v>11</v>
      </c>
      <c r="F1724" t="s">
        <v>1687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f t="shared" si="52"/>
        <v>5.5</v>
      </c>
      <c r="M1724">
        <f t="shared" si="53"/>
        <v>1</v>
      </c>
    </row>
    <row r="1725" spans="1:13" x14ac:dyDescent="0.3">
      <c r="A1725">
        <v>1723</v>
      </c>
      <c r="B1725">
        <v>1724</v>
      </c>
      <c r="C1725" t="s">
        <v>1774</v>
      </c>
      <c r="D1725">
        <v>2019</v>
      </c>
      <c r="E1725" t="s">
        <v>11</v>
      </c>
      <c r="F1725" t="s">
        <v>1687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f t="shared" si="52"/>
        <v>5.5</v>
      </c>
      <c r="M1725">
        <f t="shared" si="53"/>
        <v>1</v>
      </c>
    </row>
    <row r="1726" spans="1:13" x14ac:dyDescent="0.3">
      <c r="A1726">
        <v>1724</v>
      </c>
      <c r="B1726">
        <v>1725</v>
      </c>
      <c r="C1726" t="s">
        <v>1775</v>
      </c>
      <c r="D1726">
        <v>2020</v>
      </c>
      <c r="E1726" t="s">
        <v>11</v>
      </c>
      <c r="F1726" t="s">
        <v>1687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f t="shared" si="52"/>
        <v>5.5</v>
      </c>
      <c r="M1726">
        <f t="shared" si="53"/>
        <v>1</v>
      </c>
    </row>
    <row r="1727" spans="1:13" x14ac:dyDescent="0.3">
      <c r="A1727">
        <v>1725</v>
      </c>
      <c r="B1727">
        <v>1726</v>
      </c>
      <c r="C1727" t="s">
        <v>1776</v>
      </c>
      <c r="D1727">
        <v>2020</v>
      </c>
      <c r="F1727" t="s">
        <v>1687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f t="shared" si="52"/>
        <v>5.5</v>
      </c>
      <c r="M1727">
        <f t="shared" si="53"/>
        <v>1</v>
      </c>
    </row>
    <row r="1728" spans="1:13" x14ac:dyDescent="0.3">
      <c r="A1728">
        <v>1726</v>
      </c>
      <c r="B1728">
        <v>1727</v>
      </c>
      <c r="C1728" t="s">
        <v>1777</v>
      </c>
      <c r="D1728">
        <v>2016</v>
      </c>
      <c r="F1728" t="s">
        <v>1687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f t="shared" si="52"/>
        <v>5.5</v>
      </c>
      <c r="M1728">
        <f t="shared" si="53"/>
        <v>1</v>
      </c>
    </row>
    <row r="1729" spans="1:13" x14ac:dyDescent="0.3">
      <c r="A1729">
        <v>1727</v>
      </c>
      <c r="B1729">
        <v>1728</v>
      </c>
      <c r="C1729" t="s">
        <v>1778</v>
      </c>
      <c r="D1729">
        <v>2006</v>
      </c>
      <c r="E1729" t="s">
        <v>36</v>
      </c>
      <c r="F1729" t="s">
        <v>1687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f t="shared" si="52"/>
        <v>5.5</v>
      </c>
      <c r="M1729">
        <f t="shared" si="53"/>
        <v>1</v>
      </c>
    </row>
    <row r="1730" spans="1:13" x14ac:dyDescent="0.3">
      <c r="A1730">
        <v>1728</v>
      </c>
      <c r="B1730">
        <v>1729</v>
      </c>
      <c r="C1730" t="s">
        <v>1779</v>
      </c>
      <c r="D1730">
        <v>2018</v>
      </c>
      <c r="F1730" t="s">
        <v>1687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f t="shared" si="52"/>
        <v>5.5</v>
      </c>
      <c r="M1730">
        <f t="shared" si="53"/>
        <v>1</v>
      </c>
    </row>
    <row r="1731" spans="1:13" x14ac:dyDescent="0.3">
      <c r="A1731">
        <v>1729</v>
      </c>
      <c r="B1731">
        <v>1730</v>
      </c>
      <c r="C1731" t="s">
        <v>1780</v>
      </c>
      <c r="D1731">
        <v>2017</v>
      </c>
      <c r="F1731" t="s">
        <v>1687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f t="shared" ref="L1731:L1794" si="54">IFERROR(VALUE(LEFT(F1731,FIND("/",F1731)-1))/10,"")</f>
        <v>5.5</v>
      </c>
      <c r="M1731">
        <f t="shared" ref="M1731:M1794" si="55">SUM(G1731:J1731)</f>
        <v>1</v>
      </c>
    </row>
    <row r="1732" spans="1:13" x14ac:dyDescent="0.3">
      <c r="A1732">
        <v>1730</v>
      </c>
      <c r="B1732">
        <v>1731</v>
      </c>
      <c r="C1732" t="s">
        <v>1781</v>
      </c>
      <c r="D1732">
        <v>2018</v>
      </c>
      <c r="E1732" t="s">
        <v>14</v>
      </c>
      <c r="F1732" t="s">
        <v>1687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f t="shared" si="54"/>
        <v>5.5</v>
      </c>
      <c r="M1732">
        <f t="shared" si="55"/>
        <v>1</v>
      </c>
    </row>
    <row r="1733" spans="1:13" x14ac:dyDescent="0.3">
      <c r="A1733">
        <v>1731</v>
      </c>
      <c r="B1733">
        <v>1732</v>
      </c>
      <c r="C1733" t="s">
        <v>1782</v>
      </c>
      <c r="D1733">
        <v>2017</v>
      </c>
      <c r="E1733" t="s">
        <v>14</v>
      </c>
      <c r="F1733" t="s">
        <v>1687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f t="shared" si="54"/>
        <v>5.5</v>
      </c>
      <c r="M1733">
        <f t="shared" si="55"/>
        <v>1</v>
      </c>
    </row>
    <row r="1734" spans="1:13" x14ac:dyDescent="0.3">
      <c r="A1734">
        <v>1732</v>
      </c>
      <c r="B1734">
        <v>1733</v>
      </c>
      <c r="C1734" t="s">
        <v>1783</v>
      </c>
      <c r="D1734">
        <v>2018</v>
      </c>
      <c r="F1734" t="s">
        <v>1687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f t="shared" si="54"/>
        <v>5.5</v>
      </c>
      <c r="M1734">
        <f t="shared" si="55"/>
        <v>1</v>
      </c>
    </row>
    <row r="1735" spans="1:13" x14ac:dyDescent="0.3">
      <c r="A1735">
        <v>1733</v>
      </c>
      <c r="B1735">
        <v>1734</v>
      </c>
      <c r="C1735" t="s">
        <v>1784</v>
      </c>
      <c r="D1735">
        <v>2003</v>
      </c>
      <c r="F1735" t="s">
        <v>1687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f t="shared" si="54"/>
        <v>5.5</v>
      </c>
      <c r="M1735">
        <f t="shared" si="55"/>
        <v>1</v>
      </c>
    </row>
    <row r="1736" spans="1:13" x14ac:dyDescent="0.3">
      <c r="A1736">
        <v>1734</v>
      </c>
      <c r="B1736">
        <v>1735</v>
      </c>
      <c r="C1736" t="s">
        <v>1785</v>
      </c>
      <c r="D1736">
        <v>2018</v>
      </c>
      <c r="F1736" t="s">
        <v>1687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f t="shared" si="54"/>
        <v>5.5</v>
      </c>
      <c r="M1736">
        <f t="shared" si="55"/>
        <v>1</v>
      </c>
    </row>
    <row r="1737" spans="1:13" x14ac:dyDescent="0.3">
      <c r="A1737">
        <v>1735</v>
      </c>
      <c r="B1737">
        <v>1736</v>
      </c>
      <c r="C1737" t="s">
        <v>1786</v>
      </c>
      <c r="D1737">
        <v>2017</v>
      </c>
      <c r="E1737" t="s">
        <v>22</v>
      </c>
      <c r="F1737" t="s">
        <v>1687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f t="shared" si="54"/>
        <v>5.5</v>
      </c>
      <c r="M1737">
        <f t="shared" si="55"/>
        <v>1</v>
      </c>
    </row>
    <row r="1738" spans="1:13" x14ac:dyDescent="0.3">
      <c r="A1738">
        <v>1736</v>
      </c>
      <c r="B1738">
        <v>1737</v>
      </c>
      <c r="C1738" t="s">
        <v>1787</v>
      </c>
      <c r="D1738">
        <v>2016</v>
      </c>
      <c r="F1738" t="s">
        <v>1687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f t="shared" si="54"/>
        <v>5.5</v>
      </c>
      <c r="M1738">
        <f t="shared" si="55"/>
        <v>1</v>
      </c>
    </row>
    <row r="1739" spans="1:13" x14ac:dyDescent="0.3">
      <c r="A1739">
        <v>1737</v>
      </c>
      <c r="B1739">
        <v>1738</v>
      </c>
      <c r="C1739" t="s">
        <v>1788</v>
      </c>
      <c r="D1739">
        <v>2021</v>
      </c>
      <c r="E1739" t="s">
        <v>11</v>
      </c>
      <c r="F1739" t="s">
        <v>1687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f t="shared" si="54"/>
        <v>5.5</v>
      </c>
      <c r="M1739">
        <f t="shared" si="55"/>
        <v>1</v>
      </c>
    </row>
    <row r="1740" spans="1:13" x14ac:dyDescent="0.3">
      <c r="A1740">
        <v>1738</v>
      </c>
      <c r="B1740">
        <v>1739</v>
      </c>
      <c r="C1740" t="s">
        <v>1789</v>
      </c>
      <c r="D1740">
        <v>2019</v>
      </c>
      <c r="E1740" t="s">
        <v>11</v>
      </c>
      <c r="F1740" t="s">
        <v>1687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f t="shared" si="54"/>
        <v>5.5</v>
      </c>
      <c r="M1740">
        <f t="shared" si="55"/>
        <v>1</v>
      </c>
    </row>
    <row r="1741" spans="1:13" x14ac:dyDescent="0.3">
      <c r="A1741">
        <v>1739</v>
      </c>
      <c r="B1741">
        <v>1740</v>
      </c>
      <c r="C1741" t="s">
        <v>1790</v>
      </c>
      <c r="D1741">
        <v>2018</v>
      </c>
      <c r="E1741" t="s">
        <v>11</v>
      </c>
      <c r="F1741" t="s">
        <v>1687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f t="shared" si="54"/>
        <v>5.5</v>
      </c>
      <c r="M1741">
        <f t="shared" si="55"/>
        <v>1</v>
      </c>
    </row>
    <row r="1742" spans="1:13" x14ac:dyDescent="0.3">
      <c r="A1742">
        <v>1740</v>
      </c>
      <c r="B1742">
        <v>1741</v>
      </c>
      <c r="C1742" t="s">
        <v>1791</v>
      </c>
      <c r="D1742">
        <v>2016</v>
      </c>
      <c r="F1742" t="s">
        <v>1687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f t="shared" si="54"/>
        <v>5.5</v>
      </c>
      <c r="M1742">
        <f t="shared" si="55"/>
        <v>1</v>
      </c>
    </row>
    <row r="1743" spans="1:13" x14ac:dyDescent="0.3">
      <c r="A1743">
        <v>1741</v>
      </c>
      <c r="B1743">
        <v>1742</v>
      </c>
      <c r="C1743" t="s">
        <v>1792</v>
      </c>
      <c r="D1743">
        <v>2019</v>
      </c>
      <c r="E1743" t="s">
        <v>11</v>
      </c>
      <c r="F1743" t="s">
        <v>1687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f t="shared" si="54"/>
        <v>5.5</v>
      </c>
      <c r="M1743">
        <f t="shared" si="55"/>
        <v>1</v>
      </c>
    </row>
    <row r="1744" spans="1:13" x14ac:dyDescent="0.3">
      <c r="A1744">
        <v>1742</v>
      </c>
      <c r="B1744">
        <v>1743</v>
      </c>
      <c r="C1744" t="s">
        <v>1793</v>
      </c>
      <c r="D1744">
        <v>2018</v>
      </c>
      <c r="F1744" t="s">
        <v>1687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f t="shared" si="54"/>
        <v>5.5</v>
      </c>
      <c r="M1744">
        <f t="shared" si="55"/>
        <v>1</v>
      </c>
    </row>
    <row r="1745" spans="1:13" x14ac:dyDescent="0.3">
      <c r="A1745">
        <v>1743</v>
      </c>
      <c r="B1745">
        <v>1744</v>
      </c>
      <c r="C1745" t="s">
        <v>1794</v>
      </c>
      <c r="D1745">
        <v>2021</v>
      </c>
      <c r="E1745" t="s">
        <v>28</v>
      </c>
      <c r="F1745" t="s">
        <v>1687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f t="shared" si="54"/>
        <v>5.5</v>
      </c>
      <c r="M1745">
        <f t="shared" si="55"/>
        <v>1</v>
      </c>
    </row>
    <row r="1746" spans="1:13" x14ac:dyDescent="0.3">
      <c r="A1746">
        <v>1744</v>
      </c>
      <c r="B1746">
        <v>1745</v>
      </c>
      <c r="C1746" t="s">
        <v>1795</v>
      </c>
      <c r="D1746">
        <v>2008</v>
      </c>
      <c r="E1746" t="s">
        <v>11</v>
      </c>
      <c r="F1746" t="s">
        <v>1687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f t="shared" si="54"/>
        <v>5.5</v>
      </c>
      <c r="M1746">
        <f t="shared" si="55"/>
        <v>1</v>
      </c>
    </row>
    <row r="1747" spans="1:13" x14ac:dyDescent="0.3">
      <c r="A1747">
        <v>1745</v>
      </c>
      <c r="B1747">
        <v>1746</v>
      </c>
      <c r="C1747" t="s">
        <v>1796</v>
      </c>
      <c r="D1747">
        <v>2016</v>
      </c>
      <c r="E1747" t="s">
        <v>11</v>
      </c>
      <c r="F1747" t="s">
        <v>1687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f t="shared" si="54"/>
        <v>5.5</v>
      </c>
      <c r="M1747">
        <f t="shared" si="55"/>
        <v>1</v>
      </c>
    </row>
    <row r="1748" spans="1:13" x14ac:dyDescent="0.3">
      <c r="A1748">
        <v>1746</v>
      </c>
      <c r="B1748">
        <v>1747</v>
      </c>
      <c r="C1748" t="s">
        <v>1797</v>
      </c>
      <c r="D1748">
        <v>2014</v>
      </c>
      <c r="F1748" t="s">
        <v>1798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f t="shared" si="54"/>
        <v>5.4</v>
      </c>
      <c r="M1748">
        <f t="shared" si="55"/>
        <v>1</v>
      </c>
    </row>
    <row r="1749" spans="1:13" x14ac:dyDescent="0.3">
      <c r="A1749">
        <v>1747</v>
      </c>
      <c r="B1749">
        <v>1748</v>
      </c>
      <c r="C1749" t="s">
        <v>1799</v>
      </c>
      <c r="D1749">
        <v>2014</v>
      </c>
      <c r="E1749" t="s">
        <v>14</v>
      </c>
      <c r="F1749" t="s">
        <v>1798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f t="shared" si="54"/>
        <v>5.4</v>
      </c>
      <c r="M1749">
        <f t="shared" si="55"/>
        <v>1</v>
      </c>
    </row>
    <row r="1750" spans="1:13" x14ac:dyDescent="0.3">
      <c r="A1750">
        <v>1748</v>
      </c>
      <c r="B1750">
        <v>1749</v>
      </c>
      <c r="C1750" t="s">
        <v>1800</v>
      </c>
      <c r="D1750">
        <v>2014</v>
      </c>
      <c r="E1750" t="s">
        <v>14</v>
      </c>
      <c r="F1750" t="s">
        <v>1798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f t="shared" si="54"/>
        <v>5.4</v>
      </c>
      <c r="M1750">
        <f t="shared" si="55"/>
        <v>1</v>
      </c>
    </row>
    <row r="1751" spans="1:13" x14ac:dyDescent="0.3">
      <c r="A1751">
        <v>1749</v>
      </c>
      <c r="B1751">
        <v>1750</v>
      </c>
      <c r="C1751" t="s">
        <v>1801</v>
      </c>
      <c r="D1751">
        <v>2013</v>
      </c>
      <c r="F1751" t="s">
        <v>1798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f t="shared" si="54"/>
        <v>5.4</v>
      </c>
      <c r="M1751">
        <f t="shared" si="55"/>
        <v>1</v>
      </c>
    </row>
    <row r="1752" spans="1:13" x14ac:dyDescent="0.3">
      <c r="A1752">
        <v>1750</v>
      </c>
      <c r="B1752">
        <v>1751</v>
      </c>
      <c r="C1752" t="s">
        <v>1802</v>
      </c>
      <c r="D1752">
        <v>2017</v>
      </c>
      <c r="F1752" t="s">
        <v>1798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f t="shared" si="54"/>
        <v>5.4</v>
      </c>
      <c r="M1752">
        <f t="shared" si="55"/>
        <v>1</v>
      </c>
    </row>
    <row r="1753" spans="1:13" x14ac:dyDescent="0.3">
      <c r="A1753">
        <v>1751</v>
      </c>
      <c r="B1753">
        <v>1752</v>
      </c>
      <c r="C1753" t="s">
        <v>1803</v>
      </c>
      <c r="D1753">
        <v>2018</v>
      </c>
      <c r="F1753" t="s">
        <v>1798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f t="shared" si="54"/>
        <v>5.4</v>
      </c>
      <c r="M1753">
        <f t="shared" si="55"/>
        <v>1</v>
      </c>
    </row>
    <row r="1754" spans="1:13" x14ac:dyDescent="0.3">
      <c r="A1754">
        <v>1752</v>
      </c>
      <c r="B1754">
        <v>1753</v>
      </c>
      <c r="C1754" t="s">
        <v>1804</v>
      </c>
      <c r="D1754">
        <v>2016</v>
      </c>
      <c r="F1754" t="s">
        <v>1798</v>
      </c>
      <c r="G1754">
        <v>1</v>
      </c>
      <c r="H1754">
        <v>0</v>
      </c>
      <c r="I1754">
        <v>1</v>
      </c>
      <c r="J1754">
        <v>0</v>
      </c>
      <c r="K1754">
        <v>0</v>
      </c>
      <c r="L1754">
        <f t="shared" si="54"/>
        <v>5.4</v>
      </c>
      <c r="M1754">
        <f t="shared" si="55"/>
        <v>2</v>
      </c>
    </row>
    <row r="1755" spans="1:13" x14ac:dyDescent="0.3">
      <c r="A1755">
        <v>1753</v>
      </c>
      <c r="B1755">
        <v>1754</v>
      </c>
      <c r="C1755" t="s">
        <v>1805</v>
      </c>
      <c r="D1755">
        <v>2008</v>
      </c>
      <c r="F1755" t="s">
        <v>1798</v>
      </c>
      <c r="G1755">
        <v>1</v>
      </c>
      <c r="H1755">
        <v>0</v>
      </c>
      <c r="I1755">
        <v>1</v>
      </c>
      <c r="J1755">
        <v>0</v>
      </c>
      <c r="K1755">
        <v>0</v>
      </c>
      <c r="L1755">
        <f t="shared" si="54"/>
        <v>5.4</v>
      </c>
      <c r="M1755">
        <f t="shared" si="55"/>
        <v>2</v>
      </c>
    </row>
    <row r="1756" spans="1:13" x14ac:dyDescent="0.3">
      <c r="A1756">
        <v>1754</v>
      </c>
      <c r="B1756">
        <v>1755</v>
      </c>
      <c r="C1756" t="s">
        <v>1806</v>
      </c>
      <c r="D1756">
        <v>2019</v>
      </c>
      <c r="E1756" t="s">
        <v>11</v>
      </c>
      <c r="F1756" t="s">
        <v>1798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f t="shared" si="54"/>
        <v>5.4</v>
      </c>
      <c r="M1756">
        <f t="shared" si="55"/>
        <v>1</v>
      </c>
    </row>
    <row r="1757" spans="1:13" x14ac:dyDescent="0.3">
      <c r="A1757">
        <v>1755</v>
      </c>
      <c r="B1757">
        <v>1756</v>
      </c>
      <c r="C1757" t="s">
        <v>1807</v>
      </c>
      <c r="D1757">
        <v>2013</v>
      </c>
      <c r="E1757" t="s">
        <v>36</v>
      </c>
      <c r="F1757" t="s">
        <v>1798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f t="shared" si="54"/>
        <v>5.4</v>
      </c>
      <c r="M1757">
        <f t="shared" si="55"/>
        <v>1</v>
      </c>
    </row>
    <row r="1758" spans="1:13" x14ac:dyDescent="0.3">
      <c r="A1758">
        <v>1756</v>
      </c>
      <c r="B1758">
        <v>1757</v>
      </c>
      <c r="C1758" t="s">
        <v>1808</v>
      </c>
      <c r="D1758">
        <v>2020</v>
      </c>
      <c r="F1758" t="s">
        <v>1798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f t="shared" si="54"/>
        <v>5.4</v>
      </c>
      <c r="M1758">
        <f t="shared" si="55"/>
        <v>1</v>
      </c>
    </row>
    <row r="1759" spans="1:13" x14ac:dyDescent="0.3">
      <c r="A1759">
        <v>1757</v>
      </c>
      <c r="B1759">
        <v>1758</v>
      </c>
      <c r="C1759" t="s">
        <v>1809</v>
      </c>
      <c r="D1759">
        <v>1982</v>
      </c>
      <c r="E1759" t="s">
        <v>11</v>
      </c>
      <c r="F1759" t="s">
        <v>1798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f t="shared" si="54"/>
        <v>5.4</v>
      </c>
      <c r="M1759">
        <f t="shared" si="55"/>
        <v>1</v>
      </c>
    </row>
    <row r="1760" spans="1:13" x14ac:dyDescent="0.3">
      <c r="A1760">
        <v>1758</v>
      </c>
      <c r="B1760">
        <v>1759</v>
      </c>
      <c r="C1760" t="s">
        <v>1810</v>
      </c>
      <c r="D1760">
        <v>2016</v>
      </c>
      <c r="E1760" t="s">
        <v>22</v>
      </c>
      <c r="F1760" t="s">
        <v>1798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f t="shared" si="54"/>
        <v>5.4</v>
      </c>
      <c r="M1760">
        <f t="shared" si="55"/>
        <v>1</v>
      </c>
    </row>
    <row r="1761" spans="1:13" x14ac:dyDescent="0.3">
      <c r="A1761">
        <v>1759</v>
      </c>
      <c r="B1761">
        <v>1760</v>
      </c>
      <c r="C1761" t="s">
        <v>1811</v>
      </c>
      <c r="D1761">
        <v>2018</v>
      </c>
      <c r="F1761" t="s">
        <v>1798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f t="shared" si="54"/>
        <v>5.4</v>
      </c>
      <c r="M1761">
        <f t="shared" si="55"/>
        <v>1</v>
      </c>
    </row>
    <row r="1762" spans="1:13" x14ac:dyDescent="0.3">
      <c r="A1762">
        <v>1760</v>
      </c>
      <c r="B1762">
        <v>1761</v>
      </c>
      <c r="C1762" t="s">
        <v>1812</v>
      </c>
      <c r="D1762">
        <v>2017</v>
      </c>
      <c r="F1762" t="s">
        <v>1798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f t="shared" si="54"/>
        <v>5.4</v>
      </c>
      <c r="M1762">
        <f t="shared" si="55"/>
        <v>1</v>
      </c>
    </row>
    <row r="1763" spans="1:13" x14ac:dyDescent="0.3">
      <c r="A1763">
        <v>1761</v>
      </c>
      <c r="B1763">
        <v>1762</v>
      </c>
      <c r="C1763" t="s">
        <v>1813</v>
      </c>
      <c r="D1763">
        <v>2014</v>
      </c>
      <c r="E1763" t="s">
        <v>11</v>
      </c>
      <c r="F1763" t="s">
        <v>1798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f t="shared" si="54"/>
        <v>5.4</v>
      </c>
      <c r="M1763">
        <f t="shared" si="55"/>
        <v>1</v>
      </c>
    </row>
    <row r="1764" spans="1:13" x14ac:dyDescent="0.3">
      <c r="A1764">
        <v>1762</v>
      </c>
      <c r="B1764">
        <v>1763</v>
      </c>
      <c r="C1764" t="s">
        <v>1814</v>
      </c>
      <c r="D1764">
        <v>2016</v>
      </c>
      <c r="F1764" t="s">
        <v>1798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f t="shared" si="54"/>
        <v>5.4</v>
      </c>
      <c r="M1764">
        <f t="shared" si="55"/>
        <v>1</v>
      </c>
    </row>
    <row r="1765" spans="1:13" x14ac:dyDescent="0.3">
      <c r="A1765">
        <v>1763</v>
      </c>
      <c r="B1765">
        <v>1764</v>
      </c>
      <c r="C1765" t="s">
        <v>1815</v>
      </c>
      <c r="D1765">
        <v>2020</v>
      </c>
      <c r="E1765" t="s">
        <v>11</v>
      </c>
      <c r="F1765" t="s">
        <v>1798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f t="shared" si="54"/>
        <v>5.4</v>
      </c>
      <c r="M1765">
        <f t="shared" si="55"/>
        <v>1</v>
      </c>
    </row>
    <row r="1766" spans="1:13" x14ac:dyDescent="0.3">
      <c r="A1766">
        <v>1764</v>
      </c>
      <c r="B1766">
        <v>1765</v>
      </c>
      <c r="C1766" t="s">
        <v>1816</v>
      </c>
      <c r="D1766">
        <v>2020</v>
      </c>
      <c r="F1766" t="s">
        <v>1798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f t="shared" si="54"/>
        <v>5.4</v>
      </c>
      <c r="M1766">
        <f t="shared" si="55"/>
        <v>1</v>
      </c>
    </row>
    <row r="1767" spans="1:13" x14ac:dyDescent="0.3">
      <c r="A1767">
        <v>1765</v>
      </c>
      <c r="B1767">
        <v>1766</v>
      </c>
      <c r="C1767" t="s">
        <v>1817</v>
      </c>
      <c r="D1767">
        <v>2019</v>
      </c>
      <c r="E1767" t="s">
        <v>22</v>
      </c>
      <c r="F1767" t="s">
        <v>1798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f t="shared" si="54"/>
        <v>5.4</v>
      </c>
      <c r="M1767">
        <f t="shared" si="55"/>
        <v>1</v>
      </c>
    </row>
    <row r="1768" spans="1:13" x14ac:dyDescent="0.3">
      <c r="A1768">
        <v>1766</v>
      </c>
      <c r="B1768">
        <v>1767</v>
      </c>
      <c r="C1768" t="s">
        <v>1818</v>
      </c>
      <c r="D1768">
        <v>2017</v>
      </c>
      <c r="F1768" t="s">
        <v>1798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f t="shared" si="54"/>
        <v>5.4</v>
      </c>
      <c r="M1768">
        <f t="shared" si="55"/>
        <v>1</v>
      </c>
    </row>
    <row r="1769" spans="1:13" x14ac:dyDescent="0.3">
      <c r="A1769">
        <v>1767</v>
      </c>
      <c r="B1769">
        <v>1768</v>
      </c>
      <c r="C1769" t="s">
        <v>1819</v>
      </c>
      <c r="D1769">
        <v>2012</v>
      </c>
      <c r="E1769" t="s">
        <v>36</v>
      </c>
      <c r="F1769" t="s">
        <v>1798</v>
      </c>
      <c r="G1769">
        <v>1</v>
      </c>
      <c r="H1769">
        <v>1</v>
      </c>
      <c r="I1769">
        <v>0</v>
      </c>
      <c r="J1769">
        <v>0</v>
      </c>
      <c r="K1769">
        <v>0</v>
      </c>
      <c r="L1769">
        <f t="shared" si="54"/>
        <v>5.4</v>
      </c>
      <c r="M1769">
        <f t="shared" si="55"/>
        <v>2</v>
      </c>
    </row>
    <row r="1770" spans="1:13" x14ac:dyDescent="0.3">
      <c r="A1770">
        <v>1768</v>
      </c>
      <c r="B1770">
        <v>1769</v>
      </c>
      <c r="C1770" t="s">
        <v>1820</v>
      </c>
      <c r="D1770">
        <v>2018</v>
      </c>
      <c r="F1770" t="s">
        <v>1798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f t="shared" si="54"/>
        <v>5.4</v>
      </c>
      <c r="M1770">
        <f t="shared" si="55"/>
        <v>1</v>
      </c>
    </row>
    <row r="1771" spans="1:13" x14ac:dyDescent="0.3">
      <c r="A1771">
        <v>1769</v>
      </c>
      <c r="B1771">
        <v>1770</v>
      </c>
      <c r="C1771" t="s">
        <v>1821</v>
      </c>
      <c r="D1771">
        <v>2019</v>
      </c>
      <c r="F1771" t="s">
        <v>1798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f t="shared" si="54"/>
        <v>5.4</v>
      </c>
      <c r="M1771">
        <f t="shared" si="55"/>
        <v>1</v>
      </c>
    </row>
    <row r="1772" spans="1:13" x14ac:dyDescent="0.3">
      <c r="A1772">
        <v>1770</v>
      </c>
      <c r="B1772">
        <v>1771</v>
      </c>
      <c r="C1772" t="s">
        <v>1822</v>
      </c>
      <c r="D1772">
        <v>2013</v>
      </c>
      <c r="F1772" t="s">
        <v>1798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f t="shared" si="54"/>
        <v>5.4</v>
      </c>
      <c r="M1772">
        <f t="shared" si="55"/>
        <v>1</v>
      </c>
    </row>
    <row r="1773" spans="1:13" x14ac:dyDescent="0.3">
      <c r="A1773">
        <v>1771</v>
      </c>
      <c r="B1773">
        <v>1772</v>
      </c>
      <c r="C1773" t="s">
        <v>1823</v>
      </c>
      <c r="D1773">
        <v>2014</v>
      </c>
      <c r="E1773" t="s">
        <v>22</v>
      </c>
      <c r="F1773" t="s">
        <v>1798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f t="shared" si="54"/>
        <v>5.4</v>
      </c>
      <c r="M1773">
        <f t="shared" si="55"/>
        <v>1</v>
      </c>
    </row>
    <row r="1774" spans="1:13" x14ac:dyDescent="0.3">
      <c r="A1774">
        <v>1772</v>
      </c>
      <c r="B1774">
        <v>1773</v>
      </c>
      <c r="C1774" t="s">
        <v>1824</v>
      </c>
      <c r="D1774">
        <v>1999</v>
      </c>
      <c r="E1774" t="s">
        <v>11</v>
      </c>
      <c r="F1774" t="s">
        <v>1798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f t="shared" si="54"/>
        <v>5.4</v>
      </c>
      <c r="M1774">
        <f t="shared" si="55"/>
        <v>1</v>
      </c>
    </row>
    <row r="1775" spans="1:13" x14ac:dyDescent="0.3">
      <c r="A1775">
        <v>1773</v>
      </c>
      <c r="B1775">
        <v>1774</v>
      </c>
      <c r="C1775" t="s">
        <v>1825</v>
      </c>
      <c r="D1775">
        <v>2014</v>
      </c>
      <c r="F1775" t="s">
        <v>1798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f t="shared" si="54"/>
        <v>5.4</v>
      </c>
      <c r="M1775">
        <f t="shared" si="55"/>
        <v>1</v>
      </c>
    </row>
    <row r="1776" spans="1:13" x14ac:dyDescent="0.3">
      <c r="A1776">
        <v>1774</v>
      </c>
      <c r="B1776">
        <v>1775</v>
      </c>
      <c r="C1776" t="s">
        <v>1826</v>
      </c>
      <c r="D1776">
        <v>2020</v>
      </c>
      <c r="E1776" t="s">
        <v>11</v>
      </c>
      <c r="F1776" t="s">
        <v>1798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f t="shared" si="54"/>
        <v>5.4</v>
      </c>
      <c r="M1776">
        <f t="shared" si="55"/>
        <v>1</v>
      </c>
    </row>
    <row r="1777" spans="1:13" x14ac:dyDescent="0.3">
      <c r="A1777">
        <v>1775</v>
      </c>
      <c r="B1777">
        <v>1776</v>
      </c>
      <c r="C1777" t="s">
        <v>1827</v>
      </c>
      <c r="D1777">
        <v>2015</v>
      </c>
      <c r="E1777" t="s">
        <v>22</v>
      </c>
      <c r="F1777" t="s">
        <v>1798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f t="shared" si="54"/>
        <v>5.4</v>
      </c>
      <c r="M1777">
        <f t="shared" si="55"/>
        <v>1</v>
      </c>
    </row>
    <row r="1778" spans="1:13" x14ac:dyDescent="0.3">
      <c r="A1778">
        <v>1776</v>
      </c>
      <c r="B1778">
        <v>1777</v>
      </c>
      <c r="C1778" t="s">
        <v>1828</v>
      </c>
      <c r="D1778">
        <v>2014</v>
      </c>
      <c r="F1778" t="s">
        <v>1798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f t="shared" si="54"/>
        <v>5.4</v>
      </c>
      <c r="M1778">
        <f t="shared" si="55"/>
        <v>1</v>
      </c>
    </row>
    <row r="1779" spans="1:13" x14ac:dyDescent="0.3">
      <c r="A1779">
        <v>1777</v>
      </c>
      <c r="B1779">
        <v>1778</v>
      </c>
      <c r="C1779" t="s">
        <v>1829</v>
      </c>
      <c r="D1779">
        <v>2021</v>
      </c>
      <c r="F1779" t="s">
        <v>1798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f t="shared" si="54"/>
        <v>5.4</v>
      </c>
      <c r="M1779">
        <f t="shared" si="55"/>
        <v>1</v>
      </c>
    </row>
    <row r="1780" spans="1:13" x14ac:dyDescent="0.3">
      <c r="A1780">
        <v>1778</v>
      </c>
      <c r="B1780">
        <v>1779</v>
      </c>
      <c r="C1780" t="s">
        <v>1830</v>
      </c>
      <c r="D1780">
        <v>2018</v>
      </c>
      <c r="F1780" t="s">
        <v>1798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f t="shared" si="54"/>
        <v>5.4</v>
      </c>
      <c r="M1780">
        <f t="shared" si="55"/>
        <v>1</v>
      </c>
    </row>
    <row r="1781" spans="1:13" x14ac:dyDescent="0.3">
      <c r="A1781">
        <v>1779</v>
      </c>
      <c r="B1781">
        <v>1780</v>
      </c>
      <c r="C1781" t="s">
        <v>1831</v>
      </c>
      <c r="D1781">
        <v>2017</v>
      </c>
      <c r="F1781" t="s">
        <v>1798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f t="shared" si="54"/>
        <v>5.4</v>
      </c>
      <c r="M1781">
        <f t="shared" si="55"/>
        <v>1</v>
      </c>
    </row>
    <row r="1782" spans="1:13" x14ac:dyDescent="0.3">
      <c r="A1782">
        <v>1780</v>
      </c>
      <c r="B1782">
        <v>1781</v>
      </c>
      <c r="C1782" t="s">
        <v>1832</v>
      </c>
      <c r="D1782">
        <v>2019</v>
      </c>
      <c r="E1782" t="s">
        <v>11</v>
      </c>
      <c r="F1782" t="s">
        <v>1798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f t="shared" si="54"/>
        <v>5.4</v>
      </c>
      <c r="M1782">
        <f t="shared" si="55"/>
        <v>1</v>
      </c>
    </row>
    <row r="1783" spans="1:13" x14ac:dyDescent="0.3">
      <c r="A1783">
        <v>1781</v>
      </c>
      <c r="B1783">
        <v>1782</v>
      </c>
      <c r="C1783" t="s">
        <v>1833</v>
      </c>
      <c r="D1783">
        <v>2020</v>
      </c>
      <c r="E1783" t="s">
        <v>14</v>
      </c>
      <c r="F1783" t="s">
        <v>1798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f t="shared" si="54"/>
        <v>5.4</v>
      </c>
      <c r="M1783">
        <f t="shared" si="55"/>
        <v>1</v>
      </c>
    </row>
    <row r="1784" spans="1:13" x14ac:dyDescent="0.3">
      <c r="A1784">
        <v>1782</v>
      </c>
      <c r="B1784">
        <v>1783</v>
      </c>
      <c r="C1784" t="s">
        <v>1834</v>
      </c>
      <c r="D1784">
        <v>2018</v>
      </c>
      <c r="E1784" t="s">
        <v>11</v>
      </c>
      <c r="F1784" t="s">
        <v>1798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f t="shared" si="54"/>
        <v>5.4</v>
      </c>
      <c r="M1784">
        <f t="shared" si="55"/>
        <v>1</v>
      </c>
    </row>
    <row r="1785" spans="1:13" x14ac:dyDescent="0.3">
      <c r="A1785">
        <v>1783</v>
      </c>
      <c r="B1785">
        <v>1784</v>
      </c>
      <c r="C1785" t="s">
        <v>1835</v>
      </c>
      <c r="D1785">
        <v>2019</v>
      </c>
      <c r="E1785" t="s">
        <v>11</v>
      </c>
      <c r="F1785" t="s">
        <v>1798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f t="shared" si="54"/>
        <v>5.4</v>
      </c>
      <c r="M1785">
        <f t="shared" si="55"/>
        <v>1</v>
      </c>
    </row>
    <row r="1786" spans="1:13" x14ac:dyDescent="0.3">
      <c r="A1786">
        <v>1784</v>
      </c>
      <c r="B1786">
        <v>1785</v>
      </c>
      <c r="C1786" t="s">
        <v>1836</v>
      </c>
      <c r="D1786">
        <v>2014</v>
      </c>
      <c r="F1786" t="s">
        <v>1798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f t="shared" si="54"/>
        <v>5.4</v>
      </c>
      <c r="M1786">
        <f t="shared" si="55"/>
        <v>1</v>
      </c>
    </row>
    <row r="1787" spans="1:13" x14ac:dyDescent="0.3">
      <c r="A1787">
        <v>1785</v>
      </c>
      <c r="B1787">
        <v>1786</v>
      </c>
      <c r="C1787" t="s">
        <v>1837</v>
      </c>
      <c r="D1787">
        <v>2019</v>
      </c>
      <c r="F1787" t="s">
        <v>1798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f t="shared" si="54"/>
        <v>5.4</v>
      </c>
      <c r="M1787">
        <f t="shared" si="55"/>
        <v>1</v>
      </c>
    </row>
    <row r="1788" spans="1:13" x14ac:dyDescent="0.3">
      <c r="A1788">
        <v>1786</v>
      </c>
      <c r="B1788">
        <v>1787</v>
      </c>
      <c r="C1788" t="s">
        <v>1838</v>
      </c>
      <c r="D1788">
        <v>2019</v>
      </c>
      <c r="F1788" t="s">
        <v>1798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f t="shared" si="54"/>
        <v>5.4</v>
      </c>
      <c r="M1788">
        <f t="shared" si="55"/>
        <v>1</v>
      </c>
    </row>
    <row r="1789" spans="1:13" x14ac:dyDescent="0.3">
      <c r="A1789">
        <v>1787</v>
      </c>
      <c r="B1789">
        <v>1788</v>
      </c>
      <c r="C1789" t="s">
        <v>1839</v>
      </c>
      <c r="D1789">
        <v>2019</v>
      </c>
      <c r="E1789" t="s">
        <v>11</v>
      </c>
      <c r="F1789" t="s">
        <v>1798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f t="shared" si="54"/>
        <v>5.4</v>
      </c>
      <c r="M1789">
        <f t="shared" si="55"/>
        <v>1</v>
      </c>
    </row>
    <row r="1790" spans="1:13" x14ac:dyDescent="0.3">
      <c r="A1790">
        <v>1788</v>
      </c>
      <c r="B1790">
        <v>1789</v>
      </c>
      <c r="C1790" t="s">
        <v>1840</v>
      </c>
      <c r="D1790">
        <v>2021</v>
      </c>
      <c r="E1790" t="s">
        <v>28</v>
      </c>
      <c r="F1790" t="s">
        <v>1798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f t="shared" si="54"/>
        <v>5.4</v>
      </c>
      <c r="M1790">
        <f t="shared" si="55"/>
        <v>1</v>
      </c>
    </row>
    <row r="1791" spans="1:13" x14ac:dyDescent="0.3">
      <c r="A1791">
        <v>1789</v>
      </c>
      <c r="B1791">
        <v>1790</v>
      </c>
      <c r="C1791" t="s">
        <v>1841</v>
      </c>
      <c r="D1791">
        <v>2015</v>
      </c>
      <c r="F1791" t="s">
        <v>1798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f t="shared" si="54"/>
        <v>5.4</v>
      </c>
      <c r="M1791">
        <f t="shared" si="55"/>
        <v>1</v>
      </c>
    </row>
    <row r="1792" spans="1:13" x14ac:dyDescent="0.3">
      <c r="A1792">
        <v>1790</v>
      </c>
      <c r="B1792">
        <v>1791</v>
      </c>
      <c r="C1792" t="s">
        <v>1842</v>
      </c>
      <c r="D1792">
        <v>2019</v>
      </c>
      <c r="F1792" t="s">
        <v>1798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f t="shared" si="54"/>
        <v>5.4</v>
      </c>
      <c r="M1792">
        <f t="shared" si="55"/>
        <v>1</v>
      </c>
    </row>
    <row r="1793" spans="1:13" x14ac:dyDescent="0.3">
      <c r="A1793">
        <v>1791</v>
      </c>
      <c r="B1793">
        <v>1792</v>
      </c>
      <c r="C1793" t="s">
        <v>1843</v>
      </c>
      <c r="D1793">
        <v>2014</v>
      </c>
      <c r="E1793" t="s">
        <v>22</v>
      </c>
      <c r="F1793" t="s">
        <v>1798</v>
      </c>
      <c r="G1793">
        <v>1</v>
      </c>
      <c r="H1793">
        <v>0</v>
      </c>
      <c r="I1793">
        <v>1</v>
      </c>
      <c r="J1793">
        <v>0</v>
      </c>
      <c r="K1793">
        <v>0</v>
      </c>
      <c r="L1793">
        <f t="shared" si="54"/>
        <v>5.4</v>
      </c>
      <c r="M1793">
        <f t="shared" si="55"/>
        <v>2</v>
      </c>
    </row>
    <row r="1794" spans="1:13" x14ac:dyDescent="0.3">
      <c r="A1794">
        <v>1792</v>
      </c>
      <c r="B1794">
        <v>1793</v>
      </c>
      <c r="C1794" t="s">
        <v>1844</v>
      </c>
      <c r="D1794">
        <v>2019</v>
      </c>
      <c r="E1794" t="s">
        <v>11</v>
      </c>
      <c r="F1794" t="s">
        <v>1798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f t="shared" si="54"/>
        <v>5.4</v>
      </c>
      <c r="M1794">
        <f t="shared" si="55"/>
        <v>1</v>
      </c>
    </row>
    <row r="1795" spans="1:13" x14ac:dyDescent="0.3">
      <c r="A1795">
        <v>1793</v>
      </c>
      <c r="B1795">
        <v>1794</v>
      </c>
      <c r="C1795" t="s">
        <v>1845</v>
      </c>
      <c r="D1795">
        <v>2008</v>
      </c>
      <c r="E1795" t="s">
        <v>22</v>
      </c>
      <c r="F1795" t="s">
        <v>1798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f t="shared" ref="L1795:L1858" si="56">IFERROR(VALUE(LEFT(F1795,FIND("/",F1795)-1))/10,"")</f>
        <v>5.4</v>
      </c>
      <c r="M1795">
        <f t="shared" ref="M1795:M1858" si="57">SUM(G1795:J1795)</f>
        <v>1</v>
      </c>
    </row>
    <row r="1796" spans="1:13" x14ac:dyDescent="0.3">
      <c r="A1796">
        <v>1794</v>
      </c>
      <c r="B1796">
        <v>1795</v>
      </c>
      <c r="C1796" t="s">
        <v>1846</v>
      </c>
      <c r="D1796">
        <v>2020</v>
      </c>
      <c r="F1796" t="s">
        <v>1798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f t="shared" si="56"/>
        <v>5.4</v>
      </c>
      <c r="M1796">
        <f t="shared" si="57"/>
        <v>1</v>
      </c>
    </row>
    <row r="1797" spans="1:13" x14ac:dyDescent="0.3">
      <c r="A1797">
        <v>1795</v>
      </c>
      <c r="B1797">
        <v>1796</v>
      </c>
      <c r="C1797" t="s">
        <v>1847</v>
      </c>
      <c r="D1797">
        <v>2018</v>
      </c>
      <c r="F1797" t="s">
        <v>1798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f t="shared" si="56"/>
        <v>5.4</v>
      </c>
      <c r="M1797">
        <f t="shared" si="57"/>
        <v>1</v>
      </c>
    </row>
    <row r="1798" spans="1:13" x14ac:dyDescent="0.3">
      <c r="A1798">
        <v>1796</v>
      </c>
      <c r="B1798">
        <v>1797</v>
      </c>
      <c r="C1798" t="s">
        <v>1848</v>
      </c>
      <c r="D1798">
        <v>2020</v>
      </c>
      <c r="F1798" t="s">
        <v>1798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f t="shared" si="56"/>
        <v>5.4</v>
      </c>
      <c r="M1798">
        <f t="shared" si="57"/>
        <v>1</v>
      </c>
    </row>
    <row r="1799" spans="1:13" x14ac:dyDescent="0.3">
      <c r="A1799">
        <v>1797</v>
      </c>
      <c r="B1799">
        <v>1798</v>
      </c>
      <c r="C1799" t="s">
        <v>1849</v>
      </c>
      <c r="D1799">
        <v>1986</v>
      </c>
      <c r="E1799" t="s">
        <v>22</v>
      </c>
      <c r="F1799" t="s">
        <v>1798</v>
      </c>
      <c r="G1799">
        <v>1</v>
      </c>
      <c r="H1799">
        <v>0</v>
      </c>
      <c r="I1799">
        <v>1</v>
      </c>
      <c r="J1799">
        <v>0</v>
      </c>
      <c r="K1799">
        <v>0</v>
      </c>
      <c r="L1799">
        <f t="shared" si="56"/>
        <v>5.4</v>
      </c>
      <c r="M1799">
        <f t="shared" si="57"/>
        <v>2</v>
      </c>
    </row>
    <row r="1800" spans="1:13" x14ac:dyDescent="0.3">
      <c r="A1800">
        <v>1798</v>
      </c>
      <c r="B1800">
        <v>1799</v>
      </c>
      <c r="C1800" t="s">
        <v>1850</v>
      </c>
      <c r="D1800">
        <v>2019</v>
      </c>
      <c r="F1800" t="s">
        <v>1798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f t="shared" si="56"/>
        <v>5.4</v>
      </c>
      <c r="M1800">
        <f t="shared" si="57"/>
        <v>1</v>
      </c>
    </row>
    <row r="1801" spans="1:13" x14ac:dyDescent="0.3">
      <c r="A1801">
        <v>1799</v>
      </c>
      <c r="B1801">
        <v>1800</v>
      </c>
      <c r="C1801" t="s">
        <v>1851</v>
      </c>
      <c r="D1801">
        <v>2019</v>
      </c>
      <c r="F1801" t="s">
        <v>1798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f t="shared" si="56"/>
        <v>5.4</v>
      </c>
      <c r="M1801">
        <f t="shared" si="57"/>
        <v>1</v>
      </c>
    </row>
    <row r="1802" spans="1:13" x14ac:dyDescent="0.3">
      <c r="A1802">
        <v>1800</v>
      </c>
      <c r="B1802">
        <v>1801</v>
      </c>
      <c r="C1802" t="s">
        <v>1852</v>
      </c>
      <c r="D1802">
        <v>2016</v>
      </c>
      <c r="F1802" t="s">
        <v>1798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f t="shared" si="56"/>
        <v>5.4</v>
      </c>
      <c r="M1802">
        <f t="shared" si="57"/>
        <v>1</v>
      </c>
    </row>
    <row r="1803" spans="1:13" x14ac:dyDescent="0.3">
      <c r="A1803">
        <v>1801</v>
      </c>
      <c r="B1803">
        <v>1802</v>
      </c>
      <c r="C1803" t="s">
        <v>1853</v>
      </c>
      <c r="D1803">
        <v>2018</v>
      </c>
      <c r="E1803" t="s">
        <v>11</v>
      </c>
      <c r="F1803" t="s">
        <v>1798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f t="shared" si="56"/>
        <v>5.4</v>
      </c>
      <c r="M1803">
        <f t="shared" si="57"/>
        <v>1</v>
      </c>
    </row>
    <row r="1804" spans="1:13" x14ac:dyDescent="0.3">
      <c r="A1804">
        <v>1802</v>
      </c>
      <c r="B1804">
        <v>1803</v>
      </c>
      <c r="C1804" t="s">
        <v>1854</v>
      </c>
      <c r="D1804">
        <v>2016</v>
      </c>
      <c r="F1804" t="s">
        <v>1798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f t="shared" si="56"/>
        <v>5.4</v>
      </c>
      <c r="M1804">
        <f t="shared" si="57"/>
        <v>1</v>
      </c>
    </row>
    <row r="1805" spans="1:13" x14ac:dyDescent="0.3">
      <c r="A1805">
        <v>1803</v>
      </c>
      <c r="B1805">
        <v>1804</v>
      </c>
      <c r="C1805" t="s">
        <v>1855</v>
      </c>
      <c r="D1805">
        <v>2015</v>
      </c>
      <c r="F1805" t="s">
        <v>1798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f t="shared" si="56"/>
        <v>5.4</v>
      </c>
      <c r="M1805">
        <f t="shared" si="57"/>
        <v>1</v>
      </c>
    </row>
    <row r="1806" spans="1:13" x14ac:dyDescent="0.3">
      <c r="A1806">
        <v>1804</v>
      </c>
      <c r="B1806">
        <v>1805</v>
      </c>
      <c r="C1806" t="s">
        <v>1856</v>
      </c>
      <c r="D1806">
        <v>2015</v>
      </c>
      <c r="F1806" t="s">
        <v>1798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f t="shared" si="56"/>
        <v>5.4</v>
      </c>
      <c r="M1806">
        <f t="shared" si="57"/>
        <v>1</v>
      </c>
    </row>
    <row r="1807" spans="1:13" x14ac:dyDescent="0.3">
      <c r="A1807">
        <v>1805</v>
      </c>
      <c r="B1807">
        <v>1806</v>
      </c>
      <c r="C1807" t="s">
        <v>1857</v>
      </c>
      <c r="D1807">
        <v>1993</v>
      </c>
      <c r="E1807" t="s">
        <v>11</v>
      </c>
      <c r="F1807" t="s">
        <v>1798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f t="shared" si="56"/>
        <v>5.4</v>
      </c>
      <c r="M1807">
        <f t="shared" si="57"/>
        <v>1</v>
      </c>
    </row>
    <row r="1808" spans="1:13" x14ac:dyDescent="0.3">
      <c r="A1808">
        <v>1806</v>
      </c>
      <c r="B1808">
        <v>1807</v>
      </c>
      <c r="C1808" t="s">
        <v>1858</v>
      </c>
      <c r="D1808">
        <v>2016</v>
      </c>
      <c r="F1808" t="s">
        <v>1798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f t="shared" si="56"/>
        <v>5.4</v>
      </c>
      <c r="M1808">
        <f t="shared" si="57"/>
        <v>1</v>
      </c>
    </row>
    <row r="1809" spans="1:13" x14ac:dyDescent="0.3">
      <c r="A1809">
        <v>1807</v>
      </c>
      <c r="B1809">
        <v>1808</v>
      </c>
      <c r="C1809" t="s">
        <v>1859</v>
      </c>
      <c r="D1809">
        <v>2020</v>
      </c>
      <c r="E1809" t="s">
        <v>11</v>
      </c>
      <c r="F1809" t="s">
        <v>1798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f t="shared" si="56"/>
        <v>5.4</v>
      </c>
      <c r="M1809">
        <f t="shared" si="57"/>
        <v>1</v>
      </c>
    </row>
    <row r="1810" spans="1:13" x14ac:dyDescent="0.3">
      <c r="A1810">
        <v>1808</v>
      </c>
      <c r="B1810">
        <v>1809</v>
      </c>
      <c r="C1810" t="s">
        <v>1860</v>
      </c>
      <c r="D1810">
        <v>2017</v>
      </c>
      <c r="F1810" t="s">
        <v>1798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f t="shared" si="56"/>
        <v>5.4</v>
      </c>
      <c r="M1810">
        <f t="shared" si="57"/>
        <v>1</v>
      </c>
    </row>
    <row r="1811" spans="1:13" x14ac:dyDescent="0.3">
      <c r="A1811">
        <v>1809</v>
      </c>
      <c r="B1811">
        <v>1810</v>
      </c>
      <c r="C1811" t="s">
        <v>1861</v>
      </c>
      <c r="D1811">
        <v>2020</v>
      </c>
      <c r="F1811" t="s">
        <v>1798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f t="shared" si="56"/>
        <v>5.4</v>
      </c>
      <c r="M1811">
        <f t="shared" si="57"/>
        <v>1</v>
      </c>
    </row>
    <row r="1812" spans="1:13" x14ac:dyDescent="0.3">
      <c r="A1812">
        <v>1810</v>
      </c>
      <c r="B1812">
        <v>1811</v>
      </c>
      <c r="C1812" t="s">
        <v>1862</v>
      </c>
      <c r="D1812">
        <v>2016</v>
      </c>
      <c r="E1812" t="s">
        <v>11</v>
      </c>
      <c r="F1812" t="s">
        <v>1798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f t="shared" si="56"/>
        <v>5.4</v>
      </c>
      <c r="M1812">
        <f t="shared" si="57"/>
        <v>1</v>
      </c>
    </row>
    <row r="1813" spans="1:13" x14ac:dyDescent="0.3">
      <c r="A1813">
        <v>1811</v>
      </c>
      <c r="B1813">
        <v>1812</v>
      </c>
      <c r="C1813" t="s">
        <v>1863</v>
      </c>
      <c r="D1813">
        <v>2015</v>
      </c>
      <c r="F1813" t="s">
        <v>1798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f t="shared" si="56"/>
        <v>5.4</v>
      </c>
      <c r="M1813">
        <f t="shared" si="57"/>
        <v>1</v>
      </c>
    </row>
    <row r="1814" spans="1:13" x14ac:dyDescent="0.3">
      <c r="A1814">
        <v>1812</v>
      </c>
      <c r="B1814">
        <v>1813</v>
      </c>
      <c r="C1814" t="s">
        <v>1864</v>
      </c>
      <c r="D1814">
        <v>2018</v>
      </c>
      <c r="E1814" t="s">
        <v>36</v>
      </c>
      <c r="F1814" t="s">
        <v>1798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f t="shared" si="56"/>
        <v>5.4</v>
      </c>
      <c r="M1814">
        <f t="shared" si="57"/>
        <v>1</v>
      </c>
    </row>
    <row r="1815" spans="1:13" x14ac:dyDescent="0.3">
      <c r="A1815">
        <v>1813</v>
      </c>
      <c r="B1815">
        <v>1814</v>
      </c>
      <c r="C1815" t="s">
        <v>1865</v>
      </c>
      <c r="D1815">
        <v>2005</v>
      </c>
      <c r="F1815" t="s">
        <v>1798</v>
      </c>
      <c r="G1815">
        <v>1</v>
      </c>
      <c r="H1815">
        <v>0</v>
      </c>
      <c r="I1815">
        <v>0</v>
      </c>
      <c r="J1815">
        <v>1</v>
      </c>
      <c r="K1815">
        <v>0</v>
      </c>
      <c r="L1815">
        <f t="shared" si="56"/>
        <v>5.4</v>
      </c>
      <c r="M1815">
        <f t="shared" si="57"/>
        <v>2</v>
      </c>
    </row>
    <row r="1816" spans="1:13" x14ac:dyDescent="0.3">
      <c r="A1816">
        <v>1814</v>
      </c>
      <c r="B1816">
        <v>1815</v>
      </c>
      <c r="C1816" t="s">
        <v>1866</v>
      </c>
      <c r="D1816">
        <v>2018</v>
      </c>
      <c r="F1816" t="s">
        <v>1798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f t="shared" si="56"/>
        <v>5.4</v>
      </c>
      <c r="M1816">
        <f t="shared" si="57"/>
        <v>1</v>
      </c>
    </row>
    <row r="1817" spans="1:13" x14ac:dyDescent="0.3">
      <c r="A1817">
        <v>1815</v>
      </c>
      <c r="B1817">
        <v>1816</v>
      </c>
      <c r="C1817" t="s">
        <v>1867</v>
      </c>
      <c r="D1817">
        <v>2017</v>
      </c>
      <c r="F1817" t="s">
        <v>1798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f t="shared" si="56"/>
        <v>5.4</v>
      </c>
      <c r="M1817">
        <f t="shared" si="57"/>
        <v>1</v>
      </c>
    </row>
    <row r="1818" spans="1:13" x14ac:dyDescent="0.3">
      <c r="A1818">
        <v>1816</v>
      </c>
      <c r="B1818">
        <v>1817</v>
      </c>
      <c r="C1818" t="s">
        <v>1868</v>
      </c>
      <c r="D1818">
        <v>2015</v>
      </c>
      <c r="E1818" t="s">
        <v>14</v>
      </c>
      <c r="F1818" t="s">
        <v>1798</v>
      </c>
      <c r="G1818">
        <v>1</v>
      </c>
      <c r="H1818">
        <v>0</v>
      </c>
      <c r="I1818">
        <v>1</v>
      </c>
      <c r="J1818">
        <v>0</v>
      </c>
      <c r="K1818">
        <v>0</v>
      </c>
      <c r="L1818">
        <f t="shared" si="56"/>
        <v>5.4</v>
      </c>
      <c r="M1818">
        <f t="shared" si="57"/>
        <v>2</v>
      </c>
    </row>
    <row r="1819" spans="1:13" x14ac:dyDescent="0.3">
      <c r="A1819">
        <v>1817</v>
      </c>
      <c r="B1819">
        <v>1818</v>
      </c>
      <c r="C1819" t="s">
        <v>1869</v>
      </c>
      <c r="D1819">
        <v>2019</v>
      </c>
      <c r="F1819" t="s">
        <v>1798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f t="shared" si="56"/>
        <v>5.4</v>
      </c>
      <c r="M1819">
        <f t="shared" si="57"/>
        <v>1</v>
      </c>
    </row>
    <row r="1820" spans="1:13" x14ac:dyDescent="0.3">
      <c r="A1820">
        <v>1818</v>
      </c>
      <c r="B1820">
        <v>1819</v>
      </c>
      <c r="C1820" t="s">
        <v>1870</v>
      </c>
      <c r="D1820">
        <v>2019</v>
      </c>
      <c r="E1820" t="s">
        <v>28</v>
      </c>
      <c r="F1820" t="s">
        <v>1798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f t="shared" si="56"/>
        <v>5.4</v>
      </c>
      <c r="M1820">
        <f t="shared" si="57"/>
        <v>1</v>
      </c>
    </row>
    <row r="1821" spans="1:13" x14ac:dyDescent="0.3">
      <c r="A1821">
        <v>1819</v>
      </c>
      <c r="B1821">
        <v>1820</v>
      </c>
      <c r="C1821" t="s">
        <v>1871</v>
      </c>
      <c r="D1821">
        <v>2021</v>
      </c>
      <c r="F1821" t="s">
        <v>1798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f t="shared" si="56"/>
        <v>5.4</v>
      </c>
      <c r="M1821">
        <f t="shared" si="57"/>
        <v>1</v>
      </c>
    </row>
    <row r="1822" spans="1:13" x14ac:dyDescent="0.3">
      <c r="A1822">
        <v>1820</v>
      </c>
      <c r="B1822">
        <v>1821</v>
      </c>
      <c r="C1822" t="s">
        <v>1872</v>
      </c>
      <c r="D1822">
        <v>2020</v>
      </c>
      <c r="E1822" t="s">
        <v>36</v>
      </c>
      <c r="F1822" t="s">
        <v>1798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f t="shared" si="56"/>
        <v>5.4</v>
      </c>
      <c r="M1822">
        <f t="shared" si="57"/>
        <v>1</v>
      </c>
    </row>
    <row r="1823" spans="1:13" x14ac:dyDescent="0.3">
      <c r="A1823">
        <v>1821</v>
      </c>
      <c r="B1823">
        <v>1822</v>
      </c>
      <c r="C1823" t="s">
        <v>1873</v>
      </c>
      <c r="D1823">
        <v>2019</v>
      </c>
      <c r="E1823" t="s">
        <v>11</v>
      </c>
      <c r="F1823" t="s">
        <v>1798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f t="shared" si="56"/>
        <v>5.4</v>
      </c>
      <c r="M1823">
        <f t="shared" si="57"/>
        <v>1</v>
      </c>
    </row>
    <row r="1824" spans="1:13" x14ac:dyDescent="0.3">
      <c r="A1824">
        <v>1822</v>
      </c>
      <c r="B1824">
        <v>1823</v>
      </c>
      <c r="C1824" t="s">
        <v>1874</v>
      </c>
      <c r="D1824">
        <v>2005</v>
      </c>
      <c r="E1824" t="s">
        <v>14</v>
      </c>
      <c r="F1824" t="s">
        <v>1798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f t="shared" si="56"/>
        <v>5.4</v>
      </c>
      <c r="M1824">
        <f t="shared" si="57"/>
        <v>1</v>
      </c>
    </row>
    <row r="1825" spans="1:13" x14ac:dyDescent="0.3">
      <c r="A1825">
        <v>1823</v>
      </c>
      <c r="B1825">
        <v>1824</v>
      </c>
      <c r="C1825" t="s">
        <v>1875</v>
      </c>
      <c r="D1825">
        <v>2019</v>
      </c>
      <c r="F1825" t="s">
        <v>1798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f t="shared" si="56"/>
        <v>5.4</v>
      </c>
      <c r="M1825">
        <f t="shared" si="57"/>
        <v>1</v>
      </c>
    </row>
    <row r="1826" spans="1:13" x14ac:dyDescent="0.3">
      <c r="A1826">
        <v>1824</v>
      </c>
      <c r="B1826">
        <v>1825</v>
      </c>
      <c r="C1826" t="s">
        <v>1876</v>
      </c>
      <c r="D1826">
        <v>2014</v>
      </c>
      <c r="F1826" t="s">
        <v>1798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f t="shared" si="56"/>
        <v>5.4</v>
      </c>
      <c r="M1826">
        <f t="shared" si="57"/>
        <v>1</v>
      </c>
    </row>
    <row r="1827" spans="1:13" x14ac:dyDescent="0.3">
      <c r="A1827">
        <v>1825</v>
      </c>
      <c r="B1827">
        <v>1826</v>
      </c>
      <c r="C1827" t="s">
        <v>1877</v>
      </c>
      <c r="D1827">
        <v>2021</v>
      </c>
      <c r="F1827" t="s">
        <v>1798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f t="shared" si="56"/>
        <v>5.4</v>
      </c>
      <c r="M1827">
        <f t="shared" si="57"/>
        <v>1</v>
      </c>
    </row>
    <row r="1828" spans="1:13" x14ac:dyDescent="0.3">
      <c r="A1828">
        <v>1826</v>
      </c>
      <c r="B1828">
        <v>1827</v>
      </c>
      <c r="C1828" t="s">
        <v>1878</v>
      </c>
      <c r="D1828">
        <v>2012</v>
      </c>
      <c r="E1828" t="s">
        <v>14</v>
      </c>
      <c r="F1828" t="s">
        <v>1798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f t="shared" si="56"/>
        <v>5.4</v>
      </c>
      <c r="M1828">
        <f t="shared" si="57"/>
        <v>1</v>
      </c>
    </row>
    <row r="1829" spans="1:13" x14ac:dyDescent="0.3">
      <c r="A1829">
        <v>1827</v>
      </c>
      <c r="B1829">
        <v>1828</v>
      </c>
      <c r="C1829" t="s">
        <v>1879</v>
      </c>
      <c r="D1829">
        <v>2015</v>
      </c>
      <c r="E1829" t="s">
        <v>14</v>
      </c>
      <c r="F1829" t="s">
        <v>1798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f t="shared" si="56"/>
        <v>5.4</v>
      </c>
      <c r="M1829">
        <f t="shared" si="57"/>
        <v>1</v>
      </c>
    </row>
    <row r="1830" spans="1:13" x14ac:dyDescent="0.3">
      <c r="A1830">
        <v>1828</v>
      </c>
      <c r="B1830">
        <v>1829</v>
      </c>
      <c r="C1830" t="s">
        <v>1880</v>
      </c>
      <c r="D1830">
        <v>2016</v>
      </c>
      <c r="E1830" t="s">
        <v>28</v>
      </c>
      <c r="F1830" t="s">
        <v>1798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f t="shared" si="56"/>
        <v>5.4</v>
      </c>
      <c r="M1830">
        <f t="shared" si="57"/>
        <v>1</v>
      </c>
    </row>
    <row r="1831" spans="1:13" x14ac:dyDescent="0.3">
      <c r="A1831">
        <v>1829</v>
      </c>
      <c r="B1831">
        <v>1830</v>
      </c>
      <c r="C1831" t="s">
        <v>1881</v>
      </c>
      <c r="D1831">
        <v>2021</v>
      </c>
      <c r="F1831" t="s">
        <v>1798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f t="shared" si="56"/>
        <v>5.4</v>
      </c>
      <c r="M1831">
        <f t="shared" si="57"/>
        <v>1</v>
      </c>
    </row>
    <row r="1832" spans="1:13" x14ac:dyDescent="0.3">
      <c r="A1832">
        <v>1830</v>
      </c>
      <c r="B1832">
        <v>1831</v>
      </c>
      <c r="C1832" t="s">
        <v>1882</v>
      </c>
      <c r="D1832">
        <v>2015</v>
      </c>
      <c r="F1832" t="s">
        <v>1798</v>
      </c>
      <c r="G1832">
        <v>1</v>
      </c>
      <c r="H1832">
        <v>1</v>
      </c>
      <c r="I1832">
        <v>1</v>
      </c>
      <c r="J1832">
        <v>0</v>
      </c>
      <c r="K1832">
        <v>0</v>
      </c>
      <c r="L1832">
        <f t="shared" si="56"/>
        <v>5.4</v>
      </c>
      <c r="M1832">
        <f t="shared" si="57"/>
        <v>3</v>
      </c>
    </row>
    <row r="1833" spans="1:13" x14ac:dyDescent="0.3">
      <c r="A1833">
        <v>1831</v>
      </c>
      <c r="B1833">
        <v>1832</v>
      </c>
      <c r="C1833" t="s">
        <v>1883</v>
      </c>
      <c r="D1833">
        <v>2020</v>
      </c>
      <c r="F1833" t="s">
        <v>1798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f t="shared" si="56"/>
        <v>5.4</v>
      </c>
      <c r="M1833">
        <f t="shared" si="57"/>
        <v>1</v>
      </c>
    </row>
    <row r="1834" spans="1:13" x14ac:dyDescent="0.3">
      <c r="A1834">
        <v>1832</v>
      </c>
      <c r="B1834">
        <v>1833</v>
      </c>
      <c r="C1834" t="s">
        <v>1884</v>
      </c>
      <c r="D1834">
        <v>2017</v>
      </c>
      <c r="E1834" t="s">
        <v>11</v>
      </c>
      <c r="F1834" t="s">
        <v>1798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f t="shared" si="56"/>
        <v>5.4</v>
      </c>
      <c r="M1834">
        <f t="shared" si="57"/>
        <v>1</v>
      </c>
    </row>
    <row r="1835" spans="1:13" x14ac:dyDescent="0.3">
      <c r="A1835">
        <v>1833</v>
      </c>
      <c r="B1835">
        <v>1834</v>
      </c>
      <c r="C1835" t="s">
        <v>1885</v>
      </c>
      <c r="D1835">
        <v>2020</v>
      </c>
      <c r="F1835" t="s">
        <v>1798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f t="shared" si="56"/>
        <v>5.4</v>
      </c>
      <c r="M1835">
        <f t="shared" si="57"/>
        <v>1</v>
      </c>
    </row>
    <row r="1836" spans="1:13" x14ac:dyDescent="0.3">
      <c r="A1836">
        <v>1834</v>
      </c>
      <c r="B1836">
        <v>1835</v>
      </c>
      <c r="C1836" t="s">
        <v>1886</v>
      </c>
      <c r="D1836">
        <v>2018</v>
      </c>
      <c r="E1836" t="s">
        <v>14</v>
      </c>
      <c r="F1836" t="s">
        <v>1798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f t="shared" si="56"/>
        <v>5.4</v>
      </c>
      <c r="M1836">
        <f t="shared" si="57"/>
        <v>1</v>
      </c>
    </row>
    <row r="1837" spans="1:13" x14ac:dyDescent="0.3">
      <c r="A1837">
        <v>1835</v>
      </c>
      <c r="B1837">
        <v>1836</v>
      </c>
      <c r="C1837" t="s">
        <v>1887</v>
      </c>
      <c r="D1837">
        <v>2016</v>
      </c>
      <c r="E1837" t="s">
        <v>11</v>
      </c>
      <c r="F1837" t="s">
        <v>1798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f t="shared" si="56"/>
        <v>5.4</v>
      </c>
      <c r="M1837">
        <f t="shared" si="57"/>
        <v>1</v>
      </c>
    </row>
    <row r="1838" spans="1:13" x14ac:dyDescent="0.3">
      <c r="A1838">
        <v>1836</v>
      </c>
      <c r="B1838">
        <v>1837</v>
      </c>
      <c r="C1838" t="s">
        <v>1888</v>
      </c>
      <c r="D1838">
        <v>2017</v>
      </c>
      <c r="F1838" t="s">
        <v>1798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f t="shared" si="56"/>
        <v>5.4</v>
      </c>
      <c r="M1838">
        <f t="shared" si="57"/>
        <v>1</v>
      </c>
    </row>
    <row r="1839" spans="1:13" x14ac:dyDescent="0.3">
      <c r="A1839">
        <v>1837</v>
      </c>
      <c r="B1839">
        <v>1838</v>
      </c>
      <c r="C1839" t="s">
        <v>1889</v>
      </c>
      <c r="D1839">
        <v>2013</v>
      </c>
      <c r="E1839" t="s">
        <v>22</v>
      </c>
      <c r="F1839" t="s">
        <v>1890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f t="shared" si="56"/>
        <v>5.3</v>
      </c>
      <c r="M1839">
        <f t="shared" si="57"/>
        <v>1</v>
      </c>
    </row>
    <row r="1840" spans="1:13" x14ac:dyDescent="0.3">
      <c r="A1840">
        <v>1838</v>
      </c>
      <c r="B1840">
        <v>1839</v>
      </c>
      <c r="C1840" t="s">
        <v>1891</v>
      </c>
      <c r="D1840">
        <v>2013</v>
      </c>
      <c r="E1840" t="s">
        <v>14</v>
      </c>
      <c r="F1840" t="s">
        <v>1890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f t="shared" si="56"/>
        <v>5.3</v>
      </c>
      <c r="M1840">
        <f t="shared" si="57"/>
        <v>1</v>
      </c>
    </row>
    <row r="1841" spans="1:13" x14ac:dyDescent="0.3">
      <c r="A1841">
        <v>1839</v>
      </c>
      <c r="B1841">
        <v>1840</v>
      </c>
      <c r="C1841" t="s">
        <v>1892</v>
      </c>
      <c r="D1841">
        <v>2019</v>
      </c>
      <c r="E1841" t="s">
        <v>28</v>
      </c>
      <c r="F1841" t="s">
        <v>1890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f t="shared" si="56"/>
        <v>5.3</v>
      </c>
      <c r="M1841">
        <f t="shared" si="57"/>
        <v>1</v>
      </c>
    </row>
    <row r="1842" spans="1:13" x14ac:dyDescent="0.3">
      <c r="A1842">
        <v>1840</v>
      </c>
      <c r="B1842">
        <v>1841</v>
      </c>
      <c r="C1842" t="s">
        <v>1893</v>
      </c>
      <c r="D1842">
        <v>2019</v>
      </c>
      <c r="F1842" t="s">
        <v>1890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f t="shared" si="56"/>
        <v>5.3</v>
      </c>
      <c r="M1842">
        <f t="shared" si="57"/>
        <v>1</v>
      </c>
    </row>
    <row r="1843" spans="1:13" x14ac:dyDescent="0.3">
      <c r="A1843">
        <v>1841</v>
      </c>
      <c r="B1843">
        <v>1842</v>
      </c>
      <c r="C1843" t="s">
        <v>1894</v>
      </c>
      <c r="D1843">
        <v>2016</v>
      </c>
      <c r="F1843" t="s">
        <v>1890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f t="shared" si="56"/>
        <v>5.3</v>
      </c>
      <c r="M1843">
        <f t="shared" si="57"/>
        <v>1</v>
      </c>
    </row>
    <row r="1844" spans="1:13" x14ac:dyDescent="0.3">
      <c r="A1844">
        <v>1842</v>
      </c>
      <c r="B1844">
        <v>1843</v>
      </c>
      <c r="C1844" t="s">
        <v>1895</v>
      </c>
      <c r="D1844">
        <v>2021</v>
      </c>
      <c r="F1844" t="s">
        <v>1890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f t="shared" si="56"/>
        <v>5.3</v>
      </c>
      <c r="M1844">
        <f t="shared" si="57"/>
        <v>1</v>
      </c>
    </row>
    <row r="1845" spans="1:13" x14ac:dyDescent="0.3">
      <c r="A1845">
        <v>1843</v>
      </c>
      <c r="B1845">
        <v>1844</v>
      </c>
      <c r="C1845" t="s">
        <v>1896</v>
      </c>
      <c r="D1845">
        <v>2018</v>
      </c>
      <c r="E1845" t="s">
        <v>11</v>
      </c>
      <c r="F1845" t="s">
        <v>1890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f t="shared" si="56"/>
        <v>5.3</v>
      </c>
      <c r="M1845">
        <f t="shared" si="57"/>
        <v>1</v>
      </c>
    </row>
    <row r="1846" spans="1:13" x14ac:dyDescent="0.3">
      <c r="A1846">
        <v>1844</v>
      </c>
      <c r="B1846">
        <v>1845</v>
      </c>
      <c r="C1846" t="s">
        <v>1897</v>
      </c>
      <c r="D1846">
        <v>1963</v>
      </c>
      <c r="F1846" t="s">
        <v>1890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f t="shared" si="56"/>
        <v>5.3</v>
      </c>
      <c r="M1846">
        <f t="shared" si="57"/>
        <v>1</v>
      </c>
    </row>
    <row r="1847" spans="1:13" x14ac:dyDescent="0.3">
      <c r="A1847">
        <v>1845</v>
      </c>
      <c r="B1847">
        <v>1846</v>
      </c>
      <c r="C1847" t="s">
        <v>1898</v>
      </c>
      <c r="D1847">
        <v>2021</v>
      </c>
      <c r="F1847" t="s">
        <v>1890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f t="shared" si="56"/>
        <v>5.3</v>
      </c>
      <c r="M1847">
        <f t="shared" si="57"/>
        <v>1</v>
      </c>
    </row>
    <row r="1848" spans="1:13" x14ac:dyDescent="0.3">
      <c r="A1848">
        <v>1846</v>
      </c>
      <c r="B1848">
        <v>1847</v>
      </c>
      <c r="C1848" t="s">
        <v>1899</v>
      </c>
      <c r="D1848">
        <v>2015</v>
      </c>
      <c r="E1848" t="s">
        <v>14</v>
      </c>
      <c r="F1848" t="s">
        <v>1890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f t="shared" si="56"/>
        <v>5.3</v>
      </c>
      <c r="M1848">
        <f t="shared" si="57"/>
        <v>1</v>
      </c>
    </row>
    <row r="1849" spans="1:13" x14ac:dyDescent="0.3">
      <c r="A1849">
        <v>1847</v>
      </c>
      <c r="B1849">
        <v>1848</v>
      </c>
      <c r="C1849" t="s">
        <v>1900</v>
      </c>
      <c r="D1849">
        <v>2016</v>
      </c>
      <c r="E1849" t="s">
        <v>14</v>
      </c>
      <c r="F1849" t="s">
        <v>1890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f t="shared" si="56"/>
        <v>5.3</v>
      </c>
      <c r="M1849">
        <f t="shared" si="57"/>
        <v>1</v>
      </c>
    </row>
    <row r="1850" spans="1:13" x14ac:dyDescent="0.3">
      <c r="A1850">
        <v>1848</v>
      </c>
      <c r="B1850">
        <v>1849</v>
      </c>
      <c r="C1850" t="s">
        <v>1901</v>
      </c>
      <c r="D1850">
        <v>2019</v>
      </c>
      <c r="F1850" t="s">
        <v>1890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f t="shared" si="56"/>
        <v>5.3</v>
      </c>
      <c r="M1850">
        <f t="shared" si="57"/>
        <v>1</v>
      </c>
    </row>
    <row r="1851" spans="1:13" x14ac:dyDescent="0.3">
      <c r="A1851">
        <v>1849</v>
      </c>
      <c r="B1851">
        <v>1850</v>
      </c>
      <c r="C1851" t="s">
        <v>1902</v>
      </c>
      <c r="D1851">
        <v>2017</v>
      </c>
      <c r="E1851" t="s">
        <v>11</v>
      </c>
      <c r="F1851" t="s">
        <v>1890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f t="shared" si="56"/>
        <v>5.3</v>
      </c>
      <c r="M1851">
        <f t="shared" si="57"/>
        <v>1</v>
      </c>
    </row>
    <row r="1852" spans="1:13" x14ac:dyDescent="0.3">
      <c r="A1852">
        <v>1850</v>
      </c>
      <c r="B1852">
        <v>1851</v>
      </c>
      <c r="C1852" t="s">
        <v>1903</v>
      </c>
      <c r="D1852">
        <v>2015</v>
      </c>
      <c r="F1852" t="s">
        <v>1890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f t="shared" si="56"/>
        <v>5.3</v>
      </c>
      <c r="M1852">
        <f t="shared" si="57"/>
        <v>1</v>
      </c>
    </row>
    <row r="1853" spans="1:13" x14ac:dyDescent="0.3">
      <c r="A1853">
        <v>1851</v>
      </c>
      <c r="B1853">
        <v>1852</v>
      </c>
      <c r="C1853" t="s">
        <v>1904</v>
      </c>
      <c r="D1853">
        <v>2019</v>
      </c>
      <c r="E1853" t="s">
        <v>11</v>
      </c>
      <c r="F1853" t="s">
        <v>1890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f t="shared" si="56"/>
        <v>5.3</v>
      </c>
      <c r="M1853">
        <f t="shared" si="57"/>
        <v>1</v>
      </c>
    </row>
    <row r="1854" spans="1:13" x14ac:dyDescent="0.3">
      <c r="A1854">
        <v>1852</v>
      </c>
      <c r="B1854">
        <v>1853</v>
      </c>
      <c r="C1854" t="s">
        <v>1905</v>
      </c>
      <c r="D1854">
        <v>2017</v>
      </c>
      <c r="E1854" t="s">
        <v>14</v>
      </c>
      <c r="F1854" t="s">
        <v>1890</v>
      </c>
      <c r="G1854">
        <v>1</v>
      </c>
      <c r="H1854">
        <v>0</v>
      </c>
      <c r="I1854">
        <v>1</v>
      </c>
      <c r="J1854">
        <v>0</v>
      </c>
      <c r="K1854">
        <v>0</v>
      </c>
      <c r="L1854">
        <f t="shared" si="56"/>
        <v>5.3</v>
      </c>
      <c r="M1854">
        <f t="shared" si="57"/>
        <v>2</v>
      </c>
    </row>
    <row r="1855" spans="1:13" x14ac:dyDescent="0.3">
      <c r="A1855">
        <v>1853</v>
      </c>
      <c r="B1855">
        <v>1854</v>
      </c>
      <c r="C1855" t="s">
        <v>1906</v>
      </c>
      <c r="D1855">
        <v>2017</v>
      </c>
      <c r="F1855" t="s">
        <v>1890</v>
      </c>
      <c r="G1855">
        <v>1</v>
      </c>
      <c r="H1855">
        <v>0</v>
      </c>
      <c r="I1855">
        <v>1</v>
      </c>
      <c r="J1855">
        <v>0</v>
      </c>
      <c r="K1855">
        <v>0</v>
      </c>
      <c r="L1855">
        <f t="shared" si="56"/>
        <v>5.3</v>
      </c>
      <c r="M1855">
        <f t="shared" si="57"/>
        <v>2</v>
      </c>
    </row>
    <row r="1856" spans="1:13" x14ac:dyDescent="0.3">
      <c r="A1856">
        <v>1854</v>
      </c>
      <c r="B1856">
        <v>1855</v>
      </c>
      <c r="C1856" t="s">
        <v>1907</v>
      </c>
      <c r="D1856">
        <v>2015</v>
      </c>
      <c r="F1856" t="s">
        <v>1890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f t="shared" si="56"/>
        <v>5.3</v>
      </c>
      <c r="M1856">
        <f t="shared" si="57"/>
        <v>1</v>
      </c>
    </row>
    <row r="1857" spans="1:13" x14ac:dyDescent="0.3">
      <c r="A1857">
        <v>1855</v>
      </c>
      <c r="B1857">
        <v>1856</v>
      </c>
      <c r="C1857" t="s">
        <v>1908</v>
      </c>
      <c r="D1857">
        <v>1976</v>
      </c>
      <c r="F1857" t="s">
        <v>1890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f t="shared" si="56"/>
        <v>5.3</v>
      </c>
      <c r="M1857">
        <f t="shared" si="57"/>
        <v>1</v>
      </c>
    </row>
    <row r="1858" spans="1:13" x14ac:dyDescent="0.3">
      <c r="A1858">
        <v>1856</v>
      </c>
      <c r="B1858">
        <v>1857</v>
      </c>
      <c r="C1858" t="s">
        <v>1909</v>
      </c>
      <c r="D1858">
        <v>2017</v>
      </c>
      <c r="E1858" t="s">
        <v>14</v>
      </c>
      <c r="F1858" t="s">
        <v>1890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f t="shared" si="56"/>
        <v>5.3</v>
      </c>
      <c r="M1858">
        <f t="shared" si="57"/>
        <v>1</v>
      </c>
    </row>
    <row r="1859" spans="1:13" x14ac:dyDescent="0.3">
      <c r="A1859">
        <v>1857</v>
      </c>
      <c r="B1859">
        <v>1858</v>
      </c>
      <c r="C1859" t="s">
        <v>1910</v>
      </c>
      <c r="D1859">
        <v>1999</v>
      </c>
      <c r="E1859" t="s">
        <v>36</v>
      </c>
      <c r="F1859" t="s">
        <v>1890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f t="shared" ref="L1859:L1922" si="58">IFERROR(VALUE(LEFT(F1859,FIND("/",F1859)-1))/10,"")</f>
        <v>5.3</v>
      </c>
      <c r="M1859">
        <f t="shared" ref="M1859:M1922" si="59">SUM(G1859:J1859)</f>
        <v>1</v>
      </c>
    </row>
    <row r="1860" spans="1:13" x14ac:dyDescent="0.3">
      <c r="A1860">
        <v>1858</v>
      </c>
      <c r="B1860">
        <v>1859</v>
      </c>
      <c r="C1860" t="s">
        <v>1911</v>
      </c>
      <c r="D1860">
        <v>2006</v>
      </c>
      <c r="F1860" t="s">
        <v>1890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f t="shared" si="58"/>
        <v>5.3</v>
      </c>
      <c r="M1860">
        <f t="shared" si="59"/>
        <v>1</v>
      </c>
    </row>
    <row r="1861" spans="1:13" x14ac:dyDescent="0.3">
      <c r="A1861">
        <v>1859</v>
      </c>
      <c r="B1861">
        <v>1860</v>
      </c>
      <c r="C1861" t="s">
        <v>1912</v>
      </c>
      <c r="D1861">
        <v>2020</v>
      </c>
      <c r="E1861" t="s">
        <v>22</v>
      </c>
      <c r="F1861" t="s">
        <v>1890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f t="shared" si="58"/>
        <v>5.3</v>
      </c>
      <c r="M1861">
        <f t="shared" si="59"/>
        <v>1</v>
      </c>
    </row>
    <row r="1862" spans="1:13" x14ac:dyDescent="0.3">
      <c r="A1862">
        <v>1860</v>
      </c>
      <c r="B1862">
        <v>1861</v>
      </c>
      <c r="C1862" t="s">
        <v>1913</v>
      </c>
      <c r="D1862">
        <v>2021</v>
      </c>
      <c r="F1862" t="s">
        <v>1890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f t="shared" si="58"/>
        <v>5.3</v>
      </c>
      <c r="M1862">
        <f t="shared" si="59"/>
        <v>1</v>
      </c>
    </row>
    <row r="1863" spans="1:13" x14ac:dyDescent="0.3">
      <c r="A1863">
        <v>1861</v>
      </c>
      <c r="B1863">
        <v>1862</v>
      </c>
      <c r="C1863" t="s">
        <v>1914</v>
      </c>
      <c r="D1863">
        <v>2020</v>
      </c>
      <c r="E1863" t="s">
        <v>11</v>
      </c>
      <c r="F1863" t="s">
        <v>1890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f t="shared" si="58"/>
        <v>5.3</v>
      </c>
      <c r="M1863">
        <f t="shared" si="59"/>
        <v>1</v>
      </c>
    </row>
    <row r="1864" spans="1:13" x14ac:dyDescent="0.3">
      <c r="A1864">
        <v>1862</v>
      </c>
      <c r="B1864">
        <v>1863</v>
      </c>
      <c r="C1864" t="s">
        <v>1915</v>
      </c>
      <c r="D1864">
        <v>2020</v>
      </c>
      <c r="E1864" t="s">
        <v>28</v>
      </c>
      <c r="F1864" t="s">
        <v>1890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f t="shared" si="58"/>
        <v>5.3</v>
      </c>
      <c r="M1864">
        <f t="shared" si="59"/>
        <v>1</v>
      </c>
    </row>
    <row r="1865" spans="1:13" x14ac:dyDescent="0.3">
      <c r="A1865">
        <v>1863</v>
      </c>
      <c r="B1865">
        <v>1864</v>
      </c>
      <c r="C1865" t="s">
        <v>1916</v>
      </c>
      <c r="D1865">
        <v>2015</v>
      </c>
      <c r="F1865" t="s">
        <v>1890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f t="shared" si="58"/>
        <v>5.3</v>
      </c>
      <c r="M1865">
        <f t="shared" si="59"/>
        <v>1</v>
      </c>
    </row>
    <row r="1866" spans="1:13" x14ac:dyDescent="0.3">
      <c r="A1866">
        <v>1864</v>
      </c>
      <c r="B1866">
        <v>1865</v>
      </c>
      <c r="C1866" t="s">
        <v>1917</v>
      </c>
      <c r="D1866">
        <v>2019</v>
      </c>
      <c r="F1866" t="s">
        <v>1890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f t="shared" si="58"/>
        <v>5.3</v>
      </c>
      <c r="M1866">
        <f t="shared" si="59"/>
        <v>1</v>
      </c>
    </row>
    <row r="1867" spans="1:13" x14ac:dyDescent="0.3">
      <c r="A1867">
        <v>1865</v>
      </c>
      <c r="B1867">
        <v>1866</v>
      </c>
      <c r="C1867" t="s">
        <v>1918</v>
      </c>
      <c r="D1867">
        <v>2014</v>
      </c>
      <c r="F1867" t="s">
        <v>1890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f t="shared" si="58"/>
        <v>5.3</v>
      </c>
      <c r="M1867">
        <f t="shared" si="59"/>
        <v>1</v>
      </c>
    </row>
    <row r="1868" spans="1:13" x14ac:dyDescent="0.3">
      <c r="A1868">
        <v>1866</v>
      </c>
      <c r="B1868">
        <v>1867</v>
      </c>
      <c r="C1868" t="s">
        <v>1919</v>
      </c>
      <c r="D1868">
        <v>2020</v>
      </c>
      <c r="F1868" t="s">
        <v>1890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f t="shared" si="58"/>
        <v>5.3</v>
      </c>
      <c r="M1868">
        <f t="shared" si="59"/>
        <v>1</v>
      </c>
    </row>
    <row r="1869" spans="1:13" x14ac:dyDescent="0.3">
      <c r="A1869">
        <v>1867</v>
      </c>
      <c r="B1869">
        <v>1868</v>
      </c>
      <c r="C1869" t="s">
        <v>1920</v>
      </c>
      <c r="D1869">
        <v>2019</v>
      </c>
      <c r="F1869" t="s">
        <v>1890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f t="shared" si="58"/>
        <v>5.3</v>
      </c>
      <c r="M1869">
        <f t="shared" si="59"/>
        <v>1</v>
      </c>
    </row>
    <row r="1870" spans="1:13" x14ac:dyDescent="0.3">
      <c r="A1870">
        <v>1868</v>
      </c>
      <c r="B1870">
        <v>1869</v>
      </c>
      <c r="C1870" t="s">
        <v>1921</v>
      </c>
      <c r="D1870">
        <v>2020</v>
      </c>
      <c r="F1870" t="s">
        <v>1890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f t="shared" si="58"/>
        <v>5.3</v>
      </c>
      <c r="M1870">
        <f t="shared" si="59"/>
        <v>1</v>
      </c>
    </row>
    <row r="1871" spans="1:13" x14ac:dyDescent="0.3">
      <c r="A1871">
        <v>1869</v>
      </c>
      <c r="B1871">
        <v>1870</v>
      </c>
      <c r="C1871" t="s">
        <v>1922</v>
      </c>
      <c r="D1871">
        <v>2013</v>
      </c>
      <c r="E1871" t="s">
        <v>14</v>
      </c>
      <c r="F1871" t="s">
        <v>1890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f t="shared" si="58"/>
        <v>5.3</v>
      </c>
      <c r="M1871">
        <f t="shared" si="59"/>
        <v>1</v>
      </c>
    </row>
    <row r="1872" spans="1:13" x14ac:dyDescent="0.3">
      <c r="A1872">
        <v>1870</v>
      </c>
      <c r="B1872">
        <v>1871</v>
      </c>
      <c r="C1872" t="s">
        <v>1923</v>
      </c>
      <c r="D1872">
        <v>2020</v>
      </c>
      <c r="E1872" t="s">
        <v>36</v>
      </c>
      <c r="F1872" t="s">
        <v>1890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f t="shared" si="58"/>
        <v>5.3</v>
      </c>
      <c r="M1872">
        <f t="shared" si="59"/>
        <v>1</v>
      </c>
    </row>
    <row r="1873" spans="1:13" x14ac:dyDescent="0.3">
      <c r="A1873">
        <v>1871</v>
      </c>
      <c r="B1873">
        <v>1872</v>
      </c>
      <c r="C1873" t="s">
        <v>1924</v>
      </c>
      <c r="D1873">
        <v>2015</v>
      </c>
      <c r="E1873" t="s">
        <v>11</v>
      </c>
      <c r="F1873" t="s">
        <v>1890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f t="shared" si="58"/>
        <v>5.3</v>
      </c>
      <c r="M1873">
        <f t="shared" si="59"/>
        <v>1</v>
      </c>
    </row>
    <row r="1874" spans="1:13" x14ac:dyDescent="0.3">
      <c r="A1874">
        <v>1872</v>
      </c>
      <c r="B1874">
        <v>1873</v>
      </c>
      <c r="C1874" t="s">
        <v>1925</v>
      </c>
      <c r="D1874">
        <v>1999</v>
      </c>
      <c r="E1874" t="s">
        <v>22</v>
      </c>
      <c r="F1874" t="s">
        <v>1890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f t="shared" si="58"/>
        <v>5.3</v>
      </c>
      <c r="M1874">
        <f t="shared" si="59"/>
        <v>1</v>
      </c>
    </row>
    <row r="1875" spans="1:13" x14ac:dyDescent="0.3">
      <c r="A1875">
        <v>1873</v>
      </c>
      <c r="B1875">
        <v>1874</v>
      </c>
      <c r="C1875" t="s">
        <v>1926</v>
      </c>
      <c r="D1875">
        <v>2014</v>
      </c>
      <c r="F1875" t="s">
        <v>1890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f t="shared" si="58"/>
        <v>5.3</v>
      </c>
      <c r="M1875">
        <f t="shared" si="59"/>
        <v>1</v>
      </c>
    </row>
    <row r="1876" spans="1:13" x14ac:dyDescent="0.3">
      <c r="A1876">
        <v>1874</v>
      </c>
      <c r="B1876">
        <v>1875</v>
      </c>
      <c r="C1876" t="s">
        <v>1927</v>
      </c>
      <c r="D1876">
        <v>2019</v>
      </c>
      <c r="F1876" t="s">
        <v>1890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f t="shared" si="58"/>
        <v>5.3</v>
      </c>
      <c r="M1876">
        <f t="shared" si="59"/>
        <v>1</v>
      </c>
    </row>
    <row r="1877" spans="1:13" x14ac:dyDescent="0.3">
      <c r="A1877">
        <v>1875</v>
      </c>
      <c r="B1877">
        <v>1876</v>
      </c>
      <c r="C1877" t="s">
        <v>1928</v>
      </c>
      <c r="D1877">
        <v>2017</v>
      </c>
      <c r="F1877" t="s">
        <v>1890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f t="shared" si="58"/>
        <v>5.3</v>
      </c>
      <c r="M1877">
        <f t="shared" si="59"/>
        <v>1</v>
      </c>
    </row>
    <row r="1878" spans="1:13" x14ac:dyDescent="0.3">
      <c r="A1878">
        <v>1876</v>
      </c>
      <c r="B1878">
        <v>1877</v>
      </c>
      <c r="C1878" t="s">
        <v>1929</v>
      </c>
      <c r="D1878">
        <v>2019</v>
      </c>
      <c r="F1878" t="s">
        <v>1890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f t="shared" si="58"/>
        <v>5.3</v>
      </c>
      <c r="M1878">
        <f t="shared" si="59"/>
        <v>1</v>
      </c>
    </row>
    <row r="1879" spans="1:13" x14ac:dyDescent="0.3">
      <c r="A1879">
        <v>1877</v>
      </c>
      <c r="B1879">
        <v>1878</v>
      </c>
      <c r="C1879" t="s">
        <v>1930</v>
      </c>
      <c r="D1879">
        <v>2016</v>
      </c>
      <c r="E1879" t="s">
        <v>14</v>
      </c>
      <c r="F1879" t="s">
        <v>1890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f t="shared" si="58"/>
        <v>5.3</v>
      </c>
      <c r="M1879">
        <f t="shared" si="59"/>
        <v>1</v>
      </c>
    </row>
    <row r="1880" spans="1:13" x14ac:dyDescent="0.3">
      <c r="A1880">
        <v>1878</v>
      </c>
      <c r="B1880">
        <v>1879</v>
      </c>
      <c r="C1880" t="s">
        <v>1931</v>
      </c>
      <c r="D1880">
        <v>2016</v>
      </c>
      <c r="F1880" t="s">
        <v>1890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f t="shared" si="58"/>
        <v>5.3</v>
      </c>
      <c r="M1880">
        <f t="shared" si="59"/>
        <v>1</v>
      </c>
    </row>
    <row r="1881" spans="1:13" x14ac:dyDescent="0.3">
      <c r="A1881">
        <v>1879</v>
      </c>
      <c r="B1881">
        <v>1880</v>
      </c>
      <c r="C1881" t="s">
        <v>1932</v>
      </c>
      <c r="D1881">
        <v>2015</v>
      </c>
      <c r="E1881" t="s">
        <v>22</v>
      </c>
      <c r="F1881" t="s">
        <v>1890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f t="shared" si="58"/>
        <v>5.3</v>
      </c>
      <c r="M1881">
        <f t="shared" si="59"/>
        <v>1</v>
      </c>
    </row>
    <row r="1882" spans="1:13" x14ac:dyDescent="0.3">
      <c r="A1882">
        <v>1880</v>
      </c>
      <c r="B1882">
        <v>1881</v>
      </c>
      <c r="C1882" t="s">
        <v>1933</v>
      </c>
      <c r="D1882">
        <v>2018</v>
      </c>
      <c r="F1882" t="s">
        <v>1890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f t="shared" si="58"/>
        <v>5.3</v>
      </c>
      <c r="M1882">
        <f t="shared" si="59"/>
        <v>1</v>
      </c>
    </row>
    <row r="1883" spans="1:13" x14ac:dyDescent="0.3">
      <c r="A1883">
        <v>1881</v>
      </c>
      <c r="B1883">
        <v>1882</v>
      </c>
      <c r="C1883" t="s">
        <v>1934</v>
      </c>
      <c r="D1883">
        <v>1982</v>
      </c>
      <c r="F1883" t="s">
        <v>1890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f t="shared" si="58"/>
        <v>5.3</v>
      </c>
      <c r="M1883">
        <f t="shared" si="59"/>
        <v>1</v>
      </c>
    </row>
    <row r="1884" spans="1:13" x14ac:dyDescent="0.3">
      <c r="A1884">
        <v>1882</v>
      </c>
      <c r="B1884">
        <v>1883</v>
      </c>
      <c r="C1884" t="s">
        <v>1935</v>
      </c>
      <c r="D1884">
        <v>2020</v>
      </c>
      <c r="F1884" t="s">
        <v>1890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f t="shared" si="58"/>
        <v>5.3</v>
      </c>
      <c r="M1884">
        <f t="shared" si="59"/>
        <v>1</v>
      </c>
    </row>
    <row r="1885" spans="1:13" x14ac:dyDescent="0.3">
      <c r="A1885">
        <v>1883</v>
      </c>
      <c r="B1885">
        <v>1884</v>
      </c>
      <c r="C1885" t="s">
        <v>1936</v>
      </c>
      <c r="D1885">
        <v>2017</v>
      </c>
      <c r="F1885" t="s">
        <v>1890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f t="shared" si="58"/>
        <v>5.3</v>
      </c>
      <c r="M1885">
        <f t="shared" si="59"/>
        <v>1</v>
      </c>
    </row>
    <row r="1886" spans="1:13" x14ac:dyDescent="0.3">
      <c r="A1886">
        <v>1884</v>
      </c>
      <c r="B1886">
        <v>1885</v>
      </c>
      <c r="C1886" t="s">
        <v>1937</v>
      </c>
      <c r="D1886">
        <v>2019</v>
      </c>
      <c r="F1886" t="s">
        <v>1890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f t="shared" si="58"/>
        <v>5.3</v>
      </c>
      <c r="M1886">
        <f t="shared" si="59"/>
        <v>1</v>
      </c>
    </row>
    <row r="1887" spans="1:13" x14ac:dyDescent="0.3">
      <c r="A1887">
        <v>1885</v>
      </c>
      <c r="B1887">
        <v>1886</v>
      </c>
      <c r="C1887" t="s">
        <v>1938</v>
      </c>
      <c r="D1887">
        <v>2021</v>
      </c>
      <c r="F1887" t="s">
        <v>1890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f t="shared" si="58"/>
        <v>5.3</v>
      </c>
      <c r="M1887">
        <f t="shared" si="59"/>
        <v>1</v>
      </c>
    </row>
    <row r="1888" spans="1:13" x14ac:dyDescent="0.3">
      <c r="A1888">
        <v>1886</v>
      </c>
      <c r="B1888">
        <v>1887</v>
      </c>
      <c r="C1888" t="s">
        <v>1939</v>
      </c>
      <c r="D1888">
        <v>2018</v>
      </c>
      <c r="F1888" t="s">
        <v>1890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f t="shared" si="58"/>
        <v>5.3</v>
      </c>
      <c r="M1888">
        <f t="shared" si="59"/>
        <v>1</v>
      </c>
    </row>
    <row r="1889" spans="1:13" x14ac:dyDescent="0.3">
      <c r="A1889">
        <v>1887</v>
      </c>
      <c r="B1889">
        <v>1888</v>
      </c>
      <c r="C1889" t="s">
        <v>1940</v>
      </c>
      <c r="D1889">
        <v>1992</v>
      </c>
      <c r="E1889" t="s">
        <v>14</v>
      </c>
      <c r="F1889" t="s">
        <v>1890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f t="shared" si="58"/>
        <v>5.3</v>
      </c>
      <c r="M1889">
        <f t="shared" si="59"/>
        <v>1</v>
      </c>
    </row>
    <row r="1890" spans="1:13" x14ac:dyDescent="0.3">
      <c r="A1890">
        <v>1888</v>
      </c>
      <c r="B1890">
        <v>1889</v>
      </c>
      <c r="C1890" t="s">
        <v>1941</v>
      </c>
      <c r="D1890">
        <v>2020</v>
      </c>
      <c r="F1890" t="s">
        <v>1890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f t="shared" si="58"/>
        <v>5.3</v>
      </c>
      <c r="M1890">
        <f t="shared" si="59"/>
        <v>1</v>
      </c>
    </row>
    <row r="1891" spans="1:13" x14ac:dyDescent="0.3">
      <c r="A1891">
        <v>1889</v>
      </c>
      <c r="B1891">
        <v>1890</v>
      </c>
      <c r="C1891" t="s">
        <v>1942</v>
      </c>
      <c r="D1891">
        <v>2016</v>
      </c>
      <c r="F1891" t="s">
        <v>1890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f t="shared" si="58"/>
        <v>5.3</v>
      </c>
      <c r="M1891">
        <f t="shared" si="59"/>
        <v>1</v>
      </c>
    </row>
    <row r="1892" spans="1:13" x14ac:dyDescent="0.3">
      <c r="A1892">
        <v>1890</v>
      </c>
      <c r="B1892">
        <v>1891</v>
      </c>
      <c r="C1892" t="s">
        <v>1943</v>
      </c>
      <c r="D1892">
        <v>2012</v>
      </c>
      <c r="F1892" t="s">
        <v>1890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f t="shared" si="58"/>
        <v>5.3</v>
      </c>
      <c r="M1892">
        <f t="shared" si="59"/>
        <v>1</v>
      </c>
    </row>
    <row r="1893" spans="1:13" x14ac:dyDescent="0.3">
      <c r="A1893">
        <v>1891</v>
      </c>
      <c r="B1893">
        <v>1892</v>
      </c>
      <c r="C1893" t="s">
        <v>1944</v>
      </c>
      <c r="D1893">
        <v>2020</v>
      </c>
      <c r="F1893" t="s">
        <v>1890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f t="shared" si="58"/>
        <v>5.3</v>
      </c>
      <c r="M1893">
        <f t="shared" si="59"/>
        <v>1</v>
      </c>
    </row>
    <row r="1894" spans="1:13" x14ac:dyDescent="0.3">
      <c r="A1894">
        <v>1892</v>
      </c>
      <c r="B1894">
        <v>1893</v>
      </c>
      <c r="C1894" t="s">
        <v>1945</v>
      </c>
      <c r="D1894">
        <v>2011</v>
      </c>
      <c r="F1894" t="s">
        <v>1890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f t="shared" si="58"/>
        <v>5.3</v>
      </c>
      <c r="M1894">
        <f t="shared" si="59"/>
        <v>1</v>
      </c>
    </row>
    <row r="1895" spans="1:13" x14ac:dyDescent="0.3">
      <c r="A1895">
        <v>1893</v>
      </c>
      <c r="B1895">
        <v>1894</v>
      </c>
      <c r="C1895" t="s">
        <v>1946</v>
      </c>
      <c r="D1895">
        <v>2020</v>
      </c>
      <c r="E1895" t="s">
        <v>28</v>
      </c>
      <c r="F1895" t="s">
        <v>1890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f t="shared" si="58"/>
        <v>5.3</v>
      </c>
      <c r="M1895">
        <f t="shared" si="59"/>
        <v>1</v>
      </c>
    </row>
    <row r="1896" spans="1:13" x14ac:dyDescent="0.3">
      <c r="A1896">
        <v>1894</v>
      </c>
      <c r="B1896">
        <v>1895</v>
      </c>
      <c r="C1896" t="s">
        <v>1947</v>
      </c>
      <c r="D1896">
        <v>2018</v>
      </c>
      <c r="E1896" t="s">
        <v>14</v>
      </c>
      <c r="F1896" t="s">
        <v>1890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f t="shared" si="58"/>
        <v>5.3</v>
      </c>
      <c r="M1896">
        <f t="shared" si="59"/>
        <v>1</v>
      </c>
    </row>
    <row r="1897" spans="1:13" x14ac:dyDescent="0.3">
      <c r="A1897">
        <v>1895</v>
      </c>
      <c r="B1897">
        <v>1896</v>
      </c>
      <c r="C1897" t="s">
        <v>1948</v>
      </c>
      <c r="D1897">
        <v>2015</v>
      </c>
      <c r="E1897" t="s">
        <v>11</v>
      </c>
      <c r="F1897" t="s">
        <v>1890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f t="shared" si="58"/>
        <v>5.3</v>
      </c>
      <c r="M1897">
        <f t="shared" si="59"/>
        <v>1</v>
      </c>
    </row>
    <row r="1898" spans="1:13" x14ac:dyDescent="0.3">
      <c r="A1898">
        <v>1896</v>
      </c>
      <c r="B1898">
        <v>1897</v>
      </c>
      <c r="C1898" t="s">
        <v>1949</v>
      </c>
      <c r="D1898">
        <v>2016</v>
      </c>
      <c r="F1898" t="s">
        <v>1890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f t="shared" si="58"/>
        <v>5.3</v>
      </c>
      <c r="M1898">
        <f t="shared" si="59"/>
        <v>1</v>
      </c>
    </row>
    <row r="1899" spans="1:13" x14ac:dyDescent="0.3">
      <c r="A1899">
        <v>1897</v>
      </c>
      <c r="B1899">
        <v>1898</v>
      </c>
      <c r="C1899" t="s">
        <v>1950</v>
      </c>
      <c r="D1899">
        <v>2021</v>
      </c>
      <c r="E1899" t="s">
        <v>11</v>
      </c>
      <c r="F1899" t="s">
        <v>1890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f t="shared" si="58"/>
        <v>5.3</v>
      </c>
      <c r="M1899">
        <f t="shared" si="59"/>
        <v>1</v>
      </c>
    </row>
    <row r="1900" spans="1:13" x14ac:dyDescent="0.3">
      <c r="A1900">
        <v>1898</v>
      </c>
      <c r="B1900">
        <v>1899</v>
      </c>
      <c r="C1900" t="s">
        <v>1951</v>
      </c>
      <c r="D1900">
        <v>2020</v>
      </c>
      <c r="E1900" t="s">
        <v>14</v>
      </c>
      <c r="F1900" t="s">
        <v>1890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f t="shared" si="58"/>
        <v>5.3</v>
      </c>
      <c r="M1900">
        <f t="shared" si="59"/>
        <v>1</v>
      </c>
    </row>
    <row r="1901" spans="1:13" x14ac:dyDescent="0.3">
      <c r="A1901">
        <v>1899</v>
      </c>
      <c r="B1901">
        <v>1900</v>
      </c>
      <c r="C1901" t="s">
        <v>1952</v>
      </c>
      <c r="D1901">
        <v>2017</v>
      </c>
      <c r="F1901" t="s">
        <v>1890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f t="shared" si="58"/>
        <v>5.3</v>
      </c>
      <c r="M1901">
        <f t="shared" si="59"/>
        <v>1</v>
      </c>
    </row>
    <row r="1902" spans="1:13" x14ac:dyDescent="0.3">
      <c r="A1902">
        <v>1900</v>
      </c>
      <c r="B1902">
        <v>1901</v>
      </c>
      <c r="C1902" t="s">
        <v>1953</v>
      </c>
      <c r="D1902">
        <v>2020</v>
      </c>
      <c r="F1902" t="s">
        <v>1890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f t="shared" si="58"/>
        <v>5.3</v>
      </c>
      <c r="M1902">
        <f t="shared" si="59"/>
        <v>1</v>
      </c>
    </row>
    <row r="1903" spans="1:13" x14ac:dyDescent="0.3">
      <c r="A1903">
        <v>1901</v>
      </c>
      <c r="B1903">
        <v>1902</v>
      </c>
      <c r="C1903" t="s">
        <v>1954</v>
      </c>
      <c r="D1903">
        <v>2019</v>
      </c>
      <c r="F1903" t="s">
        <v>1890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f t="shared" si="58"/>
        <v>5.3</v>
      </c>
      <c r="M1903">
        <f t="shared" si="59"/>
        <v>1</v>
      </c>
    </row>
    <row r="1904" spans="1:13" x14ac:dyDescent="0.3">
      <c r="A1904">
        <v>1902</v>
      </c>
      <c r="B1904">
        <v>1903</v>
      </c>
      <c r="C1904" t="s">
        <v>1955</v>
      </c>
      <c r="D1904">
        <v>2019</v>
      </c>
      <c r="F1904" t="s">
        <v>1890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f t="shared" si="58"/>
        <v>5.3</v>
      </c>
      <c r="M1904">
        <f t="shared" si="59"/>
        <v>1</v>
      </c>
    </row>
    <row r="1905" spans="1:13" x14ac:dyDescent="0.3">
      <c r="A1905">
        <v>1903</v>
      </c>
      <c r="B1905">
        <v>1904</v>
      </c>
      <c r="C1905" t="s">
        <v>1956</v>
      </c>
      <c r="D1905">
        <v>2018</v>
      </c>
      <c r="F1905" t="s">
        <v>1890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f t="shared" si="58"/>
        <v>5.3</v>
      </c>
      <c r="M1905">
        <f t="shared" si="59"/>
        <v>1</v>
      </c>
    </row>
    <row r="1906" spans="1:13" x14ac:dyDescent="0.3">
      <c r="A1906">
        <v>1904</v>
      </c>
      <c r="B1906">
        <v>1905</v>
      </c>
      <c r="C1906" t="s">
        <v>1957</v>
      </c>
      <c r="D1906">
        <v>2019</v>
      </c>
      <c r="F1906" t="s">
        <v>1890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f t="shared" si="58"/>
        <v>5.3</v>
      </c>
      <c r="M1906">
        <f t="shared" si="59"/>
        <v>1</v>
      </c>
    </row>
    <row r="1907" spans="1:13" x14ac:dyDescent="0.3">
      <c r="A1907">
        <v>1905</v>
      </c>
      <c r="B1907">
        <v>1906</v>
      </c>
      <c r="C1907" t="s">
        <v>1958</v>
      </c>
      <c r="D1907">
        <v>2015</v>
      </c>
      <c r="E1907" t="s">
        <v>11</v>
      </c>
      <c r="F1907" t="s">
        <v>1890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f t="shared" si="58"/>
        <v>5.3</v>
      </c>
      <c r="M1907">
        <f t="shared" si="59"/>
        <v>1</v>
      </c>
    </row>
    <row r="1908" spans="1:13" x14ac:dyDescent="0.3">
      <c r="A1908">
        <v>1906</v>
      </c>
      <c r="B1908">
        <v>1907</v>
      </c>
      <c r="C1908" t="s">
        <v>1959</v>
      </c>
      <c r="D1908">
        <v>2020</v>
      </c>
      <c r="E1908" t="s">
        <v>14</v>
      </c>
      <c r="F1908" t="s">
        <v>1890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f t="shared" si="58"/>
        <v>5.3</v>
      </c>
      <c r="M1908">
        <f t="shared" si="59"/>
        <v>1</v>
      </c>
    </row>
    <row r="1909" spans="1:13" x14ac:dyDescent="0.3">
      <c r="A1909">
        <v>1907</v>
      </c>
      <c r="B1909">
        <v>1908</v>
      </c>
      <c r="C1909" t="s">
        <v>1960</v>
      </c>
      <c r="D1909">
        <v>2017</v>
      </c>
      <c r="E1909" t="s">
        <v>14</v>
      </c>
      <c r="F1909" t="s">
        <v>1890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f t="shared" si="58"/>
        <v>5.3</v>
      </c>
      <c r="M1909">
        <f t="shared" si="59"/>
        <v>1</v>
      </c>
    </row>
    <row r="1910" spans="1:13" x14ac:dyDescent="0.3">
      <c r="A1910">
        <v>1908</v>
      </c>
      <c r="B1910">
        <v>1909</v>
      </c>
      <c r="C1910" t="s">
        <v>1961</v>
      </c>
      <c r="D1910">
        <v>2019</v>
      </c>
      <c r="F1910" t="s">
        <v>1890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f t="shared" si="58"/>
        <v>5.3</v>
      </c>
      <c r="M1910">
        <f t="shared" si="59"/>
        <v>1</v>
      </c>
    </row>
    <row r="1911" spans="1:13" x14ac:dyDescent="0.3">
      <c r="A1911">
        <v>1909</v>
      </c>
      <c r="B1911">
        <v>1910</v>
      </c>
      <c r="C1911" t="s">
        <v>1962</v>
      </c>
      <c r="D1911">
        <v>2017</v>
      </c>
      <c r="E1911" t="s">
        <v>11</v>
      </c>
      <c r="F1911" t="s">
        <v>1890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f t="shared" si="58"/>
        <v>5.3</v>
      </c>
      <c r="M1911">
        <f t="shared" si="59"/>
        <v>1</v>
      </c>
    </row>
    <row r="1912" spans="1:13" x14ac:dyDescent="0.3">
      <c r="A1912">
        <v>1910</v>
      </c>
      <c r="B1912">
        <v>1911</v>
      </c>
      <c r="C1912" t="s">
        <v>1963</v>
      </c>
      <c r="D1912">
        <v>2020</v>
      </c>
      <c r="F1912" t="s">
        <v>1890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f t="shared" si="58"/>
        <v>5.3</v>
      </c>
      <c r="M1912">
        <f t="shared" si="59"/>
        <v>1</v>
      </c>
    </row>
    <row r="1913" spans="1:13" x14ac:dyDescent="0.3">
      <c r="A1913">
        <v>1911</v>
      </c>
      <c r="B1913">
        <v>1912</v>
      </c>
      <c r="C1913" t="s">
        <v>1964</v>
      </c>
      <c r="D1913">
        <v>2018</v>
      </c>
      <c r="E1913" t="s">
        <v>22</v>
      </c>
      <c r="F1913" t="s">
        <v>1890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f t="shared" si="58"/>
        <v>5.3</v>
      </c>
      <c r="M1913">
        <f t="shared" si="59"/>
        <v>1</v>
      </c>
    </row>
    <row r="1914" spans="1:13" x14ac:dyDescent="0.3">
      <c r="A1914">
        <v>1912</v>
      </c>
      <c r="B1914">
        <v>1913</v>
      </c>
      <c r="C1914" t="s">
        <v>1965</v>
      </c>
      <c r="D1914">
        <v>2019</v>
      </c>
      <c r="E1914" t="s">
        <v>11</v>
      </c>
      <c r="F1914" t="s">
        <v>1890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f t="shared" si="58"/>
        <v>5.3</v>
      </c>
      <c r="M1914">
        <f t="shared" si="59"/>
        <v>1</v>
      </c>
    </row>
    <row r="1915" spans="1:13" x14ac:dyDescent="0.3">
      <c r="A1915">
        <v>1913</v>
      </c>
      <c r="B1915">
        <v>1914</v>
      </c>
      <c r="C1915" t="s">
        <v>1966</v>
      </c>
      <c r="D1915">
        <v>2020</v>
      </c>
      <c r="E1915" t="s">
        <v>11</v>
      </c>
      <c r="F1915" t="s">
        <v>1890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f t="shared" si="58"/>
        <v>5.3</v>
      </c>
      <c r="M1915">
        <f t="shared" si="59"/>
        <v>1</v>
      </c>
    </row>
    <row r="1916" spans="1:13" x14ac:dyDescent="0.3">
      <c r="A1916">
        <v>1914</v>
      </c>
      <c r="B1916">
        <v>1915</v>
      </c>
      <c r="C1916" t="s">
        <v>1967</v>
      </c>
      <c r="D1916">
        <v>2019</v>
      </c>
      <c r="E1916" t="s">
        <v>28</v>
      </c>
      <c r="F1916" t="s">
        <v>1890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f t="shared" si="58"/>
        <v>5.3</v>
      </c>
      <c r="M1916">
        <f t="shared" si="59"/>
        <v>1</v>
      </c>
    </row>
    <row r="1917" spans="1:13" x14ac:dyDescent="0.3">
      <c r="A1917">
        <v>1915</v>
      </c>
      <c r="B1917">
        <v>1916</v>
      </c>
      <c r="C1917" t="s">
        <v>1968</v>
      </c>
      <c r="D1917">
        <v>2017</v>
      </c>
      <c r="F1917" t="s">
        <v>1890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f t="shared" si="58"/>
        <v>5.3</v>
      </c>
      <c r="M1917">
        <f t="shared" si="59"/>
        <v>1</v>
      </c>
    </row>
    <row r="1918" spans="1:13" x14ac:dyDescent="0.3">
      <c r="A1918">
        <v>1916</v>
      </c>
      <c r="B1918">
        <v>1917</v>
      </c>
      <c r="C1918" t="s">
        <v>1969</v>
      </c>
      <c r="D1918">
        <v>1998</v>
      </c>
      <c r="F1918" t="s">
        <v>1890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f t="shared" si="58"/>
        <v>5.3</v>
      </c>
      <c r="M1918">
        <f t="shared" si="59"/>
        <v>1</v>
      </c>
    </row>
    <row r="1919" spans="1:13" x14ac:dyDescent="0.3">
      <c r="A1919">
        <v>1917</v>
      </c>
      <c r="B1919">
        <v>1918</v>
      </c>
      <c r="C1919" t="s">
        <v>1970</v>
      </c>
      <c r="D1919">
        <v>2019</v>
      </c>
      <c r="F1919" t="s">
        <v>1890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f t="shared" si="58"/>
        <v>5.3</v>
      </c>
      <c r="M1919">
        <f t="shared" si="59"/>
        <v>1</v>
      </c>
    </row>
    <row r="1920" spans="1:13" x14ac:dyDescent="0.3">
      <c r="A1920">
        <v>1918</v>
      </c>
      <c r="B1920">
        <v>1919</v>
      </c>
      <c r="C1920" t="s">
        <v>1971</v>
      </c>
      <c r="D1920">
        <v>2020</v>
      </c>
      <c r="F1920" t="s">
        <v>1890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f t="shared" si="58"/>
        <v>5.3</v>
      </c>
      <c r="M1920">
        <f t="shared" si="59"/>
        <v>1</v>
      </c>
    </row>
    <row r="1921" spans="1:13" x14ac:dyDescent="0.3">
      <c r="A1921">
        <v>1919</v>
      </c>
      <c r="B1921">
        <v>1920</v>
      </c>
      <c r="C1921" t="s">
        <v>1972</v>
      </c>
      <c r="D1921">
        <v>2020</v>
      </c>
      <c r="F1921" t="s">
        <v>1890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f t="shared" si="58"/>
        <v>5.3</v>
      </c>
      <c r="M1921">
        <f t="shared" si="59"/>
        <v>1</v>
      </c>
    </row>
    <row r="1922" spans="1:13" x14ac:dyDescent="0.3">
      <c r="A1922">
        <v>1920</v>
      </c>
      <c r="B1922">
        <v>1921</v>
      </c>
      <c r="C1922" t="s">
        <v>1973</v>
      </c>
      <c r="D1922">
        <v>2018</v>
      </c>
      <c r="E1922" t="s">
        <v>11</v>
      </c>
      <c r="F1922" t="s">
        <v>1890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f t="shared" si="58"/>
        <v>5.3</v>
      </c>
      <c r="M1922">
        <f t="shared" si="59"/>
        <v>1</v>
      </c>
    </row>
    <row r="1923" spans="1:13" x14ac:dyDescent="0.3">
      <c r="A1923">
        <v>1921</v>
      </c>
      <c r="B1923">
        <v>1922</v>
      </c>
      <c r="C1923" t="s">
        <v>1974</v>
      </c>
      <c r="D1923">
        <v>2020</v>
      </c>
      <c r="F1923" t="s">
        <v>1890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f t="shared" ref="L1923:L1986" si="60">IFERROR(VALUE(LEFT(F1923,FIND("/",F1923)-1))/10,"")</f>
        <v>5.3</v>
      </c>
      <c r="M1923">
        <f t="shared" ref="M1923:M1986" si="61">SUM(G1923:J1923)</f>
        <v>1</v>
      </c>
    </row>
    <row r="1924" spans="1:13" x14ac:dyDescent="0.3">
      <c r="A1924">
        <v>1922</v>
      </c>
      <c r="B1924">
        <v>1923</v>
      </c>
      <c r="C1924" t="s">
        <v>1975</v>
      </c>
      <c r="D1924">
        <v>2017</v>
      </c>
      <c r="F1924" t="s">
        <v>1890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f t="shared" si="60"/>
        <v>5.3</v>
      </c>
      <c r="M1924">
        <f t="shared" si="61"/>
        <v>1</v>
      </c>
    </row>
    <row r="1925" spans="1:13" x14ac:dyDescent="0.3">
      <c r="A1925">
        <v>1923</v>
      </c>
      <c r="B1925">
        <v>1924</v>
      </c>
      <c r="C1925" t="s">
        <v>1976</v>
      </c>
      <c r="D1925">
        <v>2019</v>
      </c>
      <c r="F1925" t="s">
        <v>1890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f t="shared" si="60"/>
        <v>5.3</v>
      </c>
      <c r="M1925">
        <f t="shared" si="61"/>
        <v>1</v>
      </c>
    </row>
    <row r="1926" spans="1:13" x14ac:dyDescent="0.3">
      <c r="A1926">
        <v>1924</v>
      </c>
      <c r="B1926">
        <v>1925</v>
      </c>
      <c r="C1926" t="s">
        <v>1977</v>
      </c>
      <c r="D1926">
        <v>2018</v>
      </c>
      <c r="E1926" t="s">
        <v>22</v>
      </c>
      <c r="F1926" t="s">
        <v>1890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f t="shared" si="60"/>
        <v>5.3</v>
      </c>
      <c r="M1926">
        <f t="shared" si="61"/>
        <v>1</v>
      </c>
    </row>
    <row r="1927" spans="1:13" x14ac:dyDescent="0.3">
      <c r="A1927">
        <v>1925</v>
      </c>
      <c r="B1927">
        <v>1926</v>
      </c>
      <c r="C1927" t="s">
        <v>1978</v>
      </c>
      <c r="D1927">
        <v>2015</v>
      </c>
      <c r="F1927" t="s">
        <v>1890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f t="shared" si="60"/>
        <v>5.3</v>
      </c>
      <c r="M1927">
        <f t="shared" si="61"/>
        <v>1</v>
      </c>
    </row>
    <row r="1928" spans="1:13" x14ac:dyDescent="0.3">
      <c r="A1928">
        <v>1926</v>
      </c>
      <c r="B1928">
        <v>1927</v>
      </c>
      <c r="C1928" t="s">
        <v>1979</v>
      </c>
      <c r="D1928">
        <v>2019</v>
      </c>
      <c r="E1928" t="s">
        <v>28</v>
      </c>
      <c r="F1928" t="s">
        <v>1890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f t="shared" si="60"/>
        <v>5.3</v>
      </c>
      <c r="M1928">
        <f t="shared" si="61"/>
        <v>1</v>
      </c>
    </row>
    <row r="1929" spans="1:13" x14ac:dyDescent="0.3">
      <c r="A1929">
        <v>1927</v>
      </c>
      <c r="B1929">
        <v>1928</v>
      </c>
      <c r="C1929" t="s">
        <v>1980</v>
      </c>
      <c r="D1929">
        <v>2015</v>
      </c>
      <c r="E1929" t="s">
        <v>36</v>
      </c>
      <c r="F1929" t="s">
        <v>1890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f t="shared" si="60"/>
        <v>5.3</v>
      </c>
      <c r="M1929">
        <f t="shared" si="61"/>
        <v>1</v>
      </c>
    </row>
    <row r="1930" spans="1:13" x14ac:dyDescent="0.3">
      <c r="A1930">
        <v>1928</v>
      </c>
      <c r="B1930">
        <v>1929</v>
      </c>
      <c r="C1930" t="s">
        <v>1981</v>
      </c>
      <c r="D1930">
        <v>2020</v>
      </c>
      <c r="E1930" t="s">
        <v>11</v>
      </c>
      <c r="F1930" t="s">
        <v>1890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f t="shared" si="60"/>
        <v>5.3</v>
      </c>
      <c r="M1930">
        <f t="shared" si="61"/>
        <v>1</v>
      </c>
    </row>
    <row r="1931" spans="1:13" x14ac:dyDescent="0.3">
      <c r="A1931">
        <v>1929</v>
      </c>
      <c r="B1931">
        <v>1930</v>
      </c>
      <c r="C1931" t="s">
        <v>1982</v>
      </c>
      <c r="D1931">
        <v>2013</v>
      </c>
      <c r="F1931" t="s">
        <v>1890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f t="shared" si="60"/>
        <v>5.3</v>
      </c>
      <c r="M1931">
        <f t="shared" si="61"/>
        <v>1</v>
      </c>
    </row>
    <row r="1932" spans="1:13" x14ac:dyDescent="0.3">
      <c r="A1932">
        <v>1930</v>
      </c>
      <c r="B1932">
        <v>1931</v>
      </c>
      <c r="C1932" t="s">
        <v>1983</v>
      </c>
      <c r="D1932">
        <v>2020</v>
      </c>
      <c r="E1932" t="s">
        <v>11</v>
      </c>
      <c r="F1932" t="s">
        <v>1890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f t="shared" si="60"/>
        <v>5.3</v>
      </c>
      <c r="M1932">
        <f t="shared" si="61"/>
        <v>1</v>
      </c>
    </row>
    <row r="1933" spans="1:13" x14ac:dyDescent="0.3">
      <c r="A1933">
        <v>1931</v>
      </c>
      <c r="B1933">
        <v>1932</v>
      </c>
      <c r="C1933" t="s">
        <v>1984</v>
      </c>
      <c r="D1933">
        <v>2020</v>
      </c>
      <c r="E1933" t="s">
        <v>11</v>
      </c>
      <c r="F1933" t="s">
        <v>1985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f t="shared" si="60"/>
        <v>5.2</v>
      </c>
      <c r="M1933">
        <f t="shared" si="61"/>
        <v>1</v>
      </c>
    </row>
    <row r="1934" spans="1:13" x14ac:dyDescent="0.3">
      <c r="A1934">
        <v>1932</v>
      </c>
      <c r="B1934">
        <v>1933</v>
      </c>
      <c r="C1934" t="s">
        <v>1986</v>
      </c>
      <c r="D1934">
        <v>2019</v>
      </c>
      <c r="E1934" t="s">
        <v>14</v>
      </c>
      <c r="F1934" t="s">
        <v>1985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f t="shared" si="60"/>
        <v>5.2</v>
      </c>
      <c r="M1934">
        <f t="shared" si="61"/>
        <v>1</v>
      </c>
    </row>
    <row r="1935" spans="1:13" x14ac:dyDescent="0.3">
      <c r="A1935">
        <v>1933</v>
      </c>
      <c r="B1935">
        <v>1934</v>
      </c>
      <c r="C1935" t="s">
        <v>1987</v>
      </c>
      <c r="D1935">
        <v>2019</v>
      </c>
      <c r="F1935" t="s">
        <v>1985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f t="shared" si="60"/>
        <v>5.2</v>
      </c>
      <c r="M1935">
        <f t="shared" si="61"/>
        <v>1</v>
      </c>
    </row>
    <row r="1936" spans="1:13" x14ac:dyDescent="0.3">
      <c r="A1936">
        <v>1934</v>
      </c>
      <c r="B1936">
        <v>1935</v>
      </c>
      <c r="C1936" t="s">
        <v>1988</v>
      </c>
      <c r="D1936">
        <v>2009</v>
      </c>
      <c r="E1936" t="s">
        <v>14</v>
      </c>
      <c r="F1936" t="s">
        <v>1985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f t="shared" si="60"/>
        <v>5.2</v>
      </c>
      <c r="M1936">
        <f t="shared" si="61"/>
        <v>1</v>
      </c>
    </row>
    <row r="1937" spans="1:13" x14ac:dyDescent="0.3">
      <c r="A1937">
        <v>1935</v>
      </c>
      <c r="B1937">
        <v>1936</v>
      </c>
      <c r="C1937" t="s">
        <v>1989</v>
      </c>
      <c r="D1937">
        <v>2020</v>
      </c>
      <c r="F1937" t="s">
        <v>1985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f t="shared" si="60"/>
        <v>5.2</v>
      </c>
      <c r="M1937">
        <f t="shared" si="61"/>
        <v>1</v>
      </c>
    </row>
    <row r="1938" spans="1:13" x14ac:dyDescent="0.3">
      <c r="A1938">
        <v>1936</v>
      </c>
      <c r="B1938">
        <v>1937</v>
      </c>
      <c r="C1938" t="s">
        <v>1990</v>
      </c>
      <c r="D1938">
        <v>2011</v>
      </c>
      <c r="F1938" t="s">
        <v>1985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f t="shared" si="60"/>
        <v>5.2</v>
      </c>
      <c r="M1938">
        <f t="shared" si="61"/>
        <v>1</v>
      </c>
    </row>
    <row r="1939" spans="1:13" x14ac:dyDescent="0.3">
      <c r="A1939">
        <v>1937</v>
      </c>
      <c r="B1939">
        <v>1938</v>
      </c>
      <c r="C1939" t="s">
        <v>1991</v>
      </c>
      <c r="D1939">
        <v>1985</v>
      </c>
      <c r="E1939" t="s">
        <v>11</v>
      </c>
      <c r="F1939" t="s">
        <v>1985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f t="shared" si="60"/>
        <v>5.2</v>
      </c>
      <c r="M1939">
        <f t="shared" si="61"/>
        <v>1</v>
      </c>
    </row>
    <row r="1940" spans="1:13" x14ac:dyDescent="0.3">
      <c r="A1940">
        <v>1938</v>
      </c>
      <c r="B1940">
        <v>1939</v>
      </c>
      <c r="C1940" t="s">
        <v>1992</v>
      </c>
      <c r="D1940">
        <v>2020</v>
      </c>
      <c r="E1940" t="s">
        <v>36</v>
      </c>
      <c r="F1940" t="s">
        <v>1985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f t="shared" si="60"/>
        <v>5.2</v>
      </c>
      <c r="M1940">
        <f t="shared" si="61"/>
        <v>1</v>
      </c>
    </row>
    <row r="1941" spans="1:13" x14ac:dyDescent="0.3">
      <c r="A1941">
        <v>1939</v>
      </c>
      <c r="B1941">
        <v>1940</v>
      </c>
      <c r="C1941" t="s">
        <v>1993</v>
      </c>
      <c r="D1941">
        <v>2019</v>
      </c>
      <c r="F1941" t="s">
        <v>1985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f t="shared" si="60"/>
        <v>5.2</v>
      </c>
      <c r="M1941">
        <f t="shared" si="61"/>
        <v>1</v>
      </c>
    </row>
    <row r="1942" spans="1:13" x14ac:dyDescent="0.3">
      <c r="A1942">
        <v>1940</v>
      </c>
      <c r="B1942">
        <v>1941</v>
      </c>
      <c r="C1942" t="s">
        <v>1994</v>
      </c>
      <c r="D1942">
        <v>2019</v>
      </c>
      <c r="E1942" t="s">
        <v>11</v>
      </c>
      <c r="F1942" t="s">
        <v>1985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f t="shared" si="60"/>
        <v>5.2</v>
      </c>
      <c r="M1942">
        <f t="shared" si="61"/>
        <v>1</v>
      </c>
    </row>
    <row r="1943" spans="1:13" x14ac:dyDescent="0.3">
      <c r="A1943">
        <v>1941</v>
      </c>
      <c r="B1943">
        <v>1942</v>
      </c>
      <c r="C1943" t="s">
        <v>1995</v>
      </c>
      <c r="D1943">
        <v>2012</v>
      </c>
      <c r="F1943" t="s">
        <v>1985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f t="shared" si="60"/>
        <v>5.2</v>
      </c>
      <c r="M1943">
        <f t="shared" si="61"/>
        <v>1</v>
      </c>
    </row>
    <row r="1944" spans="1:13" x14ac:dyDescent="0.3">
      <c r="A1944">
        <v>1942</v>
      </c>
      <c r="B1944">
        <v>1943</v>
      </c>
      <c r="C1944" t="s">
        <v>1996</v>
      </c>
      <c r="D1944">
        <v>2017</v>
      </c>
      <c r="E1944" t="s">
        <v>36</v>
      </c>
      <c r="F1944" t="s">
        <v>1985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f t="shared" si="60"/>
        <v>5.2</v>
      </c>
      <c r="M1944">
        <f t="shared" si="61"/>
        <v>1</v>
      </c>
    </row>
    <row r="1945" spans="1:13" x14ac:dyDescent="0.3">
      <c r="A1945">
        <v>1943</v>
      </c>
      <c r="B1945">
        <v>1944</v>
      </c>
      <c r="C1945" t="s">
        <v>1997</v>
      </c>
      <c r="D1945">
        <v>2019</v>
      </c>
      <c r="E1945" t="s">
        <v>14</v>
      </c>
      <c r="F1945" t="s">
        <v>1985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f t="shared" si="60"/>
        <v>5.2</v>
      </c>
      <c r="M1945">
        <f t="shared" si="61"/>
        <v>1</v>
      </c>
    </row>
    <row r="1946" spans="1:13" x14ac:dyDescent="0.3">
      <c r="A1946">
        <v>1944</v>
      </c>
      <c r="B1946">
        <v>1945</v>
      </c>
      <c r="C1946" t="s">
        <v>1998</v>
      </c>
      <c r="D1946">
        <v>2007</v>
      </c>
      <c r="E1946" t="s">
        <v>28</v>
      </c>
      <c r="F1946" t="s">
        <v>1985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f t="shared" si="60"/>
        <v>5.2</v>
      </c>
      <c r="M1946">
        <f t="shared" si="61"/>
        <v>1</v>
      </c>
    </row>
    <row r="1947" spans="1:13" x14ac:dyDescent="0.3">
      <c r="A1947">
        <v>1945</v>
      </c>
      <c r="B1947">
        <v>1946</v>
      </c>
      <c r="C1947" t="s">
        <v>1999</v>
      </c>
      <c r="D1947">
        <v>2016</v>
      </c>
      <c r="E1947" t="s">
        <v>11</v>
      </c>
      <c r="F1947" t="s">
        <v>1985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f t="shared" si="60"/>
        <v>5.2</v>
      </c>
      <c r="M1947">
        <f t="shared" si="61"/>
        <v>1</v>
      </c>
    </row>
    <row r="1948" spans="1:13" x14ac:dyDescent="0.3">
      <c r="A1948">
        <v>1946</v>
      </c>
      <c r="B1948">
        <v>1947</v>
      </c>
      <c r="C1948" t="s">
        <v>2000</v>
      </c>
      <c r="D1948">
        <v>2017</v>
      </c>
      <c r="F1948" t="s">
        <v>1985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f t="shared" si="60"/>
        <v>5.2</v>
      </c>
      <c r="M1948">
        <f t="shared" si="61"/>
        <v>1</v>
      </c>
    </row>
    <row r="1949" spans="1:13" x14ac:dyDescent="0.3">
      <c r="A1949">
        <v>1947</v>
      </c>
      <c r="B1949">
        <v>1948</v>
      </c>
      <c r="C1949" t="s">
        <v>2001</v>
      </c>
      <c r="D1949">
        <v>2017</v>
      </c>
      <c r="E1949" t="s">
        <v>11</v>
      </c>
      <c r="F1949" t="s">
        <v>1985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f t="shared" si="60"/>
        <v>5.2</v>
      </c>
      <c r="M1949">
        <f t="shared" si="61"/>
        <v>1</v>
      </c>
    </row>
    <row r="1950" spans="1:13" x14ac:dyDescent="0.3">
      <c r="A1950">
        <v>1948</v>
      </c>
      <c r="B1950">
        <v>1949</v>
      </c>
      <c r="C1950" t="s">
        <v>2002</v>
      </c>
      <c r="D1950">
        <v>2021</v>
      </c>
      <c r="F1950" t="s">
        <v>1985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f t="shared" si="60"/>
        <v>5.2</v>
      </c>
      <c r="M1950">
        <f t="shared" si="61"/>
        <v>1</v>
      </c>
    </row>
    <row r="1951" spans="1:13" x14ac:dyDescent="0.3">
      <c r="A1951">
        <v>1949</v>
      </c>
      <c r="B1951">
        <v>1950</v>
      </c>
      <c r="C1951" t="s">
        <v>2003</v>
      </c>
      <c r="D1951">
        <v>2020</v>
      </c>
      <c r="F1951" t="s">
        <v>1985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f t="shared" si="60"/>
        <v>5.2</v>
      </c>
      <c r="M1951">
        <f t="shared" si="61"/>
        <v>1</v>
      </c>
    </row>
    <row r="1952" spans="1:13" x14ac:dyDescent="0.3">
      <c r="A1952">
        <v>1950</v>
      </c>
      <c r="B1952">
        <v>1951</v>
      </c>
      <c r="C1952" t="s">
        <v>2004</v>
      </c>
      <c r="D1952">
        <v>2021</v>
      </c>
      <c r="F1952" t="s">
        <v>1985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f t="shared" si="60"/>
        <v>5.2</v>
      </c>
      <c r="M1952">
        <f t="shared" si="61"/>
        <v>1</v>
      </c>
    </row>
    <row r="1953" spans="1:13" x14ac:dyDescent="0.3">
      <c r="A1953">
        <v>1951</v>
      </c>
      <c r="B1953">
        <v>1952</v>
      </c>
      <c r="C1953" t="s">
        <v>2005</v>
      </c>
      <c r="D1953">
        <v>2015</v>
      </c>
      <c r="E1953" t="s">
        <v>14</v>
      </c>
      <c r="F1953" t="s">
        <v>1985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f t="shared" si="60"/>
        <v>5.2</v>
      </c>
      <c r="M1953">
        <f t="shared" si="61"/>
        <v>1</v>
      </c>
    </row>
    <row r="1954" spans="1:13" x14ac:dyDescent="0.3">
      <c r="A1954">
        <v>1952</v>
      </c>
      <c r="B1954">
        <v>1953</v>
      </c>
      <c r="C1954" t="s">
        <v>2006</v>
      </c>
      <c r="D1954">
        <v>2018</v>
      </c>
      <c r="F1954" t="s">
        <v>1985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f t="shared" si="60"/>
        <v>5.2</v>
      </c>
      <c r="M1954">
        <f t="shared" si="61"/>
        <v>1</v>
      </c>
    </row>
    <row r="1955" spans="1:13" x14ac:dyDescent="0.3">
      <c r="A1955">
        <v>1953</v>
      </c>
      <c r="B1955">
        <v>1954</v>
      </c>
      <c r="C1955" t="s">
        <v>2007</v>
      </c>
      <c r="D1955">
        <v>2017</v>
      </c>
      <c r="E1955" t="s">
        <v>22</v>
      </c>
      <c r="F1955" t="s">
        <v>1985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f t="shared" si="60"/>
        <v>5.2</v>
      </c>
      <c r="M1955">
        <f t="shared" si="61"/>
        <v>1</v>
      </c>
    </row>
    <row r="1956" spans="1:13" x14ac:dyDescent="0.3">
      <c r="A1956">
        <v>1954</v>
      </c>
      <c r="B1956">
        <v>1955</v>
      </c>
      <c r="C1956" t="s">
        <v>2008</v>
      </c>
      <c r="D1956">
        <v>2015</v>
      </c>
      <c r="F1956" t="s">
        <v>1985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f t="shared" si="60"/>
        <v>5.2</v>
      </c>
      <c r="M1956">
        <f t="shared" si="61"/>
        <v>1</v>
      </c>
    </row>
    <row r="1957" spans="1:13" x14ac:dyDescent="0.3">
      <c r="A1957">
        <v>1955</v>
      </c>
      <c r="B1957">
        <v>1956</v>
      </c>
      <c r="C1957" t="s">
        <v>2009</v>
      </c>
      <c r="D1957">
        <v>2017</v>
      </c>
      <c r="E1957" t="s">
        <v>36</v>
      </c>
      <c r="F1957" t="s">
        <v>1985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f t="shared" si="60"/>
        <v>5.2</v>
      </c>
      <c r="M1957">
        <f t="shared" si="61"/>
        <v>1</v>
      </c>
    </row>
    <row r="1958" spans="1:13" x14ac:dyDescent="0.3">
      <c r="A1958">
        <v>1956</v>
      </c>
      <c r="B1958">
        <v>1957</v>
      </c>
      <c r="C1958" t="s">
        <v>2010</v>
      </c>
      <c r="D1958">
        <v>2020</v>
      </c>
      <c r="F1958" t="s">
        <v>1985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f t="shared" si="60"/>
        <v>5.2</v>
      </c>
      <c r="M1958">
        <f t="shared" si="61"/>
        <v>1</v>
      </c>
    </row>
    <row r="1959" spans="1:13" x14ac:dyDescent="0.3">
      <c r="A1959">
        <v>1957</v>
      </c>
      <c r="B1959">
        <v>1958</v>
      </c>
      <c r="C1959" t="s">
        <v>2011</v>
      </c>
      <c r="D1959">
        <v>2019</v>
      </c>
      <c r="E1959" t="s">
        <v>22</v>
      </c>
      <c r="F1959" t="s">
        <v>1985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f t="shared" si="60"/>
        <v>5.2</v>
      </c>
      <c r="M1959">
        <f t="shared" si="61"/>
        <v>1</v>
      </c>
    </row>
    <row r="1960" spans="1:13" x14ac:dyDescent="0.3">
      <c r="A1960">
        <v>1958</v>
      </c>
      <c r="B1960">
        <v>1959</v>
      </c>
      <c r="C1960" t="s">
        <v>2012</v>
      </c>
      <c r="D1960">
        <v>2017</v>
      </c>
      <c r="F1960" t="s">
        <v>1985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f t="shared" si="60"/>
        <v>5.2</v>
      </c>
      <c r="M1960">
        <f t="shared" si="61"/>
        <v>1</v>
      </c>
    </row>
    <row r="1961" spans="1:13" x14ac:dyDescent="0.3">
      <c r="A1961">
        <v>1959</v>
      </c>
      <c r="B1961">
        <v>1960</v>
      </c>
      <c r="C1961" t="s">
        <v>2013</v>
      </c>
      <c r="D1961">
        <v>2017</v>
      </c>
      <c r="F1961" t="s">
        <v>1985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f t="shared" si="60"/>
        <v>5.2</v>
      </c>
      <c r="M1961">
        <f t="shared" si="61"/>
        <v>1</v>
      </c>
    </row>
    <row r="1962" spans="1:13" x14ac:dyDescent="0.3">
      <c r="A1962">
        <v>1960</v>
      </c>
      <c r="B1962">
        <v>1961</v>
      </c>
      <c r="C1962" t="s">
        <v>2014</v>
      </c>
      <c r="D1962">
        <v>2020</v>
      </c>
      <c r="F1962" t="s">
        <v>1985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f t="shared" si="60"/>
        <v>5.2</v>
      </c>
      <c r="M1962">
        <f t="shared" si="61"/>
        <v>1</v>
      </c>
    </row>
    <row r="1963" spans="1:13" x14ac:dyDescent="0.3">
      <c r="A1963">
        <v>1961</v>
      </c>
      <c r="B1963">
        <v>1962</v>
      </c>
      <c r="C1963" t="s">
        <v>2015</v>
      </c>
      <c r="D1963">
        <v>2009</v>
      </c>
      <c r="E1963" t="s">
        <v>11</v>
      </c>
      <c r="F1963" t="s">
        <v>1985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f t="shared" si="60"/>
        <v>5.2</v>
      </c>
      <c r="M1963">
        <f t="shared" si="61"/>
        <v>1</v>
      </c>
    </row>
    <row r="1964" spans="1:13" x14ac:dyDescent="0.3">
      <c r="A1964">
        <v>1962</v>
      </c>
      <c r="B1964">
        <v>1963</v>
      </c>
      <c r="C1964" t="s">
        <v>2016</v>
      </c>
      <c r="D1964">
        <v>2021</v>
      </c>
      <c r="F1964" t="s">
        <v>1985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f t="shared" si="60"/>
        <v>5.2</v>
      </c>
      <c r="M1964">
        <f t="shared" si="61"/>
        <v>1</v>
      </c>
    </row>
    <row r="1965" spans="1:13" x14ac:dyDescent="0.3">
      <c r="A1965">
        <v>1963</v>
      </c>
      <c r="B1965">
        <v>1964</v>
      </c>
      <c r="C1965" t="s">
        <v>2017</v>
      </c>
      <c r="D1965">
        <v>2016</v>
      </c>
      <c r="E1965" t="s">
        <v>14</v>
      </c>
      <c r="F1965" t="s">
        <v>1985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f t="shared" si="60"/>
        <v>5.2</v>
      </c>
      <c r="M1965">
        <f t="shared" si="61"/>
        <v>1</v>
      </c>
    </row>
    <row r="1966" spans="1:13" x14ac:dyDescent="0.3">
      <c r="A1966">
        <v>1964</v>
      </c>
      <c r="B1966">
        <v>1965</v>
      </c>
      <c r="C1966" t="s">
        <v>2018</v>
      </c>
      <c r="D1966">
        <v>2019</v>
      </c>
      <c r="F1966" t="s">
        <v>1985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f t="shared" si="60"/>
        <v>5.2</v>
      </c>
      <c r="M1966">
        <f t="shared" si="61"/>
        <v>1</v>
      </c>
    </row>
    <row r="1967" spans="1:13" x14ac:dyDescent="0.3">
      <c r="A1967">
        <v>1965</v>
      </c>
      <c r="B1967">
        <v>1966</v>
      </c>
      <c r="C1967" t="s">
        <v>2019</v>
      </c>
      <c r="D1967">
        <v>2019</v>
      </c>
      <c r="F1967" t="s">
        <v>1985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f t="shared" si="60"/>
        <v>5.2</v>
      </c>
      <c r="M1967">
        <f t="shared" si="61"/>
        <v>1</v>
      </c>
    </row>
    <row r="1968" spans="1:13" x14ac:dyDescent="0.3">
      <c r="A1968">
        <v>1966</v>
      </c>
      <c r="B1968">
        <v>1967</v>
      </c>
      <c r="C1968" t="s">
        <v>2020</v>
      </c>
      <c r="D1968">
        <v>2018</v>
      </c>
      <c r="E1968" t="s">
        <v>11</v>
      </c>
      <c r="F1968" t="s">
        <v>1985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f t="shared" si="60"/>
        <v>5.2</v>
      </c>
      <c r="M1968">
        <f t="shared" si="61"/>
        <v>1</v>
      </c>
    </row>
    <row r="1969" spans="1:13" x14ac:dyDescent="0.3">
      <c r="A1969">
        <v>1967</v>
      </c>
      <c r="B1969">
        <v>1968</v>
      </c>
      <c r="C1969" t="s">
        <v>2021</v>
      </c>
      <c r="D1969">
        <v>2017</v>
      </c>
      <c r="E1969" t="s">
        <v>11</v>
      </c>
      <c r="F1969" t="s">
        <v>1985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f t="shared" si="60"/>
        <v>5.2</v>
      </c>
      <c r="M1969">
        <f t="shared" si="61"/>
        <v>1</v>
      </c>
    </row>
    <row r="1970" spans="1:13" x14ac:dyDescent="0.3">
      <c r="A1970">
        <v>1968</v>
      </c>
      <c r="B1970">
        <v>1969</v>
      </c>
      <c r="C1970" t="s">
        <v>2022</v>
      </c>
      <c r="D1970">
        <v>2019</v>
      </c>
      <c r="F1970" t="s">
        <v>1985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f t="shared" si="60"/>
        <v>5.2</v>
      </c>
      <c r="M1970">
        <f t="shared" si="61"/>
        <v>1</v>
      </c>
    </row>
    <row r="1971" spans="1:13" x14ac:dyDescent="0.3">
      <c r="A1971">
        <v>1969</v>
      </c>
      <c r="B1971">
        <v>1970</v>
      </c>
      <c r="C1971" t="s">
        <v>2023</v>
      </c>
      <c r="D1971">
        <v>2017</v>
      </c>
      <c r="E1971" t="s">
        <v>11</v>
      </c>
      <c r="F1971" t="s">
        <v>1985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f t="shared" si="60"/>
        <v>5.2</v>
      </c>
      <c r="M1971">
        <f t="shared" si="61"/>
        <v>1</v>
      </c>
    </row>
    <row r="1972" spans="1:13" x14ac:dyDescent="0.3">
      <c r="A1972">
        <v>1970</v>
      </c>
      <c r="B1972">
        <v>1971</v>
      </c>
      <c r="C1972" t="s">
        <v>2024</v>
      </c>
      <c r="D1972">
        <v>1989</v>
      </c>
      <c r="F1972" t="s">
        <v>1985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f t="shared" si="60"/>
        <v>5.2</v>
      </c>
      <c r="M1972">
        <f t="shared" si="61"/>
        <v>1</v>
      </c>
    </row>
    <row r="1973" spans="1:13" x14ac:dyDescent="0.3">
      <c r="A1973">
        <v>1971</v>
      </c>
      <c r="B1973">
        <v>1972</v>
      </c>
      <c r="C1973" t="s">
        <v>2025</v>
      </c>
      <c r="D1973">
        <v>2019</v>
      </c>
      <c r="F1973" t="s">
        <v>1985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f t="shared" si="60"/>
        <v>5.2</v>
      </c>
      <c r="M1973">
        <f t="shared" si="61"/>
        <v>1</v>
      </c>
    </row>
    <row r="1974" spans="1:13" x14ac:dyDescent="0.3">
      <c r="A1974">
        <v>1972</v>
      </c>
      <c r="B1974">
        <v>1973</v>
      </c>
      <c r="C1974" t="s">
        <v>2026</v>
      </c>
      <c r="D1974">
        <v>2017</v>
      </c>
      <c r="E1974" t="s">
        <v>11</v>
      </c>
      <c r="F1974" t="s">
        <v>1985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f t="shared" si="60"/>
        <v>5.2</v>
      </c>
      <c r="M1974">
        <f t="shared" si="61"/>
        <v>1</v>
      </c>
    </row>
    <row r="1975" spans="1:13" x14ac:dyDescent="0.3">
      <c r="A1975">
        <v>1973</v>
      </c>
      <c r="B1975">
        <v>1974</v>
      </c>
      <c r="C1975" t="s">
        <v>2027</v>
      </c>
      <c r="D1975">
        <v>2017</v>
      </c>
      <c r="F1975" t="s">
        <v>1985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f t="shared" si="60"/>
        <v>5.2</v>
      </c>
      <c r="M1975">
        <f t="shared" si="61"/>
        <v>1</v>
      </c>
    </row>
    <row r="1976" spans="1:13" x14ac:dyDescent="0.3">
      <c r="A1976">
        <v>1974</v>
      </c>
      <c r="B1976">
        <v>1975</v>
      </c>
      <c r="C1976" t="s">
        <v>2028</v>
      </c>
      <c r="D1976">
        <v>2020</v>
      </c>
      <c r="E1976" t="s">
        <v>11</v>
      </c>
      <c r="F1976" t="s">
        <v>1985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f t="shared" si="60"/>
        <v>5.2</v>
      </c>
      <c r="M1976">
        <f t="shared" si="61"/>
        <v>1</v>
      </c>
    </row>
    <row r="1977" spans="1:13" x14ac:dyDescent="0.3">
      <c r="A1977">
        <v>1975</v>
      </c>
      <c r="B1977">
        <v>1976</v>
      </c>
      <c r="C1977" t="s">
        <v>2029</v>
      </c>
      <c r="D1977">
        <v>2011</v>
      </c>
      <c r="F1977" t="s">
        <v>1985</v>
      </c>
      <c r="G1977">
        <v>1</v>
      </c>
      <c r="H1977">
        <v>0</v>
      </c>
      <c r="I1977">
        <v>1</v>
      </c>
      <c r="J1977">
        <v>0</v>
      </c>
      <c r="K1977">
        <v>0</v>
      </c>
      <c r="L1977">
        <f t="shared" si="60"/>
        <v>5.2</v>
      </c>
      <c r="M1977">
        <f t="shared" si="61"/>
        <v>2</v>
      </c>
    </row>
    <row r="1978" spans="1:13" x14ac:dyDescent="0.3">
      <c r="A1978">
        <v>1976</v>
      </c>
      <c r="B1978">
        <v>1977</v>
      </c>
      <c r="C1978" t="s">
        <v>2030</v>
      </c>
      <c r="D1978">
        <v>2016</v>
      </c>
      <c r="F1978" t="s">
        <v>1985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f t="shared" si="60"/>
        <v>5.2</v>
      </c>
      <c r="M1978">
        <f t="shared" si="61"/>
        <v>1</v>
      </c>
    </row>
    <row r="1979" spans="1:13" x14ac:dyDescent="0.3">
      <c r="A1979">
        <v>1977</v>
      </c>
      <c r="B1979">
        <v>1978</v>
      </c>
      <c r="C1979" t="s">
        <v>2031</v>
      </c>
      <c r="D1979">
        <v>2019</v>
      </c>
      <c r="F1979" t="s">
        <v>1985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f t="shared" si="60"/>
        <v>5.2</v>
      </c>
      <c r="M1979">
        <f t="shared" si="61"/>
        <v>1</v>
      </c>
    </row>
    <row r="1980" spans="1:13" x14ac:dyDescent="0.3">
      <c r="A1980">
        <v>1978</v>
      </c>
      <c r="B1980">
        <v>1979</v>
      </c>
      <c r="C1980" t="s">
        <v>2032</v>
      </c>
      <c r="D1980">
        <v>1981</v>
      </c>
      <c r="E1980" t="s">
        <v>11</v>
      </c>
      <c r="F1980" t="s">
        <v>1985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f t="shared" si="60"/>
        <v>5.2</v>
      </c>
      <c r="M1980">
        <f t="shared" si="61"/>
        <v>1</v>
      </c>
    </row>
    <row r="1981" spans="1:13" x14ac:dyDescent="0.3">
      <c r="A1981">
        <v>1979</v>
      </c>
      <c r="B1981">
        <v>1980</v>
      </c>
      <c r="C1981" t="s">
        <v>2033</v>
      </c>
      <c r="D1981">
        <v>2019</v>
      </c>
      <c r="F1981" t="s">
        <v>1985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f t="shared" si="60"/>
        <v>5.2</v>
      </c>
      <c r="M1981">
        <f t="shared" si="61"/>
        <v>1</v>
      </c>
    </row>
    <row r="1982" spans="1:13" x14ac:dyDescent="0.3">
      <c r="A1982">
        <v>1980</v>
      </c>
      <c r="B1982">
        <v>1981</v>
      </c>
      <c r="C1982" t="s">
        <v>2034</v>
      </c>
      <c r="D1982">
        <v>2017</v>
      </c>
      <c r="F1982" t="s">
        <v>1985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f t="shared" si="60"/>
        <v>5.2</v>
      </c>
      <c r="M1982">
        <f t="shared" si="61"/>
        <v>1</v>
      </c>
    </row>
    <row r="1983" spans="1:13" x14ac:dyDescent="0.3">
      <c r="A1983">
        <v>1981</v>
      </c>
      <c r="B1983">
        <v>1982</v>
      </c>
      <c r="C1983" t="s">
        <v>2035</v>
      </c>
      <c r="D1983">
        <v>2016</v>
      </c>
      <c r="F1983" t="s">
        <v>1985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f t="shared" si="60"/>
        <v>5.2</v>
      </c>
      <c r="M1983">
        <f t="shared" si="61"/>
        <v>1</v>
      </c>
    </row>
    <row r="1984" spans="1:13" x14ac:dyDescent="0.3">
      <c r="A1984">
        <v>1982</v>
      </c>
      <c r="B1984">
        <v>1983</v>
      </c>
      <c r="C1984" t="s">
        <v>2036</v>
      </c>
      <c r="D1984">
        <v>2021</v>
      </c>
      <c r="E1984" t="s">
        <v>14</v>
      </c>
      <c r="F1984" t="s">
        <v>1985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f t="shared" si="60"/>
        <v>5.2</v>
      </c>
      <c r="M1984">
        <f t="shared" si="61"/>
        <v>1</v>
      </c>
    </row>
    <row r="1985" spans="1:13" x14ac:dyDescent="0.3">
      <c r="A1985">
        <v>1983</v>
      </c>
      <c r="B1985">
        <v>1984</v>
      </c>
      <c r="C1985" t="s">
        <v>2037</v>
      </c>
      <c r="D1985">
        <v>2018</v>
      </c>
      <c r="F1985" t="s">
        <v>1985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f t="shared" si="60"/>
        <v>5.2</v>
      </c>
      <c r="M1985">
        <f t="shared" si="61"/>
        <v>1</v>
      </c>
    </row>
    <row r="1986" spans="1:13" x14ac:dyDescent="0.3">
      <c r="A1986">
        <v>1984</v>
      </c>
      <c r="B1986">
        <v>1985</v>
      </c>
      <c r="C1986" t="s">
        <v>2038</v>
      </c>
      <c r="D1986">
        <v>2017</v>
      </c>
      <c r="E1986" t="s">
        <v>14</v>
      </c>
      <c r="F1986" t="s">
        <v>1985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f t="shared" si="60"/>
        <v>5.2</v>
      </c>
      <c r="M1986">
        <f t="shared" si="61"/>
        <v>1</v>
      </c>
    </row>
    <row r="1987" spans="1:13" x14ac:dyDescent="0.3">
      <c r="A1987">
        <v>1985</v>
      </c>
      <c r="B1987">
        <v>1986</v>
      </c>
      <c r="C1987" t="s">
        <v>2039</v>
      </c>
      <c r="D1987">
        <v>2016</v>
      </c>
      <c r="F1987" t="s">
        <v>1985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f t="shared" ref="L1987:L2050" si="62">IFERROR(VALUE(LEFT(F1987,FIND("/",F1987)-1))/10,"")</f>
        <v>5.2</v>
      </c>
      <c r="M1987">
        <f t="shared" ref="M1987:M2050" si="63">SUM(G1987:J1987)</f>
        <v>1</v>
      </c>
    </row>
    <row r="1988" spans="1:13" x14ac:dyDescent="0.3">
      <c r="A1988">
        <v>1986</v>
      </c>
      <c r="B1988">
        <v>1987</v>
      </c>
      <c r="C1988" t="s">
        <v>2040</v>
      </c>
      <c r="D1988">
        <v>2018</v>
      </c>
      <c r="E1988" t="s">
        <v>11</v>
      </c>
      <c r="F1988" t="s">
        <v>1985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f t="shared" si="62"/>
        <v>5.2</v>
      </c>
      <c r="M1988">
        <f t="shared" si="63"/>
        <v>1</v>
      </c>
    </row>
    <row r="1989" spans="1:13" x14ac:dyDescent="0.3">
      <c r="A1989">
        <v>1987</v>
      </c>
      <c r="B1989">
        <v>1988</v>
      </c>
      <c r="C1989" t="s">
        <v>2041</v>
      </c>
      <c r="D1989">
        <v>2020</v>
      </c>
      <c r="E1989" t="s">
        <v>11</v>
      </c>
      <c r="F1989" t="s">
        <v>1985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f t="shared" si="62"/>
        <v>5.2</v>
      </c>
      <c r="M1989">
        <f t="shared" si="63"/>
        <v>1</v>
      </c>
    </row>
    <row r="1990" spans="1:13" x14ac:dyDescent="0.3">
      <c r="A1990">
        <v>1988</v>
      </c>
      <c r="B1990">
        <v>1989</v>
      </c>
      <c r="C1990" t="s">
        <v>2042</v>
      </c>
      <c r="D1990">
        <v>2021</v>
      </c>
      <c r="E1990" t="s">
        <v>11</v>
      </c>
      <c r="F1990" t="s">
        <v>1985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f t="shared" si="62"/>
        <v>5.2</v>
      </c>
      <c r="M1990">
        <f t="shared" si="63"/>
        <v>1</v>
      </c>
    </row>
    <row r="1991" spans="1:13" x14ac:dyDescent="0.3">
      <c r="A1991">
        <v>1989</v>
      </c>
      <c r="B1991">
        <v>1990</v>
      </c>
      <c r="C1991" t="s">
        <v>2043</v>
      </c>
      <c r="D1991">
        <v>2016</v>
      </c>
      <c r="F1991" t="s">
        <v>1985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f t="shared" si="62"/>
        <v>5.2</v>
      </c>
      <c r="M1991">
        <f t="shared" si="63"/>
        <v>1</v>
      </c>
    </row>
    <row r="1992" spans="1:13" x14ac:dyDescent="0.3">
      <c r="A1992">
        <v>1990</v>
      </c>
      <c r="B1992">
        <v>1991</v>
      </c>
      <c r="C1992" t="s">
        <v>2044</v>
      </c>
      <c r="D1992">
        <v>2018</v>
      </c>
      <c r="E1992" t="s">
        <v>11</v>
      </c>
      <c r="F1992" t="s">
        <v>1985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f t="shared" si="62"/>
        <v>5.2</v>
      </c>
      <c r="M1992">
        <f t="shared" si="63"/>
        <v>1</v>
      </c>
    </row>
    <row r="1993" spans="1:13" x14ac:dyDescent="0.3">
      <c r="A1993">
        <v>1991</v>
      </c>
      <c r="B1993">
        <v>1992</v>
      </c>
      <c r="C1993" t="s">
        <v>2045</v>
      </c>
      <c r="D1993">
        <v>2016</v>
      </c>
      <c r="F1993" t="s">
        <v>1985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f t="shared" si="62"/>
        <v>5.2</v>
      </c>
      <c r="M1993">
        <f t="shared" si="63"/>
        <v>1</v>
      </c>
    </row>
    <row r="1994" spans="1:13" x14ac:dyDescent="0.3">
      <c r="A1994">
        <v>1992</v>
      </c>
      <c r="B1994">
        <v>1993</v>
      </c>
      <c r="C1994" t="s">
        <v>2046</v>
      </c>
      <c r="D1994">
        <v>2021</v>
      </c>
      <c r="F1994" t="s">
        <v>1985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f t="shared" si="62"/>
        <v>5.2</v>
      </c>
      <c r="M1994">
        <f t="shared" si="63"/>
        <v>1</v>
      </c>
    </row>
    <row r="1995" spans="1:13" x14ac:dyDescent="0.3">
      <c r="A1995">
        <v>1993</v>
      </c>
      <c r="B1995">
        <v>1994</v>
      </c>
      <c r="C1995" t="s">
        <v>2047</v>
      </c>
      <c r="D1995">
        <v>2018</v>
      </c>
      <c r="F1995" t="s">
        <v>1985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f t="shared" si="62"/>
        <v>5.2</v>
      </c>
      <c r="M1995">
        <f t="shared" si="63"/>
        <v>1</v>
      </c>
    </row>
    <row r="1996" spans="1:13" x14ac:dyDescent="0.3">
      <c r="A1996">
        <v>1994</v>
      </c>
      <c r="B1996">
        <v>1995</v>
      </c>
      <c r="C1996" t="s">
        <v>2048</v>
      </c>
      <c r="D1996">
        <v>1979</v>
      </c>
      <c r="F1996" t="s">
        <v>1985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f t="shared" si="62"/>
        <v>5.2</v>
      </c>
      <c r="M1996">
        <f t="shared" si="63"/>
        <v>1</v>
      </c>
    </row>
    <row r="1997" spans="1:13" x14ac:dyDescent="0.3">
      <c r="A1997">
        <v>1995</v>
      </c>
      <c r="B1997">
        <v>1996</v>
      </c>
      <c r="C1997" t="s">
        <v>2049</v>
      </c>
      <c r="D1997">
        <v>2015</v>
      </c>
      <c r="E1997" t="s">
        <v>22</v>
      </c>
      <c r="F1997" t="s">
        <v>1985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f t="shared" si="62"/>
        <v>5.2</v>
      </c>
      <c r="M1997">
        <f t="shared" si="63"/>
        <v>1</v>
      </c>
    </row>
    <row r="1998" spans="1:13" x14ac:dyDescent="0.3">
      <c r="A1998">
        <v>1996</v>
      </c>
      <c r="B1998">
        <v>1997</v>
      </c>
      <c r="C1998" t="s">
        <v>2050</v>
      </c>
      <c r="D1998">
        <v>2019</v>
      </c>
      <c r="F1998" t="s">
        <v>1985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f t="shared" si="62"/>
        <v>5.2</v>
      </c>
      <c r="M1998">
        <f t="shared" si="63"/>
        <v>1</v>
      </c>
    </row>
    <row r="1999" spans="1:13" x14ac:dyDescent="0.3">
      <c r="A1999">
        <v>1997</v>
      </c>
      <c r="B1999">
        <v>1998</v>
      </c>
      <c r="C1999" t="s">
        <v>2051</v>
      </c>
      <c r="D1999">
        <v>2017</v>
      </c>
      <c r="E1999" t="s">
        <v>22</v>
      </c>
      <c r="F1999" t="s">
        <v>1985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f t="shared" si="62"/>
        <v>5.2</v>
      </c>
      <c r="M1999">
        <f t="shared" si="63"/>
        <v>1</v>
      </c>
    </row>
    <row r="2000" spans="1:13" x14ac:dyDescent="0.3">
      <c r="A2000">
        <v>1998</v>
      </c>
      <c r="B2000">
        <v>1999</v>
      </c>
      <c r="C2000" t="s">
        <v>2052</v>
      </c>
      <c r="D2000">
        <v>2019</v>
      </c>
      <c r="F2000" t="s">
        <v>1985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f t="shared" si="62"/>
        <v>5.2</v>
      </c>
      <c r="M2000">
        <f t="shared" si="63"/>
        <v>1</v>
      </c>
    </row>
    <row r="2001" spans="1:13" x14ac:dyDescent="0.3">
      <c r="A2001">
        <v>1999</v>
      </c>
      <c r="B2001">
        <v>2000</v>
      </c>
      <c r="C2001" t="s">
        <v>2053</v>
      </c>
      <c r="D2001">
        <v>2015</v>
      </c>
      <c r="E2001" t="s">
        <v>22</v>
      </c>
      <c r="F2001" t="s">
        <v>1985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f t="shared" si="62"/>
        <v>5.2</v>
      </c>
      <c r="M2001">
        <f t="shared" si="63"/>
        <v>1</v>
      </c>
    </row>
    <row r="2002" spans="1:13" x14ac:dyDescent="0.3">
      <c r="A2002">
        <v>2000</v>
      </c>
      <c r="B2002">
        <v>2001</v>
      </c>
      <c r="C2002" t="s">
        <v>2054</v>
      </c>
      <c r="D2002">
        <v>2020</v>
      </c>
      <c r="E2002" t="s">
        <v>11</v>
      </c>
      <c r="F2002" t="s">
        <v>1985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f t="shared" si="62"/>
        <v>5.2</v>
      </c>
      <c r="M2002">
        <f t="shared" si="63"/>
        <v>1</v>
      </c>
    </row>
    <row r="2003" spans="1:13" x14ac:dyDescent="0.3">
      <c r="A2003">
        <v>2001</v>
      </c>
      <c r="B2003">
        <v>2002</v>
      </c>
      <c r="C2003" t="s">
        <v>2055</v>
      </c>
      <c r="D2003">
        <v>2012</v>
      </c>
      <c r="F2003" t="s">
        <v>1985</v>
      </c>
      <c r="G2003">
        <v>1</v>
      </c>
      <c r="H2003">
        <v>1</v>
      </c>
      <c r="I2003">
        <v>0</v>
      </c>
      <c r="J2003">
        <v>0</v>
      </c>
      <c r="K2003">
        <v>0</v>
      </c>
      <c r="L2003">
        <f t="shared" si="62"/>
        <v>5.2</v>
      </c>
      <c r="M2003">
        <f t="shared" si="63"/>
        <v>2</v>
      </c>
    </row>
    <row r="2004" spans="1:13" x14ac:dyDescent="0.3">
      <c r="A2004">
        <v>2002</v>
      </c>
      <c r="B2004">
        <v>2003</v>
      </c>
      <c r="C2004" t="s">
        <v>2056</v>
      </c>
      <c r="D2004">
        <v>2016</v>
      </c>
      <c r="E2004" t="s">
        <v>36</v>
      </c>
      <c r="F2004" t="s">
        <v>1985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f t="shared" si="62"/>
        <v>5.2</v>
      </c>
      <c r="M2004">
        <f t="shared" si="63"/>
        <v>1</v>
      </c>
    </row>
    <row r="2005" spans="1:13" x14ac:dyDescent="0.3">
      <c r="A2005">
        <v>2003</v>
      </c>
      <c r="B2005">
        <v>2004</v>
      </c>
      <c r="C2005" t="s">
        <v>2057</v>
      </c>
      <c r="D2005">
        <v>2016</v>
      </c>
      <c r="F2005" t="s">
        <v>1985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f t="shared" si="62"/>
        <v>5.2</v>
      </c>
      <c r="M2005">
        <f t="shared" si="63"/>
        <v>1</v>
      </c>
    </row>
    <row r="2006" spans="1:13" x14ac:dyDescent="0.3">
      <c r="A2006">
        <v>2004</v>
      </c>
      <c r="B2006">
        <v>2005</v>
      </c>
      <c r="C2006" t="s">
        <v>2058</v>
      </c>
      <c r="D2006">
        <v>2014</v>
      </c>
      <c r="F2006" t="s">
        <v>1985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f t="shared" si="62"/>
        <v>5.2</v>
      </c>
      <c r="M2006">
        <f t="shared" si="63"/>
        <v>1</v>
      </c>
    </row>
    <row r="2007" spans="1:13" x14ac:dyDescent="0.3">
      <c r="A2007">
        <v>2005</v>
      </c>
      <c r="B2007">
        <v>2006</v>
      </c>
      <c r="C2007" t="s">
        <v>2059</v>
      </c>
      <c r="D2007">
        <v>2006</v>
      </c>
      <c r="F2007" t="s">
        <v>1985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f t="shared" si="62"/>
        <v>5.2</v>
      </c>
      <c r="M2007">
        <f t="shared" si="63"/>
        <v>1</v>
      </c>
    </row>
    <row r="2008" spans="1:13" x14ac:dyDescent="0.3">
      <c r="A2008">
        <v>2006</v>
      </c>
      <c r="B2008">
        <v>2007</v>
      </c>
      <c r="C2008" t="s">
        <v>2060</v>
      </c>
      <c r="D2008">
        <v>2020</v>
      </c>
      <c r="F2008" t="s">
        <v>1985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f t="shared" si="62"/>
        <v>5.2</v>
      </c>
      <c r="M2008">
        <f t="shared" si="63"/>
        <v>1</v>
      </c>
    </row>
    <row r="2009" spans="1:13" x14ac:dyDescent="0.3">
      <c r="A2009">
        <v>2007</v>
      </c>
      <c r="B2009">
        <v>2008</v>
      </c>
      <c r="C2009" t="s">
        <v>2061</v>
      </c>
      <c r="D2009">
        <v>2017</v>
      </c>
      <c r="E2009" t="s">
        <v>22</v>
      </c>
      <c r="F2009" t="s">
        <v>1985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f t="shared" si="62"/>
        <v>5.2</v>
      </c>
      <c r="M2009">
        <f t="shared" si="63"/>
        <v>1</v>
      </c>
    </row>
    <row r="2010" spans="1:13" x14ac:dyDescent="0.3">
      <c r="A2010">
        <v>2008</v>
      </c>
      <c r="B2010">
        <v>2009</v>
      </c>
      <c r="C2010" t="s">
        <v>2062</v>
      </c>
      <c r="D2010">
        <v>2016</v>
      </c>
      <c r="E2010" t="s">
        <v>14</v>
      </c>
      <c r="F2010" t="s">
        <v>1985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f t="shared" si="62"/>
        <v>5.2</v>
      </c>
      <c r="M2010">
        <f t="shared" si="63"/>
        <v>1</v>
      </c>
    </row>
    <row r="2011" spans="1:13" x14ac:dyDescent="0.3">
      <c r="A2011">
        <v>2009</v>
      </c>
      <c r="B2011">
        <v>2010</v>
      </c>
      <c r="C2011" t="s">
        <v>2063</v>
      </c>
      <c r="D2011">
        <v>2015</v>
      </c>
      <c r="F2011" t="s">
        <v>1985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f t="shared" si="62"/>
        <v>5.2</v>
      </c>
      <c r="M2011">
        <f t="shared" si="63"/>
        <v>1</v>
      </c>
    </row>
    <row r="2012" spans="1:13" x14ac:dyDescent="0.3">
      <c r="A2012">
        <v>2010</v>
      </c>
      <c r="B2012">
        <v>2011</v>
      </c>
      <c r="C2012" t="s">
        <v>2064</v>
      </c>
      <c r="D2012">
        <v>2017</v>
      </c>
      <c r="F2012" t="s">
        <v>1985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f t="shared" si="62"/>
        <v>5.2</v>
      </c>
      <c r="M2012">
        <f t="shared" si="63"/>
        <v>1</v>
      </c>
    </row>
    <row r="2013" spans="1:13" x14ac:dyDescent="0.3">
      <c r="A2013">
        <v>2011</v>
      </c>
      <c r="B2013">
        <v>2012</v>
      </c>
      <c r="C2013" t="s">
        <v>2065</v>
      </c>
      <c r="D2013">
        <v>2012</v>
      </c>
      <c r="E2013" t="s">
        <v>14</v>
      </c>
      <c r="F2013" t="s">
        <v>1985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f t="shared" si="62"/>
        <v>5.2</v>
      </c>
      <c r="M2013">
        <f t="shared" si="63"/>
        <v>1</v>
      </c>
    </row>
    <row r="2014" spans="1:13" x14ac:dyDescent="0.3">
      <c r="A2014">
        <v>2012</v>
      </c>
      <c r="B2014">
        <v>2013</v>
      </c>
      <c r="C2014" t="s">
        <v>2066</v>
      </c>
      <c r="D2014">
        <v>2016</v>
      </c>
      <c r="E2014" t="s">
        <v>22</v>
      </c>
      <c r="F2014" t="s">
        <v>1985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f t="shared" si="62"/>
        <v>5.2</v>
      </c>
      <c r="M2014">
        <f t="shared" si="63"/>
        <v>1</v>
      </c>
    </row>
    <row r="2015" spans="1:13" x14ac:dyDescent="0.3">
      <c r="A2015">
        <v>2013</v>
      </c>
      <c r="B2015">
        <v>2014</v>
      </c>
      <c r="C2015" t="s">
        <v>2067</v>
      </c>
      <c r="D2015">
        <v>2018</v>
      </c>
      <c r="F2015" t="s">
        <v>1985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f t="shared" si="62"/>
        <v>5.2</v>
      </c>
      <c r="M2015">
        <f t="shared" si="63"/>
        <v>1</v>
      </c>
    </row>
    <row r="2016" spans="1:13" x14ac:dyDescent="0.3">
      <c r="A2016">
        <v>2014</v>
      </c>
      <c r="B2016">
        <v>2015</v>
      </c>
      <c r="C2016" t="s">
        <v>2068</v>
      </c>
      <c r="D2016">
        <v>2021</v>
      </c>
      <c r="E2016" t="s">
        <v>11</v>
      </c>
      <c r="F2016" t="s">
        <v>1985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f t="shared" si="62"/>
        <v>5.2</v>
      </c>
      <c r="M2016">
        <f t="shared" si="63"/>
        <v>1</v>
      </c>
    </row>
    <row r="2017" spans="1:13" x14ac:dyDescent="0.3">
      <c r="A2017">
        <v>2015</v>
      </c>
      <c r="B2017">
        <v>2016</v>
      </c>
      <c r="C2017" t="s">
        <v>2069</v>
      </c>
      <c r="D2017">
        <v>2017</v>
      </c>
      <c r="F2017" t="s">
        <v>1985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f t="shared" si="62"/>
        <v>5.2</v>
      </c>
      <c r="M2017">
        <f t="shared" si="63"/>
        <v>1</v>
      </c>
    </row>
    <row r="2018" spans="1:13" x14ac:dyDescent="0.3">
      <c r="A2018">
        <v>2016</v>
      </c>
      <c r="B2018">
        <v>2017</v>
      </c>
      <c r="C2018" t="s">
        <v>2070</v>
      </c>
      <c r="D2018">
        <v>2021</v>
      </c>
      <c r="F2018" t="s">
        <v>1985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f t="shared" si="62"/>
        <v>5.2</v>
      </c>
      <c r="M2018">
        <f t="shared" si="63"/>
        <v>1</v>
      </c>
    </row>
    <row r="2019" spans="1:13" x14ac:dyDescent="0.3">
      <c r="A2019">
        <v>2017</v>
      </c>
      <c r="B2019">
        <v>2018</v>
      </c>
      <c r="C2019" t="s">
        <v>2071</v>
      </c>
      <c r="D2019">
        <v>2017</v>
      </c>
      <c r="E2019" t="s">
        <v>14</v>
      </c>
      <c r="F2019" t="s">
        <v>1985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f t="shared" si="62"/>
        <v>5.2</v>
      </c>
      <c r="M2019">
        <f t="shared" si="63"/>
        <v>1</v>
      </c>
    </row>
    <row r="2020" spans="1:13" x14ac:dyDescent="0.3">
      <c r="A2020">
        <v>2018</v>
      </c>
      <c r="B2020">
        <v>2019</v>
      </c>
      <c r="C2020" t="s">
        <v>2072</v>
      </c>
      <c r="D2020">
        <v>2020</v>
      </c>
      <c r="E2020" t="s">
        <v>11</v>
      </c>
      <c r="F2020" t="s">
        <v>1985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f t="shared" si="62"/>
        <v>5.2</v>
      </c>
      <c r="M2020">
        <f t="shared" si="63"/>
        <v>1</v>
      </c>
    </row>
    <row r="2021" spans="1:13" x14ac:dyDescent="0.3">
      <c r="A2021">
        <v>2019</v>
      </c>
      <c r="B2021">
        <v>2020</v>
      </c>
      <c r="C2021" t="s">
        <v>2073</v>
      </c>
      <c r="D2021">
        <v>2017</v>
      </c>
      <c r="E2021" t="s">
        <v>11</v>
      </c>
      <c r="F2021" t="s">
        <v>1985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f t="shared" si="62"/>
        <v>5.2</v>
      </c>
      <c r="M2021">
        <f t="shared" si="63"/>
        <v>1</v>
      </c>
    </row>
    <row r="2022" spans="1:13" x14ac:dyDescent="0.3">
      <c r="A2022">
        <v>2020</v>
      </c>
      <c r="B2022">
        <v>2021</v>
      </c>
      <c r="C2022" t="s">
        <v>2074</v>
      </c>
      <c r="D2022">
        <v>2018</v>
      </c>
      <c r="E2022" t="s">
        <v>11</v>
      </c>
      <c r="F2022" t="s">
        <v>1985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f t="shared" si="62"/>
        <v>5.2</v>
      </c>
      <c r="M2022">
        <f t="shared" si="63"/>
        <v>1</v>
      </c>
    </row>
    <row r="2023" spans="1:13" x14ac:dyDescent="0.3">
      <c r="A2023">
        <v>2021</v>
      </c>
      <c r="B2023">
        <v>2022</v>
      </c>
      <c r="C2023" t="s">
        <v>2075</v>
      </c>
      <c r="D2023">
        <v>2018</v>
      </c>
      <c r="E2023" t="s">
        <v>11</v>
      </c>
      <c r="F2023" t="s">
        <v>1985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f t="shared" si="62"/>
        <v>5.2</v>
      </c>
      <c r="M2023">
        <f t="shared" si="63"/>
        <v>1</v>
      </c>
    </row>
    <row r="2024" spans="1:13" x14ac:dyDescent="0.3">
      <c r="A2024">
        <v>2022</v>
      </c>
      <c r="B2024">
        <v>2023</v>
      </c>
      <c r="C2024" t="s">
        <v>2076</v>
      </c>
      <c r="D2024">
        <v>2020</v>
      </c>
      <c r="E2024" t="s">
        <v>28</v>
      </c>
      <c r="F2024" t="s">
        <v>1985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f t="shared" si="62"/>
        <v>5.2</v>
      </c>
      <c r="M2024">
        <f t="shared" si="63"/>
        <v>1</v>
      </c>
    </row>
    <row r="2025" spans="1:13" x14ac:dyDescent="0.3">
      <c r="A2025">
        <v>2023</v>
      </c>
      <c r="B2025">
        <v>2024</v>
      </c>
      <c r="C2025" t="s">
        <v>2077</v>
      </c>
      <c r="D2025">
        <v>2020</v>
      </c>
      <c r="E2025" t="s">
        <v>11</v>
      </c>
      <c r="F2025" t="s">
        <v>1985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f t="shared" si="62"/>
        <v>5.2</v>
      </c>
      <c r="M2025">
        <f t="shared" si="63"/>
        <v>1</v>
      </c>
    </row>
    <row r="2026" spans="1:13" x14ac:dyDescent="0.3">
      <c r="A2026">
        <v>2024</v>
      </c>
      <c r="B2026">
        <v>2025</v>
      </c>
      <c r="C2026" t="s">
        <v>2078</v>
      </c>
      <c r="D2026">
        <v>2009</v>
      </c>
      <c r="E2026" t="s">
        <v>11</v>
      </c>
      <c r="F2026" t="s">
        <v>1985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f t="shared" si="62"/>
        <v>5.2</v>
      </c>
      <c r="M2026">
        <f t="shared" si="63"/>
        <v>1</v>
      </c>
    </row>
    <row r="2027" spans="1:13" x14ac:dyDescent="0.3">
      <c r="A2027">
        <v>2025</v>
      </c>
      <c r="B2027">
        <v>2026</v>
      </c>
      <c r="C2027" t="s">
        <v>2079</v>
      </c>
      <c r="D2027">
        <v>2020</v>
      </c>
      <c r="F2027" t="s">
        <v>1985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f t="shared" si="62"/>
        <v>5.2</v>
      </c>
      <c r="M2027">
        <f t="shared" si="63"/>
        <v>1</v>
      </c>
    </row>
    <row r="2028" spans="1:13" x14ac:dyDescent="0.3">
      <c r="A2028">
        <v>2026</v>
      </c>
      <c r="B2028">
        <v>2027</v>
      </c>
      <c r="C2028" t="s">
        <v>2080</v>
      </c>
      <c r="D2028">
        <v>2017</v>
      </c>
      <c r="F2028" t="s">
        <v>1985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f t="shared" si="62"/>
        <v>5.2</v>
      </c>
      <c r="M2028">
        <f t="shared" si="63"/>
        <v>1</v>
      </c>
    </row>
    <row r="2029" spans="1:13" x14ac:dyDescent="0.3">
      <c r="A2029">
        <v>2027</v>
      </c>
      <c r="B2029">
        <v>2028</v>
      </c>
      <c r="C2029" t="s">
        <v>2081</v>
      </c>
      <c r="D2029">
        <v>1987</v>
      </c>
      <c r="E2029" t="s">
        <v>11</v>
      </c>
      <c r="F2029" t="s">
        <v>1985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f t="shared" si="62"/>
        <v>5.2</v>
      </c>
      <c r="M2029">
        <f t="shared" si="63"/>
        <v>1</v>
      </c>
    </row>
    <row r="2030" spans="1:13" x14ac:dyDescent="0.3">
      <c r="A2030">
        <v>2028</v>
      </c>
      <c r="B2030">
        <v>2029</v>
      </c>
      <c r="C2030" t="s">
        <v>2082</v>
      </c>
      <c r="D2030">
        <v>2005</v>
      </c>
      <c r="F2030" t="s">
        <v>1985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f t="shared" si="62"/>
        <v>5.2</v>
      </c>
      <c r="M2030">
        <f t="shared" si="63"/>
        <v>1</v>
      </c>
    </row>
    <row r="2031" spans="1:13" x14ac:dyDescent="0.3">
      <c r="A2031">
        <v>2029</v>
      </c>
      <c r="B2031">
        <v>2030</v>
      </c>
      <c r="C2031" t="s">
        <v>2083</v>
      </c>
      <c r="D2031">
        <v>2020</v>
      </c>
      <c r="F2031" t="s">
        <v>2084</v>
      </c>
      <c r="G2031">
        <v>1</v>
      </c>
      <c r="H2031">
        <v>0</v>
      </c>
      <c r="I2031">
        <v>0</v>
      </c>
      <c r="J2031">
        <v>1</v>
      </c>
      <c r="K2031">
        <v>0</v>
      </c>
      <c r="L2031">
        <f t="shared" si="62"/>
        <v>5.0999999999999996</v>
      </c>
      <c r="M2031">
        <f t="shared" si="63"/>
        <v>2</v>
      </c>
    </row>
    <row r="2032" spans="1:13" x14ac:dyDescent="0.3">
      <c r="A2032">
        <v>2030</v>
      </c>
      <c r="B2032">
        <v>2031</v>
      </c>
      <c r="C2032" t="s">
        <v>2085</v>
      </c>
      <c r="D2032">
        <v>2018</v>
      </c>
      <c r="E2032" t="s">
        <v>28</v>
      </c>
      <c r="F2032" t="s">
        <v>2084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f t="shared" si="62"/>
        <v>5.0999999999999996</v>
      </c>
      <c r="M2032">
        <f t="shared" si="63"/>
        <v>1</v>
      </c>
    </row>
    <row r="2033" spans="1:13" x14ac:dyDescent="0.3">
      <c r="A2033">
        <v>2031</v>
      </c>
      <c r="B2033">
        <v>2032</v>
      </c>
      <c r="C2033" t="s">
        <v>2086</v>
      </c>
      <c r="D2033">
        <v>2017</v>
      </c>
      <c r="E2033" t="s">
        <v>11</v>
      </c>
      <c r="F2033" t="s">
        <v>2084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f t="shared" si="62"/>
        <v>5.0999999999999996</v>
      </c>
      <c r="M2033">
        <f t="shared" si="63"/>
        <v>1</v>
      </c>
    </row>
    <row r="2034" spans="1:13" x14ac:dyDescent="0.3">
      <c r="A2034">
        <v>2032</v>
      </c>
      <c r="B2034">
        <v>2033</v>
      </c>
      <c r="C2034" t="s">
        <v>2087</v>
      </c>
      <c r="D2034">
        <v>1995</v>
      </c>
      <c r="E2034" t="s">
        <v>22</v>
      </c>
      <c r="F2034" t="s">
        <v>2084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f t="shared" si="62"/>
        <v>5.0999999999999996</v>
      </c>
      <c r="M2034">
        <f t="shared" si="63"/>
        <v>1</v>
      </c>
    </row>
    <row r="2035" spans="1:13" x14ac:dyDescent="0.3">
      <c r="A2035">
        <v>2033</v>
      </c>
      <c r="B2035">
        <v>2034</v>
      </c>
      <c r="C2035" t="s">
        <v>2088</v>
      </c>
      <c r="D2035">
        <v>2021</v>
      </c>
      <c r="F2035" t="s">
        <v>2084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f t="shared" si="62"/>
        <v>5.0999999999999996</v>
      </c>
      <c r="M2035">
        <f t="shared" si="63"/>
        <v>1</v>
      </c>
    </row>
    <row r="2036" spans="1:13" x14ac:dyDescent="0.3">
      <c r="A2036">
        <v>2034</v>
      </c>
      <c r="B2036">
        <v>2035</v>
      </c>
      <c r="C2036" t="s">
        <v>2089</v>
      </c>
      <c r="D2036">
        <v>2020</v>
      </c>
      <c r="F2036" t="s">
        <v>2084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f t="shared" si="62"/>
        <v>5.0999999999999996</v>
      </c>
      <c r="M2036">
        <f t="shared" si="63"/>
        <v>1</v>
      </c>
    </row>
    <row r="2037" spans="1:13" x14ac:dyDescent="0.3">
      <c r="A2037">
        <v>2035</v>
      </c>
      <c r="B2037">
        <v>2036</v>
      </c>
      <c r="C2037" t="s">
        <v>2090</v>
      </c>
      <c r="D2037">
        <v>2019</v>
      </c>
      <c r="F2037" t="s">
        <v>2084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f t="shared" si="62"/>
        <v>5.0999999999999996</v>
      </c>
      <c r="M2037">
        <f t="shared" si="63"/>
        <v>1</v>
      </c>
    </row>
    <row r="2038" spans="1:13" x14ac:dyDescent="0.3">
      <c r="A2038">
        <v>2036</v>
      </c>
      <c r="B2038">
        <v>2037</v>
      </c>
      <c r="C2038" t="s">
        <v>2091</v>
      </c>
      <c r="D2038">
        <v>2016</v>
      </c>
      <c r="E2038" t="s">
        <v>11</v>
      </c>
      <c r="F2038" t="s">
        <v>2084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f t="shared" si="62"/>
        <v>5.0999999999999996</v>
      </c>
      <c r="M2038">
        <f t="shared" si="63"/>
        <v>1</v>
      </c>
    </row>
    <row r="2039" spans="1:13" x14ac:dyDescent="0.3">
      <c r="A2039">
        <v>2037</v>
      </c>
      <c r="B2039">
        <v>2038</v>
      </c>
      <c r="C2039" t="s">
        <v>2092</v>
      </c>
      <c r="D2039">
        <v>2017</v>
      </c>
      <c r="F2039" t="s">
        <v>2084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f t="shared" si="62"/>
        <v>5.0999999999999996</v>
      </c>
      <c r="M2039">
        <f t="shared" si="63"/>
        <v>1</v>
      </c>
    </row>
    <row r="2040" spans="1:13" x14ac:dyDescent="0.3">
      <c r="A2040">
        <v>2038</v>
      </c>
      <c r="B2040">
        <v>2039</v>
      </c>
      <c r="C2040" t="s">
        <v>2093</v>
      </c>
      <c r="D2040">
        <v>2018</v>
      </c>
      <c r="E2040" t="s">
        <v>11</v>
      </c>
      <c r="F2040" t="s">
        <v>2084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f t="shared" si="62"/>
        <v>5.0999999999999996</v>
      </c>
      <c r="M2040">
        <f t="shared" si="63"/>
        <v>1</v>
      </c>
    </row>
    <row r="2041" spans="1:13" x14ac:dyDescent="0.3">
      <c r="A2041">
        <v>2039</v>
      </c>
      <c r="B2041">
        <v>2040</v>
      </c>
      <c r="C2041" t="s">
        <v>2094</v>
      </c>
      <c r="D2041">
        <v>2019</v>
      </c>
      <c r="F2041" t="s">
        <v>2084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f t="shared" si="62"/>
        <v>5.0999999999999996</v>
      </c>
      <c r="M2041">
        <f t="shared" si="63"/>
        <v>1</v>
      </c>
    </row>
    <row r="2042" spans="1:13" x14ac:dyDescent="0.3">
      <c r="A2042">
        <v>2040</v>
      </c>
      <c r="B2042">
        <v>2041</v>
      </c>
      <c r="C2042" t="s">
        <v>2095</v>
      </c>
      <c r="D2042">
        <v>2018</v>
      </c>
      <c r="E2042" t="s">
        <v>28</v>
      </c>
      <c r="F2042" t="s">
        <v>2084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f t="shared" si="62"/>
        <v>5.0999999999999996</v>
      </c>
      <c r="M2042">
        <f t="shared" si="63"/>
        <v>1</v>
      </c>
    </row>
    <row r="2043" spans="1:13" x14ac:dyDescent="0.3">
      <c r="A2043">
        <v>2041</v>
      </c>
      <c r="B2043">
        <v>2042</v>
      </c>
      <c r="C2043" t="s">
        <v>2096</v>
      </c>
      <c r="D2043">
        <v>2017</v>
      </c>
      <c r="E2043" t="s">
        <v>36</v>
      </c>
      <c r="F2043" t="s">
        <v>2084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f t="shared" si="62"/>
        <v>5.0999999999999996</v>
      </c>
      <c r="M2043">
        <f t="shared" si="63"/>
        <v>1</v>
      </c>
    </row>
    <row r="2044" spans="1:13" x14ac:dyDescent="0.3">
      <c r="A2044">
        <v>2042</v>
      </c>
      <c r="B2044">
        <v>2043</v>
      </c>
      <c r="C2044" t="s">
        <v>2097</v>
      </c>
      <c r="D2044">
        <v>2019</v>
      </c>
      <c r="F2044" t="s">
        <v>2084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f t="shared" si="62"/>
        <v>5.0999999999999996</v>
      </c>
      <c r="M2044">
        <f t="shared" si="63"/>
        <v>1</v>
      </c>
    </row>
    <row r="2045" spans="1:13" x14ac:dyDescent="0.3">
      <c r="A2045">
        <v>2043</v>
      </c>
      <c r="B2045">
        <v>2044</v>
      </c>
      <c r="C2045" t="s">
        <v>2098</v>
      </c>
      <c r="D2045">
        <v>2017</v>
      </c>
      <c r="F2045" t="s">
        <v>2084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f t="shared" si="62"/>
        <v>5.0999999999999996</v>
      </c>
      <c r="M2045">
        <f t="shared" si="63"/>
        <v>1</v>
      </c>
    </row>
    <row r="2046" spans="1:13" x14ac:dyDescent="0.3">
      <c r="A2046">
        <v>2044</v>
      </c>
      <c r="B2046">
        <v>2045</v>
      </c>
      <c r="C2046" t="s">
        <v>2099</v>
      </c>
      <c r="D2046">
        <v>2015</v>
      </c>
      <c r="F2046" t="s">
        <v>2084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f t="shared" si="62"/>
        <v>5.0999999999999996</v>
      </c>
      <c r="M2046">
        <f t="shared" si="63"/>
        <v>1</v>
      </c>
    </row>
    <row r="2047" spans="1:13" x14ac:dyDescent="0.3">
      <c r="A2047">
        <v>2045</v>
      </c>
      <c r="B2047">
        <v>2046</v>
      </c>
      <c r="C2047" t="s">
        <v>2100</v>
      </c>
      <c r="D2047">
        <v>2020</v>
      </c>
      <c r="E2047" t="s">
        <v>36</v>
      </c>
      <c r="F2047" t="s">
        <v>2084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f t="shared" si="62"/>
        <v>5.0999999999999996</v>
      </c>
      <c r="M2047">
        <f t="shared" si="63"/>
        <v>1</v>
      </c>
    </row>
    <row r="2048" spans="1:13" x14ac:dyDescent="0.3">
      <c r="A2048">
        <v>2046</v>
      </c>
      <c r="B2048">
        <v>2047</v>
      </c>
      <c r="C2048" t="s">
        <v>2101</v>
      </c>
      <c r="D2048">
        <v>2015</v>
      </c>
      <c r="F2048" t="s">
        <v>2084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f t="shared" si="62"/>
        <v>5.0999999999999996</v>
      </c>
      <c r="M2048">
        <f t="shared" si="63"/>
        <v>1</v>
      </c>
    </row>
    <row r="2049" spans="1:13" x14ac:dyDescent="0.3">
      <c r="A2049">
        <v>2047</v>
      </c>
      <c r="B2049">
        <v>2048</v>
      </c>
      <c r="C2049" t="s">
        <v>2102</v>
      </c>
      <c r="D2049">
        <v>2016</v>
      </c>
      <c r="F2049" t="s">
        <v>2084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f t="shared" si="62"/>
        <v>5.0999999999999996</v>
      </c>
      <c r="M2049">
        <f t="shared" si="63"/>
        <v>1</v>
      </c>
    </row>
    <row r="2050" spans="1:13" x14ac:dyDescent="0.3">
      <c r="A2050">
        <v>2048</v>
      </c>
      <c r="B2050">
        <v>2049</v>
      </c>
      <c r="C2050" t="s">
        <v>2103</v>
      </c>
      <c r="D2050">
        <v>1998</v>
      </c>
      <c r="E2050" t="s">
        <v>14</v>
      </c>
      <c r="F2050" t="s">
        <v>2084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f t="shared" si="62"/>
        <v>5.0999999999999996</v>
      </c>
      <c r="M2050">
        <f t="shared" si="63"/>
        <v>1</v>
      </c>
    </row>
    <row r="2051" spans="1:13" x14ac:dyDescent="0.3">
      <c r="A2051">
        <v>2049</v>
      </c>
      <c r="B2051">
        <v>2050</v>
      </c>
      <c r="C2051" t="s">
        <v>2104</v>
      </c>
      <c r="D2051">
        <v>2020</v>
      </c>
      <c r="E2051" t="s">
        <v>11</v>
      </c>
      <c r="F2051" t="s">
        <v>2084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f t="shared" ref="L2051:L2114" si="64">IFERROR(VALUE(LEFT(F2051,FIND("/",F2051)-1))/10,"")</f>
        <v>5.0999999999999996</v>
      </c>
      <c r="M2051">
        <f t="shared" ref="M2051:M2114" si="65">SUM(G2051:J2051)</f>
        <v>1</v>
      </c>
    </row>
    <row r="2052" spans="1:13" x14ac:dyDescent="0.3">
      <c r="A2052">
        <v>2050</v>
      </c>
      <c r="B2052">
        <v>2051</v>
      </c>
      <c r="C2052" t="s">
        <v>2105</v>
      </c>
      <c r="D2052">
        <v>2017</v>
      </c>
      <c r="E2052" t="s">
        <v>11</v>
      </c>
      <c r="F2052" t="s">
        <v>2084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f t="shared" si="64"/>
        <v>5.0999999999999996</v>
      </c>
      <c r="M2052">
        <f t="shared" si="65"/>
        <v>1</v>
      </c>
    </row>
    <row r="2053" spans="1:13" x14ac:dyDescent="0.3">
      <c r="A2053">
        <v>2051</v>
      </c>
      <c r="B2053">
        <v>2052</v>
      </c>
      <c r="C2053" t="s">
        <v>2106</v>
      </c>
      <c r="D2053">
        <v>2020</v>
      </c>
      <c r="E2053" t="s">
        <v>11</v>
      </c>
      <c r="F2053" t="s">
        <v>2084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f t="shared" si="64"/>
        <v>5.0999999999999996</v>
      </c>
      <c r="M2053">
        <f t="shared" si="65"/>
        <v>1</v>
      </c>
    </row>
    <row r="2054" spans="1:13" x14ac:dyDescent="0.3">
      <c r="A2054">
        <v>2052</v>
      </c>
      <c r="B2054">
        <v>2053</v>
      </c>
      <c r="C2054" t="s">
        <v>2107</v>
      </c>
      <c r="D2054">
        <v>2011</v>
      </c>
      <c r="E2054" t="s">
        <v>28</v>
      </c>
      <c r="F2054" t="s">
        <v>2084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f t="shared" si="64"/>
        <v>5.0999999999999996</v>
      </c>
      <c r="M2054">
        <f t="shared" si="65"/>
        <v>1</v>
      </c>
    </row>
    <row r="2055" spans="1:13" x14ac:dyDescent="0.3">
      <c r="A2055">
        <v>2053</v>
      </c>
      <c r="B2055">
        <v>2054</v>
      </c>
      <c r="C2055" t="s">
        <v>2108</v>
      </c>
      <c r="D2055">
        <v>2018</v>
      </c>
      <c r="F2055" t="s">
        <v>2084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f t="shared" si="64"/>
        <v>5.0999999999999996</v>
      </c>
      <c r="M2055">
        <f t="shared" si="65"/>
        <v>1</v>
      </c>
    </row>
    <row r="2056" spans="1:13" x14ac:dyDescent="0.3">
      <c r="A2056">
        <v>2054</v>
      </c>
      <c r="B2056">
        <v>2055</v>
      </c>
      <c r="C2056" t="s">
        <v>2109</v>
      </c>
      <c r="D2056">
        <v>2017</v>
      </c>
      <c r="F2056" t="s">
        <v>2084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f t="shared" si="64"/>
        <v>5.0999999999999996</v>
      </c>
      <c r="M2056">
        <f t="shared" si="65"/>
        <v>1</v>
      </c>
    </row>
    <row r="2057" spans="1:13" x14ac:dyDescent="0.3">
      <c r="A2057">
        <v>2055</v>
      </c>
      <c r="B2057">
        <v>2056</v>
      </c>
      <c r="C2057" t="s">
        <v>2110</v>
      </c>
      <c r="D2057">
        <v>2015</v>
      </c>
      <c r="E2057" t="s">
        <v>22</v>
      </c>
      <c r="F2057" t="s">
        <v>2084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f t="shared" si="64"/>
        <v>5.0999999999999996</v>
      </c>
      <c r="M2057">
        <f t="shared" si="65"/>
        <v>1</v>
      </c>
    </row>
    <row r="2058" spans="1:13" x14ac:dyDescent="0.3">
      <c r="A2058">
        <v>2056</v>
      </c>
      <c r="B2058">
        <v>2057</v>
      </c>
      <c r="C2058" t="s">
        <v>2111</v>
      </c>
      <c r="D2058">
        <v>2019</v>
      </c>
      <c r="F2058" t="s">
        <v>2084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f t="shared" si="64"/>
        <v>5.0999999999999996</v>
      </c>
      <c r="M2058">
        <f t="shared" si="65"/>
        <v>1</v>
      </c>
    </row>
    <row r="2059" spans="1:13" x14ac:dyDescent="0.3">
      <c r="A2059">
        <v>2057</v>
      </c>
      <c r="B2059">
        <v>2058</v>
      </c>
      <c r="C2059" t="s">
        <v>2112</v>
      </c>
      <c r="D2059">
        <v>2010</v>
      </c>
      <c r="E2059" t="s">
        <v>14</v>
      </c>
      <c r="F2059" t="s">
        <v>2084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f t="shared" si="64"/>
        <v>5.0999999999999996</v>
      </c>
      <c r="M2059">
        <f t="shared" si="65"/>
        <v>1</v>
      </c>
    </row>
    <row r="2060" spans="1:13" x14ac:dyDescent="0.3">
      <c r="A2060">
        <v>2058</v>
      </c>
      <c r="B2060">
        <v>2059</v>
      </c>
      <c r="C2060" t="s">
        <v>2113</v>
      </c>
      <c r="D2060">
        <v>1972</v>
      </c>
      <c r="E2060" t="s">
        <v>11</v>
      </c>
      <c r="F2060" t="s">
        <v>2084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f t="shared" si="64"/>
        <v>5.0999999999999996</v>
      </c>
      <c r="M2060">
        <f t="shared" si="65"/>
        <v>1</v>
      </c>
    </row>
    <row r="2061" spans="1:13" x14ac:dyDescent="0.3">
      <c r="A2061">
        <v>2059</v>
      </c>
      <c r="B2061">
        <v>2060</v>
      </c>
      <c r="C2061" t="s">
        <v>2114</v>
      </c>
      <c r="D2061">
        <v>2019</v>
      </c>
      <c r="E2061" t="s">
        <v>11</v>
      </c>
      <c r="F2061" t="s">
        <v>2084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f t="shared" si="64"/>
        <v>5.0999999999999996</v>
      </c>
      <c r="M2061">
        <f t="shared" si="65"/>
        <v>1</v>
      </c>
    </row>
    <row r="2062" spans="1:13" x14ac:dyDescent="0.3">
      <c r="A2062">
        <v>2060</v>
      </c>
      <c r="B2062">
        <v>2061</v>
      </c>
      <c r="C2062" t="s">
        <v>2115</v>
      </c>
      <c r="D2062">
        <v>2012</v>
      </c>
      <c r="E2062" t="s">
        <v>14</v>
      </c>
      <c r="F2062" t="s">
        <v>2084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f t="shared" si="64"/>
        <v>5.0999999999999996</v>
      </c>
      <c r="M2062">
        <f t="shared" si="65"/>
        <v>1</v>
      </c>
    </row>
    <row r="2063" spans="1:13" x14ac:dyDescent="0.3">
      <c r="A2063">
        <v>2061</v>
      </c>
      <c r="B2063">
        <v>2062</v>
      </c>
      <c r="C2063" t="s">
        <v>2116</v>
      </c>
      <c r="D2063">
        <v>2020</v>
      </c>
      <c r="E2063" t="s">
        <v>14</v>
      </c>
      <c r="F2063" t="s">
        <v>2084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f t="shared" si="64"/>
        <v>5.0999999999999996</v>
      </c>
      <c r="M2063">
        <f t="shared" si="65"/>
        <v>1</v>
      </c>
    </row>
    <row r="2064" spans="1:13" x14ac:dyDescent="0.3">
      <c r="A2064">
        <v>2062</v>
      </c>
      <c r="B2064">
        <v>2063</v>
      </c>
      <c r="C2064" t="s">
        <v>2117</v>
      </c>
      <c r="D2064">
        <v>2020</v>
      </c>
      <c r="E2064" t="s">
        <v>11</v>
      </c>
      <c r="F2064" t="s">
        <v>2084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f t="shared" si="64"/>
        <v>5.0999999999999996</v>
      </c>
      <c r="M2064">
        <f t="shared" si="65"/>
        <v>1</v>
      </c>
    </row>
    <row r="2065" spans="1:13" x14ac:dyDescent="0.3">
      <c r="A2065">
        <v>2063</v>
      </c>
      <c r="B2065">
        <v>2064</v>
      </c>
      <c r="C2065" t="s">
        <v>2118</v>
      </c>
      <c r="D2065">
        <v>2019</v>
      </c>
      <c r="F2065" t="s">
        <v>2084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f t="shared" si="64"/>
        <v>5.0999999999999996</v>
      </c>
      <c r="M2065">
        <f t="shared" si="65"/>
        <v>1</v>
      </c>
    </row>
    <row r="2066" spans="1:13" x14ac:dyDescent="0.3">
      <c r="A2066">
        <v>2064</v>
      </c>
      <c r="B2066">
        <v>2065</v>
      </c>
      <c r="C2066" t="s">
        <v>2119</v>
      </c>
      <c r="D2066">
        <v>2019</v>
      </c>
      <c r="F2066" t="s">
        <v>2084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f t="shared" si="64"/>
        <v>5.0999999999999996</v>
      </c>
      <c r="M2066">
        <f t="shared" si="65"/>
        <v>1</v>
      </c>
    </row>
    <row r="2067" spans="1:13" x14ac:dyDescent="0.3">
      <c r="A2067">
        <v>2065</v>
      </c>
      <c r="B2067">
        <v>2066</v>
      </c>
      <c r="C2067" t="s">
        <v>2120</v>
      </c>
      <c r="D2067">
        <v>2019</v>
      </c>
      <c r="E2067" t="s">
        <v>11</v>
      </c>
      <c r="F2067" t="s">
        <v>2084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f t="shared" si="64"/>
        <v>5.0999999999999996</v>
      </c>
      <c r="M2067">
        <f t="shared" si="65"/>
        <v>1</v>
      </c>
    </row>
    <row r="2068" spans="1:13" x14ac:dyDescent="0.3">
      <c r="A2068">
        <v>2066</v>
      </c>
      <c r="B2068">
        <v>2067</v>
      </c>
      <c r="C2068" t="s">
        <v>2121</v>
      </c>
      <c r="D2068">
        <v>2018</v>
      </c>
      <c r="F2068" t="s">
        <v>2084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f t="shared" si="64"/>
        <v>5.0999999999999996</v>
      </c>
      <c r="M2068">
        <f t="shared" si="65"/>
        <v>1</v>
      </c>
    </row>
    <row r="2069" spans="1:13" x14ac:dyDescent="0.3">
      <c r="A2069">
        <v>2067</v>
      </c>
      <c r="B2069">
        <v>2068</v>
      </c>
      <c r="C2069" t="s">
        <v>2122</v>
      </c>
      <c r="D2069">
        <v>2018</v>
      </c>
      <c r="F2069" t="s">
        <v>2084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f t="shared" si="64"/>
        <v>5.0999999999999996</v>
      </c>
      <c r="M2069">
        <f t="shared" si="65"/>
        <v>1</v>
      </c>
    </row>
    <row r="2070" spans="1:13" x14ac:dyDescent="0.3">
      <c r="A2070">
        <v>2068</v>
      </c>
      <c r="B2070">
        <v>2069</v>
      </c>
      <c r="C2070" t="s">
        <v>2123</v>
      </c>
      <c r="D2070">
        <v>2021</v>
      </c>
      <c r="F2070" t="s">
        <v>2084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f t="shared" si="64"/>
        <v>5.0999999999999996</v>
      </c>
      <c r="M2070">
        <f t="shared" si="65"/>
        <v>1</v>
      </c>
    </row>
    <row r="2071" spans="1:13" x14ac:dyDescent="0.3">
      <c r="A2071">
        <v>2069</v>
      </c>
      <c r="B2071">
        <v>2070</v>
      </c>
      <c r="C2071" t="s">
        <v>2124</v>
      </c>
      <c r="D2071">
        <v>2015</v>
      </c>
      <c r="F2071" t="s">
        <v>2084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f t="shared" si="64"/>
        <v>5.0999999999999996</v>
      </c>
      <c r="M2071">
        <f t="shared" si="65"/>
        <v>1</v>
      </c>
    </row>
    <row r="2072" spans="1:13" x14ac:dyDescent="0.3">
      <c r="A2072">
        <v>2070</v>
      </c>
      <c r="B2072">
        <v>2071</v>
      </c>
      <c r="C2072" t="s">
        <v>2125</v>
      </c>
      <c r="D2072">
        <v>2012</v>
      </c>
      <c r="E2072" t="s">
        <v>36</v>
      </c>
      <c r="F2072" t="s">
        <v>2084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f t="shared" si="64"/>
        <v>5.0999999999999996</v>
      </c>
      <c r="M2072">
        <f t="shared" si="65"/>
        <v>1</v>
      </c>
    </row>
    <row r="2073" spans="1:13" x14ac:dyDescent="0.3">
      <c r="A2073">
        <v>2071</v>
      </c>
      <c r="B2073">
        <v>2072</v>
      </c>
      <c r="C2073" t="s">
        <v>2126</v>
      </c>
      <c r="D2073">
        <v>2020</v>
      </c>
      <c r="E2073" t="s">
        <v>11</v>
      </c>
      <c r="F2073" t="s">
        <v>2084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f t="shared" si="64"/>
        <v>5.0999999999999996</v>
      </c>
      <c r="M2073">
        <f t="shared" si="65"/>
        <v>1</v>
      </c>
    </row>
    <row r="2074" spans="1:13" x14ac:dyDescent="0.3">
      <c r="A2074">
        <v>2072</v>
      </c>
      <c r="B2074">
        <v>2073</v>
      </c>
      <c r="C2074" t="s">
        <v>2127</v>
      </c>
      <c r="D2074">
        <v>2021</v>
      </c>
      <c r="E2074" t="s">
        <v>22</v>
      </c>
      <c r="F2074" t="s">
        <v>2084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f t="shared" si="64"/>
        <v>5.0999999999999996</v>
      </c>
      <c r="M2074">
        <f t="shared" si="65"/>
        <v>1</v>
      </c>
    </row>
    <row r="2075" spans="1:13" x14ac:dyDescent="0.3">
      <c r="A2075">
        <v>2073</v>
      </c>
      <c r="B2075">
        <v>2074</v>
      </c>
      <c r="C2075" t="s">
        <v>2128</v>
      </c>
      <c r="D2075">
        <v>2018</v>
      </c>
      <c r="F2075" t="s">
        <v>2084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f t="shared" si="64"/>
        <v>5.0999999999999996</v>
      </c>
      <c r="M2075">
        <f t="shared" si="65"/>
        <v>1</v>
      </c>
    </row>
    <row r="2076" spans="1:13" x14ac:dyDescent="0.3">
      <c r="A2076">
        <v>2074</v>
      </c>
      <c r="B2076">
        <v>2075</v>
      </c>
      <c r="C2076" t="s">
        <v>2129</v>
      </c>
      <c r="D2076">
        <v>2018</v>
      </c>
      <c r="F2076" t="s">
        <v>2084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f t="shared" si="64"/>
        <v>5.0999999999999996</v>
      </c>
      <c r="M2076">
        <f t="shared" si="65"/>
        <v>1</v>
      </c>
    </row>
    <row r="2077" spans="1:13" x14ac:dyDescent="0.3">
      <c r="A2077">
        <v>2075</v>
      </c>
      <c r="B2077">
        <v>2076</v>
      </c>
      <c r="C2077" t="s">
        <v>2130</v>
      </c>
      <c r="D2077">
        <v>2010</v>
      </c>
      <c r="E2077" t="s">
        <v>11</v>
      </c>
      <c r="F2077" t="s">
        <v>2084</v>
      </c>
      <c r="G2077">
        <v>1</v>
      </c>
      <c r="H2077">
        <v>0</v>
      </c>
      <c r="I2077">
        <v>1</v>
      </c>
      <c r="J2077">
        <v>0</v>
      </c>
      <c r="K2077">
        <v>0</v>
      </c>
      <c r="L2077">
        <f t="shared" si="64"/>
        <v>5.0999999999999996</v>
      </c>
      <c r="M2077">
        <f t="shared" si="65"/>
        <v>2</v>
      </c>
    </row>
    <row r="2078" spans="1:13" x14ac:dyDescent="0.3">
      <c r="A2078">
        <v>2076</v>
      </c>
      <c r="B2078">
        <v>2077</v>
      </c>
      <c r="C2078" t="s">
        <v>2131</v>
      </c>
      <c r="D2078">
        <v>2000</v>
      </c>
      <c r="E2078" t="s">
        <v>22</v>
      </c>
      <c r="F2078" t="s">
        <v>2084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f t="shared" si="64"/>
        <v>5.0999999999999996</v>
      </c>
      <c r="M2078">
        <f t="shared" si="65"/>
        <v>1</v>
      </c>
    </row>
    <row r="2079" spans="1:13" x14ac:dyDescent="0.3">
      <c r="A2079">
        <v>2077</v>
      </c>
      <c r="B2079">
        <v>2078</v>
      </c>
      <c r="C2079" t="s">
        <v>2132</v>
      </c>
      <c r="D2079">
        <v>2019</v>
      </c>
      <c r="F2079" t="s">
        <v>2084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f t="shared" si="64"/>
        <v>5.0999999999999996</v>
      </c>
      <c r="M2079">
        <f t="shared" si="65"/>
        <v>1</v>
      </c>
    </row>
    <row r="2080" spans="1:13" x14ac:dyDescent="0.3">
      <c r="A2080">
        <v>2078</v>
      </c>
      <c r="B2080">
        <v>2079</v>
      </c>
      <c r="C2080" t="s">
        <v>2133</v>
      </c>
      <c r="D2080">
        <v>2021</v>
      </c>
      <c r="F2080" t="s">
        <v>2084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f t="shared" si="64"/>
        <v>5.0999999999999996</v>
      </c>
      <c r="M2080">
        <f t="shared" si="65"/>
        <v>1</v>
      </c>
    </row>
    <row r="2081" spans="1:13" x14ac:dyDescent="0.3">
      <c r="A2081">
        <v>2079</v>
      </c>
      <c r="B2081">
        <v>2080</v>
      </c>
      <c r="C2081" t="s">
        <v>2134</v>
      </c>
      <c r="D2081">
        <v>2017</v>
      </c>
      <c r="F2081" t="s">
        <v>2084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f t="shared" si="64"/>
        <v>5.0999999999999996</v>
      </c>
      <c r="M2081">
        <f t="shared" si="65"/>
        <v>1</v>
      </c>
    </row>
    <row r="2082" spans="1:13" x14ac:dyDescent="0.3">
      <c r="A2082">
        <v>2080</v>
      </c>
      <c r="B2082">
        <v>2081</v>
      </c>
      <c r="C2082" t="s">
        <v>2135</v>
      </c>
      <c r="D2082">
        <v>2020</v>
      </c>
      <c r="F2082" t="s">
        <v>2084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f t="shared" si="64"/>
        <v>5.0999999999999996</v>
      </c>
      <c r="M2082">
        <f t="shared" si="65"/>
        <v>1</v>
      </c>
    </row>
    <row r="2083" spans="1:13" x14ac:dyDescent="0.3">
      <c r="A2083">
        <v>2081</v>
      </c>
      <c r="B2083">
        <v>2082</v>
      </c>
      <c r="C2083" t="s">
        <v>2136</v>
      </c>
      <c r="D2083">
        <v>2020</v>
      </c>
      <c r="F2083" t="s">
        <v>2084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f t="shared" si="64"/>
        <v>5.0999999999999996</v>
      </c>
      <c r="M2083">
        <f t="shared" si="65"/>
        <v>1</v>
      </c>
    </row>
    <row r="2084" spans="1:13" x14ac:dyDescent="0.3">
      <c r="A2084">
        <v>2082</v>
      </c>
      <c r="B2084">
        <v>2083</v>
      </c>
      <c r="C2084" t="s">
        <v>2137</v>
      </c>
      <c r="D2084">
        <v>2015</v>
      </c>
      <c r="F2084" t="s">
        <v>2084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f t="shared" si="64"/>
        <v>5.0999999999999996</v>
      </c>
      <c r="M2084">
        <f t="shared" si="65"/>
        <v>1</v>
      </c>
    </row>
    <row r="2085" spans="1:13" x14ac:dyDescent="0.3">
      <c r="A2085">
        <v>2083</v>
      </c>
      <c r="B2085">
        <v>2084</v>
      </c>
      <c r="C2085" t="s">
        <v>2138</v>
      </c>
      <c r="D2085">
        <v>2020</v>
      </c>
      <c r="E2085" t="s">
        <v>11</v>
      </c>
      <c r="F2085" t="s">
        <v>2084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f t="shared" si="64"/>
        <v>5.0999999999999996</v>
      </c>
      <c r="M2085">
        <f t="shared" si="65"/>
        <v>1</v>
      </c>
    </row>
    <row r="2086" spans="1:13" x14ac:dyDescent="0.3">
      <c r="A2086">
        <v>2084</v>
      </c>
      <c r="B2086">
        <v>2085</v>
      </c>
      <c r="C2086" t="s">
        <v>2139</v>
      </c>
      <c r="D2086">
        <v>2017</v>
      </c>
      <c r="E2086" t="s">
        <v>28</v>
      </c>
      <c r="F2086" t="s">
        <v>2084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f t="shared" si="64"/>
        <v>5.0999999999999996</v>
      </c>
      <c r="M2086">
        <f t="shared" si="65"/>
        <v>1</v>
      </c>
    </row>
    <row r="2087" spans="1:13" x14ac:dyDescent="0.3">
      <c r="A2087">
        <v>2085</v>
      </c>
      <c r="B2087">
        <v>2086</v>
      </c>
      <c r="C2087" t="s">
        <v>2140</v>
      </c>
      <c r="D2087">
        <v>2020</v>
      </c>
      <c r="E2087" t="s">
        <v>14</v>
      </c>
      <c r="F2087" t="s">
        <v>2084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f t="shared" si="64"/>
        <v>5.0999999999999996</v>
      </c>
      <c r="M2087">
        <f t="shared" si="65"/>
        <v>1</v>
      </c>
    </row>
    <row r="2088" spans="1:13" x14ac:dyDescent="0.3">
      <c r="A2088">
        <v>2086</v>
      </c>
      <c r="B2088">
        <v>2087</v>
      </c>
      <c r="C2088" t="s">
        <v>2141</v>
      </c>
      <c r="D2088">
        <v>2018</v>
      </c>
      <c r="E2088" t="s">
        <v>22</v>
      </c>
      <c r="F2088" t="s">
        <v>2084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f t="shared" si="64"/>
        <v>5.0999999999999996</v>
      </c>
      <c r="M2088">
        <f t="shared" si="65"/>
        <v>1</v>
      </c>
    </row>
    <row r="2089" spans="1:13" x14ac:dyDescent="0.3">
      <c r="A2089">
        <v>2087</v>
      </c>
      <c r="B2089">
        <v>2088</v>
      </c>
      <c r="C2089" t="s">
        <v>2142</v>
      </c>
      <c r="D2089">
        <v>2019</v>
      </c>
      <c r="F2089" t="s">
        <v>2084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f t="shared" si="64"/>
        <v>5.0999999999999996</v>
      </c>
      <c r="M2089">
        <f t="shared" si="65"/>
        <v>1</v>
      </c>
    </row>
    <row r="2090" spans="1:13" x14ac:dyDescent="0.3">
      <c r="A2090">
        <v>2088</v>
      </c>
      <c r="B2090">
        <v>2089</v>
      </c>
      <c r="C2090" t="s">
        <v>2143</v>
      </c>
      <c r="D2090">
        <v>2019</v>
      </c>
      <c r="F2090" t="s">
        <v>2084</v>
      </c>
      <c r="G2090">
        <v>1</v>
      </c>
      <c r="H2090">
        <v>0</v>
      </c>
      <c r="I2090">
        <v>0</v>
      </c>
      <c r="J2090">
        <v>0</v>
      </c>
      <c r="K2090">
        <v>0</v>
      </c>
      <c r="L2090">
        <f t="shared" si="64"/>
        <v>5.0999999999999996</v>
      </c>
      <c r="M2090">
        <f t="shared" si="65"/>
        <v>1</v>
      </c>
    </row>
    <row r="2091" spans="1:13" x14ac:dyDescent="0.3">
      <c r="A2091">
        <v>2089</v>
      </c>
      <c r="B2091">
        <v>2090</v>
      </c>
      <c r="C2091" t="s">
        <v>2144</v>
      </c>
      <c r="D2091">
        <v>2016</v>
      </c>
      <c r="F2091" t="s">
        <v>2084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f t="shared" si="64"/>
        <v>5.0999999999999996</v>
      </c>
      <c r="M2091">
        <f t="shared" si="65"/>
        <v>1</v>
      </c>
    </row>
    <row r="2092" spans="1:13" x14ac:dyDescent="0.3">
      <c r="A2092">
        <v>2090</v>
      </c>
      <c r="B2092">
        <v>2091</v>
      </c>
      <c r="C2092" t="s">
        <v>2145</v>
      </c>
      <c r="D2092">
        <v>2021</v>
      </c>
      <c r="F2092" t="s">
        <v>2084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f t="shared" si="64"/>
        <v>5.0999999999999996</v>
      </c>
      <c r="M2092">
        <f t="shared" si="65"/>
        <v>1</v>
      </c>
    </row>
    <row r="2093" spans="1:13" x14ac:dyDescent="0.3">
      <c r="A2093">
        <v>2091</v>
      </c>
      <c r="B2093">
        <v>2092</v>
      </c>
      <c r="C2093" t="s">
        <v>2146</v>
      </c>
      <c r="D2093">
        <v>2016</v>
      </c>
      <c r="E2093" t="s">
        <v>14</v>
      </c>
      <c r="F2093" t="s">
        <v>2084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f t="shared" si="64"/>
        <v>5.0999999999999996</v>
      </c>
      <c r="M2093">
        <f t="shared" si="65"/>
        <v>1</v>
      </c>
    </row>
    <row r="2094" spans="1:13" x14ac:dyDescent="0.3">
      <c r="A2094">
        <v>2092</v>
      </c>
      <c r="B2094">
        <v>2093</v>
      </c>
      <c r="C2094" t="s">
        <v>2147</v>
      </c>
      <c r="D2094">
        <v>2019</v>
      </c>
      <c r="E2094" t="s">
        <v>14</v>
      </c>
      <c r="F2094" t="s">
        <v>2084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f t="shared" si="64"/>
        <v>5.0999999999999996</v>
      </c>
      <c r="M2094">
        <f t="shared" si="65"/>
        <v>1</v>
      </c>
    </row>
    <row r="2095" spans="1:13" x14ac:dyDescent="0.3">
      <c r="A2095">
        <v>2093</v>
      </c>
      <c r="B2095">
        <v>2094</v>
      </c>
      <c r="C2095" t="s">
        <v>2148</v>
      </c>
      <c r="D2095">
        <v>1954</v>
      </c>
      <c r="F2095" t="s">
        <v>2084</v>
      </c>
      <c r="G2095">
        <v>1</v>
      </c>
      <c r="H2095">
        <v>0</v>
      </c>
      <c r="I2095">
        <v>1</v>
      </c>
      <c r="J2095">
        <v>0</v>
      </c>
      <c r="K2095">
        <v>0</v>
      </c>
      <c r="L2095">
        <f t="shared" si="64"/>
        <v>5.0999999999999996</v>
      </c>
      <c r="M2095">
        <f t="shared" si="65"/>
        <v>2</v>
      </c>
    </row>
    <row r="2096" spans="1:13" x14ac:dyDescent="0.3">
      <c r="A2096">
        <v>2094</v>
      </c>
      <c r="B2096">
        <v>2095</v>
      </c>
      <c r="C2096" t="s">
        <v>2149</v>
      </c>
      <c r="D2096">
        <v>2021</v>
      </c>
      <c r="F2096" t="s">
        <v>2084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f t="shared" si="64"/>
        <v>5.0999999999999996</v>
      </c>
      <c r="M2096">
        <f t="shared" si="65"/>
        <v>1</v>
      </c>
    </row>
    <row r="2097" spans="1:13" x14ac:dyDescent="0.3">
      <c r="A2097">
        <v>2095</v>
      </c>
      <c r="B2097">
        <v>2096</v>
      </c>
      <c r="C2097" t="s">
        <v>2150</v>
      </c>
      <c r="D2097">
        <v>2018</v>
      </c>
      <c r="F2097" t="s">
        <v>2084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f t="shared" si="64"/>
        <v>5.0999999999999996</v>
      </c>
      <c r="M2097">
        <f t="shared" si="65"/>
        <v>1</v>
      </c>
    </row>
    <row r="2098" spans="1:13" x14ac:dyDescent="0.3">
      <c r="A2098">
        <v>2096</v>
      </c>
      <c r="B2098">
        <v>2097</v>
      </c>
      <c r="C2098" t="s">
        <v>2151</v>
      </c>
      <c r="D2098">
        <v>2012</v>
      </c>
      <c r="F2098" t="s">
        <v>2084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f t="shared" si="64"/>
        <v>5.0999999999999996</v>
      </c>
      <c r="M2098">
        <f t="shared" si="65"/>
        <v>1</v>
      </c>
    </row>
    <row r="2099" spans="1:13" x14ac:dyDescent="0.3">
      <c r="A2099">
        <v>2097</v>
      </c>
      <c r="B2099">
        <v>2098</v>
      </c>
      <c r="C2099" t="s">
        <v>2152</v>
      </c>
      <c r="D2099">
        <v>2020</v>
      </c>
      <c r="F2099" t="s">
        <v>2084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f t="shared" si="64"/>
        <v>5.0999999999999996</v>
      </c>
      <c r="M2099">
        <f t="shared" si="65"/>
        <v>1</v>
      </c>
    </row>
    <row r="2100" spans="1:13" x14ac:dyDescent="0.3">
      <c r="A2100">
        <v>2098</v>
      </c>
      <c r="B2100">
        <v>2099</v>
      </c>
      <c r="C2100" t="s">
        <v>2153</v>
      </c>
      <c r="D2100">
        <v>2020</v>
      </c>
      <c r="E2100" t="s">
        <v>11</v>
      </c>
      <c r="F2100" t="s">
        <v>2084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f t="shared" si="64"/>
        <v>5.0999999999999996</v>
      </c>
      <c r="M2100">
        <f t="shared" si="65"/>
        <v>1</v>
      </c>
    </row>
    <row r="2101" spans="1:13" x14ac:dyDescent="0.3">
      <c r="A2101">
        <v>2099</v>
      </c>
      <c r="B2101">
        <v>2100</v>
      </c>
      <c r="C2101" t="s">
        <v>2154</v>
      </c>
      <c r="D2101">
        <v>2017</v>
      </c>
      <c r="F2101" t="s">
        <v>2084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f t="shared" si="64"/>
        <v>5.0999999999999996</v>
      </c>
      <c r="M2101">
        <f t="shared" si="65"/>
        <v>1</v>
      </c>
    </row>
    <row r="2102" spans="1:13" x14ac:dyDescent="0.3">
      <c r="A2102">
        <v>2100</v>
      </c>
      <c r="B2102">
        <v>2101</v>
      </c>
      <c r="C2102" t="s">
        <v>2155</v>
      </c>
      <c r="D2102">
        <v>2017</v>
      </c>
      <c r="F2102" t="s">
        <v>2084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f t="shared" si="64"/>
        <v>5.0999999999999996</v>
      </c>
      <c r="M2102">
        <f t="shared" si="65"/>
        <v>1</v>
      </c>
    </row>
    <row r="2103" spans="1:13" x14ac:dyDescent="0.3">
      <c r="A2103">
        <v>2101</v>
      </c>
      <c r="B2103">
        <v>2102</v>
      </c>
      <c r="C2103" t="s">
        <v>2156</v>
      </c>
      <c r="D2103">
        <v>2019</v>
      </c>
      <c r="F2103" t="s">
        <v>2084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f t="shared" si="64"/>
        <v>5.0999999999999996</v>
      </c>
      <c r="M2103">
        <f t="shared" si="65"/>
        <v>1</v>
      </c>
    </row>
    <row r="2104" spans="1:13" x14ac:dyDescent="0.3">
      <c r="A2104">
        <v>2102</v>
      </c>
      <c r="B2104">
        <v>2103</v>
      </c>
      <c r="C2104" t="s">
        <v>2157</v>
      </c>
      <c r="D2104">
        <v>2019</v>
      </c>
      <c r="F2104" t="s">
        <v>2084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f t="shared" si="64"/>
        <v>5.0999999999999996</v>
      </c>
      <c r="M2104">
        <f t="shared" si="65"/>
        <v>1</v>
      </c>
    </row>
    <row r="2105" spans="1:13" x14ac:dyDescent="0.3">
      <c r="A2105">
        <v>2103</v>
      </c>
      <c r="B2105">
        <v>2104</v>
      </c>
      <c r="C2105" t="s">
        <v>2158</v>
      </c>
      <c r="D2105">
        <v>2015</v>
      </c>
      <c r="E2105" t="s">
        <v>14</v>
      </c>
      <c r="F2105" t="s">
        <v>2084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f t="shared" si="64"/>
        <v>5.0999999999999996</v>
      </c>
      <c r="M2105">
        <f t="shared" si="65"/>
        <v>1</v>
      </c>
    </row>
    <row r="2106" spans="1:13" x14ac:dyDescent="0.3">
      <c r="A2106">
        <v>2104</v>
      </c>
      <c r="B2106">
        <v>2105</v>
      </c>
      <c r="C2106" t="s">
        <v>2159</v>
      </c>
      <c r="D2106">
        <v>2014</v>
      </c>
      <c r="F2106" t="s">
        <v>2084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f t="shared" si="64"/>
        <v>5.0999999999999996</v>
      </c>
      <c r="M2106">
        <f t="shared" si="65"/>
        <v>1</v>
      </c>
    </row>
    <row r="2107" spans="1:13" x14ac:dyDescent="0.3">
      <c r="A2107">
        <v>2105</v>
      </c>
      <c r="B2107">
        <v>2106</v>
      </c>
      <c r="C2107" t="s">
        <v>2160</v>
      </c>
      <c r="D2107">
        <v>2003</v>
      </c>
      <c r="F2107" t="s">
        <v>2084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f t="shared" si="64"/>
        <v>5.0999999999999996</v>
      </c>
      <c r="M2107">
        <f t="shared" si="65"/>
        <v>1</v>
      </c>
    </row>
    <row r="2108" spans="1:13" x14ac:dyDescent="0.3">
      <c r="A2108">
        <v>2106</v>
      </c>
      <c r="B2108">
        <v>2107</v>
      </c>
      <c r="C2108" t="s">
        <v>2161</v>
      </c>
      <c r="D2108">
        <v>2017</v>
      </c>
      <c r="E2108" t="s">
        <v>28</v>
      </c>
      <c r="F2108" t="s">
        <v>2084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f t="shared" si="64"/>
        <v>5.0999999999999996</v>
      </c>
      <c r="M2108">
        <f t="shared" si="65"/>
        <v>1</v>
      </c>
    </row>
    <row r="2109" spans="1:13" x14ac:dyDescent="0.3">
      <c r="A2109">
        <v>2107</v>
      </c>
      <c r="B2109">
        <v>2108</v>
      </c>
      <c r="C2109" t="s">
        <v>2162</v>
      </c>
      <c r="D2109">
        <v>2020</v>
      </c>
      <c r="F2109" t="s">
        <v>2084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f t="shared" si="64"/>
        <v>5.0999999999999996</v>
      </c>
      <c r="M2109">
        <f t="shared" si="65"/>
        <v>1</v>
      </c>
    </row>
    <row r="2110" spans="1:13" x14ac:dyDescent="0.3">
      <c r="A2110">
        <v>2108</v>
      </c>
      <c r="B2110">
        <v>2109</v>
      </c>
      <c r="C2110" t="s">
        <v>2163</v>
      </c>
      <c r="D2110">
        <v>2006</v>
      </c>
      <c r="E2110" t="s">
        <v>36</v>
      </c>
      <c r="F2110" t="s">
        <v>2084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f t="shared" si="64"/>
        <v>5.0999999999999996</v>
      </c>
      <c r="M2110">
        <f t="shared" si="65"/>
        <v>1</v>
      </c>
    </row>
    <row r="2111" spans="1:13" x14ac:dyDescent="0.3">
      <c r="A2111">
        <v>2109</v>
      </c>
      <c r="B2111">
        <v>2110</v>
      </c>
      <c r="C2111" t="s">
        <v>2164</v>
      </c>
      <c r="D2111">
        <v>2015</v>
      </c>
      <c r="E2111" t="s">
        <v>28</v>
      </c>
      <c r="F2111" t="s">
        <v>2084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f t="shared" si="64"/>
        <v>5.0999999999999996</v>
      </c>
      <c r="M2111">
        <f t="shared" si="65"/>
        <v>1</v>
      </c>
    </row>
    <row r="2112" spans="1:13" x14ac:dyDescent="0.3">
      <c r="A2112">
        <v>2110</v>
      </c>
      <c r="B2112">
        <v>2111</v>
      </c>
      <c r="C2112" t="s">
        <v>2165</v>
      </c>
      <c r="D2112">
        <v>2020</v>
      </c>
      <c r="F2112" t="s">
        <v>2084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f t="shared" si="64"/>
        <v>5.0999999999999996</v>
      </c>
      <c r="M2112">
        <f t="shared" si="65"/>
        <v>1</v>
      </c>
    </row>
    <row r="2113" spans="1:13" x14ac:dyDescent="0.3">
      <c r="A2113">
        <v>2111</v>
      </c>
      <c r="B2113">
        <v>2112</v>
      </c>
      <c r="C2113" t="s">
        <v>2166</v>
      </c>
      <c r="D2113">
        <v>2012</v>
      </c>
      <c r="E2113" t="s">
        <v>36</v>
      </c>
      <c r="F2113" t="s">
        <v>2084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f t="shared" si="64"/>
        <v>5.0999999999999996</v>
      </c>
      <c r="M2113">
        <f t="shared" si="65"/>
        <v>1</v>
      </c>
    </row>
    <row r="2114" spans="1:13" x14ac:dyDescent="0.3">
      <c r="A2114">
        <v>2112</v>
      </c>
      <c r="B2114">
        <v>2113</v>
      </c>
      <c r="C2114" t="s">
        <v>2167</v>
      </c>
      <c r="D2114">
        <v>2005</v>
      </c>
      <c r="E2114" t="s">
        <v>36</v>
      </c>
      <c r="F2114" t="s">
        <v>2084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f t="shared" si="64"/>
        <v>5.0999999999999996</v>
      </c>
      <c r="M2114">
        <f t="shared" si="65"/>
        <v>1</v>
      </c>
    </row>
    <row r="2115" spans="1:13" x14ac:dyDescent="0.3">
      <c r="A2115">
        <v>2113</v>
      </c>
      <c r="B2115">
        <v>2114</v>
      </c>
      <c r="C2115" t="s">
        <v>2168</v>
      </c>
      <c r="D2115">
        <v>2021</v>
      </c>
      <c r="E2115" t="s">
        <v>22</v>
      </c>
      <c r="F2115" t="s">
        <v>2084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f t="shared" ref="L2115:L2178" si="66">IFERROR(VALUE(LEFT(F2115,FIND("/",F2115)-1))/10,"")</f>
        <v>5.0999999999999996</v>
      </c>
      <c r="M2115">
        <f t="shared" ref="M2115:M2178" si="67">SUM(G2115:J2115)</f>
        <v>1</v>
      </c>
    </row>
    <row r="2116" spans="1:13" x14ac:dyDescent="0.3">
      <c r="A2116">
        <v>2114</v>
      </c>
      <c r="B2116">
        <v>2115</v>
      </c>
      <c r="C2116" t="s">
        <v>2169</v>
      </c>
      <c r="D2116">
        <v>2021</v>
      </c>
      <c r="E2116" t="s">
        <v>11</v>
      </c>
      <c r="F2116" t="s">
        <v>2084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f t="shared" si="66"/>
        <v>5.0999999999999996</v>
      </c>
      <c r="M2116">
        <f t="shared" si="67"/>
        <v>1</v>
      </c>
    </row>
    <row r="2117" spans="1:13" x14ac:dyDescent="0.3">
      <c r="A2117">
        <v>2115</v>
      </c>
      <c r="B2117">
        <v>2116</v>
      </c>
      <c r="C2117" t="s">
        <v>2170</v>
      </c>
      <c r="D2117">
        <v>2006</v>
      </c>
      <c r="F2117" t="s">
        <v>2084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f t="shared" si="66"/>
        <v>5.0999999999999996</v>
      </c>
      <c r="M2117">
        <f t="shared" si="67"/>
        <v>1</v>
      </c>
    </row>
    <row r="2118" spans="1:13" x14ac:dyDescent="0.3">
      <c r="A2118">
        <v>2116</v>
      </c>
      <c r="B2118">
        <v>2117</v>
      </c>
      <c r="C2118" t="s">
        <v>2171</v>
      </c>
      <c r="D2118">
        <v>2007</v>
      </c>
      <c r="F2118" t="s">
        <v>2084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f t="shared" si="66"/>
        <v>5.0999999999999996</v>
      </c>
      <c r="M2118">
        <f t="shared" si="67"/>
        <v>1</v>
      </c>
    </row>
    <row r="2119" spans="1:13" x14ac:dyDescent="0.3">
      <c r="A2119">
        <v>2117</v>
      </c>
      <c r="B2119">
        <v>2118</v>
      </c>
      <c r="C2119" t="s">
        <v>2172</v>
      </c>
      <c r="D2119">
        <v>2017</v>
      </c>
      <c r="E2119" t="s">
        <v>14</v>
      </c>
      <c r="F2119" t="s">
        <v>2084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f t="shared" si="66"/>
        <v>5.0999999999999996</v>
      </c>
      <c r="M2119">
        <f t="shared" si="67"/>
        <v>1</v>
      </c>
    </row>
    <row r="2120" spans="1:13" x14ac:dyDescent="0.3">
      <c r="A2120">
        <v>2118</v>
      </c>
      <c r="B2120">
        <v>2119</v>
      </c>
      <c r="C2120" t="s">
        <v>2173</v>
      </c>
      <c r="D2120">
        <v>2014</v>
      </c>
      <c r="F2120" t="s">
        <v>2084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f t="shared" si="66"/>
        <v>5.0999999999999996</v>
      </c>
      <c r="M2120">
        <f t="shared" si="67"/>
        <v>1</v>
      </c>
    </row>
    <row r="2121" spans="1:13" x14ac:dyDescent="0.3">
      <c r="A2121">
        <v>2119</v>
      </c>
      <c r="B2121">
        <v>2120</v>
      </c>
      <c r="C2121" t="s">
        <v>2174</v>
      </c>
      <c r="D2121">
        <v>2018</v>
      </c>
      <c r="F2121" t="s">
        <v>2084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f t="shared" si="66"/>
        <v>5.0999999999999996</v>
      </c>
      <c r="M2121">
        <f t="shared" si="67"/>
        <v>1</v>
      </c>
    </row>
    <row r="2122" spans="1:13" x14ac:dyDescent="0.3">
      <c r="A2122">
        <v>2120</v>
      </c>
      <c r="B2122">
        <v>2121</v>
      </c>
      <c r="C2122" t="s">
        <v>2175</v>
      </c>
      <c r="D2122">
        <v>2019</v>
      </c>
      <c r="E2122" t="s">
        <v>11</v>
      </c>
      <c r="F2122" t="s">
        <v>2084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f t="shared" si="66"/>
        <v>5.0999999999999996</v>
      </c>
      <c r="M2122">
        <f t="shared" si="67"/>
        <v>1</v>
      </c>
    </row>
    <row r="2123" spans="1:13" x14ac:dyDescent="0.3">
      <c r="A2123">
        <v>2121</v>
      </c>
      <c r="B2123">
        <v>2122</v>
      </c>
      <c r="C2123" t="s">
        <v>2176</v>
      </c>
      <c r="D2123">
        <v>2018</v>
      </c>
      <c r="F2123" t="s">
        <v>2084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f t="shared" si="66"/>
        <v>5.0999999999999996</v>
      </c>
      <c r="M2123">
        <f t="shared" si="67"/>
        <v>1</v>
      </c>
    </row>
    <row r="2124" spans="1:13" x14ac:dyDescent="0.3">
      <c r="A2124">
        <v>2122</v>
      </c>
      <c r="B2124">
        <v>2123</v>
      </c>
      <c r="C2124" t="s">
        <v>2177</v>
      </c>
      <c r="D2124">
        <v>2018</v>
      </c>
      <c r="F2124" t="s">
        <v>2084</v>
      </c>
      <c r="G2124">
        <v>1</v>
      </c>
      <c r="H2124">
        <v>1</v>
      </c>
      <c r="I2124">
        <v>0</v>
      </c>
      <c r="J2124">
        <v>0</v>
      </c>
      <c r="K2124">
        <v>0</v>
      </c>
      <c r="L2124">
        <f t="shared" si="66"/>
        <v>5.0999999999999996</v>
      </c>
      <c r="M2124">
        <f t="shared" si="67"/>
        <v>2</v>
      </c>
    </row>
    <row r="2125" spans="1:13" x14ac:dyDescent="0.3">
      <c r="A2125">
        <v>2123</v>
      </c>
      <c r="B2125">
        <v>2124</v>
      </c>
      <c r="C2125" t="s">
        <v>2178</v>
      </c>
      <c r="D2125">
        <v>2015</v>
      </c>
      <c r="F2125" t="s">
        <v>2084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f t="shared" si="66"/>
        <v>5.0999999999999996</v>
      </c>
      <c r="M2125">
        <f t="shared" si="67"/>
        <v>1</v>
      </c>
    </row>
    <row r="2126" spans="1:13" x14ac:dyDescent="0.3">
      <c r="A2126">
        <v>2124</v>
      </c>
      <c r="B2126">
        <v>2125</v>
      </c>
      <c r="C2126" t="s">
        <v>2179</v>
      </c>
      <c r="D2126">
        <v>2020</v>
      </c>
      <c r="F2126" t="s">
        <v>2084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f t="shared" si="66"/>
        <v>5.0999999999999996</v>
      </c>
      <c r="M2126">
        <f t="shared" si="67"/>
        <v>1</v>
      </c>
    </row>
    <row r="2127" spans="1:13" x14ac:dyDescent="0.3">
      <c r="A2127">
        <v>2125</v>
      </c>
      <c r="B2127">
        <v>2126</v>
      </c>
      <c r="C2127" t="s">
        <v>2180</v>
      </c>
      <c r="D2127">
        <v>2019</v>
      </c>
      <c r="F2127" t="s">
        <v>2084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f t="shared" si="66"/>
        <v>5.0999999999999996</v>
      </c>
      <c r="M2127">
        <f t="shared" si="67"/>
        <v>1</v>
      </c>
    </row>
    <row r="2128" spans="1:13" x14ac:dyDescent="0.3">
      <c r="A2128">
        <v>2126</v>
      </c>
      <c r="B2128">
        <v>2127</v>
      </c>
      <c r="C2128" t="s">
        <v>2181</v>
      </c>
      <c r="D2128">
        <v>2019</v>
      </c>
      <c r="E2128" t="s">
        <v>11</v>
      </c>
      <c r="F2128" t="s">
        <v>2084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f t="shared" si="66"/>
        <v>5.0999999999999996</v>
      </c>
      <c r="M2128">
        <f t="shared" si="67"/>
        <v>1</v>
      </c>
    </row>
    <row r="2129" spans="1:13" x14ac:dyDescent="0.3">
      <c r="A2129">
        <v>2127</v>
      </c>
      <c r="B2129">
        <v>2128</v>
      </c>
      <c r="C2129" t="s">
        <v>2182</v>
      </c>
      <c r="D2129">
        <v>2007</v>
      </c>
      <c r="F2129" t="s">
        <v>2084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f t="shared" si="66"/>
        <v>5.0999999999999996</v>
      </c>
      <c r="M2129">
        <f t="shared" si="67"/>
        <v>1</v>
      </c>
    </row>
    <row r="2130" spans="1:13" x14ac:dyDescent="0.3">
      <c r="A2130">
        <v>2128</v>
      </c>
      <c r="B2130">
        <v>2129</v>
      </c>
      <c r="C2130" t="s">
        <v>2183</v>
      </c>
      <c r="D2130">
        <v>2020</v>
      </c>
      <c r="F2130" t="s">
        <v>2084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f t="shared" si="66"/>
        <v>5.0999999999999996</v>
      </c>
      <c r="M2130">
        <f t="shared" si="67"/>
        <v>1</v>
      </c>
    </row>
    <row r="2131" spans="1:13" x14ac:dyDescent="0.3">
      <c r="A2131">
        <v>2129</v>
      </c>
      <c r="B2131">
        <v>2130</v>
      </c>
      <c r="C2131" t="s">
        <v>2184</v>
      </c>
      <c r="D2131">
        <v>2009</v>
      </c>
      <c r="F2131" t="s">
        <v>2084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f t="shared" si="66"/>
        <v>5.0999999999999996</v>
      </c>
      <c r="M2131">
        <f t="shared" si="67"/>
        <v>1</v>
      </c>
    </row>
    <row r="2132" spans="1:13" x14ac:dyDescent="0.3">
      <c r="A2132">
        <v>2130</v>
      </c>
      <c r="B2132">
        <v>2131</v>
      </c>
      <c r="C2132" t="s">
        <v>2185</v>
      </c>
      <c r="D2132">
        <v>2019</v>
      </c>
      <c r="F2132" t="s">
        <v>2084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f t="shared" si="66"/>
        <v>5.0999999999999996</v>
      </c>
      <c r="M2132">
        <f t="shared" si="67"/>
        <v>1</v>
      </c>
    </row>
    <row r="2133" spans="1:13" x14ac:dyDescent="0.3">
      <c r="A2133">
        <v>2131</v>
      </c>
      <c r="B2133">
        <v>2132</v>
      </c>
      <c r="C2133" t="s">
        <v>2186</v>
      </c>
      <c r="D2133">
        <v>2014</v>
      </c>
      <c r="E2133" t="s">
        <v>22</v>
      </c>
      <c r="F2133" t="s">
        <v>2084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f t="shared" si="66"/>
        <v>5.0999999999999996</v>
      </c>
      <c r="M2133">
        <f t="shared" si="67"/>
        <v>1</v>
      </c>
    </row>
    <row r="2134" spans="1:13" x14ac:dyDescent="0.3">
      <c r="A2134">
        <v>2132</v>
      </c>
      <c r="B2134">
        <v>2133</v>
      </c>
      <c r="C2134" t="s">
        <v>2187</v>
      </c>
      <c r="D2134">
        <v>2015</v>
      </c>
      <c r="E2134" t="s">
        <v>14</v>
      </c>
      <c r="F2134" t="s">
        <v>2084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f t="shared" si="66"/>
        <v>5.0999999999999996</v>
      </c>
      <c r="M2134">
        <f t="shared" si="67"/>
        <v>1</v>
      </c>
    </row>
    <row r="2135" spans="1:13" x14ac:dyDescent="0.3">
      <c r="A2135">
        <v>2133</v>
      </c>
      <c r="B2135">
        <v>2134</v>
      </c>
      <c r="C2135" t="s">
        <v>2188</v>
      </c>
      <c r="D2135">
        <v>2017</v>
      </c>
      <c r="E2135" t="s">
        <v>22</v>
      </c>
      <c r="F2135" t="s">
        <v>2084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f t="shared" si="66"/>
        <v>5.0999999999999996</v>
      </c>
      <c r="M2135">
        <f t="shared" si="67"/>
        <v>1</v>
      </c>
    </row>
    <row r="2136" spans="1:13" x14ac:dyDescent="0.3">
      <c r="A2136">
        <v>2134</v>
      </c>
      <c r="B2136">
        <v>2135</v>
      </c>
      <c r="C2136" t="s">
        <v>2189</v>
      </c>
      <c r="D2136">
        <v>2019</v>
      </c>
      <c r="E2136" t="s">
        <v>28</v>
      </c>
      <c r="F2136" t="s">
        <v>2084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f t="shared" si="66"/>
        <v>5.0999999999999996</v>
      </c>
      <c r="M2136">
        <f t="shared" si="67"/>
        <v>1</v>
      </c>
    </row>
    <row r="2137" spans="1:13" x14ac:dyDescent="0.3">
      <c r="A2137">
        <v>2135</v>
      </c>
      <c r="B2137">
        <v>2136</v>
      </c>
      <c r="C2137" t="s">
        <v>2190</v>
      </c>
      <c r="D2137">
        <v>2018</v>
      </c>
      <c r="E2137" t="s">
        <v>14</v>
      </c>
      <c r="F2137" t="s">
        <v>2084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f t="shared" si="66"/>
        <v>5.0999999999999996</v>
      </c>
      <c r="M2137">
        <f t="shared" si="67"/>
        <v>1</v>
      </c>
    </row>
    <row r="2138" spans="1:13" x14ac:dyDescent="0.3">
      <c r="A2138">
        <v>2136</v>
      </c>
      <c r="B2138">
        <v>2137</v>
      </c>
      <c r="C2138" t="s">
        <v>2191</v>
      </c>
      <c r="D2138">
        <v>2020</v>
      </c>
      <c r="E2138" t="s">
        <v>11</v>
      </c>
      <c r="F2138" t="s">
        <v>2084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f t="shared" si="66"/>
        <v>5.0999999999999996</v>
      </c>
      <c r="M2138">
        <f t="shared" si="67"/>
        <v>1</v>
      </c>
    </row>
    <row r="2139" spans="1:13" x14ac:dyDescent="0.3">
      <c r="A2139">
        <v>2137</v>
      </c>
      <c r="B2139">
        <v>2138</v>
      </c>
      <c r="C2139" t="s">
        <v>2192</v>
      </c>
      <c r="D2139">
        <v>2019</v>
      </c>
      <c r="E2139" t="s">
        <v>28</v>
      </c>
      <c r="F2139" t="s">
        <v>2084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f t="shared" si="66"/>
        <v>5.0999999999999996</v>
      </c>
      <c r="M2139">
        <f t="shared" si="67"/>
        <v>1</v>
      </c>
    </row>
    <row r="2140" spans="1:13" x14ac:dyDescent="0.3">
      <c r="A2140">
        <v>2138</v>
      </c>
      <c r="B2140">
        <v>2139</v>
      </c>
      <c r="C2140" t="s">
        <v>2193</v>
      </c>
      <c r="D2140">
        <v>2016</v>
      </c>
      <c r="F2140" t="s">
        <v>2084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f t="shared" si="66"/>
        <v>5.0999999999999996</v>
      </c>
      <c r="M2140">
        <f t="shared" si="67"/>
        <v>1</v>
      </c>
    </row>
    <row r="2141" spans="1:13" x14ac:dyDescent="0.3">
      <c r="A2141">
        <v>2139</v>
      </c>
      <c r="B2141">
        <v>2140</v>
      </c>
      <c r="C2141" t="s">
        <v>2194</v>
      </c>
      <c r="D2141">
        <v>2015</v>
      </c>
      <c r="F2141" t="s">
        <v>2195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f t="shared" si="66"/>
        <v>5</v>
      </c>
      <c r="M2141">
        <f t="shared" si="67"/>
        <v>1</v>
      </c>
    </row>
    <row r="2142" spans="1:13" x14ac:dyDescent="0.3">
      <c r="A2142">
        <v>2140</v>
      </c>
      <c r="B2142">
        <v>2141</v>
      </c>
      <c r="C2142" t="s">
        <v>2196</v>
      </c>
      <c r="D2142">
        <v>2017</v>
      </c>
      <c r="E2142" t="s">
        <v>11</v>
      </c>
      <c r="F2142" t="s">
        <v>2195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f t="shared" si="66"/>
        <v>5</v>
      </c>
      <c r="M2142">
        <f t="shared" si="67"/>
        <v>1</v>
      </c>
    </row>
    <row r="2143" spans="1:13" x14ac:dyDescent="0.3">
      <c r="A2143">
        <v>2141</v>
      </c>
      <c r="B2143">
        <v>2142</v>
      </c>
      <c r="C2143" t="s">
        <v>2197</v>
      </c>
      <c r="D2143">
        <v>2019</v>
      </c>
      <c r="E2143" t="s">
        <v>14</v>
      </c>
      <c r="F2143" t="s">
        <v>2195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f t="shared" si="66"/>
        <v>5</v>
      </c>
      <c r="M2143">
        <f t="shared" si="67"/>
        <v>1</v>
      </c>
    </row>
    <row r="2144" spans="1:13" x14ac:dyDescent="0.3">
      <c r="A2144">
        <v>2142</v>
      </c>
      <c r="B2144">
        <v>2143</v>
      </c>
      <c r="C2144" t="s">
        <v>2198</v>
      </c>
      <c r="D2144">
        <v>2017</v>
      </c>
      <c r="E2144" t="s">
        <v>14</v>
      </c>
      <c r="F2144" t="s">
        <v>2195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f t="shared" si="66"/>
        <v>5</v>
      </c>
      <c r="M2144">
        <f t="shared" si="67"/>
        <v>1</v>
      </c>
    </row>
    <row r="2145" spans="1:13" x14ac:dyDescent="0.3">
      <c r="A2145">
        <v>2143</v>
      </c>
      <c r="B2145">
        <v>2144</v>
      </c>
      <c r="C2145" t="s">
        <v>2199</v>
      </c>
      <c r="D2145">
        <v>2016</v>
      </c>
      <c r="F2145" t="s">
        <v>2195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f t="shared" si="66"/>
        <v>5</v>
      </c>
      <c r="M2145">
        <f t="shared" si="67"/>
        <v>1</v>
      </c>
    </row>
    <row r="2146" spans="1:13" x14ac:dyDescent="0.3">
      <c r="A2146">
        <v>2144</v>
      </c>
      <c r="B2146">
        <v>2145</v>
      </c>
      <c r="C2146" t="s">
        <v>2200</v>
      </c>
      <c r="D2146">
        <v>2018</v>
      </c>
      <c r="F2146" t="s">
        <v>2195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f t="shared" si="66"/>
        <v>5</v>
      </c>
      <c r="M2146">
        <f t="shared" si="67"/>
        <v>1</v>
      </c>
    </row>
    <row r="2147" spans="1:13" x14ac:dyDescent="0.3">
      <c r="A2147">
        <v>2145</v>
      </c>
      <c r="B2147">
        <v>2146</v>
      </c>
      <c r="C2147" t="s">
        <v>2201</v>
      </c>
      <c r="D2147">
        <v>2019</v>
      </c>
      <c r="E2147" t="s">
        <v>11</v>
      </c>
      <c r="F2147" t="s">
        <v>2195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f t="shared" si="66"/>
        <v>5</v>
      </c>
      <c r="M2147">
        <f t="shared" si="67"/>
        <v>1</v>
      </c>
    </row>
    <row r="2148" spans="1:13" x14ac:dyDescent="0.3">
      <c r="A2148">
        <v>2146</v>
      </c>
      <c r="B2148">
        <v>2147</v>
      </c>
      <c r="C2148" t="s">
        <v>2202</v>
      </c>
      <c r="D2148">
        <v>2016</v>
      </c>
      <c r="F2148" t="s">
        <v>2195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f t="shared" si="66"/>
        <v>5</v>
      </c>
      <c r="M2148">
        <f t="shared" si="67"/>
        <v>1</v>
      </c>
    </row>
    <row r="2149" spans="1:13" x14ac:dyDescent="0.3">
      <c r="A2149">
        <v>2147</v>
      </c>
      <c r="B2149">
        <v>2148</v>
      </c>
      <c r="C2149" t="s">
        <v>2203</v>
      </c>
      <c r="D2149">
        <v>2021</v>
      </c>
      <c r="E2149" t="s">
        <v>36</v>
      </c>
      <c r="F2149" t="s">
        <v>2195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f t="shared" si="66"/>
        <v>5</v>
      </c>
      <c r="M2149">
        <f t="shared" si="67"/>
        <v>1</v>
      </c>
    </row>
    <row r="2150" spans="1:13" x14ac:dyDescent="0.3">
      <c r="A2150">
        <v>2148</v>
      </c>
      <c r="B2150">
        <v>2149</v>
      </c>
      <c r="C2150" t="s">
        <v>2204</v>
      </c>
      <c r="D2150">
        <v>2019</v>
      </c>
      <c r="F2150" t="s">
        <v>2195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f t="shared" si="66"/>
        <v>5</v>
      </c>
      <c r="M2150">
        <f t="shared" si="67"/>
        <v>1</v>
      </c>
    </row>
    <row r="2151" spans="1:13" x14ac:dyDescent="0.3">
      <c r="A2151">
        <v>2149</v>
      </c>
      <c r="B2151">
        <v>2150</v>
      </c>
      <c r="C2151" t="s">
        <v>2205</v>
      </c>
      <c r="D2151">
        <v>2011</v>
      </c>
      <c r="F2151" t="s">
        <v>2195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f t="shared" si="66"/>
        <v>5</v>
      </c>
      <c r="M2151">
        <f t="shared" si="67"/>
        <v>1</v>
      </c>
    </row>
    <row r="2152" spans="1:13" x14ac:dyDescent="0.3">
      <c r="A2152">
        <v>2150</v>
      </c>
      <c r="B2152">
        <v>2151</v>
      </c>
      <c r="C2152" t="s">
        <v>2206</v>
      </c>
      <c r="D2152">
        <v>2010</v>
      </c>
      <c r="E2152" t="s">
        <v>22</v>
      </c>
      <c r="F2152" t="s">
        <v>2195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f t="shared" si="66"/>
        <v>5</v>
      </c>
      <c r="M2152">
        <f t="shared" si="67"/>
        <v>1</v>
      </c>
    </row>
    <row r="2153" spans="1:13" x14ac:dyDescent="0.3">
      <c r="A2153">
        <v>2151</v>
      </c>
      <c r="B2153">
        <v>2152</v>
      </c>
      <c r="C2153" t="s">
        <v>2207</v>
      </c>
      <c r="D2153">
        <v>2012</v>
      </c>
      <c r="E2153" t="s">
        <v>22</v>
      </c>
      <c r="F2153" t="s">
        <v>2195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f t="shared" si="66"/>
        <v>5</v>
      </c>
      <c r="M2153">
        <f t="shared" si="67"/>
        <v>1</v>
      </c>
    </row>
    <row r="2154" spans="1:13" x14ac:dyDescent="0.3">
      <c r="A2154">
        <v>2152</v>
      </c>
      <c r="B2154">
        <v>2153</v>
      </c>
      <c r="C2154" t="s">
        <v>2208</v>
      </c>
      <c r="D2154">
        <v>2021</v>
      </c>
      <c r="F2154" t="s">
        <v>2195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f t="shared" si="66"/>
        <v>5</v>
      </c>
      <c r="M2154">
        <f t="shared" si="67"/>
        <v>1</v>
      </c>
    </row>
    <row r="2155" spans="1:13" x14ac:dyDescent="0.3">
      <c r="A2155">
        <v>2153</v>
      </c>
      <c r="B2155">
        <v>2154</v>
      </c>
      <c r="C2155" t="s">
        <v>2209</v>
      </c>
      <c r="D2155">
        <v>2017</v>
      </c>
      <c r="E2155" t="s">
        <v>36</v>
      </c>
      <c r="F2155" t="s">
        <v>2195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f t="shared" si="66"/>
        <v>5</v>
      </c>
      <c r="M2155">
        <f t="shared" si="67"/>
        <v>1</v>
      </c>
    </row>
    <row r="2156" spans="1:13" x14ac:dyDescent="0.3">
      <c r="A2156">
        <v>2154</v>
      </c>
      <c r="B2156">
        <v>2155</v>
      </c>
      <c r="C2156" t="s">
        <v>2210</v>
      </c>
      <c r="D2156">
        <v>2008</v>
      </c>
      <c r="E2156" t="s">
        <v>14</v>
      </c>
      <c r="F2156" t="s">
        <v>2195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f t="shared" si="66"/>
        <v>5</v>
      </c>
      <c r="M2156">
        <f t="shared" si="67"/>
        <v>1</v>
      </c>
    </row>
    <row r="2157" spans="1:13" x14ac:dyDescent="0.3">
      <c r="A2157">
        <v>2155</v>
      </c>
      <c r="B2157">
        <v>2156</v>
      </c>
      <c r="C2157" t="s">
        <v>2211</v>
      </c>
      <c r="D2157">
        <v>2010</v>
      </c>
      <c r="F2157" t="s">
        <v>2195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f t="shared" si="66"/>
        <v>5</v>
      </c>
      <c r="M2157">
        <f t="shared" si="67"/>
        <v>1</v>
      </c>
    </row>
    <row r="2158" spans="1:13" x14ac:dyDescent="0.3">
      <c r="A2158">
        <v>2156</v>
      </c>
      <c r="B2158">
        <v>2157</v>
      </c>
      <c r="C2158" t="s">
        <v>2212</v>
      </c>
      <c r="D2158">
        <v>2017</v>
      </c>
      <c r="F2158" t="s">
        <v>2195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f t="shared" si="66"/>
        <v>5</v>
      </c>
      <c r="M2158">
        <f t="shared" si="67"/>
        <v>1</v>
      </c>
    </row>
    <row r="2159" spans="1:13" x14ac:dyDescent="0.3">
      <c r="A2159">
        <v>2157</v>
      </c>
      <c r="B2159">
        <v>2158</v>
      </c>
      <c r="C2159" t="s">
        <v>2213</v>
      </c>
      <c r="D2159">
        <v>2018</v>
      </c>
      <c r="F2159" t="s">
        <v>2195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f t="shared" si="66"/>
        <v>5</v>
      </c>
      <c r="M2159">
        <f t="shared" si="67"/>
        <v>1</v>
      </c>
    </row>
    <row r="2160" spans="1:13" x14ac:dyDescent="0.3">
      <c r="A2160">
        <v>2158</v>
      </c>
      <c r="B2160">
        <v>2159</v>
      </c>
      <c r="C2160" t="s">
        <v>2214</v>
      </c>
      <c r="D2160">
        <v>2016</v>
      </c>
      <c r="F2160" t="s">
        <v>2195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f t="shared" si="66"/>
        <v>5</v>
      </c>
      <c r="M2160">
        <f t="shared" si="67"/>
        <v>1</v>
      </c>
    </row>
    <row r="2161" spans="1:13" x14ac:dyDescent="0.3">
      <c r="A2161">
        <v>2159</v>
      </c>
      <c r="B2161">
        <v>2160</v>
      </c>
      <c r="C2161" t="s">
        <v>2215</v>
      </c>
      <c r="D2161">
        <v>2021</v>
      </c>
      <c r="F2161" t="s">
        <v>2195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f t="shared" si="66"/>
        <v>5</v>
      </c>
      <c r="M2161">
        <f t="shared" si="67"/>
        <v>1</v>
      </c>
    </row>
    <row r="2162" spans="1:13" x14ac:dyDescent="0.3">
      <c r="A2162">
        <v>2160</v>
      </c>
      <c r="B2162">
        <v>2161</v>
      </c>
      <c r="C2162" t="s">
        <v>2216</v>
      </c>
      <c r="D2162">
        <v>2017</v>
      </c>
      <c r="E2162" t="s">
        <v>11</v>
      </c>
      <c r="F2162" t="s">
        <v>2195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f t="shared" si="66"/>
        <v>5</v>
      </c>
      <c r="M2162">
        <f t="shared" si="67"/>
        <v>1</v>
      </c>
    </row>
    <row r="2163" spans="1:13" x14ac:dyDescent="0.3">
      <c r="A2163">
        <v>2161</v>
      </c>
      <c r="B2163">
        <v>2162</v>
      </c>
      <c r="C2163" t="s">
        <v>2217</v>
      </c>
      <c r="D2163">
        <v>1996</v>
      </c>
      <c r="E2163" t="s">
        <v>36</v>
      </c>
      <c r="F2163" t="s">
        <v>2195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f t="shared" si="66"/>
        <v>5</v>
      </c>
      <c r="M2163">
        <f t="shared" si="67"/>
        <v>1</v>
      </c>
    </row>
    <row r="2164" spans="1:13" x14ac:dyDescent="0.3">
      <c r="A2164">
        <v>2162</v>
      </c>
      <c r="B2164">
        <v>2163</v>
      </c>
      <c r="C2164" t="s">
        <v>2218</v>
      </c>
      <c r="D2164">
        <v>2019</v>
      </c>
      <c r="F2164" t="s">
        <v>2195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f t="shared" si="66"/>
        <v>5</v>
      </c>
      <c r="M2164">
        <f t="shared" si="67"/>
        <v>1</v>
      </c>
    </row>
    <row r="2165" spans="1:13" x14ac:dyDescent="0.3">
      <c r="A2165">
        <v>2163</v>
      </c>
      <c r="B2165">
        <v>2164</v>
      </c>
      <c r="C2165" t="s">
        <v>2219</v>
      </c>
      <c r="D2165">
        <v>2017</v>
      </c>
      <c r="F2165" t="s">
        <v>2195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f t="shared" si="66"/>
        <v>5</v>
      </c>
      <c r="M2165">
        <f t="shared" si="67"/>
        <v>1</v>
      </c>
    </row>
    <row r="2166" spans="1:13" x14ac:dyDescent="0.3">
      <c r="A2166">
        <v>2164</v>
      </c>
      <c r="B2166">
        <v>2165</v>
      </c>
      <c r="C2166" t="s">
        <v>2220</v>
      </c>
      <c r="D2166">
        <v>2012</v>
      </c>
      <c r="E2166" t="s">
        <v>14</v>
      </c>
      <c r="F2166" t="s">
        <v>2195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f t="shared" si="66"/>
        <v>5</v>
      </c>
      <c r="M2166">
        <f t="shared" si="67"/>
        <v>1</v>
      </c>
    </row>
    <row r="2167" spans="1:13" x14ac:dyDescent="0.3">
      <c r="A2167">
        <v>2165</v>
      </c>
      <c r="B2167">
        <v>2166</v>
      </c>
      <c r="C2167" t="s">
        <v>2221</v>
      </c>
      <c r="D2167">
        <v>2020</v>
      </c>
      <c r="F2167" t="s">
        <v>2195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f t="shared" si="66"/>
        <v>5</v>
      </c>
      <c r="M2167">
        <f t="shared" si="67"/>
        <v>1</v>
      </c>
    </row>
    <row r="2168" spans="1:13" x14ac:dyDescent="0.3">
      <c r="A2168">
        <v>2166</v>
      </c>
      <c r="B2168">
        <v>2167</v>
      </c>
      <c r="C2168" t="s">
        <v>2222</v>
      </c>
      <c r="D2168">
        <v>2018</v>
      </c>
      <c r="E2168" t="s">
        <v>28</v>
      </c>
      <c r="F2168" t="s">
        <v>2195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f t="shared" si="66"/>
        <v>5</v>
      </c>
      <c r="M2168">
        <f t="shared" si="67"/>
        <v>1</v>
      </c>
    </row>
    <row r="2169" spans="1:13" x14ac:dyDescent="0.3">
      <c r="A2169">
        <v>2167</v>
      </c>
      <c r="B2169">
        <v>2168</v>
      </c>
      <c r="C2169" t="s">
        <v>2223</v>
      </c>
      <c r="D2169">
        <v>2016</v>
      </c>
      <c r="F2169" t="s">
        <v>2195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f t="shared" si="66"/>
        <v>5</v>
      </c>
      <c r="M2169">
        <f t="shared" si="67"/>
        <v>1</v>
      </c>
    </row>
    <row r="2170" spans="1:13" x14ac:dyDescent="0.3">
      <c r="A2170">
        <v>2168</v>
      </c>
      <c r="B2170">
        <v>2169</v>
      </c>
      <c r="C2170" t="s">
        <v>2224</v>
      </c>
      <c r="D2170">
        <v>2018</v>
      </c>
      <c r="F2170" t="s">
        <v>2195</v>
      </c>
      <c r="G2170">
        <v>1</v>
      </c>
      <c r="H2170">
        <v>0</v>
      </c>
      <c r="I2170">
        <v>1</v>
      </c>
      <c r="J2170">
        <v>0</v>
      </c>
      <c r="K2170">
        <v>0</v>
      </c>
      <c r="L2170">
        <f t="shared" si="66"/>
        <v>5</v>
      </c>
      <c r="M2170">
        <f t="shared" si="67"/>
        <v>2</v>
      </c>
    </row>
    <row r="2171" spans="1:13" x14ac:dyDescent="0.3">
      <c r="A2171">
        <v>2169</v>
      </c>
      <c r="B2171">
        <v>2170</v>
      </c>
      <c r="C2171" t="s">
        <v>2225</v>
      </c>
      <c r="D2171">
        <v>2021</v>
      </c>
      <c r="F2171" t="s">
        <v>2195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f t="shared" si="66"/>
        <v>5</v>
      </c>
      <c r="M2171">
        <f t="shared" si="67"/>
        <v>1</v>
      </c>
    </row>
    <row r="2172" spans="1:13" x14ac:dyDescent="0.3">
      <c r="A2172">
        <v>2170</v>
      </c>
      <c r="B2172">
        <v>2171</v>
      </c>
      <c r="C2172" t="s">
        <v>2226</v>
      </c>
      <c r="D2172">
        <v>2018</v>
      </c>
      <c r="F2172" t="s">
        <v>2195</v>
      </c>
      <c r="G2172">
        <v>1</v>
      </c>
      <c r="H2172">
        <v>0</v>
      </c>
      <c r="I2172">
        <v>1</v>
      </c>
      <c r="J2172">
        <v>1</v>
      </c>
      <c r="K2172">
        <v>0</v>
      </c>
      <c r="L2172">
        <f t="shared" si="66"/>
        <v>5</v>
      </c>
      <c r="M2172">
        <f t="shared" si="67"/>
        <v>3</v>
      </c>
    </row>
    <row r="2173" spans="1:13" x14ac:dyDescent="0.3">
      <c r="A2173">
        <v>2171</v>
      </c>
      <c r="B2173">
        <v>2172</v>
      </c>
      <c r="C2173" t="s">
        <v>2227</v>
      </c>
      <c r="D2173">
        <v>1984</v>
      </c>
      <c r="F2173" t="s">
        <v>2195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f t="shared" si="66"/>
        <v>5</v>
      </c>
      <c r="M2173">
        <f t="shared" si="67"/>
        <v>1</v>
      </c>
    </row>
    <row r="2174" spans="1:13" x14ac:dyDescent="0.3">
      <c r="A2174">
        <v>2172</v>
      </c>
      <c r="B2174">
        <v>2173</v>
      </c>
      <c r="C2174" t="s">
        <v>2228</v>
      </c>
      <c r="D2174">
        <v>2020</v>
      </c>
      <c r="F2174" t="s">
        <v>2195</v>
      </c>
      <c r="G2174">
        <v>1</v>
      </c>
      <c r="H2174">
        <v>0</v>
      </c>
      <c r="I2174">
        <v>1</v>
      </c>
      <c r="J2174">
        <v>0</v>
      </c>
      <c r="K2174">
        <v>0</v>
      </c>
      <c r="L2174">
        <f t="shared" si="66"/>
        <v>5</v>
      </c>
      <c r="M2174">
        <f t="shared" si="67"/>
        <v>2</v>
      </c>
    </row>
    <row r="2175" spans="1:13" x14ac:dyDescent="0.3">
      <c r="A2175">
        <v>2173</v>
      </c>
      <c r="B2175">
        <v>2174</v>
      </c>
      <c r="C2175" t="s">
        <v>2229</v>
      </c>
      <c r="D2175">
        <v>2018</v>
      </c>
      <c r="F2175" t="s">
        <v>2195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f t="shared" si="66"/>
        <v>5</v>
      </c>
      <c r="M2175">
        <f t="shared" si="67"/>
        <v>1</v>
      </c>
    </row>
    <row r="2176" spans="1:13" x14ac:dyDescent="0.3">
      <c r="A2176">
        <v>2174</v>
      </c>
      <c r="B2176">
        <v>2175</v>
      </c>
      <c r="C2176" t="s">
        <v>2230</v>
      </c>
      <c r="D2176">
        <v>2017</v>
      </c>
      <c r="F2176" t="s">
        <v>2195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f t="shared" si="66"/>
        <v>5</v>
      </c>
      <c r="M2176">
        <f t="shared" si="67"/>
        <v>1</v>
      </c>
    </row>
    <row r="2177" spans="1:13" x14ac:dyDescent="0.3">
      <c r="A2177">
        <v>2175</v>
      </c>
      <c r="B2177">
        <v>2176</v>
      </c>
      <c r="C2177" t="s">
        <v>2231</v>
      </c>
      <c r="D2177">
        <v>2018</v>
      </c>
      <c r="F2177" t="s">
        <v>2195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f t="shared" si="66"/>
        <v>5</v>
      </c>
      <c r="M2177">
        <f t="shared" si="67"/>
        <v>1</v>
      </c>
    </row>
    <row r="2178" spans="1:13" x14ac:dyDescent="0.3">
      <c r="A2178">
        <v>2176</v>
      </c>
      <c r="B2178">
        <v>2177</v>
      </c>
      <c r="C2178" t="s">
        <v>2232</v>
      </c>
      <c r="D2178">
        <v>2020</v>
      </c>
      <c r="E2178" t="s">
        <v>11</v>
      </c>
      <c r="F2178" t="s">
        <v>2195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f t="shared" si="66"/>
        <v>5</v>
      </c>
      <c r="M2178">
        <f t="shared" si="67"/>
        <v>1</v>
      </c>
    </row>
    <row r="2179" spans="1:13" x14ac:dyDescent="0.3">
      <c r="A2179">
        <v>2177</v>
      </c>
      <c r="B2179">
        <v>2178</v>
      </c>
      <c r="C2179" t="s">
        <v>2233</v>
      </c>
      <c r="D2179">
        <v>2019</v>
      </c>
      <c r="E2179" t="s">
        <v>11</v>
      </c>
      <c r="F2179" t="s">
        <v>2195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f t="shared" ref="L2179:L2242" si="68">IFERROR(VALUE(LEFT(F2179,FIND("/",F2179)-1))/10,"")</f>
        <v>5</v>
      </c>
      <c r="M2179">
        <f t="shared" ref="M2179:M2242" si="69">SUM(G2179:J2179)</f>
        <v>1</v>
      </c>
    </row>
    <row r="2180" spans="1:13" x14ac:dyDescent="0.3">
      <c r="A2180">
        <v>2178</v>
      </c>
      <c r="B2180">
        <v>2179</v>
      </c>
      <c r="C2180" t="s">
        <v>2234</v>
      </c>
      <c r="D2180">
        <v>2015</v>
      </c>
      <c r="E2180" t="s">
        <v>11</v>
      </c>
      <c r="F2180" t="s">
        <v>2195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f t="shared" si="68"/>
        <v>5</v>
      </c>
      <c r="M2180">
        <f t="shared" si="69"/>
        <v>1</v>
      </c>
    </row>
    <row r="2181" spans="1:13" x14ac:dyDescent="0.3">
      <c r="A2181">
        <v>2179</v>
      </c>
      <c r="B2181">
        <v>2180</v>
      </c>
      <c r="C2181" t="s">
        <v>2235</v>
      </c>
      <c r="D2181">
        <v>2010</v>
      </c>
      <c r="F2181" t="s">
        <v>2195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f t="shared" si="68"/>
        <v>5</v>
      </c>
      <c r="M2181">
        <f t="shared" si="69"/>
        <v>1</v>
      </c>
    </row>
    <row r="2182" spans="1:13" x14ac:dyDescent="0.3">
      <c r="A2182">
        <v>2180</v>
      </c>
      <c r="B2182">
        <v>2181</v>
      </c>
      <c r="C2182" t="s">
        <v>2236</v>
      </c>
      <c r="D2182">
        <v>2015</v>
      </c>
      <c r="F2182" t="s">
        <v>2195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f t="shared" si="68"/>
        <v>5</v>
      </c>
      <c r="M2182">
        <f t="shared" si="69"/>
        <v>1</v>
      </c>
    </row>
    <row r="2183" spans="1:13" x14ac:dyDescent="0.3">
      <c r="A2183">
        <v>2181</v>
      </c>
      <c r="B2183">
        <v>2182</v>
      </c>
      <c r="C2183" t="s">
        <v>2237</v>
      </c>
      <c r="D2183">
        <v>2017</v>
      </c>
      <c r="F2183" t="s">
        <v>2195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f t="shared" si="68"/>
        <v>5</v>
      </c>
      <c r="M2183">
        <f t="shared" si="69"/>
        <v>1</v>
      </c>
    </row>
    <row r="2184" spans="1:13" x14ac:dyDescent="0.3">
      <c r="A2184">
        <v>2182</v>
      </c>
      <c r="B2184">
        <v>2183</v>
      </c>
      <c r="C2184" t="s">
        <v>2238</v>
      </c>
      <c r="D2184">
        <v>2018</v>
      </c>
      <c r="E2184" t="s">
        <v>11</v>
      </c>
      <c r="F2184" t="s">
        <v>2195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f t="shared" si="68"/>
        <v>5</v>
      </c>
      <c r="M2184">
        <f t="shared" si="69"/>
        <v>1</v>
      </c>
    </row>
    <row r="2185" spans="1:13" x14ac:dyDescent="0.3">
      <c r="A2185">
        <v>2183</v>
      </c>
      <c r="B2185">
        <v>2184</v>
      </c>
      <c r="C2185" t="s">
        <v>2239</v>
      </c>
      <c r="D2185">
        <v>2016</v>
      </c>
      <c r="F2185" t="s">
        <v>2195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f t="shared" si="68"/>
        <v>5</v>
      </c>
      <c r="M2185">
        <f t="shared" si="69"/>
        <v>1</v>
      </c>
    </row>
    <row r="2186" spans="1:13" x14ac:dyDescent="0.3">
      <c r="A2186">
        <v>2184</v>
      </c>
      <c r="B2186">
        <v>2185</v>
      </c>
      <c r="C2186" t="s">
        <v>2240</v>
      </c>
      <c r="D2186">
        <v>2017</v>
      </c>
      <c r="F2186" t="s">
        <v>2195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f t="shared" si="68"/>
        <v>5</v>
      </c>
      <c r="M2186">
        <f t="shared" si="69"/>
        <v>1</v>
      </c>
    </row>
    <row r="2187" spans="1:13" x14ac:dyDescent="0.3">
      <c r="A2187">
        <v>2185</v>
      </c>
      <c r="B2187">
        <v>2186</v>
      </c>
      <c r="C2187" t="s">
        <v>2241</v>
      </c>
      <c r="D2187">
        <v>2019</v>
      </c>
      <c r="E2187" t="s">
        <v>22</v>
      </c>
      <c r="F2187" t="s">
        <v>2195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f t="shared" si="68"/>
        <v>5</v>
      </c>
      <c r="M2187">
        <f t="shared" si="69"/>
        <v>1</v>
      </c>
    </row>
    <row r="2188" spans="1:13" x14ac:dyDescent="0.3">
      <c r="A2188">
        <v>2186</v>
      </c>
      <c r="B2188">
        <v>2187</v>
      </c>
      <c r="C2188" t="s">
        <v>2242</v>
      </c>
      <c r="D2188">
        <v>2019</v>
      </c>
      <c r="F2188" t="s">
        <v>2195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f t="shared" si="68"/>
        <v>5</v>
      </c>
      <c r="M2188">
        <f t="shared" si="69"/>
        <v>1</v>
      </c>
    </row>
    <row r="2189" spans="1:13" x14ac:dyDescent="0.3">
      <c r="A2189">
        <v>2187</v>
      </c>
      <c r="B2189">
        <v>2188</v>
      </c>
      <c r="C2189" t="s">
        <v>2243</v>
      </c>
      <c r="D2189">
        <v>2016</v>
      </c>
      <c r="E2189" t="s">
        <v>11</v>
      </c>
      <c r="F2189" t="s">
        <v>2195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f t="shared" si="68"/>
        <v>5</v>
      </c>
      <c r="M2189">
        <f t="shared" si="69"/>
        <v>1</v>
      </c>
    </row>
    <row r="2190" spans="1:13" x14ac:dyDescent="0.3">
      <c r="A2190">
        <v>2188</v>
      </c>
      <c r="B2190">
        <v>2189</v>
      </c>
      <c r="C2190" t="s">
        <v>2244</v>
      </c>
      <c r="D2190">
        <v>2018</v>
      </c>
      <c r="E2190" t="s">
        <v>11</v>
      </c>
      <c r="F2190" t="s">
        <v>2195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f t="shared" si="68"/>
        <v>5</v>
      </c>
      <c r="M2190">
        <f t="shared" si="69"/>
        <v>1</v>
      </c>
    </row>
    <row r="2191" spans="1:13" x14ac:dyDescent="0.3">
      <c r="A2191">
        <v>2189</v>
      </c>
      <c r="B2191">
        <v>2190</v>
      </c>
      <c r="C2191" t="s">
        <v>2245</v>
      </c>
      <c r="D2191">
        <v>2009</v>
      </c>
      <c r="F2191" t="s">
        <v>2195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f t="shared" si="68"/>
        <v>5</v>
      </c>
      <c r="M2191">
        <f t="shared" si="69"/>
        <v>1</v>
      </c>
    </row>
    <row r="2192" spans="1:13" x14ac:dyDescent="0.3">
      <c r="A2192">
        <v>2190</v>
      </c>
      <c r="B2192">
        <v>2191</v>
      </c>
      <c r="C2192" t="s">
        <v>2246</v>
      </c>
      <c r="D2192">
        <v>2004</v>
      </c>
      <c r="F2192" t="s">
        <v>2195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f t="shared" si="68"/>
        <v>5</v>
      </c>
      <c r="M2192">
        <f t="shared" si="69"/>
        <v>1</v>
      </c>
    </row>
    <row r="2193" spans="1:13" x14ac:dyDescent="0.3">
      <c r="A2193">
        <v>2191</v>
      </c>
      <c r="B2193">
        <v>2192</v>
      </c>
      <c r="C2193" t="s">
        <v>2247</v>
      </c>
      <c r="D2193">
        <v>2005</v>
      </c>
      <c r="E2193" t="s">
        <v>22</v>
      </c>
      <c r="F2193" t="s">
        <v>2195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f t="shared" si="68"/>
        <v>5</v>
      </c>
      <c r="M2193">
        <f t="shared" si="69"/>
        <v>1</v>
      </c>
    </row>
    <row r="2194" spans="1:13" x14ac:dyDescent="0.3">
      <c r="A2194">
        <v>2192</v>
      </c>
      <c r="B2194">
        <v>2193</v>
      </c>
      <c r="C2194" t="s">
        <v>2248</v>
      </c>
      <c r="D2194">
        <v>2013</v>
      </c>
      <c r="F2194" t="s">
        <v>2195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f t="shared" si="68"/>
        <v>5</v>
      </c>
      <c r="M2194">
        <f t="shared" si="69"/>
        <v>1</v>
      </c>
    </row>
    <row r="2195" spans="1:13" x14ac:dyDescent="0.3">
      <c r="A2195">
        <v>2193</v>
      </c>
      <c r="B2195">
        <v>2194</v>
      </c>
      <c r="C2195" t="s">
        <v>2249</v>
      </c>
      <c r="D2195">
        <v>2020</v>
      </c>
      <c r="F2195" t="s">
        <v>2195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f t="shared" si="68"/>
        <v>5</v>
      </c>
      <c r="M2195">
        <f t="shared" si="69"/>
        <v>1</v>
      </c>
    </row>
    <row r="2196" spans="1:13" x14ac:dyDescent="0.3">
      <c r="A2196">
        <v>2194</v>
      </c>
      <c r="B2196">
        <v>2195</v>
      </c>
      <c r="C2196" t="s">
        <v>2250</v>
      </c>
      <c r="D2196">
        <v>2012</v>
      </c>
      <c r="F2196" t="s">
        <v>2195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f t="shared" si="68"/>
        <v>5</v>
      </c>
      <c r="M2196">
        <f t="shared" si="69"/>
        <v>1</v>
      </c>
    </row>
    <row r="2197" spans="1:13" x14ac:dyDescent="0.3">
      <c r="A2197">
        <v>2195</v>
      </c>
      <c r="B2197">
        <v>2196</v>
      </c>
      <c r="C2197" t="s">
        <v>2251</v>
      </c>
      <c r="D2197">
        <v>2016</v>
      </c>
      <c r="E2197" t="s">
        <v>36</v>
      </c>
      <c r="F2197" t="s">
        <v>2195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f t="shared" si="68"/>
        <v>5</v>
      </c>
      <c r="M2197">
        <f t="shared" si="69"/>
        <v>1</v>
      </c>
    </row>
    <row r="2198" spans="1:13" x14ac:dyDescent="0.3">
      <c r="A2198">
        <v>2196</v>
      </c>
      <c r="B2198">
        <v>2197</v>
      </c>
      <c r="C2198" t="s">
        <v>2252</v>
      </c>
      <c r="D2198">
        <v>2018</v>
      </c>
      <c r="F2198" t="s">
        <v>2195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f t="shared" si="68"/>
        <v>5</v>
      </c>
      <c r="M2198">
        <f t="shared" si="69"/>
        <v>1</v>
      </c>
    </row>
    <row r="2199" spans="1:13" x14ac:dyDescent="0.3">
      <c r="A2199">
        <v>2197</v>
      </c>
      <c r="B2199">
        <v>2198</v>
      </c>
      <c r="C2199" t="s">
        <v>2253</v>
      </c>
      <c r="D2199">
        <v>2020</v>
      </c>
      <c r="E2199" t="s">
        <v>11</v>
      </c>
      <c r="F2199" t="s">
        <v>2195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f t="shared" si="68"/>
        <v>5</v>
      </c>
      <c r="M2199">
        <f t="shared" si="69"/>
        <v>1</v>
      </c>
    </row>
    <row r="2200" spans="1:13" x14ac:dyDescent="0.3">
      <c r="A2200">
        <v>2198</v>
      </c>
      <c r="B2200">
        <v>2199</v>
      </c>
      <c r="C2200" t="s">
        <v>2254</v>
      </c>
      <c r="D2200">
        <v>2009</v>
      </c>
      <c r="E2200" t="s">
        <v>14</v>
      </c>
      <c r="F2200" t="s">
        <v>2195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f t="shared" si="68"/>
        <v>5</v>
      </c>
      <c r="M2200">
        <f t="shared" si="69"/>
        <v>1</v>
      </c>
    </row>
    <row r="2201" spans="1:13" x14ac:dyDescent="0.3">
      <c r="A2201">
        <v>2199</v>
      </c>
      <c r="B2201">
        <v>2200</v>
      </c>
      <c r="C2201" t="s">
        <v>2255</v>
      </c>
      <c r="D2201">
        <v>2017</v>
      </c>
      <c r="E2201" t="s">
        <v>11</v>
      </c>
      <c r="F2201" t="s">
        <v>2195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f t="shared" si="68"/>
        <v>5</v>
      </c>
      <c r="M2201">
        <f t="shared" si="69"/>
        <v>1</v>
      </c>
    </row>
    <row r="2202" spans="1:13" x14ac:dyDescent="0.3">
      <c r="A2202">
        <v>2200</v>
      </c>
      <c r="B2202">
        <v>2201</v>
      </c>
      <c r="C2202" t="s">
        <v>2256</v>
      </c>
      <c r="D2202">
        <v>2018</v>
      </c>
      <c r="E2202" t="s">
        <v>11</v>
      </c>
      <c r="F2202" t="s">
        <v>2195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f t="shared" si="68"/>
        <v>5</v>
      </c>
      <c r="M2202">
        <f t="shared" si="69"/>
        <v>1</v>
      </c>
    </row>
    <row r="2203" spans="1:13" x14ac:dyDescent="0.3">
      <c r="A2203">
        <v>2201</v>
      </c>
      <c r="B2203">
        <v>2202</v>
      </c>
      <c r="C2203" t="s">
        <v>2257</v>
      </c>
      <c r="D2203">
        <v>2017</v>
      </c>
      <c r="E2203" t="s">
        <v>22</v>
      </c>
      <c r="F2203" t="s">
        <v>2195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f t="shared" si="68"/>
        <v>5</v>
      </c>
      <c r="M2203">
        <f t="shared" si="69"/>
        <v>1</v>
      </c>
    </row>
    <row r="2204" spans="1:13" x14ac:dyDescent="0.3">
      <c r="A2204">
        <v>2202</v>
      </c>
      <c r="B2204">
        <v>2203</v>
      </c>
      <c r="C2204" t="s">
        <v>2258</v>
      </c>
      <c r="D2204">
        <v>1994</v>
      </c>
      <c r="F2204" t="s">
        <v>2195</v>
      </c>
      <c r="G2204">
        <v>1</v>
      </c>
      <c r="H2204">
        <v>0</v>
      </c>
      <c r="I2204">
        <v>1</v>
      </c>
      <c r="J2204">
        <v>0</v>
      </c>
      <c r="K2204">
        <v>0</v>
      </c>
      <c r="L2204">
        <f t="shared" si="68"/>
        <v>5</v>
      </c>
      <c r="M2204">
        <f t="shared" si="69"/>
        <v>2</v>
      </c>
    </row>
    <row r="2205" spans="1:13" x14ac:dyDescent="0.3">
      <c r="A2205">
        <v>2203</v>
      </c>
      <c r="B2205">
        <v>2204</v>
      </c>
      <c r="C2205" t="s">
        <v>2259</v>
      </c>
      <c r="D2205">
        <v>2021</v>
      </c>
      <c r="F2205" t="s">
        <v>2195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f t="shared" si="68"/>
        <v>5</v>
      </c>
      <c r="M2205">
        <f t="shared" si="69"/>
        <v>1</v>
      </c>
    </row>
    <row r="2206" spans="1:13" x14ac:dyDescent="0.3">
      <c r="A2206">
        <v>2204</v>
      </c>
      <c r="B2206">
        <v>2205</v>
      </c>
      <c r="C2206" t="s">
        <v>2260</v>
      </c>
      <c r="D2206">
        <v>2012</v>
      </c>
      <c r="E2206" t="s">
        <v>36</v>
      </c>
      <c r="F2206" t="s">
        <v>2195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f t="shared" si="68"/>
        <v>5</v>
      </c>
      <c r="M2206">
        <f t="shared" si="69"/>
        <v>1</v>
      </c>
    </row>
    <row r="2207" spans="1:13" x14ac:dyDescent="0.3">
      <c r="A2207">
        <v>2205</v>
      </c>
      <c r="B2207">
        <v>2206</v>
      </c>
      <c r="C2207" t="s">
        <v>2261</v>
      </c>
      <c r="D2207">
        <v>2017</v>
      </c>
      <c r="F2207" t="s">
        <v>2195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f t="shared" si="68"/>
        <v>5</v>
      </c>
      <c r="M2207">
        <f t="shared" si="69"/>
        <v>1</v>
      </c>
    </row>
    <row r="2208" spans="1:13" x14ac:dyDescent="0.3">
      <c r="A2208">
        <v>2206</v>
      </c>
      <c r="B2208">
        <v>2207</v>
      </c>
      <c r="C2208" t="s">
        <v>2262</v>
      </c>
      <c r="D2208">
        <v>2018</v>
      </c>
      <c r="F2208" t="s">
        <v>2195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f t="shared" si="68"/>
        <v>5</v>
      </c>
      <c r="M2208">
        <f t="shared" si="69"/>
        <v>1</v>
      </c>
    </row>
    <row r="2209" spans="1:13" x14ac:dyDescent="0.3">
      <c r="A2209">
        <v>2207</v>
      </c>
      <c r="B2209">
        <v>2208</v>
      </c>
      <c r="C2209" t="s">
        <v>2263</v>
      </c>
      <c r="D2209">
        <v>2018</v>
      </c>
      <c r="E2209" t="s">
        <v>14</v>
      </c>
      <c r="F2209" t="s">
        <v>2195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f t="shared" si="68"/>
        <v>5</v>
      </c>
      <c r="M2209">
        <f t="shared" si="69"/>
        <v>1</v>
      </c>
    </row>
    <row r="2210" spans="1:13" x14ac:dyDescent="0.3">
      <c r="A2210">
        <v>2208</v>
      </c>
      <c r="B2210">
        <v>2209</v>
      </c>
      <c r="C2210" t="s">
        <v>2264</v>
      </c>
      <c r="D2210">
        <v>2018</v>
      </c>
      <c r="F2210" t="s">
        <v>2195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f t="shared" si="68"/>
        <v>5</v>
      </c>
      <c r="M2210">
        <f t="shared" si="69"/>
        <v>1</v>
      </c>
    </row>
    <row r="2211" spans="1:13" x14ac:dyDescent="0.3">
      <c r="A2211">
        <v>2209</v>
      </c>
      <c r="B2211">
        <v>2210</v>
      </c>
      <c r="C2211" t="s">
        <v>2265</v>
      </c>
      <c r="D2211">
        <v>2002</v>
      </c>
      <c r="E2211" t="s">
        <v>22</v>
      </c>
      <c r="F2211" t="s">
        <v>2195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f t="shared" si="68"/>
        <v>5</v>
      </c>
      <c r="M2211">
        <f t="shared" si="69"/>
        <v>1</v>
      </c>
    </row>
    <row r="2212" spans="1:13" x14ac:dyDescent="0.3">
      <c r="A2212">
        <v>2210</v>
      </c>
      <c r="B2212">
        <v>2211</v>
      </c>
      <c r="C2212" t="s">
        <v>2266</v>
      </c>
      <c r="D2212">
        <v>2017</v>
      </c>
      <c r="F2212" t="s">
        <v>2195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f t="shared" si="68"/>
        <v>5</v>
      </c>
      <c r="M2212">
        <f t="shared" si="69"/>
        <v>1</v>
      </c>
    </row>
    <row r="2213" spans="1:13" x14ac:dyDescent="0.3">
      <c r="A2213">
        <v>2211</v>
      </c>
      <c r="B2213">
        <v>2212</v>
      </c>
      <c r="C2213" t="s">
        <v>2267</v>
      </c>
      <c r="D2213">
        <v>2020</v>
      </c>
      <c r="E2213" t="s">
        <v>22</v>
      </c>
      <c r="F2213" t="s">
        <v>2195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f t="shared" si="68"/>
        <v>5</v>
      </c>
      <c r="M2213">
        <f t="shared" si="69"/>
        <v>1</v>
      </c>
    </row>
    <row r="2214" spans="1:13" x14ac:dyDescent="0.3">
      <c r="A2214">
        <v>2212</v>
      </c>
      <c r="B2214">
        <v>2213</v>
      </c>
      <c r="C2214" t="s">
        <v>2268</v>
      </c>
      <c r="D2214">
        <v>2020</v>
      </c>
      <c r="F2214" t="s">
        <v>2195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f t="shared" si="68"/>
        <v>5</v>
      </c>
      <c r="M2214">
        <f t="shared" si="69"/>
        <v>1</v>
      </c>
    </row>
    <row r="2215" spans="1:13" x14ac:dyDescent="0.3">
      <c r="A2215">
        <v>2213</v>
      </c>
      <c r="B2215">
        <v>2214</v>
      </c>
      <c r="C2215" t="s">
        <v>2269</v>
      </c>
      <c r="D2215">
        <v>2013</v>
      </c>
      <c r="F2215" t="s">
        <v>2195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f t="shared" si="68"/>
        <v>5</v>
      </c>
      <c r="M2215">
        <f t="shared" si="69"/>
        <v>1</v>
      </c>
    </row>
    <row r="2216" spans="1:13" x14ac:dyDescent="0.3">
      <c r="A2216">
        <v>2214</v>
      </c>
      <c r="B2216">
        <v>2215</v>
      </c>
      <c r="C2216" t="s">
        <v>2270</v>
      </c>
      <c r="D2216">
        <v>2012</v>
      </c>
      <c r="F2216" t="s">
        <v>2195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f t="shared" si="68"/>
        <v>5</v>
      </c>
      <c r="M2216">
        <f t="shared" si="69"/>
        <v>1</v>
      </c>
    </row>
    <row r="2217" spans="1:13" x14ac:dyDescent="0.3">
      <c r="A2217">
        <v>2215</v>
      </c>
      <c r="B2217">
        <v>2216</v>
      </c>
      <c r="C2217" t="s">
        <v>2271</v>
      </c>
      <c r="D2217">
        <v>2020</v>
      </c>
      <c r="E2217" t="s">
        <v>28</v>
      </c>
      <c r="F2217" t="s">
        <v>2195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f t="shared" si="68"/>
        <v>5</v>
      </c>
      <c r="M2217">
        <f t="shared" si="69"/>
        <v>1</v>
      </c>
    </row>
    <row r="2218" spans="1:13" x14ac:dyDescent="0.3">
      <c r="A2218">
        <v>2216</v>
      </c>
      <c r="B2218">
        <v>2217</v>
      </c>
      <c r="C2218" t="s">
        <v>2272</v>
      </c>
      <c r="D2218">
        <v>2016</v>
      </c>
      <c r="F2218" t="s">
        <v>2195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f t="shared" si="68"/>
        <v>5</v>
      </c>
      <c r="M2218">
        <f t="shared" si="69"/>
        <v>1</v>
      </c>
    </row>
    <row r="2219" spans="1:13" x14ac:dyDescent="0.3">
      <c r="A2219">
        <v>2217</v>
      </c>
      <c r="B2219">
        <v>2218</v>
      </c>
      <c r="C2219" t="s">
        <v>2273</v>
      </c>
      <c r="D2219">
        <v>2020</v>
      </c>
      <c r="E2219" t="s">
        <v>11</v>
      </c>
      <c r="F2219" t="s">
        <v>2195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f t="shared" si="68"/>
        <v>5</v>
      </c>
      <c r="M2219">
        <f t="shared" si="69"/>
        <v>1</v>
      </c>
    </row>
    <row r="2220" spans="1:13" x14ac:dyDescent="0.3">
      <c r="A2220">
        <v>2218</v>
      </c>
      <c r="B2220">
        <v>2219</v>
      </c>
      <c r="C2220" t="s">
        <v>2274</v>
      </c>
      <c r="D2220">
        <v>2017</v>
      </c>
      <c r="F2220" t="s">
        <v>2195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f t="shared" si="68"/>
        <v>5</v>
      </c>
      <c r="M2220">
        <f t="shared" si="69"/>
        <v>1</v>
      </c>
    </row>
    <row r="2221" spans="1:13" x14ac:dyDescent="0.3">
      <c r="A2221">
        <v>2219</v>
      </c>
      <c r="B2221">
        <v>2220</v>
      </c>
      <c r="C2221" t="s">
        <v>2275</v>
      </c>
      <c r="D2221">
        <v>2019</v>
      </c>
      <c r="E2221" t="s">
        <v>14</v>
      </c>
      <c r="F2221" t="s">
        <v>2195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f t="shared" si="68"/>
        <v>5</v>
      </c>
      <c r="M2221">
        <f t="shared" si="69"/>
        <v>1</v>
      </c>
    </row>
    <row r="2222" spans="1:13" x14ac:dyDescent="0.3">
      <c r="A2222">
        <v>2220</v>
      </c>
      <c r="B2222">
        <v>2221</v>
      </c>
      <c r="C2222" t="s">
        <v>2276</v>
      </c>
      <c r="D2222">
        <v>2017</v>
      </c>
      <c r="E2222" t="s">
        <v>11</v>
      </c>
      <c r="F2222" t="s">
        <v>2195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f t="shared" si="68"/>
        <v>5</v>
      </c>
      <c r="M2222">
        <f t="shared" si="69"/>
        <v>1</v>
      </c>
    </row>
    <row r="2223" spans="1:13" x14ac:dyDescent="0.3">
      <c r="A2223">
        <v>2221</v>
      </c>
      <c r="B2223">
        <v>2222</v>
      </c>
      <c r="C2223" t="s">
        <v>2277</v>
      </c>
      <c r="D2223">
        <v>2019</v>
      </c>
      <c r="F2223" t="s">
        <v>2195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f t="shared" si="68"/>
        <v>5</v>
      </c>
      <c r="M2223">
        <f t="shared" si="69"/>
        <v>1</v>
      </c>
    </row>
    <row r="2224" spans="1:13" x14ac:dyDescent="0.3">
      <c r="A2224">
        <v>2222</v>
      </c>
      <c r="B2224">
        <v>2223</v>
      </c>
      <c r="C2224" t="s">
        <v>2278</v>
      </c>
      <c r="D2224">
        <v>2018</v>
      </c>
      <c r="F2224" t="s">
        <v>2195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f t="shared" si="68"/>
        <v>5</v>
      </c>
      <c r="M2224">
        <f t="shared" si="69"/>
        <v>1</v>
      </c>
    </row>
    <row r="2225" spans="1:13" x14ac:dyDescent="0.3">
      <c r="A2225">
        <v>2223</v>
      </c>
      <c r="B2225">
        <v>2224</v>
      </c>
      <c r="C2225" t="s">
        <v>2279</v>
      </c>
      <c r="D2225">
        <v>2017</v>
      </c>
      <c r="E2225" t="s">
        <v>22</v>
      </c>
      <c r="F2225" t="s">
        <v>2195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f t="shared" si="68"/>
        <v>5</v>
      </c>
      <c r="M2225">
        <f t="shared" si="69"/>
        <v>1</v>
      </c>
    </row>
    <row r="2226" spans="1:13" x14ac:dyDescent="0.3">
      <c r="A2226">
        <v>2224</v>
      </c>
      <c r="B2226">
        <v>2225</v>
      </c>
      <c r="C2226" t="s">
        <v>2280</v>
      </c>
      <c r="D2226">
        <v>2017</v>
      </c>
      <c r="F2226" t="s">
        <v>2195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f t="shared" si="68"/>
        <v>5</v>
      </c>
      <c r="M2226">
        <f t="shared" si="69"/>
        <v>1</v>
      </c>
    </row>
    <row r="2227" spans="1:13" x14ac:dyDescent="0.3">
      <c r="A2227">
        <v>2225</v>
      </c>
      <c r="B2227">
        <v>2226</v>
      </c>
      <c r="C2227" t="s">
        <v>2281</v>
      </c>
      <c r="D2227">
        <v>2015</v>
      </c>
      <c r="E2227" t="s">
        <v>11</v>
      </c>
      <c r="F2227" t="s">
        <v>2195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f t="shared" si="68"/>
        <v>5</v>
      </c>
      <c r="M2227">
        <f t="shared" si="69"/>
        <v>1</v>
      </c>
    </row>
    <row r="2228" spans="1:13" x14ac:dyDescent="0.3">
      <c r="A2228">
        <v>2226</v>
      </c>
      <c r="B2228">
        <v>2227</v>
      </c>
      <c r="C2228" t="s">
        <v>2282</v>
      </c>
      <c r="D2228">
        <v>1992</v>
      </c>
      <c r="E2228" t="s">
        <v>14</v>
      </c>
      <c r="F2228" t="s">
        <v>2195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f t="shared" si="68"/>
        <v>5</v>
      </c>
      <c r="M2228">
        <f t="shared" si="69"/>
        <v>1</v>
      </c>
    </row>
    <row r="2229" spans="1:13" x14ac:dyDescent="0.3">
      <c r="A2229">
        <v>2227</v>
      </c>
      <c r="B2229">
        <v>2228</v>
      </c>
      <c r="C2229" t="s">
        <v>2283</v>
      </c>
      <c r="D2229">
        <v>2021</v>
      </c>
      <c r="F2229" t="s">
        <v>2195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f t="shared" si="68"/>
        <v>5</v>
      </c>
      <c r="M2229">
        <f t="shared" si="69"/>
        <v>1</v>
      </c>
    </row>
    <row r="2230" spans="1:13" x14ac:dyDescent="0.3">
      <c r="A2230">
        <v>2228</v>
      </c>
      <c r="B2230">
        <v>2229</v>
      </c>
      <c r="C2230" t="s">
        <v>2284</v>
      </c>
      <c r="D2230">
        <v>2019</v>
      </c>
      <c r="F2230" t="s">
        <v>2195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f t="shared" si="68"/>
        <v>5</v>
      </c>
      <c r="M2230">
        <f t="shared" si="69"/>
        <v>1</v>
      </c>
    </row>
    <row r="2231" spans="1:13" x14ac:dyDescent="0.3">
      <c r="A2231">
        <v>2229</v>
      </c>
      <c r="B2231">
        <v>2230</v>
      </c>
      <c r="C2231" t="s">
        <v>2285</v>
      </c>
      <c r="D2231">
        <v>2005</v>
      </c>
      <c r="F2231" t="s">
        <v>2195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f t="shared" si="68"/>
        <v>5</v>
      </c>
      <c r="M2231">
        <f t="shared" si="69"/>
        <v>1</v>
      </c>
    </row>
    <row r="2232" spans="1:13" x14ac:dyDescent="0.3">
      <c r="A2232">
        <v>2230</v>
      </c>
      <c r="B2232">
        <v>2231</v>
      </c>
      <c r="C2232" t="s">
        <v>2286</v>
      </c>
      <c r="D2232">
        <v>2015</v>
      </c>
      <c r="F2232" t="s">
        <v>2195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f t="shared" si="68"/>
        <v>5</v>
      </c>
      <c r="M2232">
        <f t="shared" si="69"/>
        <v>1</v>
      </c>
    </row>
    <row r="2233" spans="1:13" x14ac:dyDescent="0.3">
      <c r="A2233">
        <v>2231</v>
      </c>
      <c r="B2233">
        <v>2232</v>
      </c>
      <c r="C2233" t="s">
        <v>2287</v>
      </c>
      <c r="D2233">
        <v>2019</v>
      </c>
      <c r="E2233" t="s">
        <v>11</v>
      </c>
      <c r="F2233" t="s">
        <v>2195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f t="shared" si="68"/>
        <v>5</v>
      </c>
      <c r="M2233">
        <f t="shared" si="69"/>
        <v>1</v>
      </c>
    </row>
    <row r="2234" spans="1:13" x14ac:dyDescent="0.3">
      <c r="A2234">
        <v>2232</v>
      </c>
      <c r="B2234">
        <v>2233</v>
      </c>
      <c r="C2234" t="s">
        <v>2288</v>
      </c>
      <c r="D2234">
        <v>2020</v>
      </c>
      <c r="F2234" t="s">
        <v>2195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f t="shared" si="68"/>
        <v>5</v>
      </c>
      <c r="M2234">
        <f t="shared" si="69"/>
        <v>1</v>
      </c>
    </row>
    <row r="2235" spans="1:13" x14ac:dyDescent="0.3">
      <c r="A2235">
        <v>2233</v>
      </c>
      <c r="B2235">
        <v>2234</v>
      </c>
      <c r="C2235" t="s">
        <v>2289</v>
      </c>
      <c r="D2235">
        <v>2020</v>
      </c>
      <c r="F2235" t="s">
        <v>2195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f t="shared" si="68"/>
        <v>5</v>
      </c>
      <c r="M2235">
        <f t="shared" si="69"/>
        <v>1</v>
      </c>
    </row>
    <row r="2236" spans="1:13" x14ac:dyDescent="0.3">
      <c r="A2236">
        <v>2234</v>
      </c>
      <c r="B2236">
        <v>2235</v>
      </c>
      <c r="C2236" t="s">
        <v>2290</v>
      </c>
      <c r="D2236">
        <v>2019</v>
      </c>
      <c r="F2236" t="s">
        <v>2195</v>
      </c>
      <c r="G2236">
        <v>1</v>
      </c>
      <c r="H2236">
        <v>0</v>
      </c>
      <c r="I2236">
        <v>1</v>
      </c>
      <c r="J2236">
        <v>0</v>
      </c>
      <c r="K2236">
        <v>0</v>
      </c>
      <c r="L2236">
        <f t="shared" si="68"/>
        <v>5</v>
      </c>
      <c r="M2236">
        <f t="shared" si="69"/>
        <v>2</v>
      </c>
    </row>
    <row r="2237" spans="1:13" x14ac:dyDescent="0.3">
      <c r="A2237">
        <v>2235</v>
      </c>
      <c r="B2237">
        <v>2236</v>
      </c>
      <c r="C2237" t="s">
        <v>2291</v>
      </c>
      <c r="D2237">
        <v>2016</v>
      </c>
      <c r="E2237" t="s">
        <v>11</v>
      </c>
      <c r="F2237" t="s">
        <v>2195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f t="shared" si="68"/>
        <v>5</v>
      </c>
      <c r="M2237">
        <f t="shared" si="69"/>
        <v>1</v>
      </c>
    </row>
    <row r="2238" spans="1:13" x14ac:dyDescent="0.3">
      <c r="A2238">
        <v>2236</v>
      </c>
      <c r="B2238">
        <v>2237</v>
      </c>
      <c r="C2238" t="s">
        <v>2292</v>
      </c>
      <c r="D2238">
        <v>2019</v>
      </c>
      <c r="F2238" t="s">
        <v>2195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f t="shared" si="68"/>
        <v>5</v>
      </c>
      <c r="M2238">
        <f t="shared" si="69"/>
        <v>1</v>
      </c>
    </row>
    <row r="2239" spans="1:13" x14ac:dyDescent="0.3">
      <c r="A2239">
        <v>2237</v>
      </c>
      <c r="B2239">
        <v>2238</v>
      </c>
      <c r="C2239" s="2">
        <v>0.99930555555555556</v>
      </c>
      <c r="D2239">
        <v>2011</v>
      </c>
      <c r="E2239" t="s">
        <v>11</v>
      </c>
      <c r="F2239" t="s">
        <v>2195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f t="shared" si="68"/>
        <v>5</v>
      </c>
      <c r="M2239">
        <f t="shared" si="69"/>
        <v>1</v>
      </c>
    </row>
    <row r="2240" spans="1:13" x14ac:dyDescent="0.3">
      <c r="A2240">
        <v>2238</v>
      </c>
      <c r="B2240">
        <v>2239</v>
      </c>
      <c r="C2240" t="s">
        <v>2293</v>
      </c>
      <c r="D2240">
        <v>2020</v>
      </c>
      <c r="E2240" t="s">
        <v>11</v>
      </c>
      <c r="F2240" t="s">
        <v>2195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f t="shared" si="68"/>
        <v>5</v>
      </c>
      <c r="M2240">
        <f t="shared" si="69"/>
        <v>1</v>
      </c>
    </row>
    <row r="2241" spans="1:13" x14ac:dyDescent="0.3">
      <c r="A2241">
        <v>2239</v>
      </c>
      <c r="B2241">
        <v>2240</v>
      </c>
      <c r="C2241" t="s">
        <v>2294</v>
      </c>
      <c r="D2241">
        <v>2019</v>
      </c>
      <c r="E2241" t="s">
        <v>14</v>
      </c>
      <c r="F2241" t="s">
        <v>2195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f t="shared" si="68"/>
        <v>5</v>
      </c>
      <c r="M2241">
        <f t="shared" si="69"/>
        <v>1</v>
      </c>
    </row>
    <row r="2242" spans="1:13" x14ac:dyDescent="0.3">
      <c r="A2242">
        <v>2240</v>
      </c>
      <c r="B2242">
        <v>2241</v>
      </c>
      <c r="C2242" t="s">
        <v>2295</v>
      </c>
      <c r="D2242">
        <v>2015</v>
      </c>
      <c r="F2242" t="s">
        <v>2195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f t="shared" si="68"/>
        <v>5</v>
      </c>
      <c r="M2242">
        <f t="shared" si="69"/>
        <v>1</v>
      </c>
    </row>
    <row r="2243" spans="1:13" x14ac:dyDescent="0.3">
      <c r="A2243">
        <v>2241</v>
      </c>
      <c r="B2243">
        <v>2242</v>
      </c>
      <c r="C2243" t="s">
        <v>2296</v>
      </c>
      <c r="D2243">
        <v>2020</v>
      </c>
      <c r="E2243" t="s">
        <v>11</v>
      </c>
      <c r="F2243" t="s">
        <v>2195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f t="shared" ref="L2243:L2306" si="70">IFERROR(VALUE(LEFT(F2243,FIND("/",F2243)-1))/10,"")</f>
        <v>5</v>
      </c>
      <c r="M2243">
        <f t="shared" ref="M2243:M2306" si="71">SUM(G2243:J2243)</f>
        <v>1</v>
      </c>
    </row>
    <row r="2244" spans="1:13" x14ac:dyDescent="0.3">
      <c r="A2244">
        <v>2242</v>
      </c>
      <c r="B2244">
        <v>2243</v>
      </c>
      <c r="C2244" t="s">
        <v>2297</v>
      </c>
      <c r="D2244">
        <v>2011</v>
      </c>
      <c r="E2244" t="s">
        <v>22</v>
      </c>
      <c r="F2244" t="s">
        <v>2195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f t="shared" si="70"/>
        <v>5</v>
      </c>
      <c r="M2244">
        <f t="shared" si="71"/>
        <v>1</v>
      </c>
    </row>
    <row r="2245" spans="1:13" x14ac:dyDescent="0.3">
      <c r="A2245">
        <v>2243</v>
      </c>
      <c r="B2245">
        <v>2244</v>
      </c>
      <c r="C2245" t="s">
        <v>2298</v>
      </c>
      <c r="D2245">
        <v>2019</v>
      </c>
      <c r="F2245" t="s">
        <v>2195</v>
      </c>
      <c r="G2245">
        <v>1</v>
      </c>
      <c r="H2245">
        <v>0</v>
      </c>
      <c r="I2245">
        <v>1</v>
      </c>
      <c r="J2245">
        <v>0</v>
      </c>
      <c r="K2245">
        <v>0</v>
      </c>
      <c r="L2245">
        <f t="shared" si="70"/>
        <v>5</v>
      </c>
      <c r="M2245">
        <f t="shared" si="71"/>
        <v>2</v>
      </c>
    </row>
    <row r="2246" spans="1:13" x14ac:dyDescent="0.3">
      <c r="A2246">
        <v>2244</v>
      </c>
      <c r="B2246">
        <v>2245</v>
      </c>
      <c r="C2246" t="s">
        <v>2299</v>
      </c>
      <c r="D2246">
        <v>2018</v>
      </c>
      <c r="E2246" t="s">
        <v>22</v>
      </c>
      <c r="F2246" t="s">
        <v>2195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f t="shared" si="70"/>
        <v>5</v>
      </c>
      <c r="M2246">
        <f t="shared" si="71"/>
        <v>1</v>
      </c>
    </row>
    <row r="2247" spans="1:13" x14ac:dyDescent="0.3">
      <c r="A2247">
        <v>2245</v>
      </c>
      <c r="B2247">
        <v>2246</v>
      </c>
      <c r="C2247" t="s">
        <v>2300</v>
      </c>
      <c r="D2247">
        <v>2017</v>
      </c>
      <c r="F2247" t="s">
        <v>2195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f t="shared" si="70"/>
        <v>5</v>
      </c>
      <c r="M2247">
        <f t="shared" si="71"/>
        <v>1</v>
      </c>
    </row>
    <row r="2248" spans="1:13" x14ac:dyDescent="0.3">
      <c r="A2248">
        <v>2246</v>
      </c>
      <c r="B2248">
        <v>2247</v>
      </c>
      <c r="C2248" t="s">
        <v>2301</v>
      </c>
      <c r="D2248">
        <v>2018</v>
      </c>
      <c r="F2248" t="s">
        <v>2195</v>
      </c>
      <c r="G2248">
        <v>1</v>
      </c>
      <c r="H2248">
        <v>0</v>
      </c>
      <c r="I2248">
        <v>1</v>
      </c>
      <c r="J2248">
        <v>0</v>
      </c>
      <c r="K2248">
        <v>0</v>
      </c>
      <c r="L2248">
        <f t="shared" si="70"/>
        <v>5</v>
      </c>
      <c r="M2248">
        <f t="shared" si="71"/>
        <v>2</v>
      </c>
    </row>
    <row r="2249" spans="1:13" x14ac:dyDescent="0.3">
      <c r="A2249">
        <v>2247</v>
      </c>
      <c r="B2249">
        <v>2248</v>
      </c>
      <c r="C2249" t="s">
        <v>2302</v>
      </c>
      <c r="D2249">
        <v>2019</v>
      </c>
      <c r="E2249" t="s">
        <v>36</v>
      </c>
      <c r="F2249" t="s">
        <v>2195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f t="shared" si="70"/>
        <v>5</v>
      </c>
      <c r="M2249">
        <f t="shared" si="71"/>
        <v>1</v>
      </c>
    </row>
    <row r="2250" spans="1:13" x14ac:dyDescent="0.3">
      <c r="A2250">
        <v>2248</v>
      </c>
      <c r="B2250">
        <v>2249</v>
      </c>
      <c r="C2250" t="s">
        <v>2303</v>
      </c>
      <c r="D2250">
        <v>2011</v>
      </c>
      <c r="F2250" t="s">
        <v>2195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f t="shared" si="70"/>
        <v>5</v>
      </c>
      <c r="M2250">
        <f t="shared" si="71"/>
        <v>1</v>
      </c>
    </row>
    <row r="2251" spans="1:13" x14ac:dyDescent="0.3">
      <c r="A2251">
        <v>2249</v>
      </c>
      <c r="B2251">
        <v>2250</v>
      </c>
      <c r="C2251" t="s">
        <v>2304</v>
      </c>
      <c r="D2251">
        <v>2018</v>
      </c>
      <c r="E2251" t="s">
        <v>11</v>
      </c>
      <c r="F2251" t="s">
        <v>2195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f t="shared" si="70"/>
        <v>5</v>
      </c>
      <c r="M2251">
        <f t="shared" si="71"/>
        <v>1</v>
      </c>
    </row>
    <row r="2252" spans="1:13" x14ac:dyDescent="0.3">
      <c r="A2252">
        <v>2250</v>
      </c>
      <c r="B2252">
        <v>2251</v>
      </c>
      <c r="C2252" t="s">
        <v>2305</v>
      </c>
      <c r="D2252">
        <v>1988</v>
      </c>
      <c r="E2252" t="s">
        <v>14</v>
      </c>
      <c r="F2252" t="s">
        <v>2195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f t="shared" si="70"/>
        <v>5</v>
      </c>
      <c r="M2252">
        <f t="shared" si="71"/>
        <v>1</v>
      </c>
    </row>
    <row r="2253" spans="1:13" x14ac:dyDescent="0.3">
      <c r="A2253">
        <v>2251</v>
      </c>
      <c r="B2253">
        <v>2252</v>
      </c>
      <c r="C2253" t="s">
        <v>2306</v>
      </c>
      <c r="D2253">
        <v>2019</v>
      </c>
      <c r="E2253" t="s">
        <v>11</v>
      </c>
      <c r="F2253" t="s">
        <v>2195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f t="shared" si="70"/>
        <v>5</v>
      </c>
      <c r="M2253">
        <f t="shared" si="71"/>
        <v>1</v>
      </c>
    </row>
    <row r="2254" spans="1:13" x14ac:dyDescent="0.3">
      <c r="A2254">
        <v>2252</v>
      </c>
      <c r="B2254">
        <v>2253</v>
      </c>
      <c r="C2254" t="s">
        <v>2307</v>
      </c>
      <c r="D2254">
        <v>2018</v>
      </c>
      <c r="F2254" t="s">
        <v>2195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f t="shared" si="70"/>
        <v>5</v>
      </c>
      <c r="M2254">
        <f t="shared" si="71"/>
        <v>1</v>
      </c>
    </row>
    <row r="2255" spans="1:13" x14ac:dyDescent="0.3">
      <c r="A2255">
        <v>2253</v>
      </c>
      <c r="B2255">
        <v>2254</v>
      </c>
      <c r="C2255" t="s">
        <v>2308</v>
      </c>
      <c r="D2255">
        <v>2019</v>
      </c>
      <c r="F2255" t="s">
        <v>2195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f t="shared" si="70"/>
        <v>5</v>
      </c>
      <c r="M2255">
        <f t="shared" si="71"/>
        <v>1</v>
      </c>
    </row>
    <row r="2256" spans="1:13" x14ac:dyDescent="0.3">
      <c r="A2256">
        <v>2254</v>
      </c>
      <c r="B2256">
        <v>2255</v>
      </c>
      <c r="C2256" t="s">
        <v>2309</v>
      </c>
      <c r="D2256">
        <v>2010</v>
      </c>
      <c r="E2256" t="s">
        <v>36</v>
      </c>
      <c r="F2256" t="s">
        <v>2195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f t="shared" si="70"/>
        <v>5</v>
      </c>
      <c r="M2256">
        <f t="shared" si="71"/>
        <v>1</v>
      </c>
    </row>
    <row r="2257" spans="1:13" x14ac:dyDescent="0.3">
      <c r="A2257">
        <v>2255</v>
      </c>
      <c r="B2257">
        <v>2256</v>
      </c>
      <c r="C2257" t="s">
        <v>2310</v>
      </c>
      <c r="D2257">
        <v>2016</v>
      </c>
      <c r="F2257" t="s">
        <v>2195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f t="shared" si="70"/>
        <v>5</v>
      </c>
      <c r="M2257">
        <f t="shared" si="71"/>
        <v>1</v>
      </c>
    </row>
    <row r="2258" spans="1:13" x14ac:dyDescent="0.3">
      <c r="A2258">
        <v>2256</v>
      </c>
      <c r="B2258">
        <v>2257</v>
      </c>
      <c r="C2258" t="s">
        <v>2311</v>
      </c>
      <c r="D2258">
        <v>2016</v>
      </c>
      <c r="F2258" t="s">
        <v>2195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f t="shared" si="70"/>
        <v>5</v>
      </c>
      <c r="M2258">
        <f t="shared" si="71"/>
        <v>1</v>
      </c>
    </row>
    <row r="2259" spans="1:13" x14ac:dyDescent="0.3">
      <c r="A2259">
        <v>2257</v>
      </c>
      <c r="B2259">
        <v>2258</v>
      </c>
      <c r="C2259" t="s">
        <v>2312</v>
      </c>
      <c r="D2259">
        <v>2021</v>
      </c>
      <c r="F2259" t="s">
        <v>2195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f t="shared" si="70"/>
        <v>5</v>
      </c>
      <c r="M2259">
        <f t="shared" si="71"/>
        <v>1</v>
      </c>
    </row>
    <row r="2260" spans="1:13" x14ac:dyDescent="0.3">
      <c r="A2260">
        <v>2258</v>
      </c>
      <c r="B2260">
        <v>2259</v>
      </c>
      <c r="C2260" t="s">
        <v>2313</v>
      </c>
      <c r="D2260">
        <v>2019</v>
      </c>
      <c r="E2260" t="s">
        <v>22</v>
      </c>
      <c r="F2260" t="s">
        <v>2195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f t="shared" si="70"/>
        <v>5</v>
      </c>
      <c r="M2260">
        <f t="shared" si="71"/>
        <v>1</v>
      </c>
    </row>
    <row r="2261" spans="1:13" x14ac:dyDescent="0.3">
      <c r="A2261">
        <v>2259</v>
      </c>
      <c r="B2261">
        <v>2260</v>
      </c>
      <c r="C2261" t="s">
        <v>2314</v>
      </c>
      <c r="D2261">
        <v>2020</v>
      </c>
      <c r="F2261" t="s">
        <v>2315</v>
      </c>
      <c r="G2261">
        <v>1</v>
      </c>
      <c r="H2261">
        <v>1</v>
      </c>
      <c r="I2261">
        <v>0</v>
      </c>
      <c r="J2261">
        <v>0</v>
      </c>
      <c r="K2261">
        <v>0</v>
      </c>
      <c r="L2261">
        <f t="shared" si="70"/>
        <v>4.9000000000000004</v>
      </c>
      <c r="M2261">
        <f t="shared" si="71"/>
        <v>2</v>
      </c>
    </row>
    <row r="2262" spans="1:13" x14ac:dyDescent="0.3">
      <c r="A2262">
        <v>2260</v>
      </c>
      <c r="B2262">
        <v>2261</v>
      </c>
      <c r="C2262" t="s">
        <v>2316</v>
      </c>
      <c r="D2262">
        <v>2018</v>
      </c>
      <c r="E2262" t="s">
        <v>14</v>
      </c>
      <c r="F2262" t="s">
        <v>2315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f t="shared" si="70"/>
        <v>4.9000000000000004</v>
      </c>
      <c r="M2262">
        <f t="shared" si="71"/>
        <v>1</v>
      </c>
    </row>
    <row r="2263" spans="1:13" x14ac:dyDescent="0.3">
      <c r="A2263">
        <v>2261</v>
      </c>
      <c r="B2263">
        <v>2262</v>
      </c>
      <c r="C2263" t="s">
        <v>2317</v>
      </c>
      <c r="D2263">
        <v>2018</v>
      </c>
      <c r="F2263" t="s">
        <v>2315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f t="shared" si="70"/>
        <v>4.9000000000000004</v>
      </c>
      <c r="M2263">
        <f t="shared" si="71"/>
        <v>1</v>
      </c>
    </row>
    <row r="2264" spans="1:13" x14ac:dyDescent="0.3">
      <c r="A2264">
        <v>2262</v>
      </c>
      <c r="B2264">
        <v>2263</v>
      </c>
      <c r="C2264" t="s">
        <v>2318</v>
      </c>
      <c r="D2264">
        <v>2021</v>
      </c>
      <c r="F2264" t="s">
        <v>2315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f t="shared" si="70"/>
        <v>4.9000000000000004</v>
      </c>
      <c r="M2264">
        <f t="shared" si="71"/>
        <v>1</v>
      </c>
    </row>
    <row r="2265" spans="1:13" x14ac:dyDescent="0.3">
      <c r="A2265">
        <v>2263</v>
      </c>
      <c r="B2265">
        <v>2264</v>
      </c>
      <c r="C2265" t="s">
        <v>2319</v>
      </c>
      <c r="D2265">
        <v>2016</v>
      </c>
      <c r="E2265" t="s">
        <v>28</v>
      </c>
      <c r="F2265" t="s">
        <v>2315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f t="shared" si="70"/>
        <v>4.9000000000000004</v>
      </c>
      <c r="M2265">
        <f t="shared" si="71"/>
        <v>1</v>
      </c>
    </row>
    <row r="2266" spans="1:13" x14ac:dyDescent="0.3">
      <c r="A2266">
        <v>2264</v>
      </c>
      <c r="B2266">
        <v>2265</v>
      </c>
      <c r="C2266" t="s">
        <v>2320</v>
      </c>
      <c r="D2266">
        <v>2017</v>
      </c>
      <c r="E2266" t="s">
        <v>11</v>
      </c>
      <c r="F2266" t="s">
        <v>2315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f t="shared" si="70"/>
        <v>4.9000000000000004</v>
      </c>
      <c r="M2266">
        <f t="shared" si="71"/>
        <v>1</v>
      </c>
    </row>
    <row r="2267" spans="1:13" x14ac:dyDescent="0.3">
      <c r="A2267">
        <v>2265</v>
      </c>
      <c r="B2267">
        <v>2266</v>
      </c>
      <c r="C2267" t="s">
        <v>2321</v>
      </c>
      <c r="D2267">
        <v>2017</v>
      </c>
      <c r="F2267" t="s">
        <v>2315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f t="shared" si="70"/>
        <v>4.9000000000000004</v>
      </c>
      <c r="M2267">
        <f t="shared" si="71"/>
        <v>1</v>
      </c>
    </row>
    <row r="2268" spans="1:13" x14ac:dyDescent="0.3">
      <c r="A2268">
        <v>2266</v>
      </c>
      <c r="B2268">
        <v>2267</v>
      </c>
      <c r="C2268" t="s">
        <v>2322</v>
      </c>
      <c r="D2268">
        <v>2003</v>
      </c>
      <c r="F2268" t="s">
        <v>2315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f t="shared" si="70"/>
        <v>4.9000000000000004</v>
      </c>
      <c r="M2268">
        <f t="shared" si="71"/>
        <v>1</v>
      </c>
    </row>
    <row r="2269" spans="1:13" x14ac:dyDescent="0.3">
      <c r="A2269">
        <v>2267</v>
      </c>
      <c r="B2269">
        <v>2268</v>
      </c>
      <c r="C2269" t="s">
        <v>2323</v>
      </c>
      <c r="D2269">
        <v>2018</v>
      </c>
      <c r="F2269" t="s">
        <v>2315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f t="shared" si="70"/>
        <v>4.9000000000000004</v>
      </c>
      <c r="M2269">
        <f t="shared" si="71"/>
        <v>1</v>
      </c>
    </row>
    <row r="2270" spans="1:13" x14ac:dyDescent="0.3">
      <c r="A2270">
        <v>2268</v>
      </c>
      <c r="B2270">
        <v>2269</v>
      </c>
      <c r="C2270" t="s">
        <v>2324</v>
      </c>
      <c r="D2270">
        <v>2020</v>
      </c>
      <c r="F2270" t="s">
        <v>2315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f t="shared" si="70"/>
        <v>4.9000000000000004</v>
      </c>
      <c r="M2270">
        <f t="shared" si="71"/>
        <v>1</v>
      </c>
    </row>
    <row r="2271" spans="1:13" x14ac:dyDescent="0.3">
      <c r="A2271">
        <v>2269</v>
      </c>
      <c r="B2271">
        <v>2270</v>
      </c>
      <c r="C2271" t="s">
        <v>2325</v>
      </c>
      <c r="D2271">
        <v>2018</v>
      </c>
      <c r="F2271" t="s">
        <v>2315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f t="shared" si="70"/>
        <v>4.9000000000000004</v>
      </c>
      <c r="M2271">
        <f t="shared" si="71"/>
        <v>1</v>
      </c>
    </row>
    <row r="2272" spans="1:13" x14ac:dyDescent="0.3">
      <c r="A2272">
        <v>2270</v>
      </c>
      <c r="B2272">
        <v>2271</v>
      </c>
      <c r="C2272" t="s">
        <v>2326</v>
      </c>
      <c r="D2272">
        <v>2019</v>
      </c>
      <c r="F2272" t="s">
        <v>2315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f t="shared" si="70"/>
        <v>4.9000000000000004</v>
      </c>
      <c r="M2272">
        <f t="shared" si="71"/>
        <v>1</v>
      </c>
    </row>
    <row r="2273" spans="1:13" x14ac:dyDescent="0.3">
      <c r="A2273">
        <v>2271</v>
      </c>
      <c r="B2273">
        <v>2272</v>
      </c>
      <c r="C2273" t="s">
        <v>2327</v>
      </c>
      <c r="D2273">
        <v>2017</v>
      </c>
      <c r="E2273" t="s">
        <v>11</v>
      </c>
      <c r="F2273" t="s">
        <v>2315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f t="shared" si="70"/>
        <v>4.9000000000000004</v>
      </c>
      <c r="M2273">
        <f t="shared" si="71"/>
        <v>1</v>
      </c>
    </row>
    <row r="2274" spans="1:13" x14ac:dyDescent="0.3">
      <c r="A2274">
        <v>2272</v>
      </c>
      <c r="B2274">
        <v>2273</v>
      </c>
      <c r="C2274" t="s">
        <v>2328</v>
      </c>
      <c r="D2274">
        <v>2019</v>
      </c>
      <c r="E2274" t="s">
        <v>36</v>
      </c>
      <c r="F2274" t="s">
        <v>2315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f t="shared" si="70"/>
        <v>4.9000000000000004</v>
      </c>
      <c r="M2274">
        <f t="shared" si="71"/>
        <v>1</v>
      </c>
    </row>
    <row r="2275" spans="1:13" x14ac:dyDescent="0.3">
      <c r="A2275">
        <v>2273</v>
      </c>
      <c r="B2275">
        <v>2274</v>
      </c>
      <c r="C2275" t="s">
        <v>2329</v>
      </c>
      <c r="D2275">
        <v>2016</v>
      </c>
      <c r="F2275" t="s">
        <v>2315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f t="shared" si="70"/>
        <v>4.9000000000000004</v>
      </c>
      <c r="M2275">
        <f t="shared" si="71"/>
        <v>1</v>
      </c>
    </row>
    <row r="2276" spans="1:13" x14ac:dyDescent="0.3">
      <c r="A2276">
        <v>2274</v>
      </c>
      <c r="B2276">
        <v>2275</v>
      </c>
      <c r="C2276" t="s">
        <v>2330</v>
      </c>
      <c r="D2276">
        <v>2013</v>
      </c>
      <c r="F2276" t="s">
        <v>2315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f t="shared" si="70"/>
        <v>4.9000000000000004</v>
      </c>
      <c r="M2276">
        <f t="shared" si="71"/>
        <v>1</v>
      </c>
    </row>
    <row r="2277" spans="1:13" x14ac:dyDescent="0.3">
      <c r="A2277">
        <v>2275</v>
      </c>
      <c r="B2277">
        <v>2276</v>
      </c>
      <c r="C2277" t="s">
        <v>2331</v>
      </c>
      <c r="D2277">
        <v>2021</v>
      </c>
      <c r="E2277" t="s">
        <v>28</v>
      </c>
      <c r="F2277" t="s">
        <v>2315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f t="shared" si="70"/>
        <v>4.9000000000000004</v>
      </c>
      <c r="M2277">
        <f t="shared" si="71"/>
        <v>1</v>
      </c>
    </row>
    <row r="2278" spans="1:13" x14ac:dyDescent="0.3">
      <c r="A2278">
        <v>2276</v>
      </c>
      <c r="B2278">
        <v>2277</v>
      </c>
      <c r="C2278" t="s">
        <v>2332</v>
      </c>
      <c r="D2278">
        <v>1990</v>
      </c>
      <c r="F2278" t="s">
        <v>2315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f t="shared" si="70"/>
        <v>4.9000000000000004</v>
      </c>
      <c r="M2278">
        <f t="shared" si="71"/>
        <v>1</v>
      </c>
    </row>
    <row r="2279" spans="1:13" x14ac:dyDescent="0.3">
      <c r="A2279">
        <v>2277</v>
      </c>
      <c r="B2279">
        <v>2278</v>
      </c>
      <c r="C2279" t="s">
        <v>2333</v>
      </c>
      <c r="D2279">
        <v>2016</v>
      </c>
      <c r="E2279" t="s">
        <v>36</v>
      </c>
      <c r="F2279" t="s">
        <v>2315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f t="shared" si="70"/>
        <v>4.9000000000000004</v>
      </c>
      <c r="M2279">
        <f t="shared" si="71"/>
        <v>1</v>
      </c>
    </row>
    <row r="2280" spans="1:13" x14ac:dyDescent="0.3">
      <c r="A2280">
        <v>2278</v>
      </c>
      <c r="B2280">
        <v>2279</v>
      </c>
      <c r="C2280" t="s">
        <v>2334</v>
      </c>
      <c r="D2280">
        <v>2014</v>
      </c>
      <c r="E2280" t="s">
        <v>14</v>
      </c>
      <c r="F2280" t="s">
        <v>2315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f t="shared" si="70"/>
        <v>4.9000000000000004</v>
      </c>
      <c r="M2280">
        <f t="shared" si="71"/>
        <v>1</v>
      </c>
    </row>
    <row r="2281" spans="1:13" x14ac:dyDescent="0.3">
      <c r="A2281">
        <v>2279</v>
      </c>
      <c r="B2281">
        <v>2280</v>
      </c>
      <c r="C2281" t="s">
        <v>2335</v>
      </c>
      <c r="D2281">
        <v>2019</v>
      </c>
      <c r="F2281" t="s">
        <v>2315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f t="shared" si="70"/>
        <v>4.9000000000000004</v>
      </c>
      <c r="M2281">
        <f t="shared" si="71"/>
        <v>1</v>
      </c>
    </row>
    <row r="2282" spans="1:13" x14ac:dyDescent="0.3">
      <c r="A2282">
        <v>2280</v>
      </c>
      <c r="B2282">
        <v>2281</v>
      </c>
      <c r="C2282" t="s">
        <v>2336</v>
      </c>
      <c r="D2282">
        <v>2017</v>
      </c>
      <c r="E2282" t="s">
        <v>11</v>
      </c>
      <c r="F2282" t="s">
        <v>2315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f t="shared" si="70"/>
        <v>4.9000000000000004</v>
      </c>
      <c r="M2282">
        <f t="shared" si="71"/>
        <v>1</v>
      </c>
    </row>
    <row r="2283" spans="1:13" x14ac:dyDescent="0.3">
      <c r="A2283">
        <v>2281</v>
      </c>
      <c r="B2283">
        <v>2282</v>
      </c>
      <c r="C2283" t="s">
        <v>2337</v>
      </c>
      <c r="D2283">
        <v>2021</v>
      </c>
      <c r="F2283" t="s">
        <v>2315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f t="shared" si="70"/>
        <v>4.9000000000000004</v>
      </c>
      <c r="M2283">
        <f t="shared" si="71"/>
        <v>1</v>
      </c>
    </row>
    <row r="2284" spans="1:13" x14ac:dyDescent="0.3">
      <c r="A2284">
        <v>2282</v>
      </c>
      <c r="B2284">
        <v>2283</v>
      </c>
      <c r="C2284" t="s">
        <v>2338</v>
      </c>
      <c r="D2284">
        <v>1991</v>
      </c>
      <c r="E2284" t="s">
        <v>11</v>
      </c>
      <c r="F2284" t="s">
        <v>2315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f t="shared" si="70"/>
        <v>4.9000000000000004</v>
      </c>
      <c r="M2284">
        <f t="shared" si="71"/>
        <v>1</v>
      </c>
    </row>
    <row r="2285" spans="1:13" x14ac:dyDescent="0.3">
      <c r="A2285">
        <v>2283</v>
      </c>
      <c r="B2285">
        <v>2284</v>
      </c>
      <c r="C2285" t="s">
        <v>2339</v>
      </c>
      <c r="D2285">
        <v>1994</v>
      </c>
      <c r="F2285" t="s">
        <v>2315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f t="shared" si="70"/>
        <v>4.9000000000000004</v>
      </c>
      <c r="M2285">
        <f t="shared" si="71"/>
        <v>1</v>
      </c>
    </row>
    <row r="2286" spans="1:13" x14ac:dyDescent="0.3">
      <c r="A2286">
        <v>2284</v>
      </c>
      <c r="B2286">
        <v>2285</v>
      </c>
      <c r="C2286" t="s">
        <v>2340</v>
      </c>
      <c r="D2286">
        <v>2020</v>
      </c>
      <c r="E2286" t="s">
        <v>22</v>
      </c>
      <c r="F2286" t="s">
        <v>2315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f t="shared" si="70"/>
        <v>4.9000000000000004</v>
      </c>
      <c r="M2286">
        <f t="shared" si="71"/>
        <v>1</v>
      </c>
    </row>
    <row r="2287" spans="1:13" x14ac:dyDescent="0.3">
      <c r="A2287">
        <v>2285</v>
      </c>
      <c r="B2287">
        <v>2286</v>
      </c>
      <c r="C2287" t="s">
        <v>2341</v>
      </c>
      <c r="D2287">
        <v>2016</v>
      </c>
      <c r="F2287" t="s">
        <v>2315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f t="shared" si="70"/>
        <v>4.9000000000000004</v>
      </c>
      <c r="M2287">
        <f t="shared" si="71"/>
        <v>1</v>
      </c>
    </row>
    <row r="2288" spans="1:13" x14ac:dyDescent="0.3">
      <c r="A2288">
        <v>2286</v>
      </c>
      <c r="B2288">
        <v>2287</v>
      </c>
      <c r="C2288" t="s">
        <v>2342</v>
      </c>
      <c r="D2288">
        <v>2006</v>
      </c>
      <c r="F2288" t="s">
        <v>2315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f t="shared" si="70"/>
        <v>4.9000000000000004</v>
      </c>
      <c r="M2288">
        <f t="shared" si="71"/>
        <v>1</v>
      </c>
    </row>
    <row r="2289" spans="1:13" x14ac:dyDescent="0.3">
      <c r="A2289">
        <v>2287</v>
      </c>
      <c r="B2289">
        <v>2288</v>
      </c>
      <c r="C2289" t="s">
        <v>2343</v>
      </c>
      <c r="D2289">
        <v>2017</v>
      </c>
      <c r="F2289" t="s">
        <v>2315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f t="shared" si="70"/>
        <v>4.9000000000000004</v>
      </c>
      <c r="M2289">
        <f t="shared" si="71"/>
        <v>1</v>
      </c>
    </row>
    <row r="2290" spans="1:13" x14ac:dyDescent="0.3">
      <c r="A2290">
        <v>2288</v>
      </c>
      <c r="B2290">
        <v>2289</v>
      </c>
      <c r="C2290" t="s">
        <v>2344</v>
      </c>
      <c r="D2290">
        <v>2017</v>
      </c>
      <c r="F2290" t="s">
        <v>2315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f t="shared" si="70"/>
        <v>4.9000000000000004</v>
      </c>
      <c r="M2290">
        <f t="shared" si="71"/>
        <v>1</v>
      </c>
    </row>
    <row r="2291" spans="1:13" x14ac:dyDescent="0.3">
      <c r="A2291">
        <v>2289</v>
      </c>
      <c r="B2291">
        <v>2290</v>
      </c>
      <c r="C2291" t="s">
        <v>2345</v>
      </c>
      <c r="D2291">
        <v>2019</v>
      </c>
      <c r="F2291" t="s">
        <v>2315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f t="shared" si="70"/>
        <v>4.9000000000000004</v>
      </c>
      <c r="M2291">
        <f t="shared" si="71"/>
        <v>1</v>
      </c>
    </row>
    <row r="2292" spans="1:13" x14ac:dyDescent="0.3">
      <c r="A2292">
        <v>2290</v>
      </c>
      <c r="B2292">
        <v>2291</v>
      </c>
      <c r="C2292" t="s">
        <v>2346</v>
      </c>
      <c r="D2292">
        <v>2018</v>
      </c>
      <c r="F2292" t="s">
        <v>2315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f t="shared" si="70"/>
        <v>4.9000000000000004</v>
      </c>
      <c r="M2292">
        <f t="shared" si="71"/>
        <v>1</v>
      </c>
    </row>
    <row r="2293" spans="1:13" x14ac:dyDescent="0.3">
      <c r="A2293">
        <v>2291</v>
      </c>
      <c r="B2293">
        <v>2292</v>
      </c>
      <c r="C2293" t="s">
        <v>2347</v>
      </c>
      <c r="D2293">
        <v>2008</v>
      </c>
      <c r="E2293" t="s">
        <v>36</v>
      </c>
      <c r="F2293" t="s">
        <v>2315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f t="shared" si="70"/>
        <v>4.9000000000000004</v>
      </c>
      <c r="M2293">
        <f t="shared" si="71"/>
        <v>1</v>
      </c>
    </row>
    <row r="2294" spans="1:13" x14ac:dyDescent="0.3">
      <c r="A2294">
        <v>2292</v>
      </c>
      <c r="B2294">
        <v>2293</v>
      </c>
      <c r="C2294" t="s">
        <v>2348</v>
      </c>
      <c r="D2294">
        <v>2019</v>
      </c>
      <c r="F2294" t="s">
        <v>2315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f t="shared" si="70"/>
        <v>4.9000000000000004</v>
      </c>
      <c r="M2294">
        <f t="shared" si="71"/>
        <v>1</v>
      </c>
    </row>
    <row r="2295" spans="1:13" x14ac:dyDescent="0.3">
      <c r="A2295">
        <v>2293</v>
      </c>
      <c r="B2295">
        <v>2294</v>
      </c>
      <c r="C2295" t="s">
        <v>2349</v>
      </c>
      <c r="D2295">
        <v>2019</v>
      </c>
      <c r="F2295" t="s">
        <v>2315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f t="shared" si="70"/>
        <v>4.9000000000000004</v>
      </c>
      <c r="M2295">
        <f t="shared" si="71"/>
        <v>1</v>
      </c>
    </row>
    <row r="2296" spans="1:13" x14ac:dyDescent="0.3">
      <c r="A2296">
        <v>2294</v>
      </c>
      <c r="B2296">
        <v>2295</v>
      </c>
      <c r="C2296" t="s">
        <v>2350</v>
      </c>
      <c r="D2296">
        <v>2021</v>
      </c>
      <c r="F2296" t="s">
        <v>2315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f t="shared" si="70"/>
        <v>4.9000000000000004</v>
      </c>
      <c r="M2296">
        <f t="shared" si="71"/>
        <v>1</v>
      </c>
    </row>
    <row r="2297" spans="1:13" x14ac:dyDescent="0.3">
      <c r="A2297">
        <v>2295</v>
      </c>
      <c r="B2297">
        <v>2296</v>
      </c>
      <c r="C2297" t="s">
        <v>2351</v>
      </c>
      <c r="D2297">
        <v>2018</v>
      </c>
      <c r="E2297" t="s">
        <v>14</v>
      </c>
      <c r="F2297" t="s">
        <v>2315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f t="shared" si="70"/>
        <v>4.9000000000000004</v>
      </c>
      <c r="M2297">
        <f t="shared" si="71"/>
        <v>1</v>
      </c>
    </row>
    <row r="2298" spans="1:13" x14ac:dyDescent="0.3">
      <c r="A2298">
        <v>2296</v>
      </c>
      <c r="B2298">
        <v>2297</v>
      </c>
      <c r="C2298" t="s">
        <v>2352</v>
      </c>
      <c r="D2298">
        <v>2015</v>
      </c>
      <c r="F2298" t="s">
        <v>2315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f t="shared" si="70"/>
        <v>4.9000000000000004</v>
      </c>
      <c r="M2298">
        <f t="shared" si="71"/>
        <v>1</v>
      </c>
    </row>
    <row r="2299" spans="1:13" x14ac:dyDescent="0.3">
      <c r="A2299">
        <v>2297</v>
      </c>
      <c r="B2299">
        <v>2298</v>
      </c>
      <c r="C2299" t="s">
        <v>2353</v>
      </c>
      <c r="D2299">
        <v>2019</v>
      </c>
      <c r="E2299" t="s">
        <v>11</v>
      </c>
      <c r="F2299" t="s">
        <v>2315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f t="shared" si="70"/>
        <v>4.9000000000000004</v>
      </c>
      <c r="M2299">
        <f t="shared" si="71"/>
        <v>1</v>
      </c>
    </row>
    <row r="2300" spans="1:13" x14ac:dyDescent="0.3">
      <c r="A2300">
        <v>2298</v>
      </c>
      <c r="B2300">
        <v>2299</v>
      </c>
      <c r="C2300" t="s">
        <v>2354</v>
      </c>
      <c r="D2300">
        <v>2017</v>
      </c>
      <c r="E2300" t="s">
        <v>22</v>
      </c>
      <c r="F2300" t="s">
        <v>2315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f t="shared" si="70"/>
        <v>4.9000000000000004</v>
      </c>
      <c r="M2300">
        <f t="shared" si="71"/>
        <v>1</v>
      </c>
    </row>
    <row r="2301" spans="1:13" x14ac:dyDescent="0.3">
      <c r="A2301">
        <v>2299</v>
      </c>
      <c r="B2301">
        <v>2300</v>
      </c>
      <c r="C2301" t="s">
        <v>2355</v>
      </c>
      <c r="D2301">
        <v>2014</v>
      </c>
      <c r="F2301" t="s">
        <v>2315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f t="shared" si="70"/>
        <v>4.9000000000000004</v>
      </c>
      <c r="M2301">
        <f t="shared" si="71"/>
        <v>1</v>
      </c>
    </row>
    <row r="2302" spans="1:13" x14ac:dyDescent="0.3">
      <c r="A2302">
        <v>2300</v>
      </c>
      <c r="B2302">
        <v>2301</v>
      </c>
      <c r="C2302" t="s">
        <v>2356</v>
      </c>
      <c r="D2302">
        <v>2017</v>
      </c>
      <c r="E2302" t="s">
        <v>36</v>
      </c>
      <c r="F2302" t="s">
        <v>2315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f t="shared" si="70"/>
        <v>4.9000000000000004</v>
      </c>
      <c r="M2302">
        <f t="shared" si="71"/>
        <v>1</v>
      </c>
    </row>
    <row r="2303" spans="1:13" x14ac:dyDescent="0.3">
      <c r="A2303">
        <v>2301</v>
      </c>
      <c r="B2303">
        <v>2302</v>
      </c>
      <c r="C2303" t="s">
        <v>2357</v>
      </c>
      <c r="D2303">
        <v>2016</v>
      </c>
      <c r="E2303" t="s">
        <v>11</v>
      </c>
      <c r="F2303" t="s">
        <v>2315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f t="shared" si="70"/>
        <v>4.9000000000000004</v>
      </c>
      <c r="M2303">
        <f t="shared" si="71"/>
        <v>1</v>
      </c>
    </row>
    <row r="2304" spans="1:13" x14ac:dyDescent="0.3">
      <c r="A2304">
        <v>2302</v>
      </c>
      <c r="B2304">
        <v>2303</v>
      </c>
      <c r="C2304" t="s">
        <v>2358</v>
      </c>
      <c r="D2304">
        <v>2021</v>
      </c>
      <c r="E2304" t="s">
        <v>11</v>
      </c>
      <c r="F2304" t="s">
        <v>2315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f t="shared" si="70"/>
        <v>4.9000000000000004</v>
      </c>
      <c r="M2304">
        <f t="shared" si="71"/>
        <v>1</v>
      </c>
    </row>
    <row r="2305" spans="1:13" x14ac:dyDescent="0.3">
      <c r="A2305">
        <v>2303</v>
      </c>
      <c r="B2305">
        <v>2304</v>
      </c>
      <c r="C2305" t="s">
        <v>2359</v>
      </c>
      <c r="D2305">
        <v>2020</v>
      </c>
      <c r="E2305" t="s">
        <v>11</v>
      </c>
      <c r="F2305" t="s">
        <v>2315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f t="shared" si="70"/>
        <v>4.9000000000000004</v>
      </c>
      <c r="M2305">
        <f t="shared" si="71"/>
        <v>1</v>
      </c>
    </row>
    <row r="2306" spans="1:13" x14ac:dyDescent="0.3">
      <c r="A2306">
        <v>2304</v>
      </c>
      <c r="B2306">
        <v>2305</v>
      </c>
      <c r="C2306" t="s">
        <v>2360</v>
      </c>
      <c r="D2306">
        <v>2017</v>
      </c>
      <c r="E2306" t="s">
        <v>22</v>
      </c>
      <c r="F2306" t="s">
        <v>2315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f t="shared" si="70"/>
        <v>4.9000000000000004</v>
      </c>
      <c r="M2306">
        <f t="shared" si="71"/>
        <v>1</v>
      </c>
    </row>
    <row r="2307" spans="1:13" x14ac:dyDescent="0.3">
      <c r="A2307">
        <v>2305</v>
      </c>
      <c r="B2307">
        <v>2306</v>
      </c>
      <c r="C2307" t="s">
        <v>2361</v>
      </c>
      <c r="D2307">
        <v>2013</v>
      </c>
      <c r="E2307" t="s">
        <v>14</v>
      </c>
      <c r="F2307" t="s">
        <v>2315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f t="shared" ref="L2307:L2370" si="72">IFERROR(VALUE(LEFT(F2307,FIND("/",F2307)-1))/10,"")</f>
        <v>4.9000000000000004</v>
      </c>
      <c r="M2307">
        <f t="shared" ref="M2307:M2370" si="73">SUM(G2307:J2307)</f>
        <v>1</v>
      </c>
    </row>
    <row r="2308" spans="1:13" x14ac:dyDescent="0.3">
      <c r="A2308">
        <v>2306</v>
      </c>
      <c r="B2308">
        <v>2307</v>
      </c>
      <c r="C2308" t="s">
        <v>2362</v>
      </c>
      <c r="D2308">
        <v>2019</v>
      </c>
      <c r="E2308" t="s">
        <v>11</v>
      </c>
      <c r="F2308" t="s">
        <v>2315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f t="shared" si="72"/>
        <v>4.9000000000000004</v>
      </c>
      <c r="M2308">
        <f t="shared" si="73"/>
        <v>1</v>
      </c>
    </row>
    <row r="2309" spans="1:13" x14ac:dyDescent="0.3">
      <c r="A2309">
        <v>2307</v>
      </c>
      <c r="B2309">
        <v>2308</v>
      </c>
      <c r="C2309" t="s">
        <v>2363</v>
      </c>
      <c r="D2309">
        <v>2019</v>
      </c>
      <c r="F2309" t="s">
        <v>2315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f t="shared" si="72"/>
        <v>4.9000000000000004</v>
      </c>
      <c r="M2309">
        <f t="shared" si="73"/>
        <v>1</v>
      </c>
    </row>
    <row r="2310" spans="1:13" x14ac:dyDescent="0.3">
      <c r="A2310">
        <v>2308</v>
      </c>
      <c r="B2310">
        <v>2309</v>
      </c>
      <c r="C2310" t="s">
        <v>2364</v>
      </c>
      <c r="D2310">
        <v>2011</v>
      </c>
      <c r="F2310" t="s">
        <v>2315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f t="shared" si="72"/>
        <v>4.9000000000000004</v>
      </c>
      <c r="M2310">
        <f t="shared" si="73"/>
        <v>1</v>
      </c>
    </row>
    <row r="2311" spans="1:13" x14ac:dyDescent="0.3">
      <c r="A2311">
        <v>2309</v>
      </c>
      <c r="B2311">
        <v>2310</v>
      </c>
      <c r="C2311" t="s">
        <v>2365</v>
      </c>
      <c r="D2311">
        <v>2017</v>
      </c>
      <c r="F2311" t="s">
        <v>2315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f t="shared" si="72"/>
        <v>4.9000000000000004</v>
      </c>
      <c r="M2311">
        <f t="shared" si="73"/>
        <v>1</v>
      </c>
    </row>
    <row r="2312" spans="1:13" x14ac:dyDescent="0.3">
      <c r="A2312">
        <v>2310</v>
      </c>
      <c r="B2312">
        <v>2311</v>
      </c>
      <c r="C2312" t="s">
        <v>2366</v>
      </c>
      <c r="D2312">
        <v>2011</v>
      </c>
      <c r="F2312" t="s">
        <v>2315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f t="shared" si="72"/>
        <v>4.9000000000000004</v>
      </c>
      <c r="M2312">
        <f t="shared" si="73"/>
        <v>1</v>
      </c>
    </row>
    <row r="2313" spans="1:13" x14ac:dyDescent="0.3">
      <c r="A2313">
        <v>2311</v>
      </c>
      <c r="B2313">
        <v>2312</v>
      </c>
      <c r="C2313" t="s">
        <v>2367</v>
      </c>
      <c r="D2313">
        <v>2015</v>
      </c>
      <c r="E2313" t="s">
        <v>11</v>
      </c>
      <c r="F2313" t="s">
        <v>2315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f t="shared" si="72"/>
        <v>4.9000000000000004</v>
      </c>
      <c r="M2313">
        <f t="shared" si="73"/>
        <v>1</v>
      </c>
    </row>
    <row r="2314" spans="1:13" x14ac:dyDescent="0.3">
      <c r="A2314">
        <v>2312</v>
      </c>
      <c r="B2314">
        <v>2313</v>
      </c>
      <c r="C2314" t="s">
        <v>2368</v>
      </c>
      <c r="D2314">
        <v>2013</v>
      </c>
      <c r="F2314" t="s">
        <v>2315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f t="shared" si="72"/>
        <v>4.9000000000000004</v>
      </c>
      <c r="M2314">
        <f t="shared" si="73"/>
        <v>1</v>
      </c>
    </row>
    <row r="2315" spans="1:13" x14ac:dyDescent="0.3">
      <c r="A2315">
        <v>2313</v>
      </c>
      <c r="B2315">
        <v>2314</v>
      </c>
      <c r="C2315" t="s">
        <v>2369</v>
      </c>
      <c r="D2315">
        <v>2019</v>
      </c>
      <c r="F2315" t="s">
        <v>2315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f t="shared" si="72"/>
        <v>4.9000000000000004</v>
      </c>
      <c r="M2315">
        <f t="shared" si="73"/>
        <v>1</v>
      </c>
    </row>
    <row r="2316" spans="1:13" x14ac:dyDescent="0.3">
      <c r="A2316">
        <v>2314</v>
      </c>
      <c r="B2316">
        <v>2315</v>
      </c>
      <c r="C2316" t="s">
        <v>2370</v>
      </c>
      <c r="D2316">
        <v>2016</v>
      </c>
      <c r="E2316" t="s">
        <v>36</v>
      </c>
      <c r="F2316" t="s">
        <v>2315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f t="shared" si="72"/>
        <v>4.9000000000000004</v>
      </c>
      <c r="M2316">
        <f t="shared" si="73"/>
        <v>1</v>
      </c>
    </row>
    <row r="2317" spans="1:13" x14ac:dyDescent="0.3">
      <c r="A2317">
        <v>2315</v>
      </c>
      <c r="B2317">
        <v>2316</v>
      </c>
      <c r="C2317" t="s">
        <v>2371</v>
      </c>
      <c r="D2317">
        <v>2021</v>
      </c>
      <c r="F2317" t="s">
        <v>2315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f t="shared" si="72"/>
        <v>4.9000000000000004</v>
      </c>
      <c r="M2317">
        <f t="shared" si="73"/>
        <v>1</v>
      </c>
    </row>
    <row r="2318" spans="1:13" x14ac:dyDescent="0.3">
      <c r="A2318">
        <v>2316</v>
      </c>
      <c r="B2318">
        <v>2317</v>
      </c>
      <c r="C2318" t="s">
        <v>2372</v>
      </c>
      <c r="D2318">
        <v>2015</v>
      </c>
      <c r="E2318" t="s">
        <v>22</v>
      </c>
      <c r="F2318" t="s">
        <v>2315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f t="shared" si="72"/>
        <v>4.9000000000000004</v>
      </c>
      <c r="M2318">
        <f t="shared" si="73"/>
        <v>1</v>
      </c>
    </row>
    <row r="2319" spans="1:13" x14ac:dyDescent="0.3">
      <c r="A2319">
        <v>2317</v>
      </c>
      <c r="B2319">
        <v>2318</v>
      </c>
      <c r="C2319" t="s">
        <v>2373</v>
      </c>
      <c r="D2319">
        <v>2013</v>
      </c>
      <c r="F2319" t="s">
        <v>2315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f t="shared" si="72"/>
        <v>4.9000000000000004</v>
      </c>
      <c r="M2319">
        <f t="shared" si="73"/>
        <v>1</v>
      </c>
    </row>
    <row r="2320" spans="1:13" x14ac:dyDescent="0.3">
      <c r="A2320">
        <v>2318</v>
      </c>
      <c r="B2320">
        <v>2319</v>
      </c>
      <c r="C2320" t="s">
        <v>2374</v>
      </c>
      <c r="D2320">
        <v>2018</v>
      </c>
      <c r="F2320" t="s">
        <v>2315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f t="shared" si="72"/>
        <v>4.9000000000000004</v>
      </c>
      <c r="M2320">
        <f t="shared" si="73"/>
        <v>1</v>
      </c>
    </row>
    <row r="2321" spans="1:13" x14ac:dyDescent="0.3">
      <c r="A2321">
        <v>2319</v>
      </c>
      <c r="B2321">
        <v>2320</v>
      </c>
      <c r="C2321" t="s">
        <v>2375</v>
      </c>
      <c r="D2321">
        <v>2016</v>
      </c>
      <c r="E2321" t="s">
        <v>11</v>
      </c>
      <c r="F2321" t="s">
        <v>2315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f t="shared" si="72"/>
        <v>4.9000000000000004</v>
      </c>
      <c r="M2321">
        <f t="shared" si="73"/>
        <v>1</v>
      </c>
    </row>
    <row r="2322" spans="1:13" x14ac:dyDescent="0.3">
      <c r="A2322">
        <v>2320</v>
      </c>
      <c r="B2322">
        <v>2321</v>
      </c>
      <c r="C2322" t="s">
        <v>2376</v>
      </c>
      <c r="D2322">
        <v>2016</v>
      </c>
      <c r="F2322" t="s">
        <v>2315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f t="shared" si="72"/>
        <v>4.9000000000000004</v>
      </c>
      <c r="M2322">
        <f t="shared" si="73"/>
        <v>1</v>
      </c>
    </row>
    <row r="2323" spans="1:13" x14ac:dyDescent="0.3">
      <c r="A2323">
        <v>2321</v>
      </c>
      <c r="B2323">
        <v>2322</v>
      </c>
      <c r="C2323" t="s">
        <v>2377</v>
      </c>
      <c r="D2323">
        <v>2021</v>
      </c>
      <c r="F2323" t="s">
        <v>2315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f t="shared" si="72"/>
        <v>4.9000000000000004</v>
      </c>
      <c r="M2323">
        <f t="shared" si="73"/>
        <v>1</v>
      </c>
    </row>
    <row r="2324" spans="1:13" x14ac:dyDescent="0.3">
      <c r="A2324">
        <v>2322</v>
      </c>
      <c r="B2324">
        <v>2323</v>
      </c>
      <c r="C2324" t="s">
        <v>2378</v>
      </c>
      <c r="D2324">
        <v>2019</v>
      </c>
      <c r="E2324" t="s">
        <v>11</v>
      </c>
      <c r="F2324" t="s">
        <v>2315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f t="shared" si="72"/>
        <v>4.9000000000000004</v>
      </c>
      <c r="M2324">
        <f t="shared" si="73"/>
        <v>1</v>
      </c>
    </row>
    <row r="2325" spans="1:13" x14ac:dyDescent="0.3">
      <c r="A2325">
        <v>2323</v>
      </c>
      <c r="B2325">
        <v>2324</v>
      </c>
      <c r="C2325" t="s">
        <v>2379</v>
      </c>
      <c r="D2325">
        <v>2018</v>
      </c>
      <c r="F2325" t="s">
        <v>2315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f t="shared" si="72"/>
        <v>4.9000000000000004</v>
      </c>
      <c r="M2325">
        <f t="shared" si="73"/>
        <v>1</v>
      </c>
    </row>
    <row r="2326" spans="1:13" x14ac:dyDescent="0.3">
      <c r="A2326">
        <v>2324</v>
      </c>
      <c r="B2326">
        <v>2325</v>
      </c>
      <c r="C2326" t="s">
        <v>2380</v>
      </c>
      <c r="D2326">
        <v>2020</v>
      </c>
      <c r="F2326" t="s">
        <v>2315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f t="shared" si="72"/>
        <v>4.9000000000000004</v>
      </c>
      <c r="M2326">
        <f t="shared" si="73"/>
        <v>1</v>
      </c>
    </row>
    <row r="2327" spans="1:13" x14ac:dyDescent="0.3">
      <c r="A2327">
        <v>2325</v>
      </c>
      <c r="B2327">
        <v>2326</v>
      </c>
      <c r="C2327" t="s">
        <v>2381</v>
      </c>
      <c r="D2327">
        <v>2017</v>
      </c>
      <c r="E2327" t="s">
        <v>14</v>
      </c>
      <c r="F2327" t="s">
        <v>2315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f t="shared" si="72"/>
        <v>4.9000000000000004</v>
      </c>
      <c r="M2327">
        <f t="shared" si="73"/>
        <v>1</v>
      </c>
    </row>
    <row r="2328" spans="1:13" x14ac:dyDescent="0.3">
      <c r="A2328">
        <v>2326</v>
      </c>
      <c r="B2328">
        <v>2327</v>
      </c>
      <c r="C2328" t="s">
        <v>2382</v>
      </c>
      <c r="D2328">
        <v>2014</v>
      </c>
      <c r="F2328" t="s">
        <v>2315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f t="shared" si="72"/>
        <v>4.9000000000000004</v>
      </c>
      <c r="M2328">
        <f t="shared" si="73"/>
        <v>1</v>
      </c>
    </row>
    <row r="2329" spans="1:13" x14ac:dyDescent="0.3">
      <c r="A2329">
        <v>2327</v>
      </c>
      <c r="B2329">
        <v>2328</v>
      </c>
      <c r="C2329" t="s">
        <v>2383</v>
      </c>
      <c r="D2329">
        <v>2016</v>
      </c>
      <c r="F2329" t="s">
        <v>2315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f t="shared" si="72"/>
        <v>4.9000000000000004</v>
      </c>
      <c r="M2329">
        <f t="shared" si="73"/>
        <v>1</v>
      </c>
    </row>
    <row r="2330" spans="1:13" x14ac:dyDescent="0.3">
      <c r="A2330">
        <v>2328</v>
      </c>
      <c r="B2330">
        <v>2329</v>
      </c>
      <c r="C2330" t="s">
        <v>2384</v>
      </c>
      <c r="D2330">
        <v>2021</v>
      </c>
      <c r="F2330" t="s">
        <v>2315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f t="shared" si="72"/>
        <v>4.9000000000000004</v>
      </c>
      <c r="M2330">
        <f t="shared" si="73"/>
        <v>1</v>
      </c>
    </row>
    <row r="2331" spans="1:13" x14ac:dyDescent="0.3">
      <c r="A2331">
        <v>2329</v>
      </c>
      <c r="B2331">
        <v>2330</v>
      </c>
      <c r="C2331" t="s">
        <v>2385</v>
      </c>
      <c r="D2331">
        <v>2019</v>
      </c>
      <c r="E2331" t="s">
        <v>22</v>
      </c>
      <c r="F2331" t="s">
        <v>2315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f t="shared" si="72"/>
        <v>4.9000000000000004</v>
      </c>
      <c r="M2331">
        <f t="shared" si="73"/>
        <v>1</v>
      </c>
    </row>
    <row r="2332" spans="1:13" x14ac:dyDescent="0.3">
      <c r="A2332">
        <v>2330</v>
      </c>
      <c r="B2332">
        <v>2331</v>
      </c>
      <c r="C2332" t="s">
        <v>2386</v>
      </c>
      <c r="D2332">
        <v>1999</v>
      </c>
      <c r="F2332" t="s">
        <v>2315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f t="shared" si="72"/>
        <v>4.9000000000000004</v>
      </c>
      <c r="M2332">
        <f t="shared" si="73"/>
        <v>1</v>
      </c>
    </row>
    <row r="2333" spans="1:13" x14ac:dyDescent="0.3">
      <c r="A2333">
        <v>2331</v>
      </c>
      <c r="B2333">
        <v>2332</v>
      </c>
      <c r="C2333" t="s">
        <v>2387</v>
      </c>
      <c r="D2333">
        <v>2014</v>
      </c>
      <c r="F2333" t="s">
        <v>2315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f t="shared" si="72"/>
        <v>4.9000000000000004</v>
      </c>
      <c r="M2333">
        <f t="shared" si="73"/>
        <v>1</v>
      </c>
    </row>
    <row r="2334" spans="1:13" x14ac:dyDescent="0.3">
      <c r="A2334">
        <v>2332</v>
      </c>
      <c r="B2334">
        <v>2333</v>
      </c>
      <c r="C2334" t="s">
        <v>2388</v>
      </c>
      <c r="D2334">
        <v>2021</v>
      </c>
      <c r="F2334" t="s">
        <v>2315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f t="shared" si="72"/>
        <v>4.9000000000000004</v>
      </c>
      <c r="M2334">
        <f t="shared" si="73"/>
        <v>1</v>
      </c>
    </row>
    <row r="2335" spans="1:13" x14ac:dyDescent="0.3">
      <c r="A2335">
        <v>2333</v>
      </c>
      <c r="B2335">
        <v>2334</v>
      </c>
      <c r="C2335" t="s">
        <v>2389</v>
      </c>
      <c r="D2335">
        <v>2018</v>
      </c>
      <c r="F2335" t="s">
        <v>2315</v>
      </c>
      <c r="G2335">
        <v>1</v>
      </c>
      <c r="H2335">
        <v>0</v>
      </c>
      <c r="I2335">
        <v>1</v>
      </c>
      <c r="J2335">
        <v>0</v>
      </c>
      <c r="K2335">
        <v>0</v>
      </c>
      <c r="L2335">
        <f t="shared" si="72"/>
        <v>4.9000000000000004</v>
      </c>
      <c r="M2335">
        <f t="shared" si="73"/>
        <v>2</v>
      </c>
    </row>
    <row r="2336" spans="1:13" x14ac:dyDescent="0.3">
      <c r="A2336">
        <v>2334</v>
      </c>
      <c r="B2336">
        <v>2335</v>
      </c>
      <c r="C2336" t="s">
        <v>2390</v>
      </c>
      <c r="D2336">
        <v>2016</v>
      </c>
      <c r="F2336" t="s">
        <v>2315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f t="shared" si="72"/>
        <v>4.9000000000000004</v>
      </c>
      <c r="M2336">
        <f t="shared" si="73"/>
        <v>1</v>
      </c>
    </row>
    <row r="2337" spans="1:13" x14ac:dyDescent="0.3">
      <c r="A2337">
        <v>2335</v>
      </c>
      <c r="B2337">
        <v>2336</v>
      </c>
      <c r="C2337" t="s">
        <v>2391</v>
      </c>
      <c r="D2337">
        <v>2018</v>
      </c>
      <c r="F2337" t="s">
        <v>2315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f t="shared" si="72"/>
        <v>4.9000000000000004</v>
      </c>
      <c r="M2337">
        <f t="shared" si="73"/>
        <v>1</v>
      </c>
    </row>
    <row r="2338" spans="1:13" x14ac:dyDescent="0.3">
      <c r="A2338">
        <v>2336</v>
      </c>
      <c r="B2338">
        <v>2337</v>
      </c>
      <c r="C2338" t="s">
        <v>2392</v>
      </c>
      <c r="D2338">
        <v>2019</v>
      </c>
      <c r="F2338" t="s">
        <v>2315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f t="shared" si="72"/>
        <v>4.9000000000000004</v>
      </c>
      <c r="M2338">
        <f t="shared" si="73"/>
        <v>1</v>
      </c>
    </row>
    <row r="2339" spans="1:13" x14ac:dyDescent="0.3">
      <c r="A2339">
        <v>2337</v>
      </c>
      <c r="B2339">
        <v>2338</v>
      </c>
      <c r="C2339" t="s">
        <v>2393</v>
      </c>
      <c r="D2339">
        <v>2020</v>
      </c>
      <c r="F2339" t="s">
        <v>2315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f t="shared" si="72"/>
        <v>4.9000000000000004</v>
      </c>
      <c r="M2339">
        <f t="shared" si="73"/>
        <v>1</v>
      </c>
    </row>
    <row r="2340" spans="1:13" x14ac:dyDescent="0.3">
      <c r="A2340">
        <v>2338</v>
      </c>
      <c r="B2340">
        <v>2339</v>
      </c>
      <c r="C2340" t="s">
        <v>2394</v>
      </c>
      <c r="D2340">
        <v>2017</v>
      </c>
      <c r="E2340" t="s">
        <v>28</v>
      </c>
      <c r="F2340" t="s">
        <v>2315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f t="shared" si="72"/>
        <v>4.9000000000000004</v>
      </c>
      <c r="M2340">
        <f t="shared" si="73"/>
        <v>1</v>
      </c>
    </row>
    <row r="2341" spans="1:13" x14ac:dyDescent="0.3">
      <c r="A2341">
        <v>2339</v>
      </c>
      <c r="B2341">
        <v>2340</v>
      </c>
      <c r="C2341" t="s">
        <v>2395</v>
      </c>
      <c r="D2341">
        <v>2017</v>
      </c>
      <c r="E2341" t="s">
        <v>11</v>
      </c>
      <c r="F2341" t="s">
        <v>2315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f t="shared" si="72"/>
        <v>4.9000000000000004</v>
      </c>
      <c r="M2341">
        <f t="shared" si="73"/>
        <v>1</v>
      </c>
    </row>
    <row r="2342" spans="1:13" x14ac:dyDescent="0.3">
      <c r="A2342">
        <v>2340</v>
      </c>
      <c r="B2342">
        <v>2341</v>
      </c>
      <c r="C2342" t="s">
        <v>2396</v>
      </c>
      <c r="D2342">
        <v>2015</v>
      </c>
      <c r="F2342" t="s">
        <v>2315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f t="shared" si="72"/>
        <v>4.9000000000000004</v>
      </c>
      <c r="M2342">
        <f t="shared" si="73"/>
        <v>1</v>
      </c>
    </row>
    <row r="2343" spans="1:13" x14ac:dyDescent="0.3">
      <c r="A2343">
        <v>2341</v>
      </c>
      <c r="B2343">
        <v>2342</v>
      </c>
      <c r="C2343" t="s">
        <v>2397</v>
      </c>
      <c r="D2343">
        <v>2018</v>
      </c>
      <c r="F2343" t="s">
        <v>2315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f t="shared" si="72"/>
        <v>4.9000000000000004</v>
      </c>
      <c r="M2343">
        <f t="shared" si="73"/>
        <v>1</v>
      </c>
    </row>
    <row r="2344" spans="1:13" x14ac:dyDescent="0.3">
      <c r="A2344">
        <v>2342</v>
      </c>
      <c r="B2344">
        <v>2343</v>
      </c>
      <c r="C2344" t="s">
        <v>2398</v>
      </c>
      <c r="D2344">
        <v>2019</v>
      </c>
      <c r="E2344" t="s">
        <v>11</v>
      </c>
      <c r="F2344" t="s">
        <v>2315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f t="shared" si="72"/>
        <v>4.9000000000000004</v>
      </c>
      <c r="M2344">
        <f t="shared" si="73"/>
        <v>1</v>
      </c>
    </row>
    <row r="2345" spans="1:13" x14ac:dyDescent="0.3">
      <c r="A2345">
        <v>2343</v>
      </c>
      <c r="B2345">
        <v>2344</v>
      </c>
      <c r="C2345" t="s">
        <v>2399</v>
      </c>
      <c r="D2345">
        <v>2017</v>
      </c>
      <c r="F2345" t="s">
        <v>2315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f t="shared" si="72"/>
        <v>4.9000000000000004</v>
      </c>
      <c r="M2345">
        <f t="shared" si="73"/>
        <v>1</v>
      </c>
    </row>
    <row r="2346" spans="1:13" x14ac:dyDescent="0.3">
      <c r="A2346">
        <v>2344</v>
      </c>
      <c r="B2346">
        <v>2345</v>
      </c>
      <c r="C2346" t="s">
        <v>2400</v>
      </c>
      <c r="D2346">
        <v>2021</v>
      </c>
      <c r="F2346" t="s">
        <v>2315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f t="shared" si="72"/>
        <v>4.9000000000000004</v>
      </c>
      <c r="M2346">
        <f t="shared" si="73"/>
        <v>1</v>
      </c>
    </row>
    <row r="2347" spans="1:13" x14ac:dyDescent="0.3">
      <c r="A2347">
        <v>2345</v>
      </c>
      <c r="B2347">
        <v>2346</v>
      </c>
      <c r="C2347" t="s">
        <v>2401</v>
      </c>
      <c r="D2347">
        <v>2021</v>
      </c>
      <c r="F2347" t="s">
        <v>2315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f t="shared" si="72"/>
        <v>4.9000000000000004</v>
      </c>
      <c r="M2347">
        <f t="shared" si="73"/>
        <v>1</v>
      </c>
    </row>
    <row r="2348" spans="1:13" x14ac:dyDescent="0.3">
      <c r="A2348">
        <v>2346</v>
      </c>
      <c r="B2348">
        <v>2347</v>
      </c>
      <c r="C2348" t="s">
        <v>2402</v>
      </c>
      <c r="D2348">
        <v>2016</v>
      </c>
      <c r="F2348" t="s">
        <v>2315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f t="shared" si="72"/>
        <v>4.9000000000000004</v>
      </c>
      <c r="M2348">
        <f t="shared" si="73"/>
        <v>1</v>
      </c>
    </row>
    <row r="2349" spans="1:13" x14ac:dyDescent="0.3">
      <c r="A2349">
        <v>2347</v>
      </c>
      <c r="B2349">
        <v>2348</v>
      </c>
      <c r="C2349" t="s">
        <v>2403</v>
      </c>
      <c r="D2349">
        <v>1988</v>
      </c>
      <c r="F2349" t="s">
        <v>2315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f t="shared" si="72"/>
        <v>4.9000000000000004</v>
      </c>
      <c r="M2349">
        <f t="shared" si="73"/>
        <v>1</v>
      </c>
    </row>
    <row r="2350" spans="1:13" x14ac:dyDescent="0.3">
      <c r="A2350">
        <v>2348</v>
      </c>
      <c r="B2350">
        <v>2349</v>
      </c>
      <c r="C2350" t="s">
        <v>2404</v>
      </c>
      <c r="D2350">
        <v>2019</v>
      </c>
      <c r="F2350" t="s">
        <v>2315</v>
      </c>
      <c r="G2350">
        <v>1</v>
      </c>
      <c r="H2350">
        <v>0</v>
      </c>
      <c r="I2350">
        <v>1</v>
      </c>
      <c r="J2350">
        <v>0</v>
      </c>
      <c r="K2350">
        <v>0</v>
      </c>
      <c r="L2350">
        <f t="shared" si="72"/>
        <v>4.9000000000000004</v>
      </c>
      <c r="M2350">
        <f t="shared" si="73"/>
        <v>2</v>
      </c>
    </row>
    <row r="2351" spans="1:13" x14ac:dyDescent="0.3">
      <c r="A2351">
        <v>2349</v>
      </c>
      <c r="B2351">
        <v>2350</v>
      </c>
      <c r="C2351" t="s">
        <v>2405</v>
      </c>
      <c r="D2351">
        <v>2020</v>
      </c>
      <c r="F2351" t="s">
        <v>2315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f t="shared" si="72"/>
        <v>4.9000000000000004</v>
      </c>
      <c r="M2351">
        <f t="shared" si="73"/>
        <v>1</v>
      </c>
    </row>
    <row r="2352" spans="1:13" x14ac:dyDescent="0.3">
      <c r="A2352">
        <v>2350</v>
      </c>
      <c r="B2352">
        <v>2351</v>
      </c>
      <c r="C2352" t="s">
        <v>2406</v>
      </c>
      <c r="D2352">
        <v>2018</v>
      </c>
      <c r="F2352" t="s">
        <v>2315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f t="shared" si="72"/>
        <v>4.9000000000000004</v>
      </c>
      <c r="M2352">
        <f t="shared" si="73"/>
        <v>1</v>
      </c>
    </row>
    <row r="2353" spans="1:13" x14ac:dyDescent="0.3">
      <c r="A2353">
        <v>2351</v>
      </c>
      <c r="B2353">
        <v>2352</v>
      </c>
      <c r="C2353" t="s">
        <v>2407</v>
      </c>
      <c r="D2353">
        <v>2020</v>
      </c>
      <c r="F2353" t="s">
        <v>2315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f t="shared" si="72"/>
        <v>4.9000000000000004</v>
      </c>
      <c r="M2353">
        <f t="shared" si="73"/>
        <v>1</v>
      </c>
    </row>
    <row r="2354" spans="1:13" x14ac:dyDescent="0.3">
      <c r="A2354">
        <v>2352</v>
      </c>
      <c r="B2354">
        <v>2353</v>
      </c>
      <c r="C2354" t="s">
        <v>2408</v>
      </c>
      <c r="D2354">
        <v>2020</v>
      </c>
      <c r="E2354" t="s">
        <v>11</v>
      </c>
      <c r="F2354" t="s">
        <v>2315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f t="shared" si="72"/>
        <v>4.9000000000000004</v>
      </c>
      <c r="M2354">
        <f t="shared" si="73"/>
        <v>1</v>
      </c>
    </row>
    <row r="2355" spans="1:13" x14ac:dyDescent="0.3">
      <c r="A2355">
        <v>2353</v>
      </c>
      <c r="B2355">
        <v>2354</v>
      </c>
      <c r="C2355" t="s">
        <v>2409</v>
      </c>
      <c r="D2355">
        <v>2016</v>
      </c>
      <c r="E2355" t="s">
        <v>22</v>
      </c>
      <c r="F2355" t="s">
        <v>2315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f t="shared" si="72"/>
        <v>4.9000000000000004</v>
      </c>
      <c r="M2355">
        <f t="shared" si="73"/>
        <v>1</v>
      </c>
    </row>
    <row r="2356" spans="1:13" x14ac:dyDescent="0.3">
      <c r="A2356">
        <v>2354</v>
      </c>
      <c r="B2356">
        <v>2355</v>
      </c>
      <c r="C2356" t="s">
        <v>2410</v>
      </c>
      <c r="D2356">
        <v>2019</v>
      </c>
      <c r="F2356" t="s">
        <v>2315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f t="shared" si="72"/>
        <v>4.9000000000000004</v>
      </c>
      <c r="M2356">
        <f t="shared" si="73"/>
        <v>1</v>
      </c>
    </row>
    <row r="2357" spans="1:13" x14ac:dyDescent="0.3">
      <c r="A2357">
        <v>2355</v>
      </c>
      <c r="B2357">
        <v>2356</v>
      </c>
      <c r="C2357" t="s">
        <v>2411</v>
      </c>
      <c r="D2357">
        <v>2009</v>
      </c>
      <c r="F2357" t="s">
        <v>2315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f t="shared" si="72"/>
        <v>4.9000000000000004</v>
      </c>
      <c r="M2357">
        <f t="shared" si="73"/>
        <v>1</v>
      </c>
    </row>
    <row r="2358" spans="1:13" x14ac:dyDescent="0.3">
      <c r="A2358">
        <v>2356</v>
      </c>
      <c r="B2358">
        <v>2357</v>
      </c>
      <c r="C2358" t="s">
        <v>2412</v>
      </c>
      <c r="D2358">
        <v>2016</v>
      </c>
      <c r="F2358" t="s">
        <v>2315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f t="shared" si="72"/>
        <v>4.9000000000000004</v>
      </c>
      <c r="M2358">
        <f t="shared" si="73"/>
        <v>1</v>
      </c>
    </row>
    <row r="2359" spans="1:13" x14ac:dyDescent="0.3">
      <c r="A2359">
        <v>2357</v>
      </c>
      <c r="B2359">
        <v>2358</v>
      </c>
      <c r="C2359" t="s">
        <v>2413</v>
      </c>
      <c r="D2359">
        <v>2015</v>
      </c>
      <c r="F2359" t="s">
        <v>2315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f t="shared" si="72"/>
        <v>4.9000000000000004</v>
      </c>
      <c r="M2359">
        <f t="shared" si="73"/>
        <v>1</v>
      </c>
    </row>
    <row r="2360" spans="1:13" x14ac:dyDescent="0.3">
      <c r="A2360">
        <v>2358</v>
      </c>
      <c r="B2360">
        <v>2359</v>
      </c>
      <c r="C2360" t="s">
        <v>2414</v>
      </c>
      <c r="D2360">
        <v>2018</v>
      </c>
      <c r="F2360" t="s">
        <v>2315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f t="shared" si="72"/>
        <v>4.9000000000000004</v>
      </c>
      <c r="M2360">
        <f t="shared" si="73"/>
        <v>1</v>
      </c>
    </row>
    <row r="2361" spans="1:13" x14ac:dyDescent="0.3">
      <c r="A2361">
        <v>2359</v>
      </c>
      <c r="B2361">
        <v>2360</v>
      </c>
      <c r="C2361" t="s">
        <v>2415</v>
      </c>
      <c r="D2361">
        <v>2001</v>
      </c>
      <c r="E2361" t="s">
        <v>14</v>
      </c>
      <c r="F2361" t="s">
        <v>2315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f t="shared" si="72"/>
        <v>4.9000000000000004</v>
      </c>
      <c r="M2361">
        <f t="shared" si="73"/>
        <v>1</v>
      </c>
    </row>
    <row r="2362" spans="1:13" x14ac:dyDescent="0.3">
      <c r="A2362">
        <v>2360</v>
      </c>
      <c r="B2362">
        <v>2361</v>
      </c>
      <c r="C2362" t="s">
        <v>2416</v>
      </c>
      <c r="D2362">
        <v>2018</v>
      </c>
      <c r="F2362" t="s">
        <v>2315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f t="shared" si="72"/>
        <v>4.9000000000000004</v>
      </c>
      <c r="M2362">
        <f t="shared" si="73"/>
        <v>1</v>
      </c>
    </row>
    <row r="2363" spans="1:13" x14ac:dyDescent="0.3">
      <c r="A2363">
        <v>2361</v>
      </c>
      <c r="B2363">
        <v>2362</v>
      </c>
      <c r="C2363" t="s">
        <v>2417</v>
      </c>
      <c r="D2363">
        <v>2021</v>
      </c>
      <c r="E2363" t="s">
        <v>14</v>
      </c>
      <c r="F2363" t="s">
        <v>2315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f t="shared" si="72"/>
        <v>4.9000000000000004</v>
      </c>
      <c r="M2363">
        <f t="shared" si="73"/>
        <v>1</v>
      </c>
    </row>
    <row r="2364" spans="1:13" x14ac:dyDescent="0.3">
      <c r="A2364">
        <v>2362</v>
      </c>
      <c r="B2364">
        <v>2363</v>
      </c>
      <c r="C2364" t="s">
        <v>2418</v>
      </c>
      <c r="D2364">
        <v>2017</v>
      </c>
      <c r="F2364" t="s">
        <v>2315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f t="shared" si="72"/>
        <v>4.9000000000000004</v>
      </c>
      <c r="M2364">
        <f t="shared" si="73"/>
        <v>1</v>
      </c>
    </row>
    <row r="2365" spans="1:13" x14ac:dyDescent="0.3">
      <c r="A2365">
        <v>2363</v>
      </c>
      <c r="B2365">
        <v>2364</v>
      </c>
      <c r="C2365" t="s">
        <v>2419</v>
      </c>
      <c r="D2365">
        <v>2020</v>
      </c>
      <c r="F2365" t="s">
        <v>2315</v>
      </c>
      <c r="G2365">
        <v>1</v>
      </c>
      <c r="H2365">
        <v>0</v>
      </c>
      <c r="I2365">
        <v>1</v>
      </c>
      <c r="J2365">
        <v>0</v>
      </c>
      <c r="K2365">
        <v>0</v>
      </c>
      <c r="L2365">
        <f t="shared" si="72"/>
        <v>4.9000000000000004</v>
      </c>
      <c r="M2365">
        <f t="shared" si="73"/>
        <v>2</v>
      </c>
    </row>
    <row r="2366" spans="1:13" x14ac:dyDescent="0.3">
      <c r="A2366">
        <v>2364</v>
      </c>
      <c r="B2366">
        <v>2365</v>
      </c>
      <c r="C2366" t="s">
        <v>2420</v>
      </c>
      <c r="D2366">
        <v>2016</v>
      </c>
      <c r="F2366" t="s">
        <v>2315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f t="shared" si="72"/>
        <v>4.9000000000000004</v>
      </c>
      <c r="M2366">
        <f t="shared" si="73"/>
        <v>1</v>
      </c>
    </row>
    <row r="2367" spans="1:13" x14ac:dyDescent="0.3">
      <c r="A2367">
        <v>2365</v>
      </c>
      <c r="B2367">
        <v>2366</v>
      </c>
      <c r="C2367" t="s">
        <v>2421</v>
      </c>
      <c r="D2367">
        <v>2017</v>
      </c>
      <c r="E2367" t="s">
        <v>11</v>
      </c>
      <c r="F2367" t="s">
        <v>2315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f t="shared" si="72"/>
        <v>4.9000000000000004</v>
      </c>
      <c r="M2367">
        <f t="shared" si="73"/>
        <v>1</v>
      </c>
    </row>
    <row r="2368" spans="1:13" x14ac:dyDescent="0.3">
      <c r="A2368">
        <v>2366</v>
      </c>
      <c r="B2368">
        <v>2367</v>
      </c>
      <c r="C2368" t="s">
        <v>2422</v>
      </c>
      <c r="D2368">
        <v>2017</v>
      </c>
      <c r="F2368" t="s">
        <v>2315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f t="shared" si="72"/>
        <v>4.9000000000000004</v>
      </c>
      <c r="M2368">
        <f t="shared" si="73"/>
        <v>1</v>
      </c>
    </row>
    <row r="2369" spans="1:13" x14ac:dyDescent="0.3">
      <c r="A2369">
        <v>2367</v>
      </c>
      <c r="B2369">
        <v>2368</v>
      </c>
      <c r="C2369" t="s">
        <v>2423</v>
      </c>
      <c r="D2369">
        <v>2018</v>
      </c>
      <c r="E2369" t="s">
        <v>14</v>
      </c>
      <c r="F2369" t="s">
        <v>2315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f t="shared" si="72"/>
        <v>4.9000000000000004</v>
      </c>
      <c r="M2369">
        <f t="shared" si="73"/>
        <v>1</v>
      </c>
    </row>
    <row r="2370" spans="1:13" x14ac:dyDescent="0.3">
      <c r="A2370">
        <v>2368</v>
      </c>
      <c r="B2370">
        <v>2369</v>
      </c>
      <c r="C2370" t="s">
        <v>2424</v>
      </c>
      <c r="D2370">
        <v>2020</v>
      </c>
      <c r="E2370" t="s">
        <v>36</v>
      </c>
      <c r="F2370" t="s">
        <v>2315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f t="shared" si="72"/>
        <v>4.9000000000000004</v>
      </c>
      <c r="M2370">
        <f t="shared" si="73"/>
        <v>1</v>
      </c>
    </row>
    <row r="2371" spans="1:13" x14ac:dyDescent="0.3">
      <c r="A2371">
        <v>2369</v>
      </c>
      <c r="B2371">
        <v>2370</v>
      </c>
      <c r="C2371" t="s">
        <v>2425</v>
      </c>
      <c r="D2371">
        <v>2019</v>
      </c>
      <c r="F2371" t="s">
        <v>2426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f t="shared" ref="L2371:L2434" si="74">IFERROR(VALUE(LEFT(F2371,FIND("/",F2371)-1))/10,"")</f>
        <v>4.8</v>
      </c>
      <c r="M2371">
        <f t="shared" ref="M2371:M2434" si="75">SUM(G2371:J2371)</f>
        <v>1</v>
      </c>
    </row>
    <row r="2372" spans="1:13" x14ac:dyDescent="0.3">
      <c r="A2372">
        <v>2370</v>
      </c>
      <c r="B2372">
        <v>2371</v>
      </c>
      <c r="C2372" t="s">
        <v>2427</v>
      </c>
      <c r="D2372">
        <v>2018</v>
      </c>
      <c r="F2372" t="s">
        <v>2426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f t="shared" si="74"/>
        <v>4.8</v>
      </c>
      <c r="M2372">
        <f t="shared" si="75"/>
        <v>1</v>
      </c>
    </row>
    <row r="2373" spans="1:13" x14ac:dyDescent="0.3">
      <c r="A2373">
        <v>2371</v>
      </c>
      <c r="B2373">
        <v>2372</v>
      </c>
      <c r="C2373" t="s">
        <v>2428</v>
      </c>
      <c r="D2373">
        <v>2018</v>
      </c>
      <c r="F2373" t="s">
        <v>2426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f t="shared" si="74"/>
        <v>4.8</v>
      </c>
      <c r="M2373">
        <f t="shared" si="75"/>
        <v>1</v>
      </c>
    </row>
    <row r="2374" spans="1:13" x14ac:dyDescent="0.3">
      <c r="A2374">
        <v>2372</v>
      </c>
      <c r="B2374">
        <v>2373</v>
      </c>
      <c r="C2374" t="s">
        <v>2429</v>
      </c>
      <c r="D2374">
        <v>2015</v>
      </c>
      <c r="F2374" t="s">
        <v>2426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f t="shared" si="74"/>
        <v>4.8</v>
      </c>
      <c r="M2374">
        <f t="shared" si="75"/>
        <v>1</v>
      </c>
    </row>
    <row r="2375" spans="1:13" x14ac:dyDescent="0.3">
      <c r="A2375">
        <v>2373</v>
      </c>
      <c r="B2375">
        <v>2374</v>
      </c>
      <c r="C2375" t="s">
        <v>2430</v>
      </c>
      <c r="D2375">
        <v>2021</v>
      </c>
      <c r="F2375" t="s">
        <v>2426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f t="shared" si="74"/>
        <v>4.8</v>
      </c>
      <c r="M2375">
        <f t="shared" si="75"/>
        <v>1</v>
      </c>
    </row>
    <row r="2376" spans="1:13" x14ac:dyDescent="0.3">
      <c r="A2376">
        <v>2374</v>
      </c>
      <c r="B2376">
        <v>2375</v>
      </c>
      <c r="C2376" t="s">
        <v>2431</v>
      </c>
      <c r="D2376">
        <v>2016</v>
      </c>
      <c r="F2376" t="s">
        <v>2426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f t="shared" si="74"/>
        <v>4.8</v>
      </c>
      <c r="M2376">
        <f t="shared" si="75"/>
        <v>1</v>
      </c>
    </row>
    <row r="2377" spans="1:13" x14ac:dyDescent="0.3">
      <c r="A2377">
        <v>2375</v>
      </c>
      <c r="B2377">
        <v>2376</v>
      </c>
      <c r="C2377" t="s">
        <v>2432</v>
      </c>
      <c r="D2377">
        <v>2018</v>
      </c>
      <c r="E2377" t="s">
        <v>28</v>
      </c>
      <c r="F2377" t="s">
        <v>2426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f t="shared" si="74"/>
        <v>4.8</v>
      </c>
      <c r="M2377">
        <f t="shared" si="75"/>
        <v>1</v>
      </c>
    </row>
    <row r="2378" spans="1:13" x14ac:dyDescent="0.3">
      <c r="A2378">
        <v>2376</v>
      </c>
      <c r="B2378">
        <v>2377</v>
      </c>
      <c r="C2378" t="s">
        <v>2433</v>
      </c>
      <c r="D2378">
        <v>2018</v>
      </c>
      <c r="E2378" t="s">
        <v>14</v>
      </c>
      <c r="F2378" t="s">
        <v>2426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f t="shared" si="74"/>
        <v>4.8</v>
      </c>
      <c r="M2378">
        <f t="shared" si="75"/>
        <v>1</v>
      </c>
    </row>
    <row r="2379" spans="1:13" x14ac:dyDescent="0.3">
      <c r="A2379">
        <v>2377</v>
      </c>
      <c r="B2379">
        <v>2378</v>
      </c>
      <c r="C2379" t="s">
        <v>2434</v>
      </c>
      <c r="D2379">
        <v>2018</v>
      </c>
      <c r="E2379" t="s">
        <v>28</v>
      </c>
      <c r="F2379" t="s">
        <v>2426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f t="shared" si="74"/>
        <v>4.8</v>
      </c>
      <c r="M2379">
        <f t="shared" si="75"/>
        <v>1</v>
      </c>
    </row>
    <row r="2380" spans="1:13" x14ac:dyDescent="0.3">
      <c r="A2380">
        <v>2378</v>
      </c>
      <c r="B2380">
        <v>2379</v>
      </c>
      <c r="C2380" t="s">
        <v>2435</v>
      </c>
      <c r="D2380">
        <v>2008</v>
      </c>
      <c r="F2380" t="s">
        <v>2426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f t="shared" si="74"/>
        <v>4.8</v>
      </c>
      <c r="M2380">
        <f t="shared" si="75"/>
        <v>1</v>
      </c>
    </row>
    <row r="2381" spans="1:13" x14ac:dyDescent="0.3">
      <c r="A2381">
        <v>2379</v>
      </c>
      <c r="B2381">
        <v>2380</v>
      </c>
      <c r="C2381" t="s">
        <v>2436</v>
      </c>
      <c r="D2381">
        <v>2012</v>
      </c>
      <c r="E2381" t="s">
        <v>11</v>
      </c>
      <c r="F2381" t="s">
        <v>2426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f t="shared" si="74"/>
        <v>4.8</v>
      </c>
      <c r="M2381">
        <f t="shared" si="75"/>
        <v>1</v>
      </c>
    </row>
    <row r="2382" spans="1:13" x14ac:dyDescent="0.3">
      <c r="A2382">
        <v>2380</v>
      </c>
      <c r="B2382">
        <v>2381</v>
      </c>
      <c r="C2382" t="s">
        <v>2437</v>
      </c>
      <c r="D2382">
        <v>2021</v>
      </c>
      <c r="F2382" t="s">
        <v>2426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f t="shared" si="74"/>
        <v>4.8</v>
      </c>
      <c r="M2382">
        <f t="shared" si="75"/>
        <v>1</v>
      </c>
    </row>
    <row r="2383" spans="1:13" x14ac:dyDescent="0.3">
      <c r="A2383">
        <v>2381</v>
      </c>
      <c r="B2383">
        <v>2382</v>
      </c>
      <c r="C2383" t="s">
        <v>2438</v>
      </c>
      <c r="D2383">
        <v>2020</v>
      </c>
      <c r="E2383" t="s">
        <v>11</v>
      </c>
      <c r="F2383" t="s">
        <v>2426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f t="shared" si="74"/>
        <v>4.8</v>
      </c>
      <c r="M2383">
        <f t="shared" si="75"/>
        <v>1</v>
      </c>
    </row>
    <row r="2384" spans="1:13" x14ac:dyDescent="0.3">
      <c r="A2384">
        <v>2382</v>
      </c>
      <c r="B2384">
        <v>2383</v>
      </c>
      <c r="C2384" t="s">
        <v>2439</v>
      </c>
      <c r="D2384">
        <v>2021</v>
      </c>
      <c r="F2384" t="s">
        <v>2426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f t="shared" si="74"/>
        <v>4.8</v>
      </c>
      <c r="M2384">
        <f t="shared" si="75"/>
        <v>1</v>
      </c>
    </row>
    <row r="2385" spans="1:13" x14ac:dyDescent="0.3">
      <c r="A2385">
        <v>2383</v>
      </c>
      <c r="B2385">
        <v>2384</v>
      </c>
      <c r="C2385" t="s">
        <v>2440</v>
      </c>
      <c r="D2385">
        <v>2018</v>
      </c>
      <c r="F2385" t="s">
        <v>2426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f t="shared" si="74"/>
        <v>4.8</v>
      </c>
      <c r="M2385">
        <f t="shared" si="75"/>
        <v>1</v>
      </c>
    </row>
    <row r="2386" spans="1:13" x14ac:dyDescent="0.3">
      <c r="A2386">
        <v>2384</v>
      </c>
      <c r="B2386">
        <v>2385</v>
      </c>
      <c r="C2386" s="3">
        <v>2215</v>
      </c>
      <c r="D2386">
        <v>2018</v>
      </c>
      <c r="F2386" t="s">
        <v>2426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f t="shared" si="74"/>
        <v>4.8</v>
      </c>
      <c r="M2386">
        <f t="shared" si="75"/>
        <v>1</v>
      </c>
    </row>
    <row r="2387" spans="1:13" x14ac:dyDescent="0.3">
      <c r="A2387">
        <v>2385</v>
      </c>
      <c r="B2387">
        <v>2386</v>
      </c>
      <c r="C2387" t="s">
        <v>2441</v>
      </c>
      <c r="D2387">
        <v>2020</v>
      </c>
      <c r="F2387" t="s">
        <v>2426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f t="shared" si="74"/>
        <v>4.8</v>
      </c>
      <c r="M2387">
        <f t="shared" si="75"/>
        <v>1</v>
      </c>
    </row>
    <row r="2388" spans="1:13" x14ac:dyDescent="0.3">
      <c r="A2388">
        <v>2386</v>
      </c>
      <c r="B2388">
        <v>2387</v>
      </c>
      <c r="C2388" t="s">
        <v>2442</v>
      </c>
      <c r="D2388">
        <v>2018</v>
      </c>
      <c r="F2388" t="s">
        <v>2426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f t="shared" si="74"/>
        <v>4.8</v>
      </c>
      <c r="M2388">
        <f t="shared" si="75"/>
        <v>1</v>
      </c>
    </row>
    <row r="2389" spans="1:13" x14ac:dyDescent="0.3">
      <c r="A2389">
        <v>2387</v>
      </c>
      <c r="B2389">
        <v>2388</v>
      </c>
      <c r="C2389" t="s">
        <v>2443</v>
      </c>
      <c r="D2389">
        <v>2020</v>
      </c>
      <c r="E2389" t="s">
        <v>11</v>
      </c>
      <c r="F2389" t="s">
        <v>2426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f t="shared" si="74"/>
        <v>4.8</v>
      </c>
      <c r="M2389">
        <f t="shared" si="75"/>
        <v>1</v>
      </c>
    </row>
    <row r="2390" spans="1:13" x14ac:dyDescent="0.3">
      <c r="A2390">
        <v>2388</v>
      </c>
      <c r="B2390">
        <v>2389</v>
      </c>
      <c r="C2390" t="s">
        <v>2444</v>
      </c>
      <c r="D2390">
        <v>2021</v>
      </c>
      <c r="F2390" t="s">
        <v>2426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f t="shared" si="74"/>
        <v>4.8</v>
      </c>
      <c r="M2390">
        <f t="shared" si="75"/>
        <v>1</v>
      </c>
    </row>
    <row r="2391" spans="1:13" x14ac:dyDescent="0.3">
      <c r="A2391">
        <v>2389</v>
      </c>
      <c r="B2391">
        <v>2390</v>
      </c>
      <c r="C2391" t="s">
        <v>2445</v>
      </c>
      <c r="D2391">
        <v>2007</v>
      </c>
      <c r="F2391" t="s">
        <v>2426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f t="shared" si="74"/>
        <v>4.8</v>
      </c>
      <c r="M2391">
        <f t="shared" si="75"/>
        <v>1</v>
      </c>
    </row>
    <row r="2392" spans="1:13" x14ac:dyDescent="0.3">
      <c r="A2392">
        <v>2390</v>
      </c>
      <c r="B2392">
        <v>2391</v>
      </c>
      <c r="C2392" t="s">
        <v>2446</v>
      </c>
      <c r="D2392">
        <v>1993</v>
      </c>
      <c r="F2392" t="s">
        <v>2426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f t="shared" si="74"/>
        <v>4.8</v>
      </c>
      <c r="M2392">
        <f t="shared" si="75"/>
        <v>1</v>
      </c>
    </row>
    <row r="2393" spans="1:13" x14ac:dyDescent="0.3">
      <c r="A2393">
        <v>2391</v>
      </c>
      <c r="B2393">
        <v>2392</v>
      </c>
      <c r="C2393" t="s">
        <v>2447</v>
      </c>
      <c r="D2393">
        <v>2020</v>
      </c>
      <c r="F2393" t="s">
        <v>2426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f t="shared" si="74"/>
        <v>4.8</v>
      </c>
      <c r="M2393">
        <f t="shared" si="75"/>
        <v>1</v>
      </c>
    </row>
    <row r="2394" spans="1:13" x14ac:dyDescent="0.3">
      <c r="A2394">
        <v>2392</v>
      </c>
      <c r="B2394">
        <v>2393</v>
      </c>
      <c r="C2394" t="s">
        <v>2448</v>
      </c>
      <c r="D2394">
        <v>2020</v>
      </c>
      <c r="E2394" t="s">
        <v>11</v>
      </c>
      <c r="F2394" t="s">
        <v>2426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f t="shared" si="74"/>
        <v>4.8</v>
      </c>
      <c r="M2394">
        <f t="shared" si="75"/>
        <v>1</v>
      </c>
    </row>
    <row r="2395" spans="1:13" x14ac:dyDescent="0.3">
      <c r="A2395">
        <v>2393</v>
      </c>
      <c r="B2395">
        <v>2394</v>
      </c>
      <c r="C2395" t="s">
        <v>2449</v>
      </c>
      <c r="D2395">
        <v>2017</v>
      </c>
      <c r="F2395" t="s">
        <v>2426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f t="shared" si="74"/>
        <v>4.8</v>
      </c>
      <c r="M2395">
        <f t="shared" si="75"/>
        <v>1</v>
      </c>
    </row>
    <row r="2396" spans="1:13" x14ac:dyDescent="0.3">
      <c r="A2396">
        <v>2394</v>
      </c>
      <c r="B2396">
        <v>2395</v>
      </c>
      <c r="C2396" t="s">
        <v>2450</v>
      </c>
      <c r="D2396">
        <v>2019</v>
      </c>
      <c r="E2396" t="s">
        <v>11</v>
      </c>
      <c r="F2396" t="s">
        <v>2426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f t="shared" si="74"/>
        <v>4.8</v>
      </c>
      <c r="M2396">
        <f t="shared" si="75"/>
        <v>1</v>
      </c>
    </row>
    <row r="2397" spans="1:13" x14ac:dyDescent="0.3">
      <c r="A2397">
        <v>2395</v>
      </c>
      <c r="B2397">
        <v>2396</v>
      </c>
      <c r="C2397" t="s">
        <v>2451</v>
      </c>
      <c r="D2397">
        <v>2015</v>
      </c>
      <c r="F2397" t="s">
        <v>2426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f t="shared" si="74"/>
        <v>4.8</v>
      </c>
      <c r="M2397">
        <f t="shared" si="75"/>
        <v>1</v>
      </c>
    </row>
    <row r="2398" spans="1:13" x14ac:dyDescent="0.3">
      <c r="A2398">
        <v>2396</v>
      </c>
      <c r="B2398">
        <v>2397</v>
      </c>
      <c r="C2398" t="s">
        <v>2452</v>
      </c>
      <c r="D2398">
        <v>2016</v>
      </c>
      <c r="F2398" t="s">
        <v>2426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f t="shared" si="74"/>
        <v>4.8</v>
      </c>
      <c r="M2398">
        <f t="shared" si="75"/>
        <v>1</v>
      </c>
    </row>
    <row r="2399" spans="1:13" x14ac:dyDescent="0.3">
      <c r="A2399">
        <v>2397</v>
      </c>
      <c r="B2399">
        <v>2398</v>
      </c>
      <c r="C2399" t="s">
        <v>2453</v>
      </c>
      <c r="D2399">
        <v>2020</v>
      </c>
      <c r="F2399" t="s">
        <v>2426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f t="shared" si="74"/>
        <v>4.8</v>
      </c>
      <c r="M2399">
        <f t="shared" si="75"/>
        <v>1</v>
      </c>
    </row>
    <row r="2400" spans="1:13" x14ac:dyDescent="0.3">
      <c r="A2400">
        <v>2398</v>
      </c>
      <c r="B2400">
        <v>2399</v>
      </c>
      <c r="C2400" t="s">
        <v>2454</v>
      </c>
      <c r="D2400">
        <v>2016</v>
      </c>
      <c r="F2400" t="s">
        <v>2426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f t="shared" si="74"/>
        <v>4.8</v>
      </c>
      <c r="M2400">
        <f t="shared" si="75"/>
        <v>1</v>
      </c>
    </row>
    <row r="2401" spans="1:13" x14ac:dyDescent="0.3">
      <c r="A2401">
        <v>2399</v>
      </c>
      <c r="B2401">
        <v>2400</v>
      </c>
      <c r="C2401" t="s">
        <v>2455</v>
      </c>
      <c r="D2401">
        <v>2018</v>
      </c>
      <c r="E2401" t="s">
        <v>11</v>
      </c>
      <c r="F2401" t="s">
        <v>2426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f t="shared" si="74"/>
        <v>4.8</v>
      </c>
      <c r="M2401">
        <f t="shared" si="75"/>
        <v>1</v>
      </c>
    </row>
    <row r="2402" spans="1:13" x14ac:dyDescent="0.3">
      <c r="A2402">
        <v>2400</v>
      </c>
      <c r="B2402">
        <v>2401</v>
      </c>
      <c r="C2402" t="s">
        <v>2456</v>
      </c>
      <c r="D2402">
        <v>2016</v>
      </c>
      <c r="F2402" t="s">
        <v>2426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f t="shared" si="74"/>
        <v>4.8</v>
      </c>
      <c r="M2402">
        <f t="shared" si="75"/>
        <v>1</v>
      </c>
    </row>
    <row r="2403" spans="1:13" x14ac:dyDescent="0.3">
      <c r="A2403">
        <v>2401</v>
      </c>
      <c r="B2403">
        <v>2402</v>
      </c>
      <c r="C2403" t="s">
        <v>2457</v>
      </c>
      <c r="D2403">
        <v>2000</v>
      </c>
      <c r="F2403" t="s">
        <v>2426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f t="shared" si="74"/>
        <v>4.8</v>
      </c>
      <c r="M2403">
        <f t="shared" si="75"/>
        <v>1</v>
      </c>
    </row>
    <row r="2404" spans="1:13" x14ac:dyDescent="0.3">
      <c r="A2404">
        <v>2402</v>
      </c>
      <c r="B2404">
        <v>2403</v>
      </c>
      <c r="C2404" t="s">
        <v>2458</v>
      </c>
      <c r="D2404">
        <v>2019</v>
      </c>
      <c r="F2404" t="s">
        <v>2426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f t="shared" si="74"/>
        <v>4.8</v>
      </c>
      <c r="M2404">
        <f t="shared" si="75"/>
        <v>1</v>
      </c>
    </row>
    <row r="2405" spans="1:13" x14ac:dyDescent="0.3">
      <c r="A2405">
        <v>2403</v>
      </c>
      <c r="B2405">
        <v>2404</v>
      </c>
      <c r="C2405" t="s">
        <v>2459</v>
      </c>
      <c r="D2405">
        <v>2017</v>
      </c>
      <c r="F2405" t="s">
        <v>2426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f t="shared" si="74"/>
        <v>4.8</v>
      </c>
      <c r="M2405">
        <f t="shared" si="75"/>
        <v>1</v>
      </c>
    </row>
    <row r="2406" spans="1:13" x14ac:dyDescent="0.3">
      <c r="A2406">
        <v>2404</v>
      </c>
      <c r="B2406">
        <v>2405</v>
      </c>
      <c r="C2406" t="s">
        <v>2460</v>
      </c>
      <c r="D2406">
        <v>2012</v>
      </c>
      <c r="E2406" t="s">
        <v>36</v>
      </c>
      <c r="F2406" t="s">
        <v>2426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f t="shared" si="74"/>
        <v>4.8</v>
      </c>
      <c r="M2406">
        <f t="shared" si="75"/>
        <v>1</v>
      </c>
    </row>
    <row r="2407" spans="1:13" x14ac:dyDescent="0.3">
      <c r="A2407">
        <v>2405</v>
      </c>
      <c r="B2407">
        <v>2406</v>
      </c>
      <c r="C2407" t="s">
        <v>2461</v>
      </c>
      <c r="D2407">
        <v>2012</v>
      </c>
      <c r="E2407" t="s">
        <v>36</v>
      </c>
      <c r="F2407" t="s">
        <v>2426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f t="shared" si="74"/>
        <v>4.8</v>
      </c>
      <c r="M2407">
        <f t="shared" si="75"/>
        <v>1</v>
      </c>
    </row>
    <row r="2408" spans="1:13" x14ac:dyDescent="0.3">
      <c r="A2408">
        <v>2406</v>
      </c>
      <c r="B2408">
        <v>2407</v>
      </c>
      <c r="C2408" t="s">
        <v>2462</v>
      </c>
      <c r="D2408">
        <v>2020</v>
      </c>
      <c r="E2408" t="s">
        <v>11</v>
      </c>
      <c r="F2408" t="s">
        <v>2426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f t="shared" si="74"/>
        <v>4.8</v>
      </c>
      <c r="M2408">
        <f t="shared" si="75"/>
        <v>1</v>
      </c>
    </row>
    <row r="2409" spans="1:13" x14ac:dyDescent="0.3">
      <c r="A2409">
        <v>2407</v>
      </c>
      <c r="B2409">
        <v>2408</v>
      </c>
      <c r="C2409" t="s">
        <v>2463</v>
      </c>
      <c r="D2409">
        <v>2021</v>
      </c>
      <c r="F2409" t="s">
        <v>2426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f t="shared" si="74"/>
        <v>4.8</v>
      </c>
      <c r="M2409">
        <f t="shared" si="75"/>
        <v>1</v>
      </c>
    </row>
    <row r="2410" spans="1:13" x14ac:dyDescent="0.3">
      <c r="A2410">
        <v>2408</v>
      </c>
      <c r="B2410">
        <v>2409</v>
      </c>
      <c r="C2410" t="s">
        <v>2464</v>
      </c>
      <c r="D2410">
        <v>2019</v>
      </c>
      <c r="F2410" t="s">
        <v>2426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f t="shared" si="74"/>
        <v>4.8</v>
      </c>
      <c r="M2410">
        <f t="shared" si="75"/>
        <v>1</v>
      </c>
    </row>
    <row r="2411" spans="1:13" x14ac:dyDescent="0.3">
      <c r="A2411">
        <v>2409</v>
      </c>
      <c r="B2411">
        <v>2410</v>
      </c>
      <c r="C2411" t="s">
        <v>2465</v>
      </c>
      <c r="D2411">
        <v>2019</v>
      </c>
      <c r="F2411" t="s">
        <v>2426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f t="shared" si="74"/>
        <v>4.8</v>
      </c>
      <c r="M2411">
        <f t="shared" si="75"/>
        <v>1</v>
      </c>
    </row>
    <row r="2412" spans="1:13" x14ac:dyDescent="0.3">
      <c r="A2412">
        <v>2410</v>
      </c>
      <c r="B2412">
        <v>2411</v>
      </c>
      <c r="C2412" t="s">
        <v>2466</v>
      </c>
      <c r="D2412">
        <v>2008</v>
      </c>
      <c r="E2412" t="s">
        <v>14</v>
      </c>
      <c r="F2412" t="s">
        <v>2426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f t="shared" si="74"/>
        <v>4.8</v>
      </c>
      <c r="M2412">
        <f t="shared" si="75"/>
        <v>1</v>
      </c>
    </row>
    <row r="2413" spans="1:13" x14ac:dyDescent="0.3">
      <c r="A2413">
        <v>2411</v>
      </c>
      <c r="B2413">
        <v>2412</v>
      </c>
      <c r="C2413" t="s">
        <v>2467</v>
      </c>
      <c r="D2413">
        <v>1997</v>
      </c>
      <c r="E2413" t="s">
        <v>11</v>
      </c>
      <c r="F2413" t="s">
        <v>2426</v>
      </c>
      <c r="G2413">
        <v>1</v>
      </c>
      <c r="H2413">
        <v>0</v>
      </c>
      <c r="I2413">
        <v>1</v>
      </c>
      <c r="J2413">
        <v>0</v>
      </c>
      <c r="K2413">
        <v>0</v>
      </c>
      <c r="L2413">
        <f t="shared" si="74"/>
        <v>4.8</v>
      </c>
      <c r="M2413">
        <f t="shared" si="75"/>
        <v>2</v>
      </c>
    </row>
    <row r="2414" spans="1:13" x14ac:dyDescent="0.3">
      <c r="A2414">
        <v>2412</v>
      </c>
      <c r="B2414">
        <v>2413</v>
      </c>
      <c r="C2414" t="s">
        <v>2468</v>
      </c>
      <c r="D2414">
        <v>2018</v>
      </c>
      <c r="F2414" t="s">
        <v>2426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f t="shared" si="74"/>
        <v>4.8</v>
      </c>
      <c r="M2414">
        <f t="shared" si="75"/>
        <v>1</v>
      </c>
    </row>
    <row r="2415" spans="1:13" x14ac:dyDescent="0.3">
      <c r="A2415">
        <v>2413</v>
      </c>
      <c r="B2415">
        <v>2414</v>
      </c>
      <c r="C2415" t="s">
        <v>2469</v>
      </c>
      <c r="D2415">
        <v>2021</v>
      </c>
      <c r="F2415" t="s">
        <v>2426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f t="shared" si="74"/>
        <v>4.8</v>
      </c>
      <c r="M2415">
        <f t="shared" si="75"/>
        <v>1</v>
      </c>
    </row>
    <row r="2416" spans="1:13" x14ac:dyDescent="0.3">
      <c r="A2416">
        <v>2414</v>
      </c>
      <c r="B2416">
        <v>2415</v>
      </c>
      <c r="C2416" t="s">
        <v>2470</v>
      </c>
      <c r="D2416">
        <v>2021</v>
      </c>
      <c r="E2416" t="s">
        <v>14</v>
      </c>
      <c r="F2416" t="s">
        <v>2426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f t="shared" si="74"/>
        <v>4.8</v>
      </c>
      <c r="M2416">
        <f t="shared" si="75"/>
        <v>1</v>
      </c>
    </row>
    <row r="2417" spans="1:13" x14ac:dyDescent="0.3">
      <c r="A2417">
        <v>2415</v>
      </c>
      <c r="B2417">
        <v>2416</v>
      </c>
      <c r="C2417" t="s">
        <v>2471</v>
      </c>
      <c r="D2417">
        <v>2019</v>
      </c>
      <c r="F2417" t="s">
        <v>2426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f t="shared" si="74"/>
        <v>4.8</v>
      </c>
      <c r="M2417">
        <f t="shared" si="75"/>
        <v>1</v>
      </c>
    </row>
    <row r="2418" spans="1:13" x14ac:dyDescent="0.3">
      <c r="A2418">
        <v>2416</v>
      </c>
      <c r="B2418">
        <v>2417</v>
      </c>
      <c r="C2418" t="s">
        <v>2472</v>
      </c>
      <c r="D2418">
        <v>2016</v>
      </c>
      <c r="F2418" t="s">
        <v>2426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f t="shared" si="74"/>
        <v>4.8</v>
      </c>
      <c r="M2418">
        <f t="shared" si="75"/>
        <v>1</v>
      </c>
    </row>
    <row r="2419" spans="1:13" x14ac:dyDescent="0.3">
      <c r="A2419">
        <v>2417</v>
      </c>
      <c r="B2419">
        <v>2418</v>
      </c>
      <c r="C2419" t="s">
        <v>2473</v>
      </c>
      <c r="D2419">
        <v>2017</v>
      </c>
      <c r="F2419" t="s">
        <v>2426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f t="shared" si="74"/>
        <v>4.8</v>
      </c>
      <c r="M2419">
        <f t="shared" si="75"/>
        <v>1</v>
      </c>
    </row>
    <row r="2420" spans="1:13" x14ac:dyDescent="0.3">
      <c r="A2420">
        <v>2418</v>
      </c>
      <c r="B2420">
        <v>2419</v>
      </c>
      <c r="C2420" t="s">
        <v>2474</v>
      </c>
      <c r="D2420">
        <v>2016</v>
      </c>
      <c r="F2420" t="s">
        <v>2426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f t="shared" si="74"/>
        <v>4.8</v>
      </c>
      <c r="M2420">
        <f t="shared" si="75"/>
        <v>1</v>
      </c>
    </row>
    <row r="2421" spans="1:13" x14ac:dyDescent="0.3">
      <c r="A2421">
        <v>2419</v>
      </c>
      <c r="B2421">
        <v>2420</v>
      </c>
      <c r="C2421" t="s">
        <v>2475</v>
      </c>
      <c r="D2421">
        <v>2017</v>
      </c>
      <c r="F2421" t="s">
        <v>2426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f t="shared" si="74"/>
        <v>4.8</v>
      </c>
      <c r="M2421">
        <f t="shared" si="75"/>
        <v>1</v>
      </c>
    </row>
    <row r="2422" spans="1:13" x14ac:dyDescent="0.3">
      <c r="A2422">
        <v>2420</v>
      </c>
      <c r="B2422">
        <v>2421</v>
      </c>
      <c r="C2422" t="s">
        <v>2476</v>
      </c>
      <c r="D2422">
        <v>2019</v>
      </c>
      <c r="F2422" t="s">
        <v>2426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f t="shared" si="74"/>
        <v>4.8</v>
      </c>
      <c r="M2422">
        <f t="shared" si="75"/>
        <v>1</v>
      </c>
    </row>
    <row r="2423" spans="1:13" x14ac:dyDescent="0.3">
      <c r="A2423">
        <v>2421</v>
      </c>
      <c r="B2423">
        <v>2422</v>
      </c>
      <c r="C2423" t="s">
        <v>2477</v>
      </c>
      <c r="D2423">
        <v>2016</v>
      </c>
      <c r="E2423" t="s">
        <v>11</v>
      </c>
      <c r="F2423" t="s">
        <v>2426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f t="shared" si="74"/>
        <v>4.8</v>
      </c>
      <c r="M2423">
        <f t="shared" si="75"/>
        <v>1</v>
      </c>
    </row>
    <row r="2424" spans="1:13" x14ac:dyDescent="0.3">
      <c r="A2424">
        <v>2422</v>
      </c>
      <c r="B2424">
        <v>2423</v>
      </c>
      <c r="C2424" t="s">
        <v>2478</v>
      </c>
      <c r="D2424">
        <v>1962</v>
      </c>
      <c r="F2424" t="s">
        <v>2426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f t="shared" si="74"/>
        <v>4.8</v>
      </c>
      <c r="M2424">
        <f t="shared" si="75"/>
        <v>1</v>
      </c>
    </row>
    <row r="2425" spans="1:13" x14ac:dyDescent="0.3">
      <c r="A2425">
        <v>2423</v>
      </c>
      <c r="B2425">
        <v>2424</v>
      </c>
      <c r="C2425" t="s">
        <v>2479</v>
      </c>
      <c r="D2425">
        <v>2003</v>
      </c>
      <c r="F2425" t="s">
        <v>2426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f t="shared" si="74"/>
        <v>4.8</v>
      </c>
      <c r="M2425">
        <f t="shared" si="75"/>
        <v>1</v>
      </c>
    </row>
    <row r="2426" spans="1:13" x14ac:dyDescent="0.3">
      <c r="A2426">
        <v>2424</v>
      </c>
      <c r="B2426">
        <v>2425</v>
      </c>
      <c r="C2426" t="s">
        <v>2480</v>
      </c>
      <c r="D2426">
        <v>1998</v>
      </c>
      <c r="F2426" t="s">
        <v>2426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f t="shared" si="74"/>
        <v>4.8</v>
      </c>
      <c r="M2426">
        <f t="shared" si="75"/>
        <v>1</v>
      </c>
    </row>
    <row r="2427" spans="1:13" x14ac:dyDescent="0.3">
      <c r="A2427">
        <v>2425</v>
      </c>
      <c r="B2427">
        <v>2426</v>
      </c>
      <c r="C2427" t="s">
        <v>2481</v>
      </c>
      <c r="D2427">
        <v>1982</v>
      </c>
      <c r="E2427" t="s">
        <v>22</v>
      </c>
      <c r="F2427" t="s">
        <v>2426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f t="shared" si="74"/>
        <v>4.8</v>
      </c>
      <c r="M2427">
        <f t="shared" si="75"/>
        <v>1</v>
      </c>
    </row>
    <row r="2428" spans="1:13" x14ac:dyDescent="0.3">
      <c r="A2428">
        <v>2426</v>
      </c>
      <c r="B2428">
        <v>2427</v>
      </c>
      <c r="C2428" t="s">
        <v>2482</v>
      </c>
      <c r="D2428">
        <v>2018</v>
      </c>
      <c r="F2428" t="s">
        <v>2426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f t="shared" si="74"/>
        <v>4.8</v>
      </c>
      <c r="M2428">
        <f t="shared" si="75"/>
        <v>1</v>
      </c>
    </row>
    <row r="2429" spans="1:13" x14ac:dyDescent="0.3">
      <c r="A2429">
        <v>2427</v>
      </c>
      <c r="B2429">
        <v>2428</v>
      </c>
      <c r="C2429" t="s">
        <v>2483</v>
      </c>
      <c r="D2429">
        <v>2015</v>
      </c>
      <c r="F2429" t="s">
        <v>2426</v>
      </c>
      <c r="G2429">
        <v>1</v>
      </c>
      <c r="H2429">
        <v>0</v>
      </c>
      <c r="I2429">
        <v>0</v>
      </c>
      <c r="J2429">
        <v>0</v>
      </c>
      <c r="K2429">
        <v>0</v>
      </c>
      <c r="L2429">
        <f t="shared" si="74"/>
        <v>4.8</v>
      </c>
      <c r="M2429">
        <f t="shared" si="75"/>
        <v>1</v>
      </c>
    </row>
    <row r="2430" spans="1:13" x14ac:dyDescent="0.3">
      <c r="A2430">
        <v>2428</v>
      </c>
      <c r="B2430">
        <v>2429</v>
      </c>
      <c r="C2430" t="s">
        <v>2484</v>
      </c>
      <c r="D2430">
        <v>2019</v>
      </c>
      <c r="E2430" t="s">
        <v>11</v>
      </c>
      <c r="F2430" t="s">
        <v>2426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f t="shared" si="74"/>
        <v>4.8</v>
      </c>
      <c r="M2430">
        <f t="shared" si="75"/>
        <v>1</v>
      </c>
    </row>
    <row r="2431" spans="1:13" x14ac:dyDescent="0.3">
      <c r="A2431">
        <v>2429</v>
      </c>
      <c r="B2431">
        <v>2430</v>
      </c>
      <c r="C2431" t="s">
        <v>2485</v>
      </c>
      <c r="D2431">
        <v>2014</v>
      </c>
      <c r="F2431" t="s">
        <v>2426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f t="shared" si="74"/>
        <v>4.8</v>
      </c>
      <c r="M2431">
        <f t="shared" si="75"/>
        <v>1</v>
      </c>
    </row>
    <row r="2432" spans="1:13" x14ac:dyDescent="0.3">
      <c r="A2432">
        <v>2430</v>
      </c>
      <c r="B2432">
        <v>2431</v>
      </c>
      <c r="C2432" t="s">
        <v>2486</v>
      </c>
      <c r="D2432">
        <v>2017</v>
      </c>
      <c r="E2432" t="s">
        <v>11</v>
      </c>
      <c r="F2432" t="s">
        <v>2426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f t="shared" si="74"/>
        <v>4.8</v>
      </c>
      <c r="M2432">
        <f t="shared" si="75"/>
        <v>1</v>
      </c>
    </row>
    <row r="2433" spans="1:13" x14ac:dyDescent="0.3">
      <c r="A2433">
        <v>2431</v>
      </c>
      <c r="B2433">
        <v>2432</v>
      </c>
      <c r="C2433" t="s">
        <v>2487</v>
      </c>
      <c r="D2433">
        <v>2020</v>
      </c>
      <c r="F2433" t="s">
        <v>2426</v>
      </c>
      <c r="G2433">
        <v>1</v>
      </c>
      <c r="H2433">
        <v>0</v>
      </c>
      <c r="I2433">
        <v>0</v>
      </c>
      <c r="J2433">
        <v>0</v>
      </c>
      <c r="K2433">
        <v>0</v>
      </c>
      <c r="L2433">
        <f t="shared" si="74"/>
        <v>4.8</v>
      </c>
      <c r="M2433">
        <f t="shared" si="75"/>
        <v>1</v>
      </c>
    </row>
    <row r="2434" spans="1:13" x14ac:dyDescent="0.3">
      <c r="A2434">
        <v>2432</v>
      </c>
      <c r="B2434">
        <v>2433</v>
      </c>
      <c r="C2434" t="s">
        <v>2488</v>
      </c>
      <c r="D2434">
        <v>2018</v>
      </c>
      <c r="F2434" t="s">
        <v>2426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f t="shared" si="74"/>
        <v>4.8</v>
      </c>
      <c r="M2434">
        <f t="shared" si="75"/>
        <v>1</v>
      </c>
    </row>
    <row r="2435" spans="1:13" x14ac:dyDescent="0.3">
      <c r="A2435">
        <v>2433</v>
      </c>
      <c r="B2435">
        <v>2434</v>
      </c>
      <c r="C2435" t="s">
        <v>2489</v>
      </c>
      <c r="D2435">
        <v>2019</v>
      </c>
      <c r="F2435" t="s">
        <v>2426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f t="shared" ref="L2435:L2498" si="76">IFERROR(VALUE(LEFT(F2435,FIND("/",F2435)-1))/10,"")</f>
        <v>4.8</v>
      </c>
      <c r="M2435">
        <f t="shared" ref="M2435:M2498" si="77">SUM(G2435:J2435)</f>
        <v>1</v>
      </c>
    </row>
    <row r="2436" spans="1:13" x14ac:dyDescent="0.3">
      <c r="A2436">
        <v>2434</v>
      </c>
      <c r="B2436">
        <v>2435</v>
      </c>
      <c r="C2436" t="s">
        <v>2490</v>
      </c>
      <c r="D2436">
        <v>2017</v>
      </c>
      <c r="E2436" t="s">
        <v>14</v>
      </c>
      <c r="F2436" t="s">
        <v>2426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f t="shared" si="76"/>
        <v>4.8</v>
      </c>
      <c r="M2436">
        <f t="shared" si="77"/>
        <v>1</v>
      </c>
    </row>
    <row r="2437" spans="1:13" x14ac:dyDescent="0.3">
      <c r="A2437">
        <v>2435</v>
      </c>
      <c r="B2437">
        <v>2436</v>
      </c>
      <c r="C2437" t="s">
        <v>2491</v>
      </c>
      <c r="D2437">
        <v>2020</v>
      </c>
      <c r="E2437" t="s">
        <v>36</v>
      </c>
      <c r="F2437" t="s">
        <v>2426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f t="shared" si="76"/>
        <v>4.8</v>
      </c>
      <c r="M2437">
        <f t="shared" si="77"/>
        <v>1</v>
      </c>
    </row>
    <row r="2438" spans="1:13" x14ac:dyDescent="0.3">
      <c r="A2438">
        <v>2436</v>
      </c>
      <c r="B2438">
        <v>2437</v>
      </c>
      <c r="C2438" t="s">
        <v>2492</v>
      </c>
      <c r="D2438">
        <v>2019</v>
      </c>
      <c r="F2438" t="s">
        <v>2426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f t="shared" si="76"/>
        <v>4.8</v>
      </c>
      <c r="M2438">
        <f t="shared" si="77"/>
        <v>1</v>
      </c>
    </row>
    <row r="2439" spans="1:13" x14ac:dyDescent="0.3">
      <c r="A2439">
        <v>2437</v>
      </c>
      <c r="B2439">
        <v>2438</v>
      </c>
      <c r="C2439" t="s">
        <v>2493</v>
      </c>
      <c r="D2439">
        <v>2019</v>
      </c>
      <c r="E2439" t="s">
        <v>22</v>
      </c>
      <c r="F2439" t="s">
        <v>2426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f t="shared" si="76"/>
        <v>4.8</v>
      </c>
      <c r="M2439">
        <f t="shared" si="77"/>
        <v>1</v>
      </c>
    </row>
    <row r="2440" spans="1:13" x14ac:dyDescent="0.3">
      <c r="A2440">
        <v>2438</v>
      </c>
      <c r="B2440">
        <v>2439</v>
      </c>
      <c r="C2440" t="s">
        <v>2494</v>
      </c>
      <c r="D2440">
        <v>2019</v>
      </c>
      <c r="E2440" t="s">
        <v>14</v>
      </c>
      <c r="F2440" t="s">
        <v>2426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f t="shared" si="76"/>
        <v>4.8</v>
      </c>
      <c r="M2440">
        <f t="shared" si="77"/>
        <v>1</v>
      </c>
    </row>
    <row r="2441" spans="1:13" x14ac:dyDescent="0.3">
      <c r="A2441">
        <v>2439</v>
      </c>
      <c r="B2441">
        <v>2440</v>
      </c>
      <c r="C2441" t="s">
        <v>2495</v>
      </c>
      <c r="D2441">
        <v>2021</v>
      </c>
      <c r="E2441" t="s">
        <v>22</v>
      </c>
      <c r="F2441" t="s">
        <v>2426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f t="shared" si="76"/>
        <v>4.8</v>
      </c>
      <c r="M2441">
        <f t="shared" si="77"/>
        <v>1</v>
      </c>
    </row>
    <row r="2442" spans="1:13" x14ac:dyDescent="0.3">
      <c r="A2442">
        <v>2440</v>
      </c>
      <c r="B2442">
        <v>2441</v>
      </c>
      <c r="C2442" t="s">
        <v>2496</v>
      </c>
      <c r="D2442">
        <v>2017</v>
      </c>
      <c r="F2442" t="s">
        <v>2426</v>
      </c>
      <c r="G2442">
        <v>1</v>
      </c>
      <c r="H2442">
        <v>0</v>
      </c>
      <c r="I2442">
        <v>0</v>
      </c>
      <c r="J2442">
        <v>0</v>
      </c>
      <c r="K2442">
        <v>0</v>
      </c>
      <c r="L2442">
        <f t="shared" si="76"/>
        <v>4.8</v>
      </c>
      <c r="M2442">
        <f t="shared" si="77"/>
        <v>1</v>
      </c>
    </row>
    <row r="2443" spans="1:13" x14ac:dyDescent="0.3">
      <c r="A2443">
        <v>2441</v>
      </c>
      <c r="B2443">
        <v>2442</v>
      </c>
      <c r="C2443" t="s">
        <v>2497</v>
      </c>
      <c r="D2443">
        <v>2019</v>
      </c>
      <c r="F2443" t="s">
        <v>2426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f t="shared" si="76"/>
        <v>4.8</v>
      </c>
      <c r="M2443">
        <f t="shared" si="77"/>
        <v>1</v>
      </c>
    </row>
    <row r="2444" spans="1:13" x14ac:dyDescent="0.3">
      <c r="A2444">
        <v>2442</v>
      </c>
      <c r="B2444">
        <v>2443</v>
      </c>
      <c r="C2444" t="s">
        <v>2498</v>
      </c>
      <c r="D2444">
        <v>2019</v>
      </c>
      <c r="F2444" t="s">
        <v>2426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f t="shared" si="76"/>
        <v>4.8</v>
      </c>
      <c r="M2444">
        <f t="shared" si="77"/>
        <v>1</v>
      </c>
    </row>
    <row r="2445" spans="1:13" x14ac:dyDescent="0.3">
      <c r="A2445">
        <v>2443</v>
      </c>
      <c r="B2445">
        <v>2444</v>
      </c>
      <c r="C2445" t="s">
        <v>2499</v>
      </c>
      <c r="D2445">
        <v>2017</v>
      </c>
      <c r="F2445" t="s">
        <v>2426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f t="shared" si="76"/>
        <v>4.8</v>
      </c>
      <c r="M2445">
        <f t="shared" si="77"/>
        <v>1</v>
      </c>
    </row>
    <row r="2446" spans="1:13" x14ac:dyDescent="0.3">
      <c r="A2446">
        <v>2444</v>
      </c>
      <c r="B2446">
        <v>2445</v>
      </c>
      <c r="C2446" t="s">
        <v>2500</v>
      </c>
      <c r="D2446">
        <v>2020</v>
      </c>
      <c r="F2446" t="s">
        <v>2426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f t="shared" si="76"/>
        <v>4.8</v>
      </c>
      <c r="M2446">
        <f t="shared" si="77"/>
        <v>1</v>
      </c>
    </row>
    <row r="2447" spans="1:13" x14ac:dyDescent="0.3">
      <c r="A2447">
        <v>2445</v>
      </c>
      <c r="B2447">
        <v>2446</v>
      </c>
      <c r="C2447" t="s">
        <v>2501</v>
      </c>
      <c r="D2447">
        <v>2018</v>
      </c>
      <c r="E2447" t="s">
        <v>28</v>
      </c>
      <c r="F2447" t="s">
        <v>2426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f t="shared" si="76"/>
        <v>4.8</v>
      </c>
      <c r="M2447">
        <f t="shared" si="77"/>
        <v>1</v>
      </c>
    </row>
    <row r="2448" spans="1:13" x14ac:dyDescent="0.3">
      <c r="A2448">
        <v>2446</v>
      </c>
      <c r="B2448">
        <v>2447</v>
      </c>
      <c r="C2448" t="s">
        <v>2502</v>
      </c>
      <c r="D2448">
        <v>2016</v>
      </c>
      <c r="F2448" t="s">
        <v>2426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f t="shared" si="76"/>
        <v>4.8</v>
      </c>
      <c r="M2448">
        <f t="shared" si="77"/>
        <v>1</v>
      </c>
    </row>
    <row r="2449" spans="1:13" x14ac:dyDescent="0.3">
      <c r="A2449">
        <v>2447</v>
      </c>
      <c r="B2449">
        <v>2448</v>
      </c>
      <c r="C2449" t="s">
        <v>2503</v>
      </c>
      <c r="D2449">
        <v>2015</v>
      </c>
      <c r="F2449" t="s">
        <v>2426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f t="shared" si="76"/>
        <v>4.8</v>
      </c>
      <c r="M2449">
        <f t="shared" si="77"/>
        <v>1</v>
      </c>
    </row>
    <row r="2450" spans="1:13" x14ac:dyDescent="0.3">
      <c r="A2450">
        <v>2448</v>
      </c>
      <c r="B2450">
        <v>2449</v>
      </c>
      <c r="C2450" t="s">
        <v>2504</v>
      </c>
      <c r="D2450">
        <v>2015</v>
      </c>
      <c r="F2450" t="s">
        <v>2426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f t="shared" si="76"/>
        <v>4.8</v>
      </c>
      <c r="M2450">
        <f t="shared" si="77"/>
        <v>1</v>
      </c>
    </row>
    <row r="2451" spans="1:13" x14ac:dyDescent="0.3">
      <c r="A2451">
        <v>2449</v>
      </c>
      <c r="B2451">
        <v>2450</v>
      </c>
      <c r="C2451" t="s">
        <v>2505</v>
      </c>
      <c r="D2451">
        <v>2016</v>
      </c>
      <c r="F2451" t="s">
        <v>2426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f t="shared" si="76"/>
        <v>4.8</v>
      </c>
      <c r="M2451">
        <f t="shared" si="77"/>
        <v>1</v>
      </c>
    </row>
    <row r="2452" spans="1:13" x14ac:dyDescent="0.3">
      <c r="A2452">
        <v>2450</v>
      </c>
      <c r="B2452">
        <v>2451</v>
      </c>
      <c r="C2452" t="s">
        <v>2506</v>
      </c>
      <c r="D2452">
        <v>2017</v>
      </c>
      <c r="E2452" t="s">
        <v>11</v>
      </c>
      <c r="F2452" t="s">
        <v>2426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f t="shared" si="76"/>
        <v>4.8</v>
      </c>
      <c r="M2452">
        <f t="shared" si="77"/>
        <v>1</v>
      </c>
    </row>
    <row r="2453" spans="1:13" x14ac:dyDescent="0.3">
      <c r="A2453">
        <v>2451</v>
      </c>
      <c r="B2453">
        <v>2452</v>
      </c>
      <c r="C2453" t="s">
        <v>2507</v>
      </c>
      <c r="D2453">
        <v>2014</v>
      </c>
      <c r="F2453" t="s">
        <v>2426</v>
      </c>
      <c r="G2453">
        <v>1</v>
      </c>
      <c r="H2453">
        <v>0</v>
      </c>
      <c r="I2453">
        <v>1</v>
      </c>
      <c r="J2453">
        <v>0</v>
      </c>
      <c r="K2453">
        <v>0</v>
      </c>
      <c r="L2453">
        <f t="shared" si="76"/>
        <v>4.8</v>
      </c>
      <c r="M2453">
        <f t="shared" si="77"/>
        <v>2</v>
      </c>
    </row>
    <row r="2454" spans="1:13" x14ac:dyDescent="0.3">
      <c r="A2454">
        <v>2452</v>
      </c>
      <c r="B2454">
        <v>2453</v>
      </c>
      <c r="C2454" t="s">
        <v>2508</v>
      </c>
      <c r="D2454">
        <v>2018</v>
      </c>
      <c r="F2454" t="s">
        <v>2426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f t="shared" si="76"/>
        <v>4.8</v>
      </c>
      <c r="M2454">
        <f t="shared" si="77"/>
        <v>1</v>
      </c>
    </row>
    <row r="2455" spans="1:13" x14ac:dyDescent="0.3">
      <c r="A2455">
        <v>2453</v>
      </c>
      <c r="B2455">
        <v>2454</v>
      </c>
      <c r="C2455" t="s">
        <v>2509</v>
      </c>
      <c r="D2455">
        <v>1984</v>
      </c>
      <c r="F2455" t="s">
        <v>2426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f t="shared" si="76"/>
        <v>4.8</v>
      </c>
      <c r="M2455">
        <f t="shared" si="77"/>
        <v>1</v>
      </c>
    </row>
    <row r="2456" spans="1:13" x14ac:dyDescent="0.3">
      <c r="A2456">
        <v>2454</v>
      </c>
      <c r="B2456">
        <v>2455</v>
      </c>
      <c r="C2456" t="s">
        <v>2510</v>
      </c>
      <c r="D2456">
        <v>2020</v>
      </c>
      <c r="F2456" t="s">
        <v>2426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f t="shared" si="76"/>
        <v>4.8</v>
      </c>
      <c r="M2456">
        <f t="shared" si="77"/>
        <v>1</v>
      </c>
    </row>
    <row r="2457" spans="1:13" x14ac:dyDescent="0.3">
      <c r="A2457">
        <v>2455</v>
      </c>
      <c r="B2457">
        <v>2456</v>
      </c>
      <c r="C2457" t="s">
        <v>2511</v>
      </c>
      <c r="D2457">
        <v>2015</v>
      </c>
      <c r="E2457" t="s">
        <v>22</v>
      </c>
      <c r="F2457" t="s">
        <v>2426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f t="shared" si="76"/>
        <v>4.8</v>
      </c>
      <c r="M2457">
        <f t="shared" si="77"/>
        <v>1</v>
      </c>
    </row>
    <row r="2458" spans="1:13" x14ac:dyDescent="0.3">
      <c r="A2458">
        <v>2456</v>
      </c>
      <c r="B2458">
        <v>2457</v>
      </c>
      <c r="C2458" t="s">
        <v>2512</v>
      </c>
      <c r="D2458">
        <v>2019</v>
      </c>
      <c r="E2458" t="s">
        <v>14</v>
      </c>
      <c r="F2458" t="s">
        <v>2426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f t="shared" si="76"/>
        <v>4.8</v>
      </c>
      <c r="M2458">
        <f t="shared" si="77"/>
        <v>1</v>
      </c>
    </row>
    <row r="2459" spans="1:13" x14ac:dyDescent="0.3">
      <c r="A2459">
        <v>2457</v>
      </c>
      <c r="B2459">
        <v>2458</v>
      </c>
      <c r="C2459" t="s">
        <v>2513</v>
      </c>
      <c r="D2459">
        <v>2019</v>
      </c>
      <c r="F2459" t="s">
        <v>2426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f t="shared" si="76"/>
        <v>4.8</v>
      </c>
      <c r="M2459">
        <f t="shared" si="77"/>
        <v>1</v>
      </c>
    </row>
    <row r="2460" spans="1:13" x14ac:dyDescent="0.3">
      <c r="A2460">
        <v>2458</v>
      </c>
      <c r="B2460">
        <v>2459</v>
      </c>
      <c r="C2460" t="s">
        <v>2514</v>
      </c>
      <c r="D2460">
        <v>2017</v>
      </c>
      <c r="F2460" t="s">
        <v>2426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f t="shared" si="76"/>
        <v>4.8</v>
      </c>
      <c r="M2460">
        <f t="shared" si="77"/>
        <v>1</v>
      </c>
    </row>
    <row r="2461" spans="1:13" x14ac:dyDescent="0.3">
      <c r="A2461">
        <v>2459</v>
      </c>
      <c r="B2461">
        <v>2460</v>
      </c>
      <c r="C2461" t="s">
        <v>2515</v>
      </c>
      <c r="D2461">
        <v>2018</v>
      </c>
      <c r="F2461" t="s">
        <v>2426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f t="shared" si="76"/>
        <v>4.8</v>
      </c>
      <c r="M2461">
        <f t="shared" si="77"/>
        <v>1</v>
      </c>
    </row>
    <row r="2462" spans="1:13" x14ac:dyDescent="0.3">
      <c r="A2462">
        <v>2460</v>
      </c>
      <c r="B2462">
        <v>2461</v>
      </c>
      <c r="C2462" t="s">
        <v>2516</v>
      </c>
      <c r="D2462">
        <v>2019</v>
      </c>
      <c r="F2462" t="s">
        <v>2426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f t="shared" si="76"/>
        <v>4.8</v>
      </c>
      <c r="M2462">
        <f t="shared" si="77"/>
        <v>1</v>
      </c>
    </row>
    <row r="2463" spans="1:13" x14ac:dyDescent="0.3">
      <c r="A2463">
        <v>2461</v>
      </c>
      <c r="B2463">
        <v>2462</v>
      </c>
      <c r="C2463" t="s">
        <v>2517</v>
      </c>
      <c r="D2463">
        <v>2016</v>
      </c>
      <c r="F2463" t="s">
        <v>2426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f t="shared" si="76"/>
        <v>4.8</v>
      </c>
      <c r="M2463">
        <f t="shared" si="77"/>
        <v>1</v>
      </c>
    </row>
    <row r="2464" spans="1:13" x14ac:dyDescent="0.3">
      <c r="A2464">
        <v>2462</v>
      </c>
      <c r="B2464">
        <v>2463</v>
      </c>
      <c r="C2464" t="s">
        <v>2518</v>
      </c>
      <c r="D2464">
        <v>2020</v>
      </c>
      <c r="F2464" t="s">
        <v>2426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f t="shared" si="76"/>
        <v>4.8</v>
      </c>
      <c r="M2464">
        <f t="shared" si="77"/>
        <v>1</v>
      </c>
    </row>
    <row r="2465" spans="1:13" x14ac:dyDescent="0.3">
      <c r="A2465">
        <v>2463</v>
      </c>
      <c r="B2465">
        <v>2464</v>
      </c>
      <c r="C2465" t="s">
        <v>2519</v>
      </c>
      <c r="D2465">
        <v>2017</v>
      </c>
      <c r="F2465" t="s">
        <v>2426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f t="shared" si="76"/>
        <v>4.8</v>
      </c>
      <c r="M2465">
        <f t="shared" si="77"/>
        <v>1</v>
      </c>
    </row>
    <row r="2466" spans="1:13" x14ac:dyDescent="0.3">
      <c r="A2466">
        <v>2464</v>
      </c>
      <c r="B2466">
        <v>2465</v>
      </c>
      <c r="C2466" t="s">
        <v>2520</v>
      </c>
      <c r="D2466">
        <v>2019</v>
      </c>
      <c r="F2466" t="s">
        <v>2426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f t="shared" si="76"/>
        <v>4.8</v>
      </c>
      <c r="M2466">
        <f t="shared" si="77"/>
        <v>1</v>
      </c>
    </row>
    <row r="2467" spans="1:13" x14ac:dyDescent="0.3">
      <c r="A2467">
        <v>2465</v>
      </c>
      <c r="B2467">
        <v>2466</v>
      </c>
      <c r="C2467" t="s">
        <v>2521</v>
      </c>
      <c r="D2467">
        <v>2017</v>
      </c>
      <c r="E2467" t="s">
        <v>28</v>
      </c>
      <c r="F2467" t="s">
        <v>2426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f t="shared" si="76"/>
        <v>4.8</v>
      </c>
      <c r="M2467">
        <f t="shared" si="77"/>
        <v>1</v>
      </c>
    </row>
    <row r="2468" spans="1:13" x14ac:dyDescent="0.3">
      <c r="A2468">
        <v>2466</v>
      </c>
      <c r="B2468">
        <v>2467</v>
      </c>
      <c r="C2468" t="s">
        <v>2522</v>
      </c>
      <c r="D2468">
        <v>2020</v>
      </c>
      <c r="F2468" t="s">
        <v>2426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f t="shared" si="76"/>
        <v>4.8</v>
      </c>
      <c r="M2468">
        <f t="shared" si="77"/>
        <v>1</v>
      </c>
    </row>
    <row r="2469" spans="1:13" x14ac:dyDescent="0.3">
      <c r="A2469">
        <v>2467</v>
      </c>
      <c r="B2469">
        <v>2468</v>
      </c>
      <c r="C2469" t="s">
        <v>2523</v>
      </c>
      <c r="D2469">
        <v>2011</v>
      </c>
      <c r="F2469" t="s">
        <v>2426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f t="shared" si="76"/>
        <v>4.8</v>
      </c>
      <c r="M2469">
        <f t="shared" si="77"/>
        <v>1</v>
      </c>
    </row>
    <row r="2470" spans="1:13" x14ac:dyDescent="0.3">
      <c r="A2470">
        <v>2468</v>
      </c>
      <c r="B2470">
        <v>2469</v>
      </c>
      <c r="C2470" t="s">
        <v>2524</v>
      </c>
      <c r="D2470">
        <v>2018</v>
      </c>
      <c r="F2470" t="s">
        <v>2426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f t="shared" si="76"/>
        <v>4.8</v>
      </c>
      <c r="M2470">
        <f t="shared" si="77"/>
        <v>1</v>
      </c>
    </row>
    <row r="2471" spans="1:13" x14ac:dyDescent="0.3">
      <c r="A2471">
        <v>2469</v>
      </c>
      <c r="B2471">
        <v>2470</v>
      </c>
      <c r="C2471" t="s">
        <v>2525</v>
      </c>
      <c r="D2471">
        <v>1986</v>
      </c>
      <c r="F2471" t="s">
        <v>2426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f t="shared" si="76"/>
        <v>4.8</v>
      </c>
      <c r="M2471">
        <f t="shared" si="77"/>
        <v>1</v>
      </c>
    </row>
    <row r="2472" spans="1:13" x14ac:dyDescent="0.3">
      <c r="A2472">
        <v>2470</v>
      </c>
      <c r="B2472">
        <v>2471</v>
      </c>
      <c r="C2472" t="s">
        <v>2526</v>
      </c>
      <c r="D2472">
        <v>2019</v>
      </c>
      <c r="F2472" t="s">
        <v>2426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f t="shared" si="76"/>
        <v>4.8</v>
      </c>
      <c r="M2472">
        <f t="shared" si="77"/>
        <v>1</v>
      </c>
    </row>
    <row r="2473" spans="1:13" x14ac:dyDescent="0.3">
      <c r="A2473">
        <v>2471</v>
      </c>
      <c r="B2473">
        <v>2472</v>
      </c>
      <c r="C2473" t="s">
        <v>2527</v>
      </c>
      <c r="D2473">
        <v>2019</v>
      </c>
      <c r="F2473" t="s">
        <v>2426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f t="shared" si="76"/>
        <v>4.8</v>
      </c>
      <c r="M2473">
        <f t="shared" si="77"/>
        <v>1</v>
      </c>
    </row>
    <row r="2474" spans="1:13" x14ac:dyDescent="0.3">
      <c r="A2474">
        <v>2472</v>
      </c>
      <c r="B2474">
        <v>2473</v>
      </c>
      <c r="C2474" t="s">
        <v>2528</v>
      </c>
      <c r="D2474">
        <v>2019</v>
      </c>
      <c r="F2474" t="s">
        <v>2426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f t="shared" si="76"/>
        <v>4.8</v>
      </c>
      <c r="M2474">
        <f t="shared" si="77"/>
        <v>1</v>
      </c>
    </row>
    <row r="2475" spans="1:13" x14ac:dyDescent="0.3">
      <c r="A2475">
        <v>2473</v>
      </c>
      <c r="B2475">
        <v>2474</v>
      </c>
      <c r="C2475" t="s">
        <v>2529</v>
      </c>
      <c r="D2475">
        <v>2018</v>
      </c>
      <c r="F2475" t="s">
        <v>2426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f t="shared" si="76"/>
        <v>4.8</v>
      </c>
      <c r="M2475">
        <f t="shared" si="77"/>
        <v>1</v>
      </c>
    </row>
    <row r="2476" spans="1:13" x14ac:dyDescent="0.3">
      <c r="A2476">
        <v>2474</v>
      </c>
      <c r="B2476">
        <v>2475</v>
      </c>
      <c r="C2476" t="s">
        <v>2530</v>
      </c>
      <c r="D2476">
        <v>1981</v>
      </c>
      <c r="F2476" t="s">
        <v>2426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f t="shared" si="76"/>
        <v>4.8</v>
      </c>
      <c r="M2476">
        <f t="shared" si="77"/>
        <v>1</v>
      </c>
    </row>
    <row r="2477" spans="1:13" x14ac:dyDescent="0.3">
      <c r="A2477">
        <v>2475</v>
      </c>
      <c r="B2477">
        <v>2476</v>
      </c>
      <c r="C2477" t="s">
        <v>2531</v>
      </c>
      <c r="D2477">
        <v>2014</v>
      </c>
      <c r="E2477" t="s">
        <v>14</v>
      </c>
      <c r="F2477" t="s">
        <v>2426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f t="shared" si="76"/>
        <v>4.8</v>
      </c>
      <c r="M2477">
        <f t="shared" si="77"/>
        <v>1</v>
      </c>
    </row>
    <row r="2478" spans="1:13" x14ac:dyDescent="0.3">
      <c r="A2478">
        <v>2476</v>
      </c>
      <c r="B2478">
        <v>2477</v>
      </c>
      <c r="C2478" t="s">
        <v>2532</v>
      </c>
      <c r="D2478">
        <v>1998</v>
      </c>
      <c r="F2478" t="s">
        <v>2426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f t="shared" si="76"/>
        <v>4.8</v>
      </c>
      <c r="M2478">
        <f t="shared" si="77"/>
        <v>1</v>
      </c>
    </row>
    <row r="2479" spans="1:13" x14ac:dyDescent="0.3">
      <c r="A2479">
        <v>2477</v>
      </c>
      <c r="B2479">
        <v>2478</v>
      </c>
      <c r="C2479" t="s">
        <v>2533</v>
      </c>
      <c r="D2479">
        <v>2017</v>
      </c>
      <c r="F2479" t="s">
        <v>2426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f t="shared" si="76"/>
        <v>4.8</v>
      </c>
      <c r="M2479">
        <f t="shared" si="77"/>
        <v>1</v>
      </c>
    </row>
    <row r="2480" spans="1:13" x14ac:dyDescent="0.3">
      <c r="A2480">
        <v>2478</v>
      </c>
      <c r="B2480">
        <v>2479</v>
      </c>
      <c r="C2480" t="s">
        <v>2534</v>
      </c>
      <c r="D2480">
        <v>2013</v>
      </c>
      <c r="F2480" t="s">
        <v>2426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f t="shared" si="76"/>
        <v>4.8</v>
      </c>
      <c r="M2480">
        <f t="shared" si="77"/>
        <v>1</v>
      </c>
    </row>
    <row r="2481" spans="1:13" x14ac:dyDescent="0.3">
      <c r="A2481">
        <v>2479</v>
      </c>
      <c r="B2481">
        <v>2480</v>
      </c>
      <c r="C2481" t="s">
        <v>2535</v>
      </c>
      <c r="D2481">
        <v>2012</v>
      </c>
      <c r="E2481" t="s">
        <v>11</v>
      </c>
      <c r="F2481" t="s">
        <v>2426</v>
      </c>
      <c r="G2481">
        <v>1</v>
      </c>
      <c r="H2481">
        <v>0</v>
      </c>
      <c r="I2481">
        <v>1</v>
      </c>
      <c r="J2481">
        <v>0</v>
      </c>
      <c r="K2481">
        <v>0</v>
      </c>
      <c r="L2481">
        <f t="shared" si="76"/>
        <v>4.8</v>
      </c>
      <c r="M2481">
        <f t="shared" si="77"/>
        <v>2</v>
      </c>
    </row>
    <row r="2482" spans="1:13" x14ac:dyDescent="0.3">
      <c r="A2482">
        <v>2480</v>
      </c>
      <c r="B2482">
        <v>2481</v>
      </c>
      <c r="C2482" t="s">
        <v>2536</v>
      </c>
      <c r="D2482">
        <v>2017</v>
      </c>
      <c r="F2482" t="s">
        <v>2426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f t="shared" si="76"/>
        <v>4.8</v>
      </c>
      <c r="M2482">
        <f t="shared" si="77"/>
        <v>1</v>
      </c>
    </row>
    <row r="2483" spans="1:13" x14ac:dyDescent="0.3">
      <c r="A2483">
        <v>2481</v>
      </c>
      <c r="B2483">
        <v>2482</v>
      </c>
      <c r="C2483" t="s">
        <v>2537</v>
      </c>
      <c r="D2483">
        <v>2016</v>
      </c>
      <c r="F2483" t="s">
        <v>2426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f t="shared" si="76"/>
        <v>4.8</v>
      </c>
      <c r="M2483">
        <f t="shared" si="77"/>
        <v>1</v>
      </c>
    </row>
    <row r="2484" spans="1:13" x14ac:dyDescent="0.3">
      <c r="A2484">
        <v>2482</v>
      </c>
      <c r="B2484">
        <v>2483</v>
      </c>
      <c r="C2484" t="s">
        <v>2538</v>
      </c>
      <c r="D2484">
        <v>2015</v>
      </c>
      <c r="F2484" t="s">
        <v>2426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f t="shared" si="76"/>
        <v>4.8</v>
      </c>
      <c r="M2484">
        <f t="shared" si="77"/>
        <v>1</v>
      </c>
    </row>
    <row r="2485" spans="1:13" x14ac:dyDescent="0.3">
      <c r="A2485">
        <v>2483</v>
      </c>
      <c r="B2485">
        <v>2484</v>
      </c>
      <c r="C2485" t="s">
        <v>2539</v>
      </c>
      <c r="D2485">
        <v>2016</v>
      </c>
      <c r="E2485" t="s">
        <v>22</v>
      </c>
      <c r="F2485" t="s">
        <v>2540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f t="shared" si="76"/>
        <v>4.7</v>
      </c>
      <c r="M2485">
        <f t="shared" si="77"/>
        <v>1</v>
      </c>
    </row>
    <row r="2486" spans="1:13" x14ac:dyDescent="0.3">
      <c r="A2486">
        <v>2484</v>
      </c>
      <c r="B2486">
        <v>2485</v>
      </c>
      <c r="C2486" t="s">
        <v>2541</v>
      </c>
      <c r="D2486">
        <v>2020</v>
      </c>
      <c r="F2486" t="s">
        <v>2540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f t="shared" si="76"/>
        <v>4.7</v>
      </c>
      <c r="M2486">
        <f t="shared" si="77"/>
        <v>1</v>
      </c>
    </row>
    <row r="2487" spans="1:13" x14ac:dyDescent="0.3">
      <c r="A2487">
        <v>2485</v>
      </c>
      <c r="B2487">
        <v>2486</v>
      </c>
      <c r="C2487" t="s">
        <v>2542</v>
      </c>
      <c r="D2487">
        <v>1990</v>
      </c>
      <c r="E2487" t="s">
        <v>11</v>
      </c>
      <c r="F2487" t="s">
        <v>2540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f t="shared" si="76"/>
        <v>4.7</v>
      </c>
      <c r="M2487">
        <f t="shared" si="77"/>
        <v>1</v>
      </c>
    </row>
    <row r="2488" spans="1:13" x14ac:dyDescent="0.3">
      <c r="A2488">
        <v>2486</v>
      </c>
      <c r="B2488">
        <v>2487</v>
      </c>
      <c r="C2488" t="s">
        <v>2543</v>
      </c>
      <c r="D2488">
        <v>2019</v>
      </c>
      <c r="F2488" t="s">
        <v>2540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f t="shared" si="76"/>
        <v>4.7</v>
      </c>
      <c r="M2488">
        <f t="shared" si="77"/>
        <v>1</v>
      </c>
    </row>
    <row r="2489" spans="1:13" x14ac:dyDescent="0.3">
      <c r="A2489">
        <v>2487</v>
      </c>
      <c r="B2489">
        <v>2488</v>
      </c>
      <c r="C2489" t="s">
        <v>2544</v>
      </c>
      <c r="D2489">
        <v>2016</v>
      </c>
      <c r="E2489" t="s">
        <v>11</v>
      </c>
      <c r="F2489" t="s">
        <v>2540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f t="shared" si="76"/>
        <v>4.7</v>
      </c>
      <c r="M2489">
        <f t="shared" si="77"/>
        <v>1</v>
      </c>
    </row>
    <row r="2490" spans="1:13" x14ac:dyDescent="0.3">
      <c r="A2490">
        <v>2488</v>
      </c>
      <c r="B2490">
        <v>2489</v>
      </c>
      <c r="C2490" t="s">
        <v>2545</v>
      </c>
      <c r="D2490">
        <v>2017</v>
      </c>
      <c r="E2490" t="s">
        <v>36</v>
      </c>
      <c r="F2490" t="s">
        <v>2540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f t="shared" si="76"/>
        <v>4.7</v>
      </c>
      <c r="M2490">
        <f t="shared" si="77"/>
        <v>1</v>
      </c>
    </row>
    <row r="2491" spans="1:13" x14ac:dyDescent="0.3">
      <c r="A2491">
        <v>2489</v>
      </c>
      <c r="B2491">
        <v>2490</v>
      </c>
      <c r="C2491" t="s">
        <v>2546</v>
      </c>
      <c r="D2491">
        <v>2019</v>
      </c>
      <c r="F2491" t="s">
        <v>2540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f t="shared" si="76"/>
        <v>4.7</v>
      </c>
      <c r="M2491">
        <f t="shared" si="77"/>
        <v>1</v>
      </c>
    </row>
    <row r="2492" spans="1:13" x14ac:dyDescent="0.3">
      <c r="A2492">
        <v>2490</v>
      </c>
      <c r="B2492">
        <v>2491</v>
      </c>
      <c r="C2492" t="s">
        <v>2547</v>
      </c>
      <c r="D2492">
        <v>2018</v>
      </c>
      <c r="F2492" t="s">
        <v>2540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f t="shared" si="76"/>
        <v>4.7</v>
      </c>
      <c r="M2492">
        <f t="shared" si="77"/>
        <v>1</v>
      </c>
    </row>
    <row r="2493" spans="1:13" x14ac:dyDescent="0.3">
      <c r="A2493">
        <v>2491</v>
      </c>
      <c r="B2493">
        <v>2492</v>
      </c>
      <c r="C2493" t="s">
        <v>2548</v>
      </c>
      <c r="D2493">
        <v>2018</v>
      </c>
      <c r="F2493" t="s">
        <v>2540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f t="shared" si="76"/>
        <v>4.7</v>
      </c>
      <c r="M2493">
        <f t="shared" si="77"/>
        <v>1</v>
      </c>
    </row>
    <row r="2494" spans="1:13" x14ac:dyDescent="0.3">
      <c r="A2494">
        <v>2492</v>
      </c>
      <c r="B2494">
        <v>2493</v>
      </c>
      <c r="C2494" t="s">
        <v>2549</v>
      </c>
      <c r="D2494">
        <v>2018</v>
      </c>
      <c r="F2494" t="s">
        <v>2540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f t="shared" si="76"/>
        <v>4.7</v>
      </c>
      <c r="M2494">
        <f t="shared" si="77"/>
        <v>1</v>
      </c>
    </row>
    <row r="2495" spans="1:13" x14ac:dyDescent="0.3">
      <c r="A2495">
        <v>2493</v>
      </c>
      <c r="B2495">
        <v>2494</v>
      </c>
      <c r="C2495" t="s">
        <v>2550</v>
      </c>
      <c r="D2495">
        <v>2020</v>
      </c>
      <c r="E2495" t="s">
        <v>14</v>
      </c>
      <c r="F2495" t="s">
        <v>2540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f t="shared" si="76"/>
        <v>4.7</v>
      </c>
      <c r="M2495">
        <f t="shared" si="77"/>
        <v>1</v>
      </c>
    </row>
    <row r="2496" spans="1:13" x14ac:dyDescent="0.3">
      <c r="A2496">
        <v>2494</v>
      </c>
      <c r="B2496">
        <v>2495</v>
      </c>
      <c r="C2496" t="s">
        <v>2551</v>
      </c>
      <c r="D2496">
        <v>2016</v>
      </c>
      <c r="F2496" t="s">
        <v>2540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f t="shared" si="76"/>
        <v>4.7</v>
      </c>
      <c r="M2496">
        <f t="shared" si="77"/>
        <v>1</v>
      </c>
    </row>
    <row r="2497" spans="1:13" x14ac:dyDescent="0.3">
      <c r="A2497">
        <v>2495</v>
      </c>
      <c r="B2497">
        <v>2496</v>
      </c>
      <c r="C2497" t="s">
        <v>2552</v>
      </c>
      <c r="D2497">
        <v>2016</v>
      </c>
      <c r="F2497" t="s">
        <v>2540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f t="shared" si="76"/>
        <v>4.7</v>
      </c>
      <c r="M2497">
        <f t="shared" si="77"/>
        <v>1</v>
      </c>
    </row>
    <row r="2498" spans="1:13" x14ac:dyDescent="0.3">
      <c r="A2498">
        <v>2496</v>
      </c>
      <c r="B2498">
        <v>2497</v>
      </c>
      <c r="C2498" t="s">
        <v>2553</v>
      </c>
      <c r="D2498">
        <v>2020</v>
      </c>
      <c r="E2498" t="s">
        <v>28</v>
      </c>
      <c r="F2498" t="s">
        <v>2540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f t="shared" si="76"/>
        <v>4.7</v>
      </c>
      <c r="M2498">
        <f t="shared" si="77"/>
        <v>1</v>
      </c>
    </row>
    <row r="2499" spans="1:13" x14ac:dyDescent="0.3">
      <c r="A2499">
        <v>2497</v>
      </c>
      <c r="B2499">
        <v>2498</v>
      </c>
      <c r="C2499" t="s">
        <v>2554</v>
      </c>
      <c r="D2499">
        <v>2015</v>
      </c>
      <c r="E2499" t="s">
        <v>14</v>
      </c>
      <c r="F2499" t="s">
        <v>2540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f t="shared" ref="L2499:L2562" si="78">IFERROR(VALUE(LEFT(F2499,FIND("/",F2499)-1))/10,"")</f>
        <v>4.7</v>
      </c>
      <c r="M2499">
        <f t="shared" ref="M2499:M2562" si="79">SUM(G2499:J2499)</f>
        <v>1</v>
      </c>
    </row>
    <row r="2500" spans="1:13" x14ac:dyDescent="0.3">
      <c r="A2500">
        <v>2498</v>
      </c>
      <c r="B2500">
        <v>2499</v>
      </c>
      <c r="C2500" t="s">
        <v>2555</v>
      </c>
      <c r="D2500">
        <v>2016</v>
      </c>
      <c r="F2500" t="s">
        <v>2540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f t="shared" si="78"/>
        <v>4.7</v>
      </c>
      <c r="M2500">
        <f t="shared" si="79"/>
        <v>1</v>
      </c>
    </row>
    <row r="2501" spans="1:13" x14ac:dyDescent="0.3">
      <c r="A2501">
        <v>2499</v>
      </c>
      <c r="B2501">
        <v>2500</v>
      </c>
      <c r="C2501" t="s">
        <v>2556</v>
      </c>
      <c r="D2501">
        <v>2019</v>
      </c>
      <c r="F2501" t="s">
        <v>2540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f t="shared" si="78"/>
        <v>4.7</v>
      </c>
      <c r="M2501">
        <f t="shared" si="79"/>
        <v>1</v>
      </c>
    </row>
    <row r="2502" spans="1:13" x14ac:dyDescent="0.3">
      <c r="A2502">
        <v>2500</v>
      </c>
      <c r="B2502">
        <v>2501</v>
      </c>
      <c r="C2502" t="s">
        <v>2557</v>
      </c>
      <c r="D2502">
        <v>2020</v>
      </c>
      <c r="F2502" t="s">
        <v>2540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f t="shared" si="78"/>
        <v>4.7</v>
      </c>
      <c r="M2502">
        <f t="shared" si="79"/>
        <v>1</v>
      </c>
    </row>
    <row r="2503" spans="1:13" x14ac:dyDescent="0.3">
      <c r="A2503">
        <v>2501</v>
      </c>
      <c r="B2503">
        <v>2502</v>
      </c>
      <c r="C2503" t="s">
        <v>2558</v>
      </c>
      <c r="D2503">
        <v>2019</v>
      </c>
      <c r="F2503" t="s">
        <v>2540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f t="shared" si="78"/>
        <v>4.7</v>
      </c>
      <c r="M2503">
        <f t="shared" si="79"/>
        <v>1</v>
      </c>
    </row>
    <row r="2504" spans="1:13" x14ac:dyDescent="0.3">
      <c r="A2504">
        <v>2502</v>
      </c>
      <c r="B2504">
        <v>2503</v>
      </c>
      <c r="C2504" t="s">
        <v>2559</v>
      </c>
      <c r="D2504">
        <v>2010</v>
      </c>
      <c r="E2504" t="s">
        <v>14</v>
      </c>
      <c r="F2504" t="s">
        <v>2540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f t="shared" si="78"/>
        <v>4.7</v>
      </c>
      <c r="M2504">
        <f t="shared" si="79"/>
        <v>1</v>
      </c>
    </row>
    <row r="2505" spans="1:13" x14ac:dyDescent="0.3">
      <c r="A2505">
        <v>2503</v>
      </c>
      <c r="B2505">
        <v>2504</v>
      </c>
      <c r="C2505" t="s">
        <v>2560</v>
      </c>
      <c r="D2505">
        <v>2008</v>
      </c>
      <c r="E2505" t="s">
        <v>22</v>
      </c>
      <c r="F2505" t="s">
        <v>2540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f t="shared" si="78"/>
        <v>4.7</v>
      </c>
      <c r="M2505">
        <f t="shared" si="79"/>
        <v>1</v>
      </c>
    </row>
    <row r="2506" spans="1:13" x14ac:dyDescent="0.3">
      <c r="A2506">
        <v>2504</v>
      </c>
      <c r="B2506">
        <v>2505</v>
      </c>
      <c r="C2506" t="s">
        <v>2561</v>
      </c>
      <c r="D2506">
        <v>2019</v>
      </c>
      <c r="F2506" t="s">
        <v>2540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f t="shared" si="78"/>
        <v>4.7</v>
      </c>
      <c r="M2506">
        <f t="shared" si="79"/>
        <v>1</v>
      </c>
    </row>
    <row r="2507" spans="1:13" x14ac:dyDescent="0.3">
      <c r="A2507">
        <v>2505</v>
      </c>
      <c r="B2507">
        <v>2506</v>
      </c>
      <c r="C2507" t="s">
        <v>2562</v>
      </c>
      <c r="D2507">
        <v>1976</v>
      </c>
      <c r="F2507" t="s">
        <v>2540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f t="shared" si="78"/>
        <v>4.7</v>
      </c>
      <c r="M2507">
        <f t="shared" si="79"/>
        <v>1</v>
      </c>
    </row>
    <row r="2508" spans="1:13" x14ac:dyDescent="0.3">
      <c r="A2508">
        <v>2506</v>
      </c>
      <c r="B2508">
        <v>2507</v>
      </c>
      <c r="C2508" t="s">
        <v>2563</v>
      </c>
      <c r="D2508">
        <v>2016</v>
      </c>
      <c r="F2508" t="s">
        <v>2540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f t="shared" si="78"/>
        <v>4.7</v>
      </c>
      <c r="M2508">
        <f t="shared" si="79"/>
        <v>1</v>
      </c>
    </row>
    <row r="2509" spans="1:13" x14ac:dyDescent="0.3">
      <c r="A2509">
        <v>2507</v>
      </c>
      <c r="B2509">
        <v>2508</v>
      </c>
      <c r="C2509" t="s">
        <v>2564</v>
      </c>
      <c r="D2509">
        <v>2020</v>
      </c>
      <c r="E2509" t="s">
        <v>14</v>
      </c>
      <c r="F2509" t="s">
        <v>2540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f t="shared" si="78"/>
        <v>4.7</v>
      </c>
      <c r="M2509">
        <f t="shared" si="79"/>
        <v>1</v>
      </c>
    </row>
    <row r="2510" spans="1:13" x14ac:dyDescent="0.3">
      <c r="A2510">
        <v>2508</v>
      </c>
      <c r="B2510">
        <v>2509</v>
      </c>
      <c r="C2510" t="s">
        <v>2565</v>
      </c>
      <c r="D2510">
        <v>2016</v>
      </c>
      <c r="F2510" t="s">
        <v>2540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f t="shared" si="78"/>
        <v>4.7</v>
      </c>
      <c r="M2510">
        <f t="shared" si="79"/>
        <v>1</v>
      </c>
    </row>
    <row r="2511" spans="1:13" x14ac:dyDescent="0.3">
      <c r="A2511">
        <v>2509</v>
      </c>
      <c r="B2511">
        <v>2510</v>
      </c>
      <c r="C2511" t="s">
        <v>2566</v>
      </c>
      <c r="D2511">
        <v>2015</v>
      </c>
      <c r="F2511" t="s">
        <v>2540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f t="shared" si="78"/>
        <v>4.7</v>
      </c>
      <c r="M2511">
        <f t="shared" si="79"/>
        <v>1</v>
      </c>
    </row>
    <row r="2512" spans="1:13" x14ac:dyDescent="0.3">
      <c r="A2512">
        <v>2510</v>
      </c>
      <c r="B2512">
        <v>2511</v>
      </c>
      <c r="C2512" t="s">
        <v>2567</v>
      </c>
      <c r="D2512">
        <v>2013</v>
      </c>
      <c r="E2512" t="s">
        <v>14</v>
      </c>
      <c r="F2512" t="s">
        <v>2540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f t="shared" si="78"/>
        <v>4.7</v>
      </c>
      <c r="M2512">
        <f t="shared" si="79"/>
        <v>1</v>
      </c>
    </row>
    <row r="2513" spans="1:13" x14ac:dyDescent="0.3">
      <c r="A2513">
        <v>2511</v>
      </c>
      <c r="B2513">
        <v>2512</v>
      </c>
      <c r="C2513" t="s">
        <v>2568</v>
      </c>
      <c r="D2513">
        <v>1979</v>
      </c>
      <c r="F2513" t="s">
        <v>2540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f t="shared" si="78"/>
        <v>4.7</v>
      </c>
      <c r="M2513">
        <f t="shared" si="79"/>
        <v>1</v>
      </c>
    </row>
    <row r="2514" spans="1:13" x14ac:dyDescent="0.3">
      <c r="A2514">
        <v>2512</v>
      </c>
      <c r="B2514">
        <v>2513</v>
      </c>
      <c r="C2514" t="s">
        <v>2569</v>
      </c>
      <c r="D2514">
        <v>2018</v>
      </c>
      <c r="E2514" t="s">
        <v>11</v>
      </c>
      <c r="F2514" t="s">
        <v>2540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f t="shared" si="78"/>
        <v>4.7</v>
      </c>
      <c r="M2514">
        <f t="shared" si="79"/>
        <v>1</v>
      </c>
    </row>
    <row r="2515" spans="1:13" x14ac:dyDescent="0.3">
      <c r="A2515">
        <v>2513</v>
      </c>
      <c r="B2515">
        <v>2514</v>
      </c>
      <c r="C2515" t="s">
        <v>2570</v>
      </c>
      <c r="D2515">
        <v>2016</v>
      </c>
      <c r="F2515" t="s">
        <v>2540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f t="shared" si="78"/>
        <v>4.7</v>
      </c>
      <c r="M2515">
        <f t="shared" si="79"/>
        <v>1</v>
      </c>
    </row>
    <row r="2516" spans="1:13" x14ac:dyDescent="0.3">
      <c r="A2516">
        <v>2514</v>
      </c>
      <c r="B2516">
        <v>2515</v>
      </c>
      <c r="C2516" t="s">
        <v>2571</v>
      </c>
      <c r="D2516">
        <v>2010</v>
      </c>
      <c r="E2516" t="s">
        <v>36</v>
      </c>
      <c r="F2516" t="s">
        <v>2540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f t="shared" si="78"/>
        <v>4.7</v>
      </c>
      <c r="M2516">
        <f t="shared" si="79"/>
        <v>1</v>
      </c>
    </row>
    <row r="2517" spans="1:13" x14ac:dyDescent="0.3">
      <c r="A2517">
        <v>2515</v>
      </c>
      <c r="B2517">
        <v>2516</v>
      </c>
      <c r="C2517" t="s">
        <v>2572</v>
      </c>
      <c r="D2517">
        <v>2020</v>
      </c>
      <c r="F2517" t="s">
        <v>2540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f t="shared" si="78"/>
        <v>4.7</v>
      </c>
      <c r="M2517">
        <f t="shared" si="79"/>
        <v>1</v>
      </c>
    </row>
    <row r="2518" spans="1:13" x14ac:dyDescent="0.3">
      <c r="A2518">
        <v>2516</v>
      </c>
      <c r="B2518">
        <v>2517</v>
      </c>
      <c r="C2518" t="s">
        <v>2573</v>
      </c>
      <c r="D2518">
        <v>2017</v>
      </c>
      <c r="F2518" t="s">
        <v>2540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f t="shared" si="78"/>
        <v>4.7</v>
      </c>
      <c r="M2518">
        <f t="shared" si="79"/>
        <v>1</v>
      </c>
    </row>
    <row r="2519" spans="1:13" x14ac:dyDescent="0.3">
      <c r="A2519">
        <v>2517</v>
      </c>
      <c r="B2519">
        <v>2518</v>
      </c>
      <c r="C2519" t="s">
        <v>2574</v>
      </c>
      <c r="D2519">
        <v>2013</v>
      </c>
      <c r="E2519" t="s">
        <v>14</v>
      </c>
      <c r="F2519" t="s">
        <v>2540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f t="shared" si="78"/>
        <v>4.7</v>
      </c>
      <c r="M2519">
        <f t="shared" si="79"/>
        <v>1</v>
      </c>
    </row>
    <row r="2520" spans="1:13" x14ac:dyDescent="0.3">
      <c r="A2520">
        <v>2518</v>
      </c>
      <c r="B2520">
        <v>2519</v>
      </c>
      <c r="C2520" t="s">
        <v>2575</v>
      </c>
      <c r="D2520">
        <v>2019</v>
      </c>
      <c r="F2520" t="s">
        <v>2540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f t="shared" si="78"/>
        <v>4.7</v>
      </c>
      <c r="M2520">
        <f t="shared" si="79"/>
        <v>1</v>
      </c>
    </row>
    <row r="2521" spans="1:13" x14ac:dyDescent="0.3">
      <c r="A2521">
        <v>2519</v>
      </c>
      <c r="B2521">
        <v>2520</v>
      </c>
      <c r="C2521" t="s">
        <v>2576</v>
      </c>
      <c r="D2521">
        <v>2018</v>
      </c>
      <c r="F2521" t="s">
        <v>2540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f t="shared" si="78"/>
        <v>4.7</v>
      </c>
      <c r="M2521">
        <f t="shared" si="79"/>
        <v>1</v>
      </c>
    </row>
    <row r="2522" spans="1:13" x14ac:dyDescent="0.3">
      <c r="A2522">
        <v>2520</v>
      </c>
      <c r="B2522">
        <v>2521</v>
      </c>
      <c r="C2522" t="s">
        <v>2577</v>
      </c>
      <c r="D2522">
        <v>2015</v>
      </c>
      <c r="F2522" t="s">
        <v>2540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f t="shared" si="78"/>
        <v>4.7</v>
      </c>
      <c r="M2522">
        <f t="shared" si="79"/>
        <v>1</v>
      </c>
    </row>
    <row r="2523" spans="1:13" x14ac:dyDescent="0.3">
      <c r="A2523">
        <v>2521</v>
      </c>
      <c r="B2523">
        <v>2522</v>
      </c>
      <c r="C2523" t="s">
        <v>2578</v>
      </c>
      <c r="D2523">
        <v>2021</v>
      </c>
      <c r="F2523" t="s">
        <v>2540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f t="shared" si="78"/>
        <v>4.7</v>
      </c>
      <c r="M2523">
        <f t="shared" si="79"/>
        <v>1</v>
      </c>
    </row>
    <row r="2524" spans="1:13" x14ac:dyDescent="0.3">
      <c r="A2524">
        <v>2522</v>
      </c>
      <c r="B2524">
        <v>2523</v>
      </c>
      <c r="C2524" t="s">
        <v>2579</v>
      </c>
      <c r="D2524">
        <v>2015</v>
      </c>
      <c r="F2524" t="s">
        <v>2540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f t="shared" si="78"/>
        <v>4.7</v>
      </c>
      <c r="M2524">
        <f t="shared" si="79"/>
        <v>1</v>
      </c>
    </row>
    <row r="2525" spans="1:13" x14ac:dyDescent="0.3">
      <c r="A2525">
        <v>2523</v>
      </c>
      <c r="B2525">
        <v>2524</v>
      </c>
      <c r="C2525" t="s">
        <v>2580</v>
      </c>
      <c r="D2525">
        <v>2020</v>
      </c>
      <c r="E2525" t="s">
        <v>11</v>
      </c>
      <c r="F2525" t="s">
        <v>2540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f t="shared" si="78"/>
        <v>4.7</v>
      </c>
      <c r="M2525">
        <f t="shared" si="79"/>
        <v>1</v>
      </c>
    </row>
    <row r="2526" spans="1:13" x14ac:dyDescent="0.3">
      <c r="A2526">
        <v>2524</v>
      </c>
      <c r="B2526">
        <v>2525</v>
      </c>
      <c r="C2526" t="s">
        <v>2581</v>
      </c>
      <c r="D2526">
        <v>2017</v>
      </c>
      <c r="E2526" t="s">
        <v>36</v>
      </c>
      <c r="F2526" t="s">
        <v>2540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f t="shared" si="78"/>
        <v>4.7</v>
      </c>
      <c r="M2526">
        <f t="shared" si="79"/>
        <v>1</v>
      </c>
    </row>
    <row r="2527" spans="1:13" x14ac:dyDescent="0.3">
      <c r="A2527">
        <v>2525</v>
      </c>
      <c r="B2527">
        <v>2526</v>
      </c>
      <c r="C2527" t="s">
        <v>2582</v>
      </c>
      <c r="D2527">
        <v>2018</v>
      </c>
      <c r="E2527" t="s">
        <v>22</v>
      </c>
      <c r="F2527" t="s">
        <v>2540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f t="shared" si="78"/>
        <v>4.7</v>
      </c>
      <c r="M2527">
        <f t="shared" si="79"/>
        <v>1</v>
      </c>
    </row>
    <row r="2528" spans="1:13" x14ac:dyDescent="0.3">
      <c r="A2528">
        <v>2526</v>
      </c>
      <c r="B2528">
        <v>2527</v>
      </c>
      <c r="C2528" t="s">
        <v>2583</v>
      </c>
      <c r="D2528">
        <v>2020</v>
      </c>
      <c r="E2528" t="s">
        <v>28</v>
      </c>
      <c r="F2528" t="s">
        <v>2540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f t="shared" si="78"/>
        <v>4.7</v>
      </c>
      <c r="M2528">
        <f t="shared" si="79"/>
        <v>1</v>
      </c>
    </row>
    <row r="2529" spans="1:13" x14ac:dyDescent="0.3">
      <c r="A2529">
        <v>2527</v>
      </c>
      <c r="B2529">
        <v>2528</v>
      </c>
      <c r="C2529" t="s">
        <v>2584</v>
      </c>
      <c r="D2529">
        <v>2020</v>
      </c>
      <c r="E2529" t="s">
        <v>14</v>
      </c>
      <c r="F2529" t="s">
        <v>2540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f t="shared" si="78"/>
        <v>4.7</v>
      </c>
      <c r="M2529">
        <f t="shared" si="79"/>
        <v>1</v>
      </c>
    </row>
    <row r="2530" spans="1:13" x14ac:dyDescent="0.3">
      <c r="A2530">
        <v>2528</v>
      </c>
      <c r="B2530">
        <v>2529</v>
      </c>
      <c r="C2530" t="s">
        <v>2585</v>
      </c>
      <c r="D2530">
        <v>1991</v>
      </c>
      <c r="F2530" t="s">
        <v>2540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f t="shared" si="78"/>
        <v>4.7</v>
      </c>
      <c r="M2530">
        <f t="shared" si="79"/>
        <v>1</v>
      </c>
    </row>
    <row r="2531" spans="1:13" x14ac:dyDescent="0.3">
      <c r="A2531">
        <v>2529</v>
      </c>
      <c r="B2531">
        <v>2530</v>
      </c>
      <c r="C2531" t="s">
        <v>2586</v>
      </c>
      <c r="D2531">
        <v>2017</v>
      </c>
      <c r="F2531" t="s">
        <v>2540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f t="shared" si="78"/>
        <v>4.7</v>
      </c>
      <c r="M2531">
        <f t="shared" si="79"/>
        <v>1</v>
      </c>
    </row>
    <row r="2532" spans="1:13" x14ac:dyDescent="0.3">
      <c r="A2532">
        <v>2530</v>
      </c>
      <c r="B2532">
        <v>2531</v>
      </c>
      <c r="C2532" t="s">
        <v>2587</v>
      </c>
      <c r="D2532">
        <v>2007</v>
      </c>
      <c r="E2532" t="s">
        <v>14</v>
      </c>
      <c r="F2532" t="s">
        <v>2540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f t="shared" si="78"/>
        <v>4.7</v>
      </c>
      <c r="M2532">
        <f t="shared" si="79"/>
        <v>1</v>
      </c>
    </row>
    <row r="2533" spans="1:13" x14ac:dyDescent="0.3">
      <c r="A2533">
        <v>2531</v>
      </c>
      <c r="B2533">
        <v>2532</v>
      </c>
      <c r="C2533" t="s">
        <v>2588</v>
      </c>
      <c r="D2533">
        <v>2012</v>
      </c>
      <c r="E2533" t="s">
        <v>14</v>
      </c>
      <c r="F2533" t="s">
        <v>2540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f t="shared" si="78"/>
        <v>4.7</v>
      </c>
      <c r="M2533">
        <f t="shared" si="79"/>
        <v>1</v>
      </c>
    </row>
    <row r="2534" spans="1:13" x14ac:dyDescent="0.3">
      <c r="A2534">
        <v>2532</v>
      </c>
      <c r="B2534">
        <v>2533</v>
      </c>
      <c r="C2534" t="s">
        <v>2589</v>
      </c>
      <c r="D2534">
        <v>2012</v>
      </c>
      <c r="F2534" t="s">
        <v>2540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f t="shared" si="78"/>
        <v>4.7</v>
      </c>
      <c r="M2534">
        <f t="shared" si="79"/>
        <v>1</v>
      </c>
    </row>
    <row r="2535" spans="1:13" x14ac:dyDescent="0.3">
      <c r="A2535">
        <v>2533</v>
      </c>
      <c r="B2535">
        <v>2534</v>
      </c>
      <c r="C2535" t="s">
        <v>2590</v>
      </c>
      <c r="D2535">
        <v>2014</v>
      </c>
      <c r="F2535" t="s">
        <v>2540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f t="shared" si="78"/>
        <v>4.7</v>
      </c>
      <c r="M2535">
        <f t="shared" si="79"/>
        <v>1</v>
      </c>
    </row>
    <row r="2536" spans="1:13" x14ac:dyDescent="0.3">
      <c r="A2536">
        <v>2534</v>
      </c>
      <c r="B2536">
        <v>2535</v>
      </c>
      <c r="C2536" t="s">
        <v>2591</v>
      </c>
      <c r="D2536">
        <v>2020</v>
      </c>
      <c r="F2536" t="s">
        <v>2540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f t="shared" si="78"/>
        <v>4.7</v>
      </c>
      <c r="M2536">
        <f t="shared" si="79"/>
        <v>1</v>
      </c>
    </row>
    <row r="2537" spans="1:13" x14ac:dyDescent="0.3">
      <c r="A2537">
        <v>2535</v>
      </c>
      <c r="B2537">
        <v>2536</v>
      </c>
      <c r="C2537" t="s">
        <v>2592</v>
      </c>
      <c r="D2537">
        <v>2018</v>
      </c>
      <c r="E2537" t="s">
        <v>28</v>
      </c>
      <c r="F2537" t="s">
        <v>2540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f t="shared" si="78"/>
        <v>4.7</v>
      </c>
      <c r="M2537">
        <f t="shared" si="79"/>
        <v>1</v>
      </c>
    </row>
    <row r="2538" spans="1:13" x14ac:dyDescent="0.3">
      <c r="A2538">
        <v>2536</v>
      </c>
      <c r="B2538">
        <v>2537</v>
      </c>
      <c r="C2538" t="s">
        <v>2593</v>
      </c>
      <c r="D2538">
        <v>2020</v>
      </c>
      <c r="F2538" t="s">
        <v>2540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f t="shared" si="78"/>
        <v>4.7</v>
      </c>
      <c r="M2538">
        <f t="shared" si="79"/>
        <v>1</v>
      </c>
    </row>
    <row r="2539" spans="1:13" x14ac:dyDescent="0.3">
      <c r="A2539">
        <v>2537</v>
      </c>
      <c r="B2539">
        <v>2538</v>
      </c>
      <c r="C2539" t="s">
        <v>2594</v>
      </c>
      <c r="D2539">
        <v>2019</v>
      </c>
      <c r="F2539" t="s">
        <v>2540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f t="shared" si="78"/>
        <v>4.7</v>
      </c>
      <c r="M2539">
        <f t="shared" si="79"/>
        <v>1</v>
      </c>
    </row>
    <row r="2540" spans="1:13" x14ac:dyDescent="0.3">
      <c r="A2540">
        <v>2538</v>
      </c>
      <c r="B2540">
        <v>2539</v>
      </c>
      <c r="C2540" t="s">
        <v>2595</v>
      </c>
      <c r="D2540">
        <v>2017</v>
      </c>
      <c r="E2540" t="s">
        <v>11</v>
      </c>
      <c r="F2540" t="s">
        <v>2540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f t="shared" si="78"/>
        <v>4.7</v>
      </c>
      <c r="M2540">
        <f t="shared" si="79"/>
        <v>1</v>
      </c>
    </row>
    <row r="2541" spans="1:13" x14ac:dyDescent="0.3">
      <c r="A2541">
        <v>2539</v>
      </c>
      <c r="B2541">
        <v>2540</v>
      </c>
      <c r="C2541" t="s">
        <v>2596</v>
      </c>
      <c r="D2541">
        <v>2012</v>
      </c>
      <c r="F2541" t="s">
        <v>2540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f t="shared" si="78"/>
        <v>4.7</v>
      </c>
      <c r="M2541">
        <f t="shared" si="79"/>
        <v>1</v>
      </c>
    </row>
    <row r="2542" spans="1:13" x14ac:dyDescent="0.3">
      <c r="A2542">
        <v>2540</v>
      </c>
      <c r="B2542">
        <v>2541</v>
      </c>
      <c r="C2542" t="s">
        <v>2597</v>
      </c>
      <c r="D2542">
        <v>2018</v>
      </c>
      <c r="E2542" t="s">
        <v>11</v>
      </c>
      <c r="F2542" t="s">
        <v>2540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f t="shared" si="78"/>
        <v>4.7</v>
      </c>
      <c r="M2542">
        <f t="shared" si="79"/>
        <v>1</v>
      </c>
    </row>
    <row r="2543" spans="1:13" x14ac:dyDescent="0.3">
      <c r="A2543">
        <v>2541</v>
      </c>
      <c r="B2543">
        <v>2542</v>
      </c>
      <c r="C2543" t="s">
        <v>2598</v>
      </c>
      <c r="D2543">
        <v>2017</v>
      </c>
      <c r="F2543" t="s">
        <v>2540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f t="shared" si="78"/>
        <v>4.7</v>
      </c>
      <c r="M2543">
        <f t="shared" si="79"/>
        <v>1</v>
      </c>
    </row>
    <row r="2544" spans="1:13" x14ac:dyDescent="0.3">
      <c r="A2544">
        <v>2542</v>
      </c>
      <c r="B2544">
        <v>2543</v>
      </c>
      <c r="C2544" t="s">
        <v>2599</v>
      </c>
      <c r="D2544">
        <v>2012</v>
      </c>
      <c r="E2544" t="s">
        <v>11</v>
      </c>
      <c r="F2544" t="s">
        <v>2540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f t="shared" si="78"/>
        <v>4.7</v>
      </c>
      <c r="M2544">
        <f t="shared" si="79"/>
        <v>1</v>
      </c>
    </row>
    <row r="2545" spans="1:13" x14ac:dyDescent="0.3">
      <c r="A2545">
        <v>2543</v>
      </c>
      <c r="B2545">
        <v>2544</v>
      </c>
      <c r="C2545" t="s">
        <v>2600</v>
      </c>
      <c r="D2545">
        <v>2017</v>
      </c>
      <c r="F2545" t="s">
        <v>2540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f t="shared" si="78"/>
        <v>4.7</v>
      </c>
      <c r="M2545">
        <f t="shared" si="79"/>
        <v>1</v>
      </c>
    </row>
    <row r="2546" spans="1:13" x14ac:dyDescent="0.3">
      <c r="A2546">
        <v>2544</v>
      </c>
      <c r="B2546">
        <v>2545</v>
      </c>
      <c r="C2546" t="s">
        <v>2601</v>
      </c>
      <c r="D2546">
        <v>2017</v>
      </c>
      <c r="F2546" t="s">
        <v>2540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f t="shared" si="78"/>
        <v>4.7</v>
      </c>
      <c r="M2546">
        <f t="shared" si="79"/>
        <v>1</v>
      </c>
    </row>
    <row r="2547" spans="1:13" x14ac:dyDescent="0.3">
      <c r="A2547">
        <v>2545</v>
      </c>
      <c r="B2547">
        <v>2546</v>
      </c>
      <c r="C2547" t="s">
        <v>2602</v>
      </c>
      <c r="D2547">
        <v>2014</v>
      </c>
      <c r="F2547" t="s">
        <v>2540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f t="shared" si="78"/>
        <v>4.7</v>
      </c>
      <c r="M2547">
        <f t="shared" si="79"/>
        <v>1</v>
      </c>
    </row>
    <row r="2548" spans="1:13" x14ac:dyDescent="0.3">
      <c r="A2548">
        <v>2546</v>
      </c>
      <c r="B2548">
        <v>2547</v>
      </c>
      <c r="C2548" t="s">
        <v>2603</v>
      </c>
      <c r="D2548">
        <v>2019</v>
      </c>
      <c r="E2548" t="s">
        <v>36</v>
      </c>
      <c r="F2548" t="s">
        <v>2540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f t="shared" si="78"/>
        <v>4.7</v>
      </c>
      <c r="M2548">
        <f t="shared" si="79"/>
        <v>1</v>
      </c>
    </row>
    <row r="2549" spans="1:13" x14ac:dyDescent="0.3">
      <c r="A2549">
        <v>2547</v>
      </c>
      <c r="B2549">
        <v>2548</v>
      </c>
      <c r="C2549" t="s">
        <v>2604</v>
      </c>
      <c r="D2549">
        <v>2020</v>
      </c>
      <c r="F2549" t="s">
        <v>2540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f t="shared" si="78"/>
        <v>4.7</v>
      </c>
      <c r="M2549">
        <f t="shared" si="79"/>
        <v>1</v>
      </c>
    </row>
    <row r="2550" spans="1:13" x14ac:dyDescent="0.3">
      <c r="A2550">
        <v>2548</v>
      </c>
      <c r="B2550">
        <v>2549</v>
      </c>
      <c r="C2550" t="s">
        <v>2605</v>
      </c>
      <c r="D2550">
        <v>2019</v>
      </c>
      <c r="E2550" t="s">
        <v>14</v>
      </c>
      <c r="F2550" t="s">
        <v>2540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f t="shared" si="78"/>
        <v>4.7</v>
      </c>
      <c r="M2550">
        <f t="shared" si="79"/>
        <v>1</v>
      </c>
    </row>
    <row r="2551" spans="1:13" x14ac:dyDescent="0.3">
      <c r="A2551">
        <v>2549</v>
      </c>
      <c r="B2551">
        <v>2550</v>
      </c>
      <c r="C2551" t="s">
        <v>2606</v>
      </c>
      <c r="D2551">
        <v>2018</v>
      </c>
      <c r="F2551" t="s">
        <v>2540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f t="shared" si="78"/>
        <v>4.7</v>
      </c>
      <c r="M2551">
        <f t="shared" si="79"/>
        <v>1</v>
      </c>
    </row>
    <row r="2552" spans="1:13" x14ac:dyDescent="0.3">
      <c r="A2552">
        <v>2550</v>
      </c>
      <c r="B2552">
        <v>2551</v>
      </c>
      <c r="C2552" t="s">
        <v>2607</v>
      </c>
      <c r="D2552">
        <v>2012</v>
      </c>
      <c r="F2552" t="s">
        <v>2540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f t="shared" si="78"/>
        <v>4.7</v>
      </c>
      <c r="M2552">
        <f t="shared" si="79"/>
        <v>1</v>
      </c>
    </row>
    <row r="2553" spans="1:13" x14ac:dyDescent="0.3">
      <c r="A2553">
        <v>2551</v>
      </c>
      <c r="B2553">
        <v>2552</v>
      </c>
      <c r="C2553" t="s">
        <v>2608</v>
      </c>
      <c r="D2553">
        <v>2018</v>
      </c>
      <c r="E2553" t="s">
        <v>22</v>
      </c>
      <c r="F2553" t="s">
        <v>2540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f t="shared" si="78"/>
        <v>4.7</v>
      </c>
      <c r="M2553">
        <f t="shared" si="79"/>
        <v>1</v>
      </c>
    </row>
    <row r="2554" spans="1:13" x14ac:dyDescent="0.3">
      <c r="A2554">
        <v>2552</v>
      </c>
      <c r="B2554">
        <v>2553</v>
      </c>
      <c r="C2554" t="s">
        <v>2609</v>
      </c>
      <c r="D2554">
        <v>2019</v>
      </c>
      <c r="F2554" t="s">
        <v>2540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f t="shared" si="78"/>
        <v>4.7</v>
      </c>
      <c r="M2554">
        <f t="shared" si="79"/>
        <v>1</v>
      </c>
    </row>
    <row r="2555" spans="1:13" x14ac:dyDescent="0.3">
      <c r="A2555">
        <v>2553</v>
      </c>
      <c r="B2555">
        <v>2554</v>
      </c>
      <c r="C2555" t="s">
        <v>2610</v>
      </c>
      <c r="D2555">
        <v>2016</v>
      </c>
      <c r="F2555" t="s">
        <v>2540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f t="shared" si="78"/>
        <v>4.7</v>
      </c>
      <c r="M2555">
        <f t="shared" si="79"/>
        <v>1</v>
      </c>
    </row>
    <row r="2556" spans="1:13" x14ac:dyDescent="0.3">
      <c r="A2556">
        <v>2554</v>
      </c>
      <c r="B2556">
        <v>2555</v>
      </c>
      <c r="C2556" t="s">
        <v>2611</v>
      </c>
      <c r="D2556">
        <v>2018</v>
      </c>
      <c r="F2556" t="s">
        <v>2540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f t="shared" si="78"/>
        <v>4.7</v>
      </c>
      <c r="M2556">
        <f t="shared" si="79"/>
        <v>1</v>
      </c>
    </row>
    <row r="2557" spans="1:13" x14ac:dyDescent="0.3">
      <c r="A2557">
        <v>2555</v>
      </c>
      <c r="B2557">
        <v>2556</v>
      </c>
      <c r="C2557" t="s">
        <v>2612</v>
      </c>
      <c r="D2557">
        <v>2008</v>
      </c>
      <c r="F2557" t="s">
        <v>2540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f t="shared" si="78"/>
        <v>4.7</v>
      </c>
      <c r="M2557">
        <f t="shared" si="79"/>
        <v>1</v>
      </c>
    </row>
    <row r="2558" spans="1:13" x14ac:dyDescent="0.3">
      <c r="A2558">
        <v>2556</v>
      </c>
      <c r="B2558">
        <v>2557</v>
      </c>
      <c r="C2558" t="s">
        <v>2613</v>
      </c>
      <c r="D2558">
        <v>2018</v>
      </c>
      <c r="F2558" t="s">
        <v>2540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f t="shared" si="78"/>
        <v>4.7</v>
      </c>
      <c r="M2558">
        <f t="shared" si="79"/>
        <v>1</v>
      </c>
    </row>
    <row r="2559" spans="1:13" x14ac:dyDescent="0.3">
      <c r="A2559">
        <v>2557</v>
      </c>
      <c r="B2559">
        <v>2558</v>
      </c>
      <c r="C2559" t="s">
        <v>2614</v>
      </c>
      <c r="D2559">
        <v>2017</v>
      </c>
      <c r="F2559" t="s">
        <v>2540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f t="shared" si="78"/>
        <v>4.7</v>
      </c>
      <c r="M2559">
        <f t="shared" si="79"/>
        <v>1</v>
      </c>
    </row>
    <row r="2560" spans="1:13" x14ac:dyDescent="0.3">
      <c r="A2560">
        <v>2558</v>
      </c>
      <c r="B2560">
        <v>2559</v>
      </c>
      <c r="C2560" t="s">
        <v>2615</v>
      </c>
      <c r="D2560">
        <v>2019</v>
      </c>
      <c r="F2560" t="s">
        <v>2540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f t="shared" si="78"/>
        <v>4.7</v>
      </c>
      <c r="M2560">
        <f t="shared" si="79"/>
        <v>1</v>
      </c>
    </row>
    <row r="2561" spans="1:13" x14ac:dyDescent="0.3">
      <c r="A2561">
        <v>2559</v>
      </c>
      <c r="B2561">
        <v>2560</v>
      </c>
      <c r="C2561" t="s">
        <v>2616</v>
      </c>
      <c r="D2561">
        <v>2020</v>
      </c>
      <c r="F2561" t="s">
        <v>2540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f t="shared" si="78"/>
        <v>4.7</v>
      </c>
      <c r="M2561">
        <f t="shared" si="79"/>
        <v>1</v>
      </c>
    </row>
    <row r="2562" spans="1:13" x14ac:dyDescent="0.3">
      <c r="A2562">
        <v>2560</v>
      </c>
      <c r="B2562">
        <v>2561</v>
      </c>
      <c r="C2562" t="s">
        <v>2617</v>
      </c>
      <c r="D2562">
        <v>2020</v>
      </c>
      <c r="F2562" t="s">
        <v>2540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f t="shared" si="78"/>
        <v>4.7</v>
      </c>
      <c r="M2562">
        <f t="shared" si="79"/>
        <v>1</v>
      </c>
    </row>
    <row r="2563" spans="1:13" x14ac:dyDescent="0.3">
      <c r="A2563">
        <v>2561</v>
      </c>
      <c r="B2563">
        <v>2562</v>
      </c>
      <c r="C2563" t="s">
        <v>2618</v>
      </c>
      <c r="D2563">
        <v>2019</v>
      </c>
      <c r="E2563" t="s">
        <v>11</v>
      </c>
      <c r="F2563" t="s">
        <v>2540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f t="shared" ref="L2563:L2626" si="80">IFERROR(VALUE(LEFT(F2563,FIND("/",F2563)-1))/10,"")</f>
        <v>4.7</v>
      </c>
      <c r="M2563">
        <f t="shared" ref="M2563:M2626" si="81">SUM(G2563:J2563)</f>
        <v>1</v>
      </c>
    </row>
    <row r="2564" spans="1:13" x14ac:dyDescent="0.3">
      <c r="A2564">
        <v>2562</v>
      </c>
      <c r="B2564">
        <v>2563</v>
      </c>
      <c r="C2564" t="s">
        <v>2619</v>
      </c>
      <c r="D2564">
        <v>2019</v>
      </c>
      <c r="F2564" t="s">
        <v>2540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f t="shared" si="80"/>
        <v>4.7</v>
      </c>
      <c r="M2564">
        <f t="shared" si="81"/>
        <v>1</v>
      </c>
    </row>
    <row r="2565" spans="1:13" x14ac:dyDescent="0.3">
      <c r="A2565">
        <v>2563</v>
      </c>
      <c r="B2565">
        <v>2564</v>
      </c>
      <c r="C2565" t="s">
        <v>2620</v>
      </c>
      <c r="D2565">
        <v>2018</v>
      </c>
      <c r="F2565" t="s">
        <v>2540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f t="shared" si="80"/>
        <v>4.7</v>
      </c>
      <c r="M2565">
        <f t="shared" si="81"/>
        <v>1</v>
      </c>
    </row>
    <row r="2566" spans="1:13" x14ac:dyDescent="0.3">
      <c r="A2566">
        <v>2564</v>
      </c>
      <c r="B2566">
        <v>2565</v>
      </c>
      <c r="C2566" t="s">
        <v>2621</v>
      </c>
      <c r="D2566">
        <v>2017</v>
      </c>
      <c r="F2566" t="s">
        <v>2540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f t="shared" si="80"/>
        <v>4.7</v>
      </c>
      <c r="M2566">
        <f t="shared" si="81"/>
        <v>1</v>
      </c>
    </row>
    <row r="2567" spans="1:13" x14ac:dyDescent="0.3">
      <c r="A2567">
        <v>2565</v>
      </c>
      <c r="B2567">
        <v>2566</v>
      </c>
      <c r="C2567" t="s">
        <v>2622</v>
      </c>
      <c r="D2567">
        <v>2020</v>
      </c>
      <c r="F2567" t="s">
        <v>2540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f t="shared" si="80"/>
        <v>4.7</v>
      </c>
      <c r="M2567">
        <f t="shared" si="81"/>
        <v>1</v>
      </c>
    </row>
    <row r="2568" spans="1:13" x14ac:dyDescent="0.3">
      <c r="A2568">
        <v>2566</v>
      </c>
      <c r="B2568">
        <v>2567</v>
      </c>
      <c r="C2568" t="s">
        <v>2623</v>
      </c>
      <c r="D2568">
        <v>2011</v>
      </c>
      <c r="E2568" t="s">
        <v>11</v>
      </c>
      <c r="F2568" t="s">
        <v>2540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f t="shared" si="80"/>
        <v>4.7</v>
      </c>
      <c r="M2568">
        <f t="shared" si="81"/>
        <v>1</v>
      </c>
    </row>
    <row r="2569" spans="1:13" x14ac:dyDescent="0.3">
      <c r="A2569">
        <v>2567</v>
      </c>
      <c r="B2569">
        <v>2568</v>
      </c>
      <c r="C2569" t="s">
        <v>2624</v>
      </c>
      <c r="D2569">
        <v>2021</v>
      </c>
      <c r="F2569" t="s">
        <v>2540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f t="shared" si="80"/>
        <v>4.7</v>
      </c>
      <c r="M2569">
        <f t="shared" si="81"/>
        <v>1</v>
      </c>
    </row>
    <row r="2570" spans="1:13" x14ac:dyDescent="0.3">
      <c r="A2570">
        <v>2568</v>
      </c>
      <c r="B2570">
        <v>2569</v>
      </c>
      <c r="C2570" t="s">
        <v>2625</v>
      </c>
      <c r="D2570">
        <v>2017</v>
      </c>
      <c r="F2570" t="s">
        <v>2540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f t="shared" si="80"/>
        <v>4.7</v>
      </c>
      <c r="M2570">
        <f t="shared" si="81"/>
        <v>1</v>
      </c>
    </row>
    <row r="2571" spans="1:13" x14ac:dyDescent="0.3">
      <c r="A2571">
        <v>2569</v>
      </c>
      <c r="B2571">
        <v>2570</v>
      </c>
      <c r="C2571" t="s">
        <v>2626</v>
      </c>
      <c r="D2571">
        <v>2016</v>
      </c>
      <c r="F2571" t="s">
        <v>2540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f t="shared" si="80"/>
        <v>4.7</v>
      </c>
      <c r="M2571">
        <f t="shared" si="81"/>
        <v>1</v>
      </c>
    </row>
    <row r="2572" spans="1:13" x14ac:dyDescent="0.3">
      <c r="A2572">
        <v>2570</v>
      </c>
      <c r="B2572">
        <v>2571</v>
      </c>
      <c r="C2572" t="s">
        <v>2627</v>
      </c>
      <c r="D2572">
        <v>2017</v>
      </c>
      <c r="F2572" t="s">
        <v>2540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f t="shared" si="80"/>
        <v>4.7</v>
      </c>
      <c r="M2572">
        <f t="shared" si="81"/>
        <v>1</v>
      </c>
    </row>
    <row r="2573" spans="1:13" x14ac:dyDescent="0.3">
      <c r="A2573">
        <v>2571</v>
      </c>
      <c r="B2573">
        <v>2572</v>
      </c>
      <c r="C2573" t="s">
        <v>2628</v>
      </c>
      <c r="D2573">
        <v>2013</v>
      </c>
      <c r="E2573" t="s">
        <v>14</v>
      </c>
      <c r="F2573" t="s">
        <v>2540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f t="shared" si="80"/>
        <v>4.7</v>
      </c>
      <c r="M2573">
        <f t="shared" si="81"/>
        <v>1</v>
      </c>
    </row>
    <row r="2574" spans="1:13" x14ac:dyDescent="0.3">
      <c r="A2574">
        <v>2572</v>
      </c>
      <c r="B2574">
        <v>2573</v>
      </c>
      <c r="C2574" t="s">
        <v>2629</v>
      </c>
      <c r="D2574">
        <v>2020</v>
      </c>
      <c r="F2574" t="s">
        <v>2540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f t="shared" si="80"/>
        <v>4.7</v>
      </c>
      <c r="M2574">
        <f t="shared" si="81"/>
        <v>1</v>
      </c>
    </row>
    <row r="2575" spans="1:13" x14ac:dyDescent="0.3">
      <c r="A2575">
        <v>2573</v>
      </c>
      <c r="B2575">
        <v>2574</v>
      </c>
      <c r="C2575" t="s">
        <v>2630</v>
      </c>
      <c r="D2575">
        <v>2020</v>
      </c>
      <c r="F2575" t="s">
        <v>2540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f t="shared" si="80"/>
        <v>4.7</v>
      </c>
      <c r="M2575">
        <f t="shared" si="81"/>
        <v>1</v>
      </c>
    </row>
    <row r="2576" spans="1:13" x14ac:dyDescent="0.3">
      <c r="A2576">
        <v>2574</v>
      </c>
      <c r="B2576">
        <v>2575</v>
      </c>
      <c r="C2576" t="s">
        <v>2631</v>
      </c>
      <c r="D2576">
        <v>2019</v>
      </c>
      <c r="F2576" t="s">
        <v>2540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f t="shared" si="80"/>
        <v>4.7</v>
      </c>
      <c r="M2576">
        <f t="shared" si="81"/>
        <v>1</v>
      </c>
    </row>
    <row r="2577" spans="1:13" x14ac:dyDescent="0.3">
      <c r="A2577">
        <v>2575</v>
      </c>
      <c r="B2577">
        <v>2576</v>
      </c>
      <c r="C2577" t="s">
        <v>2632</v>
      </c>
      <c r="D2577">
        <v>2020</v>
      </c>
      <c r="F2577" t="s">
        <v>2633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f t="shared" si="80"/>
        <v>4.5999999999999996</v>
      </c>
      <c r="M2577">
        <f t="shared" si="81"/>
        <v>1</v>
      </c>
    </row>
    <row r="2578" spans="1:13" x14ac:dyDescent="0.3">
      <c r="A2578">
        <v>2576</v>
      </c>
      <c r="B2578">
        <v>2577</v>
      </c>
      <c r="C2578" t="s">
        <v>2634</v>
      </c>
      <c r="D2578">
        <v>2020</v>
      </c>
      <c r="F2578" t="s">
        <v>2633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f t="shared" si="80"/>
        <v>4.5999999999999996</v>
      </c>
      <c r="M2578">
        <f t="shared" si="81"/>
        <v>1</v>
      </c>
    </row>
    <row r="2579" spans="1:13" x14ac:dyDescent="0.3">
      <c r="A2579">
        <v>2577</v>
      </c>
      <c r="B2579">
        <v>2578</v>
      </c>
      <c r="C2579" t="s">
        <v>2635</v>
      </c>
      <c r="D2579">
        <v>2020</v>
      </c>
      <c r="F2579" t="s">
        <v>2633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f t="shared" si="80"/>
        <v>4.5999999999999996</v>
      </c>
      <c r="M2579">
        <f t="shared" si="81"/>
        <v>1</v>
      </c>
    </row>
    <row r="2580" spans="1:13" x14ac:dyDescent="0.3">
      <c r="A2580">
        <v>2578</v>
      </c>
      <c r="B2580">
        <v>2579</v>
      </c>
      <c r="C2580" t="s">
        <v>2636</v>
      </c>
      <c r="D2580">
        <v>2018</v>
      </c>
      <c r="E2580" t="s">
        <v>11</v>
      </c>
      <c r="F2580" t="s">
        <v>2633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f t="shared" si="80"/>
        <v>4.5999999999999996</v>
      </c>
      <c r="M2580">
        <f t="shared" si="81"/>
        <v>1</v>
      </c>
    </row>
    <row r="2581" spans="1:13" x14ac:dyDescent="0.3">
      <c r="A2581">
        <v>2579</v>
      </c>
      <c r="B2581">
        <v>2580</v>
      </c>
      <c r="C2581" t="s">
        <v>2637</v>
      </c>
      <c r="D2581">
        <v>2020</v>
      </c>
      <c r="F2581" t="s">
        <v>2633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f t="shared" si="80"/>
        <v>4.5999999999999996</v>
      </c>
      <c r="M2581">
        <f t="shared" si="81"/>
        <v>1</v>
      </c>
    </row>
    <row r="2582" spans="1:13" x14ac:dyDescent="0.3">
      <c r="A2582">
        <v>2580</v>
      </c>
      <c r="B2582">
        <v>2581</v>
      </c>
      <c r="C2582" t="s">
        <v>2638</v>
      </c>
      <c r="D2582">
        <v>1993</v>
      </c>
      <c r="E2582" t="s">
        <v>22</v>
      </c>
      <c r="F2582" t="s">
        <v>2633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f t="shared" si="80"/>
        <v>4.5999999999999996</v>
      </c>
      <c r="M2582">
        <f t="shared" si="81"/>
        <v>1</v>
      </c>
    </row>
    <row r="2583" spans="1:13" x14ac:dyDescent="0.3">
      <c r="A2583">
        <v>2581</v>
      </c>
      <c r="B2583">
        <v>2582</v>
      </c>
      <c r="C2583" t="s">
        <v>2639</v>
      </c>
      <c r="D2583">
        <v>2013</v>
      </c>
      <c r="F2583" t="s">
        <v>2633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f t="shared" si="80"/>
        <v>4.5999999999999996</v>
      </c>
      <c r="M2583">
        <f t="shared" si="81"/>
        <v>1</v>
      </c>
    </row>
    <row r="2584" spans="1:13" x14ac:dyDescent="0.3">
      <c r="A2584">
        <v>2582</v>
      </c>
      <c r="B2584">
        <v>2583</v>
      </c>
      <c r="C2584" t="s">
        <v>2640</v>
      </c>
      <c r="D2584">
        <v>2018</v>
      </c>
      <c r="F2584" t="s">
        <v>2633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f t="shared" si="80"/>
        <v>4.5999999999999996</v>
      </c>
      <c r="M2584">
        <f t="shared" si="81"/>
        <v>1</v>
      </c>
    </row>
    <row r="2585" spans="1:13" x14ac:dyDescent="0.3">
      <c r="A2585">
        <v>2583</v>
      </c>
      <c r="B2585">
        <v>2584</v>
      </c>
      <c r="C2585" t="s">
        <v>2641</v>
      </c>
      <c r="D2585">
        <v>2018</v>
      </c>
      <c r="F2585" t="s">
        <v>2633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f t="shared" si="80"/>
        <v>4.5999999999999996</v>
      </c>
      <c r="M2585">
        <f t="shared" si="81"/>
        <v>1</v>
      </c>
    </row>
    <row r="2586" spans="1:13" x14ac:dyDescent="0.3">
      <c r="A2586">
        <v>2584</v>
      </c>
      <c r="B2586">
        <v>2585</v>
      </c>
      <c r="C2586" t="s">
        <v>2642</v>
      </c>
      <c r="D2586">
        <v>2019</v>
      </c>
      <c r="F2586" t="s">
        <v>2633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f t="shared" si="80"/>
        <v>4.5999999999999996</v>
      </c>
      <c r="M2586">
        <f t="shared" si="81"/>
        <v>1</v>
      </c>
    </row>
    <row r="2587" spans="1:13" x14ac:dyDescent="0.3">
      <c r="A2587">
        <v>2585</v>
      </c>
      <c r="B2587">
        <v>2586</v>
      </c>
      <c r="C2587" t="s">
        <v>2643</v>
      </c>
      <c r="D2587">
        <v>2003</v>
      </c>
      <c r="F2587" t="s">
        <v>2633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f t="shared" si="80"/>
        <v>4.5999999999999996</v>
      </c>
      <c r="M2587">
        <f t="shared" si="81"/>
        <v>1</v>
      </c>
    </row>
    <row r="2588" spans="1:13" x14ac:dyDescent="0.3">
      <c r="A2588">
        <v>2586</v>
      </c>
      <c r="B2588">
        <v>2587</v>
      </c>
      <c r="C2588" t="s">
        <v>2644</v>
      </c>
      <c r="D2588">
        <v>1989</v>
      </c>
      <c r="F2588" t="s">
        <v>2633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f t="shared" si="80"/>
        <v>4.5999999999999996</v>
      </c>
      <c r="M2588">
        <f t="shared" si="81"/>
        <v>1</v>
      </c>
    </row>
    <row r="2589" spans="1:13" x14ac:dyDescent="0.3">
      <c r="A2589">
        <v>2587</v>
      </c>
      <c r="B2589">
        <v>2588</v>
      </c>
      <c r="C2589" t="s">
        <v>2645</v>
      </c>
      <c r="D2589">
        <v>2020</v>
      </c>
      <c r="E2589" t="s">
        <v>11</v>
      </c>
      <c r="F2589" t="s">
        <v>2633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f t="shared" si="80"/>
        <v>4.5999999999999996</v>
      </c>
      <c r="M2589">
        <f t="shared" si="81"/>
        <v>1</v>
      </c>
    </row>
    <row r="2590" spans="1:13" x14ac:dyDescent="0.3">
      <c r="A2590">
        <v>2588</v>
      </c>
      <c r="B2590">
        <v>2589</v>
      </c>
      <c r="C2590" t="s">
        <v>2646</v>
      </c>
      <c r="D2590">
        <v>2016</v>
      </c>
      <c r="F2590" t="s">
        <v>2633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f t="shared" si="80"/>
        <v>4.5999999999999996</v>
      </c>
      <c r="M2590">
        <f t="shared" si="81"/>
        <v>1</v>
      </c>
    </row>
    <row r="2591" spans="1:13" x14ac:dyDescent="0.3">
      <c r="A2591">
        <v>2589</v>
      </c>
      <c r="B2591">
        <v>2590</v>
      </c>
      <c r="C2591" t="s">
        <v>2647</v>
      </c>
      <c r="D2591">
        <v>2018</v>
      </c>
      <c r="F2591" t="s">
        <v>2633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f t="shared" si="80"/>
        <v>4.5999999999999996</v>
      </c>
      <c r="M2591">
        <f t="shared" si="81"/>
        <v>1</v>
      </c>
    </row>
    <row r="2592" spans="1:13" x14ac:dyDescent="0.3">
      <c r="A2592">
        <v>2590</v>
      </c>
      <c r="B2592">
        <v>2591</v>
      </c>
      <c r="C2592" t="s">
        <v>2648</v>
      </c>
      <c r="D2592">
        <v>2018</v>
      </c>
      <c r="F2592" t="s">
        <v>2633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f t="shared" si="80"/>
        <v>4.5999999999999996</v>
      </c>
      <c r="M2592">
        <f t="shared" si="81"/>
        <v>1</v>
      </c>
    </row>
    <row r="2593" spans="1:13" x14ac:dyDescent="0.3">
      <c r="A2593">
        <v>2591</v>
      </c>
      <c r="B2593">
        <v>2592</v>
      </c>
      <c r="C2593" t="s">
        <v>2649</v>
      </c>
      <c r="D2593">
        <v>2018</v>
      </c>
      <c r="F2593" t="s">
        <v>2633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f t="shared" si="80"/>
        <v>4.5999999999999996</v>
      </c>
      <c r="M2593">
        <f t="shared" si="81"/>
        <v>1</v>
      </c>
    </row>
    <row r="2594" spans="1:13" x14ac:dyDescent="0.3">
      <c r="A2594">
        <v>2592</v>
      </c>
      <c r="B2594">
        <v>2593</v>
      </c>
      <c r="C2594" t="s">
        <v>2650</v>
      </c>
      <c r="D2594">
        <v>2019</v>
      </c>
      <c r="E2594" t="s">
        <v>22</v>
      </c>
      <c r="F2594" t="s">
        <v>2633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f t="shared" si="80"/>
        <v>4.5999999999999996</v>
      </c>
      <c r="M2594">
        <f t="shared" si="81"/>
        <v>1</v>
      </c>
    </row>
    <row r="2595" spans="1:13" x14ac:dyDescent="0.3">
      <c r="A2595">
        <v>2593</v>
      </c>
      <c r="B2595">
        <v>2594</v>
      </c>
      <c r="C2595" t="s">
        <v>2651</v>
      </c>
      <c r="D2595">
        <v>2016</v>
      </c>
      <c r="F2595" t="s">
        <v>2633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f t="shared" si="80"/>
        <v>4.5999999999999996</v>
      </c>
      <c r="M2595">
        <f t="shared" si="81"/>
        <v>1</v>
      </c>
    </row>
    <row r="2596" spans="1:13" x14ac:dyDescent="0.3">
      <c r="A2596">
        <v>2594</v>
      </c>
      <c r="B2596">
        <v>2595</v>
      </c>
      <c r="C2596" t="s">
        <v>2652</v>
      </c>
      <c r="D2596">
        <v>2019</v>
      </c>
      <c r="F2596" t="s">
        <v>2633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f t="shared" si="80"/>
        <v>4.5999999999999996</v>
      </c>
      <c r="M2596">
        <f t="shared" si="81"/>
        <v>1</v>
      </c>
    </row>
    <row r="2597" spans="1:13" x14ac:dyDescent="0.3">
      <c r="A2597">
        <v>2595</v>
      </c>
      <c r="B2597">
        <v>2596</v>
      </c>
      <c r="C2597" t="s">
        <v>2653</v>
      </c>
      <c r="D2597">
        <v>2016</v>
      </c>
      <c r="F2597" t="s">
        <v>2633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f t="shared" si="80"/>
        <v>4.5999999999999996</v>
      </c>
      <c r="M2597">
        <f t="shared" si="81"/>
        <v>1</v>
      </c>
    </row>
    <row r="2598" spans="1:13" x14ac:dyDescent="0.3">
      <c r="A2598">
        <v>2596</v>
      </c>
      <c r="B2598">
        <v>2597</v>
      </c>
      <c r="C2598" t="s">
        <v>2654</v>
      </c>
      <c r="D2598">
        <v>2017</v>
      </c>
      <c r="E2598" t="s">
        <v>22</v>
      </c>
      <c r="F2598" t="s">
        <v>2633</v>
      </c>
      <c r="G2598">
        <v>1</v>
      </c>
      <c r="H2598">
        <v>0</v>
      </c>
      <c r="I2598">
        <v>0</v>
      </c>
      <c r="J2598">
        <v>0</v>
      </c>
      <c r="K2598">
        <v>0</v>
      </c>
      <c r="L2598">
        <f t="shared" si="80"/>
        <v>4.5999999999999996</v>
      </c>
      <c r="M2598">
        <f t="shared" si="81"/>
        <v>1</v>
      </c>
    </row>
    <row r="2599" spans="1:13" x14ac:dyDescent="0.3">
      <c r="A2599">
        <v>2597</v>
      </c>
      <c r="B2599">
        <v>2598</v>
      </c>
      <c r="C2599" t="s">
        <v>2655</v>
      </c>
      <c r="D2599">
        <v>2017</v>
      </c>
      <c r="F2599" t="s">
        <v>2633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f t="shared" si="80"/>
        <v>4.5999999999999996</v>
      </c>
      <c r="M2599">
        <f t="shared" si="81"/>
        <v>1</v>
      </c>
    </row>
    <row r="2600" spans="1:13" x14ac:dyDescent="0.3">
      <c r="A2600">
        <v>2598</v>
      </c>
      <c r="B2600">
        <v>2599</v>
      </c>
      <c r="C2600" t="s">
        <v>2656</v>
      </c>
      <c r="D2600">
        <v>2016</v>
      </c>
      <c r="E2600" t="s">
        <v>14</v>
      </c>
      <c r="F2600" t="s">
        <v>2633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f t="shared" si="80"/>
        <v>4.5999999999999996</v>
      </c>
      <c r="M2600">
        <f t="shared" si="81"/>
        <v>1</v>
      </c>
    </row>
    <row r="2601" spans="1:13" x14ac:dyDescent="0.3">
      <c r="A2601">
        <v>2599</v>
      </c>
      <c r="B2601">
        <v>2600</v>
      </c>
      <c r="C2601" t="s">
        <v>2657</v>
      </c>
      <c r="D2601">
        <v>2020</v>
      </c>
      <c r="F2601" t="s">
        <v>2633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f t="shared" si="80"/>
        <v>4.5999999999999996</v>
      </c>
      <c r="M2601">
        <f t="shared" si="81"/>
        <v>1</v>
      </c>
    </row>
    <row r="2602" spans="1:13" x14ac:dyDescent="0.3">
      <c r="A2602">
        <v>2600</v>
      </c>
      <c r="B2602">
        <v>2601</v>
      </c>
      <c r="C2602" t="s">
        <v>2658</v>
      </c>
      <c r="D2602">
        <v>2007</v>
      </c>
      <c r="F2602" t="s">
        <v>2633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f t="shared" si="80"/>
        <v>4.5999999999999996</v>
      </c>
      <c r="M2602">
        <f t="shared" si="81"/>
        <v>1</v>
      </c>
    </row>
    <row r="2603" spans="1:13" x14ac:dyDescent="0.3">
      <c r="A2603">
        <v>2601</v>
      </c>
      <c r="B2603">
        <v>2602</v>
      </c>
      <c r="C2603" t="s">
        <v>2659</v>
      </c>
      <c r="D2603">
        <v>1997</v>
      </c>
      <c r="E2603" t="s">
        <v>28</v>
      </c>
      <c r="F2603" t="s">
        <v>2633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f t="shared" si="80"/>
        <v>4.5999999999999996</v>
      </c>
      <c r="M2603">
        <f t="shared" si="81"/>
        <v>1</v>
      </c>
    </row>
    <row r="2604" spans="1:13" x14ac:dyDescent="0.3">
      <c r="A2604">
        <v>2602</v>
      </c>
      <c r="B2604">
        <v>2603</v>
      </c>
      <c r="C2604" t="s">
        <v>2660</v>
      </c>
      <c r="D2604">
        <v>2019</v>
      </c>
      <c r="E2604" t="s">
        <v>22</v>
      </c>
      <c r="F2604" t="s">
        <v>2633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f t="shared" si="80"/>
        <v>4.5999999999999996</v>
      </c>
      <c r="M2604">
        <f t="shared" si="81"/>
        <v>1</v>
      </c>
    </row>
    <row r="2605" spans="1:13" x14ac:dyDescent="0.3">
      <c r="A2605">
        <v>2603</v>
      </c>
      <c r="B2605">
        <v>2604</v>
      </c>
      <c r="C2605" t="s">
        <v>2661</v>
      </c>
      <c r="D2605">
        <v>2012</v>
      </c>
      <c r="E2605" t="s">
        <v>28</v>
      </c>
      <c r="F2605" t="s">
        <v>2633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f t="shared" si="80"/>
        <v>4.5999999999999996</v>
      </c>
      <c r="M2605">
        <f t="shared" si="81"/>
        <v>1</v>
      </c>
    </row>
    <row r="2606" spans="1:13" x14ac:dyDescent="0.3">
      <c r="A2606">
        <v>2604</v>
      </c>
      <c r="B2606">
        <v>2605</v>
      </c>
      <c r="C2606" t="s">
        <v>2662</v>
      </c>
      <c r="D2606">
        <v>2017</v>
      </c>
      <c r="F2606" t="s">
        <v>2633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f t="shared" si="80"/>
        <v>4.5999999999999996</v>
      </c>
      <c r="M2606">
        <f t="shared" si="81"/>
        <v>1</v>
      </c>
    </row>
    <row r="2607" spans="1:13" x14ac:dyDescent="0.3">
      <c r="A2607">
        <v>2605</v>
      </c>
      <c r="B2607">
        <v>2606</v>
      </c>
      <c r="C2607" t="s">
        <v>2663</v>
      </c>
      <c r="D2607">
        <v>2019</v>
      </c>
      <c r="F2607" t="s">
        <v>2633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f t="shared" si="80"/>
        <v>4.5999999999999996</v>
      </c>
      <c r="M2607">
        <f t="shared" si="81"/>
        <v>1</v>
      </c>
    </row>
    <row r="2608" spans="1:13" x14ac:dyDescent="0.3">
      <c r="A2608">
        <v>2606</v>
      </c>
      <c r="B2608">
        <v>2607</v>
      </c>
      <c r="C2608" t="s">
        <v>2664</v>
      </c>
      <c r="D2608">
        <v>2019</v>
      </c>
      <c r="F2608" t="s">
        <v>2633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f t="shared" si="80"/>
        <v>4.5999999999999996</v>
      </c>
      <c r="M2608">
        <f t="shared" si="81"/>
        <v>1</v>
      </c>
    </row>
    <row r="2609" spans="1:13" x14ac:dyDescent="0.3">
      <c r="A2609">
        <v>2607</v>
      </c>
      <c r="B2609">
        <v>2608</v>
      </c>
      <c r="C2609" t="s">
        <v>2665</v>
      </c>
      <c r="D2609">
        <v>2019</v>
      </c>
      <c r="E2609" t="s">
        <v>11</v>
      </c>
      <c r="F2609" t="s">
        <v>2633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f t="shared" si="80"/>
        <v>4.5999999999999996</v>
      </c>
      <c r="M2609">
        <f t="shared" si="81"/>
        <v>1</v>
      </c>
    </row>
    <row r="2610" spans="1:13" x14ac:dyDescent="0.3">
      <c r="A2610">
        <v>2608</v>
      </c>
      <c r="B2610">
        <v>2609</v>
      </c>
      <c r="C2610" t="s">
        <v>2666</v>
      </c>
      <c r="D2610">
        <v>2019</v>
      </c>
      <c r="E2610" t="s">
        <v>14</v>
      </c>
      <c r="F2610" t="s">
        <v>2633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f t="shared" si="80"/>
        <v>4.5999999999999996</v>
      </c>
      <c r="M2610">
        <f t="shared" si="81"/>
        <v>1</v>
      </c>
    </row>
    <row r="2611" spans="1:13" x14ac:dyDescent="0.3">
      <c r="A2611">
        <v>2609</v>
      </c>
      <c r="B2611">
        <v>2610</v>
      </c>
      <c r="C2611" t="s">
        <v>2667</v>
      </c>
      <c r="D2611">
        <v>2015</v>
      </c>
      <c r="F2611" t="s">
        <v>2633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f t="shared" si="80"/>
        <v>4.5999999999999996</v>
      </c>
      <c r="M2611">
        <f t="shared" si="81"/>
        <v>1</v>
      </c>
    </row>
    <row r="2612" spans="1:13" x14ac:dyDescent="0.3">
      <c r="A2612">
        <v>2610</v>
      </c>
      <c r="B2612">
        <v>2611</v>
      </c>
      <c r="C2612" t="s">
        <v>2668</v>
      </c>
      <c r="D2612">
        <v>2004</v>
      </c>
      <c r="F2612" t="s">
        <v>2633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f t="shared" si="80"/>
        <v>4.5999999999999996</v>
      </c>
      <c r="M2612">
        <f t="shared" si="81"/>
        <v>1</v>
      </c>
    </row>
    <row r="2613" spans="1:13" x14ac:dyDescent="0.3">
      <c r="A2613">
        <v>2611</v>
      </c>
      <c r="B2613">
        <v>2612</v>
      </c>
      <c r="C2613" t="s">
        <v>2669</v>
      </c>
      <c r="D2613">
        <v>2011</v>
      </c>
      <c r="E2613" t="s">
        <v>22</v>
      </c>
      <c r="F2613" t="s">
        <v>2633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f t="shared" si="80"/>
        <v>4.5999999999999996</v>
      </c>
      <c r="M2613">
        <f t="shared" si="81"/>
        <v>1</v>
      </c>
    </row>
    <row r="2614" spans="1:13" x14ac:dyDescent="0.3">
      <c r="A2614">
        <v>2612</v>
      </c>
      <c r="B2614">
        <v>2613</v>
      </c>
      <c r="C2614" t="s">
        <v>2670</v>
      </c>
      <c r="D2614">
        <v>2019</v>
      </c>
      <c r="E2614" t="s">
        <v>14</v>
      </c>
      <c r="F2614" t="s">
        <v>2633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f t="shared" si="80"/>
        <v>4.5999999999999996</v>
      </c>
      <c r="M2614">
        <f t="shared" si="81"/>
        <v>1</v>
      </c>
    </row>
    <row r="2615" spans="1:13" x14ac:dyDescent="0.3">
      <c r="A2615">
        <v>2613</v>
      </c>
      <c r="B2615">
        <v>2614</v>
      </c>
      <c r="C2615" t="s">
        <v>2671</v>
      </c>
      <c r="D2615">
        <v>2021</v>
      </c>
      <c r="E2615" t="s">
        <v>36</v>
      </c>
      <c r="F2615" t="s">
        <v>2633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f t="shared" si="80"/>
        <v>4.5999999999999996</v>
      </c>
      <c r="M2615">
        <f t="shared" si="81"/>
        <v>1</v>
      </c>
    </row>
    <row r="2616" spans="1:13" x14ac:dyDescent="0.3">
      <c r="A2616">
        <v>2614</v>
      </c>
      <c r="B2616">
        <v>2615</v>
      </c>
      <c r="C2616" t="s">
        <v>2672</v>
      </c>
      <c r="D2616">
        <v>2014</v>
      </c>
      <c r="F2616" t="s">
        <v>2633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f t="shared" si="80"/>
        <v>4.5999999999999996</v>
      </c>
      <c r="M2616">
        <f t="shared" si="81"/>
        <v>1</v>
      </c>
    </row>
    <row r="2617" spans="1:13" x14ac:dyDescent="0.3">
      <c r="A2617">
        <v>2615</v>
      </c>
      <c r="B2617">
        <v>2616</v>
      </c>
      <c r="C2617" t="s">
        <v>2673</v>
      </c>
      <c r="D2617">
        <v>2010</v>
      </c>
      <c r="F2617" t="s">
        <v>2633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f t="shared" si="80"/>
        <v>4.5999999999999996</v>
      </c>
      <c r="M2617">
        <f t="shared" si="81"/>
        <v>1</v>
      </c>
    </row>
    <row r="2618" spans="1:13" x14ac:dyDescent="0.3">
      <c r="A2618">
        <v>2616</v>
      </c>
      <c r="B2618">
        <v>2617</v>
      </c>
      <c r="C2618" t="s">
        <v>2674</v>
      </c>
      <c r="D2618">
        <v>2017</v>
      </c>
      <c r="F2618" t="s">
        <v>2633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f t="shared" si="80"/>
        <v>4.5999999999999996</v>
      </c>
      <c r="M2618">
        <f t="shared" si="81"/>
        <v>1</v>
      </c>
    </row>
    <row r="2619" spans="1:13" x14ac:dyDescent="0.3">
      <c r="A2619">
        <v>2617</v>
      </c>
      <c r="B2619">
        <v>2618</v>
      </c>
      <c r="C2619" t="s">
        <v>2675</v>
      </c>
      <c r="D2619">
        <v>2018</v>
      </c>
      <c r="E2619" t="s">
        <v>36</v>
      </c>
      <c r="F2619" t="s">
        <v>2633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f t="shared" si="80"/>
        <v>4.5999999999999996</v>
      </c>
      <c r="M2619">
        <f t="shared" si="81"/>
        <v>1</v>
      </c>
    </row>
    <row r="2620" spans="1:13" x14ac:dyDescent="0.3">
      <c r="A2620">
        <v>2618</v>
      </c>
      <c r="B2620">
        <v>2619</v>
      </c>
      <c r="C2620" t="s">
        <v>2676</v>
      </c>
      <c r="D2620">
        <v>2021</v>
      </c>
      <c r="F2620" t="s">
        <v>2633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f t="shared" si="80"/>
        <v>4.5999999999999996</v>
      </c>
      <c r="M2620">
        <f t="shared" si="81"/>
        <v>1</v>
      </c>
    </row>
    <row r="2621" spans="1:13" x14ac:dyDescent="0.3">
      <c r="A2621">
        <v>2619</v>
      </c>
      <c r="B2621">
        <v>2620</v>
      </c>
      <c r="C2621" t="s">
        <v>2677</v>
      </c>
      <c r="D2621">
        <v>2010</v>
      </c>
      <c r="E2621" t="s">
        <v>22</v>
      </c>
      <c r="F2621" t="s">
        <v>2633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f t="shared" si="80"/>
        <v>4.5999999999999996</v>
      </c>
      <c r="M2621">
        <f t="shared" si="81"/>
        <v>1</v>
      </c>
    </row>
    <row r="2622" spans="1:13" x14ac:dyDescent="0.3">
      <c r="A2622">
        <v>2620</v>
      </c>
      <c r="B2622">
        <v>2621</v>
      </c>
      <c r="C2622" t="s">
        <v>2678</v>
      </c>
      <c r="D2622">
        <v>2007</v>
      </c>
      <c r="E2622" t="s">
        <v>22</v>
      </c>
      <c r="F2622" t="s">
        <v>2633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f t="shared" si="80"/>
        <v>4.5999999999999996</v>
      </c>
      <c r="M2622">
        <f t="shared" si="81"/>
        <v>1</v>
      </c>
    </row>
    <row r="2623" spans="1:13" x14ac:dyDescent="0.3">
      <c r="A2623">
        <v>2621</v>
      </c>
      <c r="B2623">
        <v>2622</v>
      </c>
      <c r="C2623" t="s">
        <v>2679</v>
      </c>
      <c r="D2623">
        <v>2020</v>
      </c>
      <c r="F2623" t="s">
        <v>2633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f t="shared" si="80"/>
        <v>4.5999999999999996</v>
      </c>
      <c r="M2623">
        <f t="shared" si="81"/>
        <v>1</v>
      </c>
    </row>
    <row r="2624" spans="1:13" x14ac:dyDescent="0.3">
      <c r="A2624">
        <v>2622</v>
      </c>
      <c r="B2624">
        <v>2623</v>
      </c>
      <c r="C2624" t="s">
        <v>2680</v>
      </c>
      <c r="D2624">
        <v>2015</v>
      </c>
      <c r="E2624" t="s">
        <v>36</v>
      </c>
      <c r="F2624" t="s">
        <v>2633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f t="shared" si="80"/>
        <v>4.5999999999999996</v>
      </c>
      <c r="M2624">
        <f t="shared" si="81"/>
        <v>1</v>
      </c>
    </row>
    <row r="2625" spans="1:13" x14ac:dyDescent="0.3">
      <c r="A2625">
        <v>2623</v>
      </c>
      <c r="B2625">
        <v>2624</v>
      </c>
      <c r="C2625" t="s">
        <v>2681</v>
      </c>
      <c r="D2625">
        <v>2017</v>
      </c>
      <c r="E2625" t="s">
        <v>11</v>
      </c>
      <c r="F2625" t="s">
        <v>2633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f t="shared" si="80"/>
        <v>4.5999999999999996</v>
      </c>
      <c r="M2625">
        <f t="shared" si="81"/>
        <v>1</v>
      </c>
    </row>
    <row r="2626" spans="1:13" x14ac:dyDescent="0.3">
      <c r="A2626">
        <v>2624</v>
      </c>
      <c r="B2626">
        <v>2625</v>
      </c>
      <c r="C2626" t="s">
        <v>2682</v>
      </c>
      <c r="D2626">
        <v>1999</v>
      </c>
      <c r="F2626" t="s">
        <v>2633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f t="shared" si="80"/>
        <v>4.5999999999999996</v>
      </c>
      <c r="M2626">
        <f t="shared" si="81"/>
        <v>1</v>
      </c>
    </row>
    <row r="2627" spans="1:13" x14ac:dyDescent="0.3">
      <c r="A2627">
        <v>2625</v>
      </c>
      <c r="B2627">
        <v>2626</v>
      </c>
      <c r="C2627" t="s">
        <v>2683</v>
      </c>
      <c r="D2627">
        <v>2020</v>
      </c>
      <c r="F2627" t="s">
        <v>2633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f t="shared" ref="L2627:L2690" si="82">IFERROR(VALUE(LEFT(F2627,FIND("/",F2627)-1))/10,"")</f>
        <v>4.5999999999999996</v>
      </c>
      <c r="M2627">
        <f t="shared" ref="M2627:M2690" si="83">SUM(G2627:J2627)</f>
        <v>1</v>
      </c>
    </row>
    <row r="2628" spans="1:13" x14ac:dyDescent="0.3">
      <c r="A2628">
        <v>2626</v>
      </c>
      <c r="B2628">
        <v>2627</v>
      </c>
      <c r="C2628" t="s">
        <v>2684</v>
      </c>
      <c r="D2628">
        <v>2021</v>
      </c>
      <c r="F2628" t="s">
        <v>2633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f t="shared" si="82"/>
        <v>4.5999999999999996</v>
      </c>
      <c r="M2628">
        <f t="shared" si="83"/>
        <v>1</v>
      </c>
    </row>
    <row r="2629" spans="1:13" x14ac:dyDescent="0.3">
      <c r="A2629">
        <v>2627</v>
      </c>
      <c r="B2629">
        <v>2628</v>
      </c>
      <c r="C2629" t="s">
        <v>2685</v>
      </c>
      <c r="D2629">
        <v>2017</v>
      </c>
      <c r="F2629" t="s">
        <v>2633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f t="shared" si="82"/>
        <v>4.5999999999999996</v>
      </c>
      <c r="M2629">
        <f t="shared" si="83"/>
        <v>1</v>
      </c>
    </row>
    <row r="2630" spans="1:13" x14ac:dyDescent="0.3">
      <c r="A2630">
        <v>2628</v>
      </c>
      <c r="B2630">
        <v>2629</v>
      </c>
      <c r="C2630" t="s">
        <v>2686</v>
      </c>
      <c r="D2630">
        <v>2018</v>
      </c>
      <c r="F2630" t="s">
        <v>2633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f t="shared" si="82"/>
        <v>4.5999999999999996</v>
      </c>
      <c r="M2630">
        <f t="shared" si="83"/>
        <v>1</v>
      </c>
    </row>
    <row r="2631" spans="1:13" x14ac:dyDescent="0.3">
      <c r="A2631">
        <v>2629</v>
      </c>
      <c r="B2631">
        <v>2630</v>
      </c>
      <c r="C2631" t="s">
        <v>2687</v>
      </c>
      <c r="D2631">
        <v>2019</v>
      </c>
      <c r="F2631" t="s">
        <v>2633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f t="shared" si="82"/>
        <v>4.5999999999999996</v>
      </c>
      <c r="M2631">
        <f t="shared" si="83"/>
        <v>1</v>
      </c>
    </row>
    <row r="2632" spans="1:13" x14ac:dyDescent="0.3">
      <c r="A2632">
        <v>2630</v>
      </c>
      <c r="B2632">
        <v>2631</v>
      </c>
      <c r="C2632" t="s">
        <v>2688</v>
      </c>
      <c r="D2632">
        <v>2014</v>
      </c>
      <c r="E2632" t="s">
        <v>22</v>
      </c>
      <c r="F2632" t="s">
        <v>2633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f t="shared" si="82"/>
        <v>4.5999999999999996</v>
      </c>
      <c r="M2632">
        <f t="shared" si="83"/>
        <v>1</v>
      </c>
    </row>
    <row r="2633" spans="1:13" x14ac:dyDescent="0.3">
      <c r="A2633">
        <v>2631</v>
      </c>
      <c r="B2633">
        <v>2632</v>
      </c>
      <c r="C2633" t="s">
        <v>2689</v>
      </c>
      <c r="D2633">
        <v>2019</v>
      </c>
      <c r="F2633" t="s">
        <v>2633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f t="shared" si="82"/>
        <v>4.5999999999999996</v>
      </c>
      <c r="M2633">
        <f t="shared" si="83"/>
        <v>1</v>
      </c>
    </row>
    <row r="2634" spans="1:13" x14ac:dyDescent="0.3">
      <c r="A2634">
        <v>2632</v>
      </c>
      <c r="B2634">
        <v>2633</v>
      </c>
      <c r="C2634" t="s">
        <v>2690</v>
      </c>
      <c r="D2634">
        <v>1993</v>
      </c>
      <c r="E2634" t="s">
        <v>11</v>
      </c>
      <c r="F2634" t="s">
        <v>2633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f t="shared" si="82"/>
        <v>4.5999999999999996</v>
      </c>
      <c r="M2634">
        <f t="shared" si="83"/>
        <v>1</v>
      </c>
    </row>
    <row r="2635" spans="1:13" x14ac:dyDescent="0.3">
      <c r="A2635">
        <v>2633</v>
      </c>
      <c r="B2635">
        <v>2634</v>
      </c>
      <c r="C2635" t="s">
        <v>2691</v>
      </c>
      <c r="D2635">
        <v>1987</v>
      </c>
      <c r="F2635" t="s">
        <v>2633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f t="shared" si="82"/>
        <v>4.5999999999999996</v>
      </c>
      <c r="M2635">
        <f t="shared" si="83"/>
        <v>1</v>
      </c>
    </row>
    <row r="2636" spans="1:13" x14ac:dyDescent="0.3">
      <c r="A2636">
        <v>2634</v>
      </c>
      <c r="B2636">
        <v>2635</v>
      </c>
      <c r="C2636" t="s">
        <v>2692</v>
      </c>
      <c r="D2636">
        <v>2020</v>
      </c>
      <c r="E2636" t="s">
        <v>36</v>
      </c>
      <c r="F2636" t="s">
        <v>2633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f t="shared" si="82"/>
        <v>4.5999999999999996</v>
      </c>
      <c r="M2636">
        <f t="shared" si="83"/>
        <v>1</v>
      </c>
    </row>
    <row r="2637" spans="1:13" x14ac:dyDescent="0.3">
      <c r="A2637">
        <v>2635</v>
      </c>
      <c r="B2637">
        <v>2636</v>
      </c>
      <c r="C2637" t="s">
        <v>2693</v>
      </c>
      <c r="D2637">
        <v>2018</v>
      </c>
      <c r="F2637" t="s">
        <v>2633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f t="shared" si="82"/>
        <v>4.5999999999999996</v>
      </c>
      <c r="M2637">
        <f t="shared" si="83"/>
        <v>1</v>
      </c>
    </row>
    <row r="2638" spans="1:13" x14ac:dyDescent="0.3">
      <c r="A2638">
        <v>2636</v>
      </c>
      <c r="B2638">
        <v>2637</v>
      </c>
      <c r="C2638" t="s">
        <v>2694</v>
      </c>
      <c r="D2638">
        <v>2019</v>
      </c>
      <c r="E2638" t="s">
        <v>11</v>
      </c>
      <c r="F2638" t="s">
        <v>2633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f t="shared" si="82"/>
        <v>4.5999999999999996</v>
      </c>
      <c r="M2638">
        <f t="shared" si="83"/>
        <v>1</v>
      </c>
    </row>
    <row r="2639" spans="1:13" x14ac:dyDescent="0.3">
      <c r="A2639">
        <v>2637</v>
      </c>
      <c r="B2639">
        <v>2638</v>
      </c>
      <c r="C2639" t="s">
        <v>2695</v>
      </c>
      <c r="D2639">
        <v>2017</v>
      </c>
      <c r="E2639" t="s">
        <v>11</v>
      </c>
      <c r="F2639" t="s">
        <v>2633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f t="shared" si="82"/>
        <v>4.5999999999999996</v>
      </c>
      <c r="M2639">
        <f t="shared" si="83"/>
        <v>1</v>
      </c>
    </row>
    <row r="2640" spans="1:13" x14ac:dyDescent="0.3">
      <c r="A2640">
        <v>2638</v>
      </c>
      <c r="B2640">
        <v>2639</v>
      </c>
      <c r="C2640" t="s">
        <v>2696</v>
      </c>
      <c r="D2640">
        <v>2020</v>
      </c>
      <c r="E2640" t="s">
        <v>28</v>
      </c>
      <c r="F2640" t="s">
        <v>2633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f t="shared" si="82"/>
        <v>4.5999999999999996</v>
      </c>
      <c r="M2640">
        <f t="shared" si="83"/>
        <v>1</v>
      </c>
    </row>
    <row r="2641" spans="1:13" x14ac:dyDescent="0.3">
      <c r="A2641">
        <v>2639</v>
      </c>
      <c r="B2641">
        <v>2640</v>
      </c>
      <c r="C2641" t="s">
        <v>2697</v>
      </c>
      <c r="D2641">
        <v>2019</v>
      </c>
      <c r="F2641" t="s">
        <v>2633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f t="shared" si="82"/>
        <v>4.5999999999999996</v>
      </c>
      <c r="M2641">
        <f t="shared" si="83"/>
        <v>1</v>
      </c>
    </row>
    <row r="2642" spans="1:13" x14ac:dyDescent="0.3">
      <c r="A2642">
        <v>2640</v>
      </c>
      <c r="B2642">
        <v>2641</v>
      </c>
      <c r="C2642" t="s">
        <v>2698</v>
      </c>
      <c r="D2642">
        <v>2016</v>
      </c>
      <c r="F2642" t="s">
        <v>2633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f t="shared" si="82"/>
        <v>4.5999999999999996</v>
      </c>
      <c r="M2642">
        <f t="shared" si="83"/>
        <v>1</v>
      </c>
    </row>
    <row r="2643" spans="1:13" x14ac:dyDescent="0.3">
      <c r="A2643">
        <v>2641</v>
      </c>
      <c r="B2643">
        <v>2642</v>
      </c>
      <c r="C2643" t="s">
        <v>2699</v>
      </c>
      <c r="D2643">
        <v>2020</v>
      </c>
      <c r="E2643" t="s">
        <v>11</v>
      </c>
      <c r="F2643" t="s">
        <v>2633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f t="shared" si="82"/>
        <v>4.5999999999999996</v>
      </c>
      <c r="M2643">
        <f t="shared" si="83"/>
        <v>1</v>
      </c>
    </row>
    <row r="2644" spans="1:13" x14ac:dyDescent="0.3">
      <c r="A2644">
        <v>2642</v>
      </c>
      <c r="B2644">
        <v>2643</v>
      </c>
      <c r="C2644" t="s">
        <v>2700</v>
      </c>
      <c r="D2644">
        <v>2018</v>
      </c>
      <c r="F2644" t="s">
        <v>2633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f t="shared" si="82"/>
        <v>4.5999999999999996</v>
      </c>
      <c r="M2644">
        <f t="shared" si="83"/>
        <v>1</v>
      </c>
    </row>
    <row r="2645" spans="1:13" x14ac:dyDescent="0.3">
      <c r="A2645">
        <v>2643</v>
      </c>
      <c r="B2645">
        <v>2644</v>
      </c>
      <c r="C2645" t="s">
        <v>2701</v>
      </c>
      <c r="D2645">
        <v>2021</v>
      </c>
      <c r="F2645" t="s">
        <v>2633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f t="shared" si="82"/>
        <v>4.5999999999999996</v>
      </c>
      <c r="M2645">
        <f t="shared" si="83"/>
        <v>1</v>
      </c>
    </row>
    <row r="2646" spans="1:13" x14ac:dyDescent="0.3">
      <c r="A2646">
        <v>2644</v>
      </c>
      <c r="B2646">
        <v>2645</v>
      </c>
      <c r="C2646" t="s">
        <v>2702</v>
      </c>
      <c r="D2646">
        <v>2018</v>
      </c>
      <c r="F2646" t="s">
        <v>2633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f t="shared" si="82"/>
        <v>4.5999999999999996</v>
      </c>
      <c r="M2646">
        <f t="shared" si="83"/>
        <v>1</v>
      </c>
    </row>
    <row r="2647" spans="1:13" x14ac:dyDescent="0.3">
      <c r="A2647">
        <v>2645</v>
      </c>
      <c r="B2647">
        <v>2646</v>
      </c>
      <c r="C2647" t="s">
        <v>2703</v>
      </c>
      <c r="D2647">
        <v>2004</v>
      </c>
      <c r="F2647" t="s">
        <v>2633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f t="shared" si="82"/>
        <v>4.5999999999999996</v>
      </c>
      <c r="M2647">
        <f t="shared" si="83"/>
        <v>1</v>
      </c>
    </row>
    <row r="2648" spans="1:13" x14ac:dyDescent="0.3">
      <c r="A2648">
        <v>2646</v>
      </c>
      <c r="B2648">
        <v>2647</v>
      </c>
      <c r="C2648" t="s">
        <v>2704</v>
      </c>
      <c r="D2648">
        <v>2021</v>
      </c>
      <c r="F2648" t="s">
        <v>2633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f t="shared" si="82"/>
        <v>4.5999999999999996</v>
      </c>
      <c r="M2648">
        <f t="shared" si="83"/>
        <v>1</v>
      </c>
    </row>
    <row r="2649" spans="1:13" x14ac:dyDescent="0.3">
      <c r="A2649">
        <v>2647</v>
      </c>
      <c r="B2649">
        <v>2648</v>
      </c>
      <c r="C2649" t="s">
        <v>2705</v>
      </c>
      <c r="D2649">
        <v>2019</v>
      </c>
      <c r="F2649" t="s">
        <v>2633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f t="shared" si="82"/>
        <v>4.5999999999999996</v>
      </c>
      <c r="M2649">
        <f t="shared" si="83"/>
        <v>1</v>
      </c>
    </row>
    <row r="2650" spans="1:13" x14ac:dyDescent="0.3">
      <c r="A2650">
        <v>2648</v>
      </c>
      <c r="B2650">
        <v>2649</v>
      </c>
      <c r="C2650" t="s">
        <v>2706</v>
      </c>
      <c r="D2650">
        <v>1999</v>
      </c>
      <c r="F2650" t="s">
        <v>2633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f t="shared" si="82"/>
        <v>4.5999999999999996</v>
      </c>
      <c r="M2650">
        <f t="shared" si="83"/>
        <v>1</v>
      </c>
    </row>
    <row r="2651" spans="1:13" x14ac:dyDescent="0.3">
      <c r="A2651">
        <v>2649</v>
      </c>
      <c r="B2651">
        <v>2650</v>
      </c>
      <c r="C2651" t="s">
        <v>2707</v>
      </c>
      <c r="D2651">
        <v>2017</v>
      </c>
      <c r="F2651" t="s">
        <v>2633</v>
      </c>
      <c r="G2651">
        <v>1</v>
      </c>
      <c r="H2651">
        <v>0</v>
      </c>
      <c r="I2651">
        <v>0</v>
      </c>
      <c r="J2651">
        <v>0</v>
      </c>
      <c r="K2651">
        <v>0</v>
      </c>
      <c r="L2651">
        <f t="shared" si="82"/>
        <v>4.5999999999999996</v>
      </c>
      <c r="M2651">
        <f t="shared" si="83"/>
        <v>1</v>
      </c>
    </row>
    <row r="2652" spans="1:13" x14ac:dyDescent="0.3">
      <c r="A2652">
        <v>2650</v>
      </c>
      <c r="B2652">
        <v>2651</v>
      </c>
      <c r="C2652" t="s">
        <v>2708</v>
      </c>
      <c r="D2652">
        <v>1995</v>
      </c>
      <c r="E2652" t="s">
        <v>28</v>
      </c>
      <c r="F2652" t="s">
        <v>2633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f t="shared" si="82"/>
        <v>4.5999999999999996</v>
      </c>
      <c r="M2652">
        <f t="shared" si="83"/>
        <v>1</v>
      </c>
    </row>
    <row r="2653" spans="1:13" x14ac:dyDescent="0.3">
      <c r="A2653">
        <v>2651</v>
      </c>
      <c r="B2653">
        <v>2652</v>
      </c>
      <c r="C2653" t="s">
        <v>2709</v>
      </c>
      <c r="D2653">
        <v>2016</v>
      </c>
      <c r="F2653" t="s">
        <v>2633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f t="shared" si="82"/>
        <v>4.5999999999999996</v>
      </c>
      <c r="M2653">
        <f t="shared" si="83"/>
        <v>1</v>
      </c>
    </row>
    <row r="2654" spans="1:13" x14ac:dyDescent="0.3">
      <c r="A2654">
        <v>2652</v>
      </c>
      <c r="B2654">
        <v>2653</v>
      </c>
      <c r="C2654" t="s">
        <v>2710</v>
      </c>
      <c r="D2654">
        <v>2017</v>
      </c>
      <c r="F2654" t="s">
        <v>2633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f t="shared" si="82"/>
        <v>4.5999999999999996</v>
      </c>
      <c r="M2654">
        <f t="shared" si="83"/>
        <v>1</v>
      </c>
    </row>
    <row r="2655" spans="1:13" x14ac:dyDescent="0.3">
      <c r="A2655">
        <v>2653</v>
      </c>
      <c r="B2655">
        <v>2654</v>
      </c>
      <c r="C2655" t="s">
        <v>2711</v>
      </c>
      <c r="D2655">
        <v>2018</v>
      </c>
      <c r="E2655" t="s">
        <v>11</v>
      </c>
      <c r="F2655" t="s">
        <v>2633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f t="shared" si="82"/>
        <v>4.5999999999999996</v>
      </c>
      <c r="M2655">
        <f t="shared" si="83"/>
        <v>1</v>
      </c>
    </row>
    <row r="2656" spans="1:13" x14ac:dyDescent="0.3">
      <c r="A2656">
        <v>2654</v>
      </c>
      <c r="B2656">
        <v>2655</v>
      </c>
      <c r="C2656" t="s">
        <v>2712</v>
      </c>
      <c r="D2656">
        <v>2019</v>
      </c>
      <c r="E2656" t="s">
        <v>11</v>
      </c>
      <c r="F2656" t="s">
        <v>2633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f t="shared" si="82"/>
        <v>4.5999999999999996</v>
      </c>
      <c r="M2656">
        <f t="shared" si="83"/>
        <v>1</v>
      </c>
    </row>
    <row r="2657" spans="1:13" x14ac:dyDescent="0.3">
      <c r="A2657">
        <v>2655</v>
      </c>
      <c r="B2657">
        <v>2656</v>
      </c>
      <c r="C2657" t="s">
        <v>2713</v>
      </c>
      <c r="D2657">
        <v>1974</v>
      </c>
      <c r="F2657" t="s">
        <v>2633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f t="shared" si="82"/>
        <v>4.5999999999999996</v>
      </c>
      <c r="M2657">
        <f t="shared" si="83"/>
        <v>1</v>
      </c>
    </row>
    <row r="2658" spans="1:13" x14ac:dyDescent="0.3">
      <c r="A2658">
        <v>2656</v>
      </c>
      <c r="B2658">
        <v>2657</v>
      </c>
      <c r="C2658" t="s">
        <v>2714</v>
      </c>
      <c r="D2658">
        <v>2016</v>
      </c>
      <c r="F2658" t="s">
        <v>2633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f t="shared" si="82"/>
        <v>4.5999999999999996</v>
      </c>
      <c r="M2658">
        <f t="shared" si="83"/>
        <v>1</v>
      </c>
    </row>
    <row r="2659" spans="1:13" x14ac:dyDescent="0.3">
      <c r="A2659">
        <v>2657</v>
      </c>
      <c r="B2659">
        <v>2658</v>
      </c>
      <c r="C2659" t="s">
        <v>2715</v>
      </c>
      <c r="D2659">
        <v>2019</v>
      </c>
      <c r="E2659" t="s">
        <v>22</v>
      </c>
      <c r="F2659" t="s">
        <v>2633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f t="shared" si="82"/>
        <v>4.5999999999999996</v>
      </c>
      <c r="M2659">
        <f t="shared" si="83"/>
        <v>1</v>
      </c>
    </row>
    <row r="2660" spans="1:13" x14ac:dyDescent="0.3">
      <c r="A2660">
        <v>2658</v>
      </c>
      <c r="B2660">
        <v>2659</v>
      </c>
      <c r="C2660" t="s">
        <v>2716</v>
      </c>
      <c r="D2660">
        <v>2018</v>
      </c>
      <c r="E2660" t="s">
        <v>11</v>
      </c>
      <c r="F2660" t="s">
        <v>2633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f t="shared" si="82"/>
        <v>4.5999999999999996</v>
      </c>
      <c r="M2660">
        <f t="shared" si="83"/>
        <v>1</v>
      </c>
    </row>
    <row r="2661" spans="1:13" x14ac:dyDescent="0.3">
      <c r="A2661">
        <v>2659</v>
      </c>
      <c r="B2661">
        <v>2660</v>
      </c>
      <c r="C2661" t="s">
        <v>2717</v>
      </c>
      <c r="D2661">
        <v>2006</v>
      </c>
      <c r="F2661" t="s">
        <v>2633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f t="shared" si="82"/>
        <v>4.5999999999999996</v>
      </c>
      <c r="M2661">
        <f t="shared" si="83"/>
        <v>1</v>
      </c>
    </row>
    <row r="2662" spans="1:13" x14ac:dyDescent="0.3">
      <c r="A2662">
        <v>2660</v>
      </c>
      <c r="B2662">
        <v>2661</v>
      </c>
      <c r="C2662" t="s">
        <v>2718</v>
      </c>
      <c r="D2662">
        <v>2019</v>
      </c>
      <c r="F2662" t="s">
        <v>2633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f t="shared" si="82"/>
        <v>4.5999999999999996</v>
      </c>
      <c r="M2662">
        <f t="shared" si="83"/>
        <v>1</v>
      </c>
    </row>
    <row r="2663" spans="1:13" x14ac:dyDescent="0.3">
      <c r="A2663">
        <v>2661</v>
      </c>
      <c r="B2663">
        <v>2662</v>
      </c>
      <c r="C2663" t="s">
        <v>2719</v>
      </c>
      <c r="D2663">
        <v>2019</v>
      </c>
      <c r="E2663" t="s">
        <v>36</v>
      </c>
      <c r="F2663" t="s">
        <v>2633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f t="shared" si="82"/>
        <v>4.5999999999999996</v>
      </c>
      <c r="M2663">
        <f t="shared" si="83"/>
        <v>1</v>
      </c>
    </row>
    <row r="2664" spans="1:13" x14ac:dyDescent="0.3">
      <c r="A2664">
        <v>2662</v>
      </c>
      <c r="B2664">
        <v>2663</v>
      </c>
      <c r="C2664" t="s">
        <v>2720</v>
      </c>
      <c r="D2664">
        <v>2014</v>
      </c>
      <c r="E2664" t="s">
        <v>28</v>
      </c>
      <c r="F2664" t="s">
        <v>2633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f t="shared" si="82"/>
        <v>4.5999999999999996</v>
      </c>
      <c r="M2664">
        <f t="shared" si="83"/>
        <v>1</v>
      </c>
    </row>
    <row r="2665" spans="1:13" x14ac:dyDescent="0.3">
      <c r="A2665">
        <v>2663</v>
      </c>
      <c r="B2665">
        <v>2664</v>
      </c>
      <c r="C2665" t="s">
        <v>2721</v>
      </c>
      <c r="D2665">
        <v>2018</v>
      </c>
      <c r="F2665" t="s">
        <v>2633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f t="shared" si="82"/>
        <v>4.5999999999999996</v>
      </c>
      <c r="M2665">
        <f t="shared" si="83"/>
        <v>1</v>
      </c>
    </row>
    <row r="2666" spans="1:13" x14ac:dyDescent="0.3">
      <c r="A2666">
        <v>2664</v>
      </c>
      <c r="B2666">
        <v>2665</v>
      </c>
      <c r="C2666" t="s">
        <v>2722</v>
      </c>
      <c r="D2666">
        <v>2020</v>
      </c>
      <c r="F2666" t="s">
        <v>2633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f t="shared" si="82"/>
        <v>4.5999999999999996</v>
      </c>
      <c r="M2666">
        <f t="shared" si="83"/>
        <v>1</v>
      </c>
    </row>
    <row r="2667" spans="1:13" x14ac:dyDescent="0.3">
      <c r="A2667">
        <v>2665</v>
      </c>
      <c r="B2667">
        <v>2666</v>
      </c>
      <c r="C2667" t="s">
        <v>2723</v>
      </c>
      <c r="D2667">
        <v>2008</v>
      </c>
      <c r="E2667" t="s">
        <v>14</v>
      </c>
      <c r="F2667" t="s">
        <v>2633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f t="shared" si="82"/>
        <v>4.5999999999999996</v>
      </c>
      <c r="M2667">
        <f t="shared" si="83"/>
        <v>1</v>
      </c>
    </row>
    <row r="2668" spans="1:13" x14ac:dyDescent="0.3">
      <c r="A2668">
        <v>2666</v>
      </c>
      <c r="B2668">
        <v>2667</v>
      </c>
      <c r="C2668" t="s">
        <v>2724</v>
      </c>
      <c r="D2668">
        <v>2019</v>
      </c>
      <c r="E2668" t="s">
        <v>14</v>
      </c>
      <c r="F2668" t="s">
        <v>2633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f t="shared" si="82"/>
        <v>4.5999999999999996</v>
      </c>
      <c r="M2668">
        <f t="shared" si="83"/>
        <v>1</v>
      </c>
    </row>
    <row r="2669" spans="1:13" x14ac:dyDescent="0.3">
      <c r="A2669">
        <v>2667</v>
      </c>
      <c r="B2669">
        <v>2668</v>
      </c>
      <c r="C2669" t="s">
        <v>2725</v>
      </c>
      <c r="D2669">
        <v>2020</v>
      </c>
      <c r="E2669" t="s">
        <v>28</v>
      </c>
      <c r="F2669" t="s">
        <v>2633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f t="shared" si="82"/>
        <v>4.5999999999999996</v>
      </c>
      <c r="M2669">
        <f t="shared" si="83"/>
        <v>1</v>
      </c>
    </row>
    <row r="2670" spans="1:13" x14ac:dyDescent="0.3">
      <c r="A2670">
        <v>2668</v>
      </c>
      <c r="B2670">
        <v>2669</v>
      </c>
      <c r="C2670" t="s">
        <v>2726</v>
      </c>
      <c r="D2670">
        <v>2016</v>
      </c>
      <c r="F2670" t="s">
        <v>2633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f t="shared" si="82"/>
        <v>4.5999999999999996</v>
      </c>
      <c r="M2670">
        <f t="shared" si="83"/>
        <v>1</v>
      </c>
    </row>
    <row r="2671" spans="1:13" x14ac:dyDescent="0.3">
      <c r="A2671">
        <v>2669</v>
      </c>
      <c r="B2671">
        <v>2670</v>
      </c>
      <c r="C2671" t="s">
        <v>2727</v>
      </c>
      <c r="D2671">
        <v>2016</v>
      </c>
      <c r="F2671" t="s">
        <v>2633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f t="shared" si="82"/>
        <v>4.5999999999999996</v>
      </c>
      <c r="M2671">
        <f t="shared" si="83"/>
        <v>1</v>
      </c>
    </row>
    <row r="2672" spans="1:13" x14ac:dyDescent="0.3">
      <c r="A2672">
        <v>2670</v>
      </c>
      <c r="B2672">
        <v>2671</v>
      </c>
      <c r="C2672" t="s">
        <v>2728</v>
      </c>
      <c r="D2672">
        <v>1990</v>
      </c>
      <c r="F2672" t="s">
        <v>2633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f t="shared" si="82"/>
        <v>4.5999999999999996</v>
      </c>
      <c r="M2672">
        <f t="shared" si="83"/>
        <v>1</v>
      </c>
    </row>
    <row r="2673" spans="1:13" x14ac:dyDescent="0.3">
      <c r="A2673">
        <v>2671</v>
      </c>
      <c r="B2673">
        <v>2672</v>
      </c>
      <c r="C2673" t="s">
        <v>2729</v>
      </c>
      <c r="D2673">
        <v>2018</v>
      </c>
      <c r="E2673" t="s">
        <v>36</v>
      </c>
      <c r="F2673" t="s">
        <v>2633</v>
      </c>
      <c r="G2673">
        <v>1</v>
      </c>
      <c r="H2673">
        <v>0</v>
      </c>
      <c r="I2673">
        <v>0</v>
      </c>
      <c r="J2673">
        <v>0</v>
      </c>
      <c r="K2673">
        <v>0</v>
      </c>
      <c r="L2673">
        <f t="shared" si="82"/>
        <v>4.5999999999999996</v>
      </c>
      <c r="M2673">
        <f t="shared" si="83"/>
        <v>1</v>
      </c>
    </row>
    <row r="2674" spans="1:13" x14ac:dyDescent="0.3">
      <c r="A2674">
        <v>2672</v>
      </c>
      <c r="B2674">
        <v>2673</v>
      </c>
      <c r="C2674" s="4">
        <v>37165</v>
      </c>
      <c r="D2674">
        <v>2014</v>
      </c>
      <c r="F2674" t="s">
        <v>2633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f t="shared" si="82"/>
        <v>4.5999999999999996</v>
      </c>
      <c r="M2674">
        <f t="shared" si="83"/>
        <v>1</v>
      </c>
    </row>
    <row r="2675" spans="1:13" x14ac:dyDescent="0.3">
      <c r="A2675">
        <v>2673</v>
      </c>
      <c r="B2675">
        <v>2674</v>
      </c>
      <c r="C2675" t="s">
        <v>2730</v>
      </c>
      <c r="D2675">
        <v>2019</v>
      </c>
      <c r="F2675" t="s">
        <v>2633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f t="shared" si="82"/>
        <v>4.5999999999999996</v>
      </c>
      <c r="M2675">
        <f t="shared" si="83"/>
        <v>1</v>
      </c>
    </row>
    <row r="2676" spans="1:13" x14ac:dyDescent="0.3">
      <c r="A2676">
        <v>2674</v>
      </c>
      <c r="B2676">
        <v>2675</v>
      </c>
      <c r="C2676" t="s">
        <v>2731</v>
      </c>
      <c r="D2676">
        <v>2020</v>
      </c>
      <c r="F2676" t="s">
        <v>2633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f t="shared" si="82"/>
        <v>4.5999999999999996</v>
      </c>
      <c r="M2676">
        <f t="shared" si="83"/>
        <v>1</v>
      </c>
    </row>
    <row r="2677" spans="1:13" x14ac:dyDescent="0.3">
      <c r="A2677">
        <v>2675</v>
      </c>
      <c r="B2677">
        <v>2676</v>
      </c>
      <c r="C2677" t="s">
        <v>2732</v>
      </c>
      <c r="D2677">
        <v>2020</v>
      </c>
      <c r="F2677" t="s">
        <v>2633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f t="shared" si="82"/>
        <v>4.5999999999999996</v>
      </c>
      <c r="M2677">
        <f t="shared" si="83"/>
        <v>1</v>
      </c>
    </row>
    <row r="2678" spans="1:13" x14ac:dyDescent="0.3">
      <c r="A2678">
        <v>2676</v>
      </c>
      <c r="B2678">
        <v>2677</v>
      </c>
      <c r="C2678" t="s">
        <v>2733</v>
      </c>
      <c r="D2678">
        <v>2016</v>
      </c>
      <c r="E2678" t="s">
        <v>22</v>
      </c>
      <c r="F2678" t="s">
        <v>2633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f t="shared" si="82"/>
        <v>4.5999999999999996</v>
      </c>
      <c r="M2678">
        <f t="shared" si="83"/>
        <v>1</v>
      </c>
    </row>
    <row r="2679" spans="1:13" x14ac:dyDescent="0.3">
      <c r="A2679">
        <v>2677</v>
      </c>
      <c r="B2679">
        <v>2678</v>
      </c>
      <c r="C2679" t="s">
        <v>2734</v>
      </c>
      <c r="D2679">
        <v>2018</v>
      </c>
      <c r="F2679" t="s">
        <v>2633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f t="shared" si="82"/>
        <v>4.5999999999999996</v>
      </c>
      <c r="M2679">
        <f t="shared" si="83"/>
        <v>1</v>
      </c>
    </row>
    <row r="2680" spans="1:13" x14ac:dyDescent="0.3">
      <c r="A2680">
        <v>2678</v>
      </c>
      <c r="B2680">
        <v>2679</v>
      </c>
      <c r="C2680" t="s">
        <v>2735</v>
      </c>
      <c r="D2680">
        <v>2019</v>
      </c>
      <c r="F2680" t="s">
        <v>2633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f t="shared" si="82"/>
        <v>4.5999999999999996</v>
      </c>
      <c r="M2680">
        <f t="shared" si="83"/>
        <v>1</v>
      </c>
    </row>
    <row r="2681" spans="1:13" x14ac:dyDescent="0.3">
      <c r="A2681">
        <v>2679</v>
      </c>
      <c r="B2681">
        <v>2680</v>
      </c>
      <c r="C2681" t="s">
        <v>2736</v>
      </c>
      <c r="D2681">
        <v>2020</v>
      </c>
      <c r="E2681" t="s">
        <v>11</v>
      </c>
      <c r="F2681" t="s">
        <v>2633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f t="shared" si="82"/>
        <v>4.5999999999999996</v>
      </c>
      <c r="M2681">
        <f t="shared" si="83"/>
        <v>1</v>
      </c>
    </row>
    <row r="2682" spans="1:13" x14ac:dyDescent="0.3">
      <c r="A2682">
        <v>2680</v>
      </c>
      <c r="B2682">
        <v>2681</v>
      </c>
      <c r="C2682" t="s">
        <v>2737</v>
      </c>
      <c r="D2682">
        <v>2015</v>
      </c>
      <c r="E2682" t="s">
        <v>14</v>
      </c>
      <c r="F2682" t="s">
        <v>2633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f t="shared" si="82"/>
        <v>4.5999999999999996</v>
      </c>
      <c r="M2682">
        <f t="shared" si="83"/>
        <v>1</v>
      </c>
    </row>
    <row r="2683" spans="1:13" x14ac:dyDescent="0.3">
      <c r="A2683">
        <v>2681</v>
      </c>
      <c r="B2683">
        <v>2682</v>
      </c>
      <c r="C2683" t="s">
        <v>2738</v>
      </c>
      <c r="D2683">
        <v>2017</v>
      </c>
      <c r="F2683" t="s">
        <v>2633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f t="shared" si="82"/>
        <v>4.5999999999999996</v>
      </c>
      <c r="M2683">
        <f t="shared" si="83"/>
        <v>1</v>
      </c>
    </row>
    <row r="2684" spans="1:13" x14ac:dyDescent="0.3">
      <c r="A2684">
        <v>2682</v>
      </c>
      <c r="B2684">
        <v>2683</v>
      </c>
      <c r="C2684" t="s">
        <v>2739</v>
      </c>
      <c r="D2684">
        <v>2017</v>
      </c>
      <c r="F2684" t="s">
        <v>2633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f t="shared" si="82"/>
        <v>4.5999999999999996</v>
      </c>
      <c r="M2684">
        <f t="shared" si="83"/>
        <v>1</v>
      </c>
    </row>
    <row r="2685" spans="1:13" x14ac:dyDescent="0.3">
      <c r="A2685">
        <v>2683</v>
      </c>
      <c r="B2685">
        <v>2684</v>
      </c>
      <c r="C2685" t="s">
        <v>2740</v>
      </c>
      <c r="D2685">
        <v>2019</v>
      </c>
      <c r="E2685" t="s">
        <v>28</v>
      </c>
      <c r="F2685" t="s">
        <v>2633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f t="shared" si="82"/>
        <v>4.5999999999999996</v>
      </c>
      <c r="M2685">
        <f t="shared" si="83"/>
        <v>1</v>
      </c>
    </row>
    <row r="2686" spans="1:13" x14ac:dyDescent="0.3">
      <c r="A2686">
        <v>2684</v>
      </c>
      <c r="B2686">
        <v>2685</v>
      </c>
      <c r="C2686" t="s">
        <v>2741</v>
      </c>
      <c r="D2686">
        <v>2015</v>
      </c>
      <c r="F2686" t="s">
        <v>2633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f t="shared" si="82"/>
        <v>4.5999999999999996</v>
      </c>
      <c r="M2686">
        <f t="shared" si="83"/>
        <v>1</v>
      </c>
    </row>
    <row r="2687" spans="1:13" x14ac:dyDescent="0.3">
      <c r="A2687">
        <v>2685</v>
      </c>
      <c r="B2687">
        <v>2686</v>
      </c>
      <c r="C2687" t="s">
        <v>2742</v>
      </c>
      <c r="D2687">
        <v>2015</v>
      </c>
      <c r="F2687" t="s">
        <v>2633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f t="shared" si="82"/>
        <v>4.5999999999999996</v>
      </c>
      <c r="M2687">
        <f t="shared" si="83"/>
        <v>1</v>
      </c>
    </row>
    <row r="2688" spans="1:13" x14ac:dyDescent="0.3">
      <c r="A2688">
        <v>2686</v>
      </c>
      <c r="B2688">
        <v>2687</v>
      </c>
      <c r="C2688" t="s">
        <v>2743</v>
      </c>
      <c r="D2688">
        <v>2019</v>
      </c>
      <c r="E2688" t="s">
        <v>11</v>
      </c>
      <c r="F2688" t="s">
        <v>2633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f t="shared" si="82"/>
        <v>4.5999999999999996</v>
      </c>
      <c r="M2688">
        <f t="shared" si="83"/>
        <v>1</v>
      </c>
    </row>
    <row r="2689" spans="1:13" x14ac:dyDescent="0.3">
      <c r="A2689">
        <v>2687</v>
      </c>
      <c r="B2689">
        <v>2688</v>
      </c>
      <c r="C2689" t="s">
        <v>2744</v>
      </c>
      <c r="D2689">
        <v>2006</v>
      </c>
      <c r="F2689" t="s">
        <v>2633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f t="shared" si="82"/>
        <v>4.5999999999999996</v>
      </c>
      <c r="M2689">
        <f t="shared" si="83"/>
        <v>1</v>
      </c>
    </row>
    <row r="2690" spans="1:13" x14ac:dyDescent="0.3">
      <c r="A2690">
        <v>2688</v>
      </c>
      <c r="B2690">
        <v>2689</v>
      </c>
      <c r="C2690" t="s">
        <v>2745</v>
      </c>
      <c r="D2690">
        <v>2019</v>
      </c>
      <c r="E2690" t="s">
        <v>28</v>
      </c>
      <c r="F2690" t="s">
        <v>2633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f t="shared" si="82"/>
        <v>4.5999999999999996</v>
      </c>
      <c r="M2690">
        <f t="shared" si="83"/>
        <v>1</v>
      </c>
    </row>
    <row r="2691" spans="1:13" x14ac:dyDescent="0.3">
      <c r="A2691">
        <v>2689</v>
      </c>
      <c r="B2691">
        <v>2690</v>
      </c>
      <c r="C2691" t="s">
        <v>2746</v>
      </c>
      <c r="D2691">
        <v>2016</v>
      </c>
      <c r="F2691" t="s">
        <v>2633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f t="shared" ref="L2691:L2754" si="84">IFERROR(VALUE(LEFT(F2691,FIND("/",F2691)-1))/10,"")</f>
        <v>4.5999999999999996</v>
      </c>
      <c r="M2691">
        <f t="shared" ref="M2691:M2754" si="85">SUM(G2691:J2691)</f>
        <v>1</v>
      </c>
    </row>
    <row r="2692" spans="1:13" x14ac:dyDescent="0.3">
      <c r="A2692">
        <v>2690</v>
      </c>
      <c r="B2692">
        <v>2691</v>
      </c>
      <c r="C2692" t="s">
        <v>2747</v>
      </c>
      <c r="D2692">
        <v>2021</v>
      </c>
      <c r="F2692" t="s">
        <v>2633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f t="shared" si="84"/>
        <v>4.5999999999999996</v>
      </c>
      <c r="M2692">
        <f t="shared" si="85"/>
        <v>1</v>
      </c>
    </row>
    <row r="2693" spans="1:13" x14ac:dyDescent="0.3">
      <c r="A2693">
        <v>2691</v>
      </c>
      <c r="B2693">
        <v>2692</v>
      </c>
      <c r="C2693" t="s">
        <v>2748</v>
      </c>
      <c r="D2693">
        <v>2018</v>
      </c>
      <c r="F2693" t="s">
        <v>2633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f t="shared" si="84"/>
        <v>4.5999999999999996</v>
      </c>
      <c r="M2693">
        <f t="shared" si="85"/>
        <v>1</v>
      </c>
    </row>
    <row r="2694" spans="1:13" x14ac:dyDescent="0.3">
      <c r="A2694">
        <v>2692</v>
      </c>
      <c r="B2694">
        <v>2693</v>
      </c>
      <c r="C2694" t="s">
        <v>2749</v>
      </c>
      <c r="D2694">
        <v>1980</v>
      </c>
      <c r="E2694" t="s">
        <v>11</v>
      </c>
      <c r="F2694" t="s">
        <v>2633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f t="shared" si="84"/>
        <v>4.5999999999999996</v>
      </c>
      <c r="M2694">
        <f t="shared" si="85"/>
        <v>1</v>
      </c>
    </row>
    <row r="2695" spans="1:13" x14ac:dyDescent="0.3">
      <c r="A2695">
        <v>2693</v>
      </c>
      <c r="B2695">
        <v>2694</v>
      </c>
      <c r="C2695" t="s">
        <v>2750</v>
      </c>
      <c r="D2695">
        <v>2017</v>
      </c>
      <c r="F2695" t="s">
        <v>2633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f t="shared" si="84"/>
        <v>4.5999999999999996</v>
      </c>
      <c r="M2695">
        <f t="shared" si="85"/>
        <v>1</v>
      </c>
    </row>
    <row r="2696" spans="1:13" x14ac:dyDescent="0.3">
      <c r="A2696">
        <v>2694</v>
      </c>
      <c r="B2696">
        <v>2695</v>
      </c>
      <c r="C2696" t="s">
        <v>2751</v>
      </c>
      <c r="D2696">
        <v>2019</v>
      </c>
      <c r="F2696" t="s">
        <v>2633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f t="shared" si="84"/>
        <v>4.5999999999999996</v>
      </c>
      <c r="M2696">
        <f t="shared" si="85"/>
        <v>1</v>
      </c>
    </row>
    <row r="2697" spans="1:13" x14ac:dyDescent="0.3">
      <c r="A2697">
        <v>2695</v>
      </c>
      <c r="B2697">
        <v>2696</v>
      </c>
      <c r="C2697" t="s">
        <v>2752</v>
      </c>
      <c r="D2697">
        <v>2020</v>
      </c>
      <c r="E2697" t="s">
        <v>28</v>
      </c>
      <c r="F2697" t="s">
        <v>2633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f t="shared" si="84"/>
        <v>4.5999999999999996</v>
      </c>
      <c r="M2697">
        <f t="shared" si="85"/>
        <v>1</v>
      </c>
    </row>
    <row r="2698" spans="1:13" x14ac:dyDescent="0.3">
      <c r="A2698">
        <v>2696</v>
      </c>
      <c r="B2698">
        <v>2697</v>
      </c>
      <c r="C2698" t="s">
        <v>2753</v>
      </c>
      <c r="D2698">
        <v>2016</v>
      </c>
      <c r="F2698" t="s">
        <v>2633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f t="shared" si="84"/>
        <v>4.5999999999999996</v>
      </c>
      <c r="M2698">
        <f t="shared" si="85"/>
        <v>1</v>
      </c>
    </row>
    <row r="2699" spans="1:13" x14ac:dyDescent="0.3">
      <c r="A2699">
        <v>2697</v>
      </c>
      <c r="B2699">
        <v>2698</v>
      </c>
      <c r="C2699" t="s">
        <v>2754</v>
      </c>
      <c r="D2699">
        <v>2017</v>
      </c>
      <c r="E2699" t="s">
        <v>28</v>
      </c>
      <c r="F2699" t="s">
        <v>2755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f t="shared" si="84"/>
        <v>4.5</v>
      </c>
      <c r="M2699">
        <f t="shared" si="85"/>
        <v>1</v>
      </c>
    </row>
    <row r="2700" spans="1:13" x14ac:dyDescent="0.3">
      <c r="A2700">
        <v>2698</v>
      </c>
      <c r="B2700">
        <v>2699</v>
      </c>
      <c r="C2700" t="s">
        <v>2756</v>
      </c>
      <c r="D2700">
        <v>2011</v>
      </c>
      <c r="E2700" t="s">
        <v>22</v>
      </c>
      <c r="F2700" t="s">
        <v>2755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f t="shared" si="84"/>
        <v>4.5</v>
      </c>
      <c r="M2700">
        <f t="shared" si="85"/>
        <v>1</v>
      </c>
    </row>
    <row r="2701" spans="1:13" x14ac:dyDescent="0.3">
      <c r="A2701">
        <v>2699</v>
      </c>
      <c r="B2701">
        <v>2700</v>
      </c>
      <c r="C2701" t="s">
        <v>2757</v>
      </c>
      <c r="D2701">
        <v>2018</v>
      </c>
      <c r="F2701" t="s">
        <v>2755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f t="shared" si="84"/>
        <v>4.5</v>
      </c>
      <c r="M2701">
        <f t="shared" si="85"/>
        <v>1</v>
      </c>
    </row>
    <row r="2702" spans="1:13" x14ac:dyDescent="0.3">
      <c r="A2702">
        <v>2700</v>
      </c>
      <c r="B2702">
        <v>2701</v>
      </c>
      <c r="C2702" t="s">
        <v>2758</v>
      </c>
      <c r="D2702">
        <v>2017</v>
      </c>
      <c r="F2702" t="s">
        <v>2755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f t="shared" si="84"/>
        <v>4.5</v>
      </c>
      <c r="M2702">
        <f t="shared" si="85"/>
        <v>1</v>
      </c>
    </row>
    <row r="2703" spans="1:13" x14ac:dyDescent="0.3">
      <c r="A2703">
        <v>2701</v>
      </c>
      <c r="B2703">
        <v>2702</v>
      </c>
      <c r="C2703" t="s">
        <v>2759</v>
      </c>
      <c r="D2703">
        <v>1986</v>
      </c>
      <c r="F2703" t="s">
        <v>2755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f t="shared" si="84"/>
        <v>4.5</v>
      </c>
      <c r="M2703">
        <f t="shared" si="85"/>
        <v>1</v>
      </c>
    </row>
    <row r="2704" spans="1:13" x14ac:dyDescent="0.3">
      <c r="A2704">
        <v>2702</v>
      </c>
      <c r="B2704">
        <v>2703</v>
      </c>
      <c r="C2704" t="s">
        <v>2760</v>
      </c>
      <c r="D2704">
        <v>2014</v>
      </c>
      <c r="E2704" t="s">
        <v>36</v>
      </c>
      <c r="F2704" t="s">
        <v>2755</v>
      </c>
      <c r="G2704">
        <v>1</v>
      </c>
      <c r="H2704">
        <v>1</v>
      </c>
      <c r="I2704">
        <v>0</v>
      </c>
      <c r="J2704">
        <v>0</v>
      </c>
      <c r="K2704">
        <v>0</v>
      </c>
      <c r="L2704">
        <f t="shared" si="84"/>
        <v>4.5</v>
      </c>
      <c r="M2704">
        <f t="shared" si="85"/>
        <v>2</v>
      </c>
    </row>
    <row r="2705" spans="1:13" x14ac:dyDescent="0.3">
      <c r="A2705">
        <v>2703</v>
      </c>
      <c r="B2705">
        <v>2704</v>
      </c>
      <c r="C2705" t="s">
        <v>2761</v>
      </c>
      <c r="D2705">
        <v>2020</v>
      </c>
      <c r="E2705" t="s">
        <v>11</v>
      </c>
      <c r="F2705" t="s">
        <v>2755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f t="shared" si="84"/>
        <v>4.5</v>
      </c>
      <c r="M2705">
        <f t="shared" si="85"/>
        <v>1</v>
      </c>
    </row>
    <row r="2706" spans="1:13" x14ac:dyDescent="0.3">
      <c r="A2706">
        <v>2704</v>
      </c>
      <c r="B2706">
        <v>2705</v>
      </c>
      <c r="C2706" t="s">
        <v>2762</v>
      </c>
      <c r="D2706">
        <v>2019</v>
      </c>
      <c r="E2706" t="s">
        <v>11</v>
      </c>
      <c r="F2706" t="s">
        <v>2755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f t="shared" si="84"/>
        <v>4.5</v>
      </c>
      <c r="M2706">
        <f t="shared" si="85"/>
        <v>1</v>
      </c>
    </row>
    <row r="2707" spans="1:13" x14ac:dyDescent="0.3">
      <c r="A2707">
        <v>2705</v>
      </c>
      <c r="B2707">
        <v>2706</v>
      </c>
      <c r="C2707" t="s">
        <v>2763</v>
      </c>
      <c r="D2707">
        <v>2019</v>
      </c>
      <c r="F2707" t="s">
        <v>2755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f t="shared" si="84"/>
        <v>4.5</v>
      </c>
      <c r="M2707">
        <f t="shared" si="85"/>
        <v>1</v>
      </c>
    </row>
    <row r="2708" spans="1:13" x14ac:dyDescent="0.3">
      <c r="A2708">
        <v>2706</v>
      </c>
      <c r="B2708">
        <v>2707</v>
      </c>
      <c r="C2708" t="s">
        <v>2764</v>
      </c>
      <c r="D2708">
        <v>2018</v>
      </c>
      <c r="F2708" t="s">
        <v>2755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f t="shared" si="84"/>
        <v>4.5</v>
      </c>
      <c r="M2708">
        <f t="shared" si="85"/>
        <v>1</v>
      </c>
    </row>
    <row r="2709" spans="1:13" x14ac:dyDescent="0.3">
      <c r="A2709">
        <v>2707</v>
      </c>
      <c r="B2709">
        <v>2708</v>
      </c>
      <c r="C2709" t="s">
        <v>2765</v>
      </c>
      <c r="D2709">
        <v>1992</v>
      </c>
      <c r="F2709" t="s">
        <v>2755</v>
      </c>
      <c r="G2709">
        <v>1</v>
      </c>
      <c r="H2709">
        <v>0</v>
      </c>
      <c r="I2709">
        <v>1</v>
      </c>
      <c r="J2709">
        <v>0</v>
      </c>
      <c r="K2709">
        <v>0</v>
      </c>
      <c r="L2709">
        <f t="shared" si="84"/>
        <v>4.5</v>
      </c>
      <c r="M2709">
        <f t="shared" si="85"/>
        <v>2</v>
      </c>
    </row>
    <row r="2710" spans="1:13" x14ac:dyDescent="0.3">
      <c r="A2710">
        <v>2708</v>
      </c>
      <c r="B2710">
        <v>2709</v>
      </c>
      <c r="C2710" t="s">
        <v>2766</v>
      </c>
      <c r="D2710">
        <v>2018</v>
      </c>
      <c r="E2710" t="s">
        <v>11</v>
      </c>
      <c r="F2710" t="s">
        <v>2755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f t="shared" si="84"/>
        <v>4.5</v>
      </c>
      <c r="M2710">
        <f t="shared" si="85"/>
        <v>1</v>
      </c>
    </row>
    <row r="2711" spans="1:13" x14ac:dyDescent="0.3">
      <c r="A2711">
        <v>2709</v>
      </c>
      <c r="B2711">
        <v>2710</v>
      </c>
      <c r="C2711" t="s">
        <v>2767</v>
      </c>
      <c r="D2711">
        <v>1991</v>
      </c>
      <c r="F2711" t="s">
        <v>2755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f t="shared" si="84"/>
        <v>4.5</v>
      </c>
      <c r="M2711">
        <f t="shared" si="85"/>
        <v>1</v>
      </c>
    </row>
    <row r="2712" spans="1:13" x14ac:dyDescent="0.3">
      <c r="A2712">
        <v>2710</v>
      </c>
      <c r="B2712">
        <v>2711</v>
      </c>
      <c r="C2712" t="s">
        <v>2768</v>
      </c>
      <c r="D2712">
        <v>2017</v>
      </c>
      <c r="F2712" t="s">
        <v>2755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f t="shared" si="84"/>
        <v>4.5</v>
      </c>
      <c r="M2712">
        <f t="shared" si="85"/>
        <v>1</v>
      </c>
    </row>
    <row r="2713" spans="1:13" x14ac:dyDescent="0.3">
      <c r="A2713">
        <v>2711</v>
      </c>
      <c r="B2713">
        <v>2712</v>
      </c>
      <c r="C2713" t="s">
        <v>2769</v>
      </c>
      <c r="D2713">
        <v>2017</v>
      </c>
      <c r="F2713" t="s">
        <v>2755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f t="shared" si="84"/>
        <v>4.5</v>
      </c>
      <c r="M2713">
        <f t="shared" si="85"/>
        <v>1</v>
      </c>
    </row>
    <row r="2714" spans="1:13" x14ac:dyDescent="0.3">
      <c r="A2714">
        <v>2712</v>
      </c>
      <c r="B2714">
        <v>2713</v>
      </c>
      <c r="C2714" t="s">
        <v>2770</v>
      </c>
      <c r="D2714">
        <v>2016</v>
      </c>
      <c r="F2714" t="s">
        <v>2755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f t="shared" si="84"/>
        <v>4.5</v>
      </c>
      <c r="M2714">
        <f t="shared" si="85"/>
        <v>1</v>
      </c>
    </row>
    <row r="2715" spans="1:13" x14ac:dyDescent="0.3">
      <c r="A2715">
        <v>2713</v>
      </c>
      <c r="B2715">
        <v>2714</v>
      </c>
      <c r="C2715" t="s">
        <v>2771</v>
      </c>
      <c r="D2715">
        <v>2020</v>
      </c>
      <c r="E2715" t="s">
        <v>11</v>
      </c>
      <c r="F2715" t="s">
        <v>2755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f t="shared" si="84"/>
        <v>4.5</v>
      </c>
      <c r="M2715">
        <f t="shared" si="85"/>
        <v>1</v>
      </c>
    </row>
    <row r="2716" spans="1:13" x14ac:dyDescent="0.3">
      <c r="A2716">
        <v>2714</v>
      </c>
      <c r="B2716">
        <v>2715</v>
      </c>
      <c r="C2716" t="s">
        <v>2772</v>
      </c>
      <c r="D2716">
        <v>2018</v>
      </c>
      <c r="F2716" t="s">
        <v>2755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f t="shared" si="84"/>
        <v>4.5</v>
      </c>
      <c r="M2716">
        <f t="shared" si="85"/>
        <v>1</v>
      </c>
    </row>
    <row r="2717" spans="1:13" x14ac:dyDescent="0.3">
      <c r="A2717">
        <v>2715</v>
      </c>
      <c r="B2717">
        <v>2716</v>
      </c>
      <c r="C2717" t="s">
        <v>2773</v>
      </c>
      <c r="D2717">
        <v>2014</v>
      </c>
      <c r="E2717" t="s">
        <v>22</v>
      </c>
      <c r="F2717" t="s">
        <v>2755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f t="shared" si="84"/>
        <v>4.5</v>
      </c>
      <c r="M2717">
        <f t="shared" si="85"/>
        <v>1</v>
      </c>
    </row>
    <row r="2718" spans="1:13" x14ac:dyDescent="0.3">
      <c r="A2718">
        <v>2716</v>
      </c>
      <c r="B2718">
        <v>2717</v>
      </c>
      <c r="C2718" t="s">
        <v>2774</v>
      </c>
      <c r="D2718">
        <v>2015</v>
      </c>
      <c r="E2718" t="s">
        <v>11</v>
      </c>
      <c r="F2718" t="s">
        <v>2755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f t="shared" si="84"/>
        <v>4.5</v>
      </c>
      <c r="M2718">
        <f t="shared" si="85"/>
        <v>1</v>
      </c>
    </row>
    <row r="2719" spans="1:13" x14ac:dyDescent="0.3">
      <c r="A2719">
        <v>2717</v>
      </c>
      <c r="B2719">
        <v>2718</v>
      </c>
      <c r="C2719" t="s">
        <v>2775</v>
      </c>
      <c r="D2719">
        <v>2020</v>
      </c>
      <c r="E2719" t="s">
        <v>11</v>
      </c>
      <c r="F2719" t="s">
        <v>2755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f t="shared" si="84"/>
        <v>4.5</v>
      </c>
      <c r="M2719">
        <f t="shared" si="85"/>
        <v>1</v>
      </c>
    </row>
    <row r="2720" spans="1:13" x14ac:dyDescent="0.3">
      <c r="A2720">
        <v>2718</v>
      </c>
      <c r="B2720">
        <v>2719</v>
      </c>
      <c r="C2720" t="s">
        <v>2776</v>
      </c>
      <c r="D2720">
        <v>2017</v>
      </c>
      <c r="E2720" t="s">
        <v>11</v>
      </c>
      <c r="F2720" t="s">
        <v>2755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f t="shared" si="84"/>
        <v>4.5</v>
      </c>
      <c r="M2720">
        <f t="shared" si="85"/>
        <v>1</v>
      </c>
    </row>
    <row r="2721" spans="1:13" x14ac:dyDescent="0.3">
      <c r="A2721">
        <v>2719</v>
      </c>
      <c r="B2721">
        <v>2720</v>
      </c>
      <c r="C2721" t="s">
        <v>2777</v>
      </c>
      <c r="D2721">
        <v>2017</v>
      </c>
      <c r="F2721" t="s">
        <v>2755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f t="shared" si="84"/>
        <v>4.5</v>
      </c>
      <c r="M2721">
        <f t="shared" si="85"/>
        <v>1</v>
      </c>
    </row>
    <row r="2722" spans="1:13" x14ac:dyDescent="0.3">
      <c r="A2722">
        <v>2720</v>
      </c>
      <c r="B2722">
        <v>2721</v>
      </c>
      <c r="C2722" t="s">
        <v>2778</v>
      </c>
      <c r="D2722">
        <v>2019</v>
      </c>
      <c r="F2722" t="s">
        <v>2755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f t="shared" si="84"/>
        <v>4.5</v>
      </c>
      <c r="M2722">
        <f t="shared" si="85"/>
        <v>1</v>
      </c>
    </row>
    <row r="2723" spans="1:13" x14ac:dyDescent="0.3">
      <c r="A2723">
        <v>2721</v>
      </c>
      <c r="B2723">
        <v>2722</v>
      </c>
      <c r="C2723" t="s">
        <v>2779</v>
      </c>
      <c r="D2723">
        <v>1993</v>
      </c>
      <c r="F2723" t="s">
        <v>2755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f t="shared" si="84"/>
        <v>4.5</v>
      </c>
      <c r="M2723">
        <f t="shared" si="85"/>
        <v>1</v>
      </c>
    </row>
    <row r="2724" spans="1:13" x14ac:dyDescent="0.3">
      <c r="A2724">
        <v>2722</v>
      </c>
      <c r="B2724">
        <v>2723</v>
      </c>
      <c r="C2724" t="s">
        <v>2780</v>
      </c>
      <c r="D2724">
        <v>2021</v>
      </c>
      <c r="F2724" t="s">
        <v>2755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f t="shared" si="84"/>
        <v>4.5</v>
      </c>
      <c r="M2724">
        <f t="shared" si="85"/>
        <v>1</v>
      </c>
    </row>
    <row r="2725" spans="1:13" x14ac:dyDescent="0.3">
      <c r="A2725">
        <v>2723</v>
      </c>
      <c r="B2725">
        <v>2724</v>
      </c>
      <c r="C2725" t="s">
        <v>2781</v>
      </c>
      <c r="D2725">
        <v>2015</v>
      </c>
      <c r="F2725" t="s">
        <v>2755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f t="shared" si="84"/>
        <v>4.5</v>
      </c>
      <c r="M2725">
        <f t="shared" si="85"/>
        <v>1</v>
      </c>
    </row>
    <row r="2726" spans="1:13" x14ac:dyDescent="0.3">
      <c r="A2726">
        <v>2724</v>
      </c>
      <c r="B2726">
        <v>2725</v>
      </c>
      <c r="C2726" t="s">
        <v>2782</v>
      </c>
      <c r="D2726">
        <v>2021</v>
      </c>
      <c r="F2726" t="s">
        <v>2755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f t="shared" si="84"/>
        <v>4.5</v>
      </c>
      <c r="M2726">
        <f t="shared" si="85"/>
        <v>1</v>
      </c>
    </row>
    <row r="2727" spans="1:13" x14ac:dyDescent="0.3">
      <c r="A2727">
        <v>2725</v>
      </c>
      <c r="B2727">
        <v>2726</v>
      </c>
      <c r="C2727" t="s">
        <v>2783</v>
      </c>
      <c r="D2727">
        <v>2020</v>
      </c>
      <c r="F2727" t="s">
        <v>2755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f t="shared" si="84"/>
        <v>4.5</v>
      </c>
      <c r="M2727">
        <f t="shared" si="85"/>
        <v>1</v>
      </c>
    </row>
    <row r="2728" spans="1:13" x14ac:dyDescent="0.3">
      <c r="A2728">
        <v>2726</v>
      </c>
      <c r="B2728">
        <v>2727</v>
      </c>
      <c r="C2728" t="s">
        <v>2784</v>
      </c>
      <c r="D2728">
        <v>2011</v>
      </c>
      <c r="F2728" t="s">
        <v>2755</v>
      </c>
      <c r="G2728">
        <v>1</v>
      </c>
      <c r="H2728">
        <v>0</v>
      </c>
      <c r="I2728">
        <v>0</v>
      </c>
      <c r="J2728">
        <v>0</v>
      </c>
      <c r="K2728">
        <v>0</v>
      </c>
      <c r="L2728">
        <f t="shared" si="84"/>
        <v>4.5</v>
      </c>
      <c r="M2728">
        <f t="shared" si="85"/>
        <v>1</v>
      </c>
    </row>
    <row r="2729" spans="1:13" x14ac:dyDescent="0.3">
      <c r="A2729">
        <v>2727</v>
      </c>
      <c r="B2729">
        <v>2728</v>
      </c>
      <c r="C2729" t="s">
        <v>2785</v>
      </c>
      <c r="D2729">
        <v>2017</v>
      </c>
      <c r="E2729" t="s">
        <v>28</v>
      </c>
      <c r="F2729" t="s">
        <v>2755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f t="shared" si="84"/>
        <v>4.5</v>
      </c>
      <c r="M2729">
        <f t="shared" si="85"/>
        <v>1</v>
      </c>
    </row>
    <row r="2730" spans="1:13" x14ac:dyDescent="0.3">
      <c r="A2730">
        <v>2728</v>
      </c>
      <c r="B2730">
        <v>2729</v>
      </c>
      <c r="C2730" t="s">
        <v>2786</v>
      </c>
      <c r="D2730">
        <v>2019</v>
      </c>
      <c r="F2730" t="s">
        <v>2755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f t="shared" si="84"/>
        <v>4.5</v>
      </c>
      <c r="M2730">
        <f t="shared" si="85"/>
        <v>1</v>
      </c>
    </row>
    <row r="2731" spans="1:13" x14ac:dyDescent="0.3">
      <c r="A2731">
        <v>2729</v>
      </c>
      <c r="B2731">
        <v>2730</v>
      </c>
      <c r="C2731" t="s">
        <v>2787</v>
      </c>
      <c r="D2731">
        <v>2017</v>
      </c>
      <c r="E2731" t="s">
        <v>36</v>
      </c>
      <c r="F2731" t="s">
        <v>2755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f t="shared" si="84"/>
        <v>4.5</v>
      </c>
      <c r="M2731">
        <f t="shared" si="85"/>
        <v>1</v>
      </c>
    </row>
    <row r="2732" spans="1:13" x14ac:dyDescent="0.3">
      <c r="A2732">
        <v>2730</v>
      </c>
      <c r="B2732">
        <v>2731</v>
      </c>
      <c r="C2732" t="s">
        <v>2788</v>
      </c>
      <c r="D2732">
        <v>2019</v>
      </c>
      <c r="F2732" t="s">
        <v>2755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f t="shared" si="84"/>
        <v>4.5</v>
      </c>
      <c r="M2732">
        <f t="shared" si="85"/>
        <v>1</v>
      </c>
    </row>
    <row r="2733" spans="1:13" x14ac:dyDescent="0.3">
      <c r="A2733">
        <v>2731</v>
      </c>
      <c r="B2733">
        <v>2732</v>
      </c>
      <c r="C2733" t="s">
        <v>2789</v>
      </c>
      <c r="D2733">
        <v>2021</v>
      </c>
      <c r="F2733" t="s">
        <v>2755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f t="shared" si="84"/>
        <v>4.5</v>
      </c>
      <c r="M2733">
        <f t="shared" si="85"/>
        <v>1</v>
      </c>
    </row>
    <row r="2734" spans="1:13" x14ac:dyDescent="0.3">
      <c r="A2734">
        <v>2732</v>
      </c>
      <c r="B2734">
        <v>2733</v>
      </c>
      <c r="C2734" t="s">
        <v>2790</v>
      </c>
      <c r="D2734">
        <v>2019</v>
      </c>
      <c r="F2734" t="s">
        <v>2755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f t="shared" si="84"/>
        <v>4.5</v>
      </c>
      <c r="M2734">
        <f t="shared" si="85"/>
        <v>1</v>
      </c>
    </row>
    <row r="2735" spans="1:13" x14ac:dyDescent="0.3">
      <c r="A2735">
        <v>2733</v>
      </c>
      <c r="B2735">
        <v>2734</v>
      </c>
      <c r="C2735" t="s">
        <v>2791</v>
      </c>
      <c r="D2735">
        <v>2013</v>
      </c>
      <c r="F2735" t="s">
        <v>2755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f t="shared" si="84"/>
        <v>4.5</v>
      </c>
      <c r="M2735">
        <f t="shared" si="85"/>
        <v>1</v>
      </c>
    </row>
    <row r="2736" spans="1:13" x14ac:dyDescent="0.3">
      <c r="A2736">
        <v>2734</v>
      </c>
      <c r="B2736">
        <v>2735</v>
      </c>
      <c r="C2736" t="s">
        <v>2792</v>
      </c>
      <c r="D2736">
        <v>2020</v>
      </c>
      <c r="E2736" t="s">
        <v>11</v>
      </c>
      <c r="F2736" t="s">
        <v>2755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f t="shared" si="84"/>
        <v>4.5</v>
      </c>
      <c r="M2736">
        <f t="shared" si="85"/>
        <v>1</v>
      </c>
    </row>
    <row r="2737" spans="1:13" x14ac:dyDescent="0.3">
      <c r="A2737">
        <v>2735</v>
      </c>
      <c r="B2737">
        <v>2736</v>
      </c>
      <c r="C2737" t="s">
        <v>2793</v>
      </c>
      <c r="D2737">
        <v>2019</v>
      </c>
      <c r="F2737" t="s">
        <v>2755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f t="shared" si="84"/>
        <v>4.5</v>
      </c>
      <c r="M2737">
        <f t="shared" si="85"/>
        <v>1</v>
      </c>
    </row>
    <row r="2738" spans="1:13" x14ac:dyDescent="0.3">
      <c r="A2738">
        <v>2736</v>
      </c>
      <c r="B2738">
        <v>2737</v>
      </c>
      <c r="C2738" t="s">
        <v>2794</v>
      </c>
      <c r="D2738">
        <v>2017</v>
      </c>
      <c r="E2738" t="s">
        <v>11</v>
      </c>
      <c r="F2738" t="s">
        <v>2755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f t="shared" si="84"/>
        <v>4.5</v>
      </c>
      <c r="M2738">
        <f t="shared" si="85"/>
        <v>1</v>
      </c>
    </row>
    <row r="2739" spans="1:13" x14ac:dyDescent="0.3">
      <c r="A2739">
        <v>2737</v>
      </c>
      <c r="B2739">
        <v>2738</v>
      </c>
      <c r="C2739" t="s">
        <v>2795</v>
      </c>
      <c r="D2739">
        <v>2016</v>
      </c>
      <c r="F2739" t="s">
        <v>2755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f t="shared" si="84"/>
        <v>4.5</v>
      </c>
      <c r="M2739">
        <f t="shared" si="85"/>
        <v>1</v>
      </c>
    </row>
    <row r="2740" spans="1:13" x14ac:dyDescent="0.3">
      <c r="A2740">
        <v>2738</v>
      </c>
      <c r="B2740">
        <v>2739</v>
      </c>
      <c r="C2740" t="s">
        <v>2796</v>
      </c>
      <c r="D2740">
        <v>2011</v>
      </c>
      <c r="F2740" t="s">
        <v>2755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f t="shared" si="84"/>
        <v>4.5</v>
      </c>
      <c r="M2740">
        <f t="shared" si="85"/>
        <v>1</v>
      </c>
    </row>
    <row r="2741" spans="1:13" x14ac:dyDescent="0.3">
      <c r="A2741">
        <v>2739</v>
      </c>
      <c r="B2741">
        <v>2740</v>
      </c>
      <c r="C2741" t="s">
        <v>2797</v>
      </c>
      <c r="D2741">
        <v>2021</v>
      </c>
      <c r="F2741" t="s">
        <v>2755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f t="shared" si="84"/>
        <v>4.5</v>
      </c>
      <c r="M2741">
        <f t="shared" si="85"/>
        <v>1</v>
      </c>
    </row>
    <row r="2742" spans="1:13" x14ac:dyDescent="0.3">
      <c r="A2742">
        <v>2740</v>
      </c>
      <c r="B2742">
        <v>2741</v>
      </c>
      <c r="C2742" t="s">
        <v>2798</v>
      </c>
      <c r="D2742">
        <v>2018</v>
      </c>
      <c r="F2742" t="s">
        <v>2755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f t="shared" si="84"/>
        <v>4.5</v>
      </c>
      <c r="M2742">
        <f t="shared" si="85"/>
        <v>1</v>
      </c>
    </row>
    <row r="2743" spans="1:13" x14ac:dyDescent="0.3">
      <c r="A2743">
        <v>2741</v>
      </c>
      <c r="B2743">
        <v>2742</v>
      </c>
      <c r="C2743" t="s">
        <v>2799</v>
      </c>
      <c r="D2743">
        <v>2015</v>
      </c>
      <c r="E2743" t="s">
        <v>22</v>
      </c>
      <c r="F2743" t="s">
        <v>2755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f t="shared" si="84"/>
        <v>4.5</v>
      </c>
      <c r="M2743">
        <f t="shared" si="85"/>
        <v>1</v>
      </c>
    </row>
    <row r="2744" spans="1:13" x14ac:dyDescent="0.3">
      <c r="A2744">
        <v>2742</v>
      </c>
      <c r="B2744">
        <v>2743</v>
      </c>
      <c r="C2744" t="s">
        <v>2800</v>
      </c>
      <c r="D2744">
        <v>2019</v>
      </c>
      <c r="E2744" t="s">
        <v>22</v>
      </c>
      <c r="F2744" t="s">
        <v>2755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f t="shared" si="84"/>
        <v>4.5</v>
      </c>
      <c r="M2744">
        <f t="shared" si="85"/>
        <v>1</v>
      </c>
    </row>
    <row r="2745" spans="1:13" x14ac:dyDescent="0.3">
      <c r="A2745">
        <v>2743</v>
      </c>
      <c r="B2745">
        <v>2744</v>
      </c>
      <c r="C2745" t="s">
        <v>2801</v>
      </c>
      <c r="D2745">
        <v>2017</v>
      </c>
      <c r="F2745" t="s">
        <v>2755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f t="shared" si="84"/>
        <v>4.5</v>
      </c>
      <c r="M2745">
        <f t="shared" si="85"/>
        <v>1</v>
      </c>
    </row>
    <row r="2746" spans="1:13" x14ac:dyDescent="0.3">
      <c r="A2746">
        <v>2744</v>
      </c>
      <c r="B2746">
        <v>2745</v>
      </c>
      <c r="C2746" t="s">
        <v>2802</v>
      </c>
      <c r="D2746">
        <v>2020</v>
      </c>
      <c r="F2746" t="s">
        <v>2755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f t="shared" si="84"/>
        <v>4.5</v>
      </c>
      <c r="M2746">
        <f t="shared" si="85"/>
        <v>1</v>
      </c>
    </row>
    <row r="2747" spans="1:13" x14ac:dyDescent="0.3">
      <c r="A2747">
        <v>2745</v>
      </c>
      <c r="B2747">
        <v>2746</v>
      </c>
      <c r="C2747" t="s">
        <v>2803</v>
      </c>
      <c r="D2747">
        <v>2018</v>
      </c>
      <c r="F2747" t="s">
        <v>2755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f t="shared" si="84"/>
        <v>4.5</v>
      </c>
      <c r="M2747">
        <f t="shared" si="85"/>
        <v>1</v>
      </c>
    </row>
    <row r="2748" spans="1:13" x14ac:dyDescent="0.3">
      <c r="A2748">
        <v>2746</v>
      </c>
      <c r="B2748">
        <v>2747</v>
      </c>
      <c r="C2748" t="s">
        <v>2804</v>
      </c>
      <c r="D2748">
        <v>2018</v>
      </c>
      <c r="F2748" t="s">
        <v>2755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f t="shared" si="84"/>
        <v>4.5</v>
      </c>
      <c r="M2748">
        <f t="shared" si="85"/>
        <v>1</v>
      </c>
    </row>
    <row r="2749" spans="1:13" x14ac:dyDescent="0.3">
      <c r="A2749">
        <v>2747</v>
      </c>
      <c r="B2749">
        <v>2748</v>
      </c>
      <c r="C2749" t="s">
        <v>2805</v>
      </c>
      <c r="D2749">
        <v>2013</v>
      </c>
      <c r="E2749" t="s">
        <v>36</v>
      </c>
      <c r="F2749" t="s">
        <v>2755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f t="shared" si="84"/>
        <v>4.5</v>
      </c>
      <c r="M2749">
        <f t="shared" si="85"/>
        <v>1</v>
      </c>
    </row>
    <row r="2750" spans="1:13" x14ac:dyDescent="0.3">
      <c r="A2750">
        <v>2748</v>
      </c>
      <c r="B2750">
        <v>2749</v>
      </c>
      <c r="C2750" t="s">
        <v>2806</v>
      </c>
      <c r="D2750">
        <v>2019</v>
      </c>
      <c r="F2750" t="s">
        <v>2755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f t="shared" si="84"/>
        <v>4.5</v>
      </c>
      <c r="M2750">
        <f t="shared" si="85"/>
        <v>1</v>
      </c>
    </row>
    <row r="2751" spans="1:13" x14ac:dyDescent="0.3">
      <c r="A2751">
        <v>2749</v>
      </c>
      <c r="B2751">
        <v>2750</v>
      </c>
      <c r="C2751" t="s">
        <v>2807</v>
      </c>
      <c r="D2751">
        <v>2020</v>
      </c>
      <c r="F2751" t="s">
        <v>2755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f t="shared" si="84"/>
        <v>4.5</v>
      </c>
      <c r="M2751">
        <f t="shared" si="85"/>
        <v>1</v>
      </c>
    </row>
    <row r="2752" spans="1:13" x14ac:dyDescent="0.3">
      <c r="A2752">
        <v>2750</v>
      </c>
      <c r="B2752">
        <v>2751</v>
      </c>
      <c r="C2752" t="s">
        <v>2808</v>
      </c>
      <c r="D2752">
        <v>2020</v>
      </c>
      <c r="E2752" t="s">
        <v>36</v>
      </c>
      <c r="F2752" t="s">
        <v>2755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f t="shared" si="84"/>
        <v>4.5</v>
      </c>
      <c r="M2752">
        <f t="shared" si="85"/>
        <v>1</v>
      </c>
    </row>
    <row r="2753" spans="1:13" x14ac:dyDescent="0.3">
      <c r="A2753">
        <v>2751</v>
      </c>
      <c r="B2753">
        <v>2752</v>
      </c>
      <c r="C2753" t="s">
        <v>2809</v>
      </c>
      <c r="D2753">
        <v>2021</v>
      </c>
      <c r="E2753" t="s">
        <v>11</v>
      </c>
      <c r="F2753" t="s">
        <v>2755</v>
      </c>
      <c r="G2753">
        <v>1</v>
      </c>
      <c r="H2753">
        <v>0</v>
      </c>
      <c r="I2753">
        <v>0</v>
      </c>
      <c r="J2753">
        <v>0</v>
      </c>
      <c r="K2753">
        <v>0</v>
      </c>
      <c r="L2753">
        <f t="shared" si="84"/>
        <v>4.5</v>
      </c>
      <c r="M2753">
        <f t="shared" si="85"/>
        <v>1</v>
      </c>
    </row>
    <row r="2754" spans="1:13" x14ac:dyDescent="0.3">
      <c r="A2754">
        <v>2752</v>
      </c>
      <c r="B2754">
        <v>2753</v>
      </c>
      <c r="C2754" t="s">
        <v>2810</v>
      </c>
      <c r="D2754">
        <v>2015</v>
      </c>
      <c r="E2754" t="s">
        <v>28</v>
      </c>
      <c r="F2754" t="s">
        <v>2755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f t="shared" si="84"/>
        <v>4.5</v>
      </c>
      <c r="M2754">
        <f t="shared" si="85"/>
        <v>1</v>
      </c>
    </row>
    <row r="2755" spans="1:13" x14ac:dyDescent="0.3">
      <c r="A2755">
        <v>2753</v>
      </c>
      <c r="B2755">
        <v>2754</v>
      </c>
      <c r="C2755" s="1">
        <v>46249</v>
      </c>
      <c r="D2755">
        <v>2019</v>
      </c>
      <c r="F2755" t="s">
        <v>2755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f t="shared" ref="L2755:L2818" si="86">IFERROR(VALUE(LEFT(F2755,FIND("/",F2755)-1))/10,"")</f>
        <v>4.5</v>
      </c>
      <c r="M2755">
        <f t="shared" ref="M2755:M2818" si="87">SUM(G2755:J2755)</f>
        <v>1</v>
      </c>
    </row>
    <row r="2756" spans="1:13" x14ac:dyDescent="0.3">
      <c r="A2756">
        <v>2754</v>
      </c>
      <c r="B2756">
        <v>2755</v>
      </c>
      <c r="C2756" t="s">
        <v>2811</v>
      </c>
      <c r="D2756">
        <v>2020</v>
      </c>
      <c r="F2756" t="s">
        <v>2755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f t="shared" si="86"/>
        <v>4.5</v>
      </c>
      <c r="M2756">
        <f t="shared" si="87"/>
        <v>1</v>
      </c>
    </row>
    <row r="2757" spans="1:13" x14ac:dyDescent="0.3">
      <c r="A2757">
        <v>2755</v>
      </c>
      <c r="B2757">
        <v>2756</v>
      </c>
      <c r="C2757" t="s">
        <v>2812</v>
      </c>
      <c r="D2757">
        <v>2019</v>
      </c>
      <c r="F2757" t="s">
        <v>2755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f t="shared" si="86"/>
        <v>4.5</v>
      </c>
      <c r="M2757">
        <f t="shared" si="87"/>
        <v>1</v>
      </c>
    </row>
    <row r="2758" spans="1:13" x14ac:dyDescent="0.3">
      <c r="A2758">
        <v>2756</v>
      </c>
      <c r="B2758">
        <v>2757</v>
      </c>
      <c r="C2758" t="s">
        <v>2813</v>
      </c>
      <c r="D2758">
        <v>2021</v>
      </c>
      <c r="E2758" t="s">
        <v>28</v>
      </c>
      <c r="F2758" t="s">
        <v>2755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f t="shared" si="86"/>
        <v>4.5</v>
      </c>
      <c r="M2758">
        <f t="shared" si="87"/>
        <v>1</v>
      </c>
    </row>
    <row r="2759" spans="1:13" x14ac:dyDescent="0.3">
      <c r="A2759">
        <v>2757</v>
      </c>
      <c r="B2759">
        <v>2758</v>
      </c>
      <c r="C2759" t="s">
        <v>2814</v>
      </c>
      <c r="D2759">
        <v>1980</v>
      </c>
      <c r="F2759" t="s">
        <v>2755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f t="shared" si="86"/>
        <v>4.5</v>
      </c>
      <c r="M2759">
        <f t="shared" si="87"/>
        <v>1</v>
      </c>
    </row>
    <row r="2760" spans="1:13" x14ac:dyDescent="0.3">
      <c r="A2760">
        <v>2758</v>
      </c>
      <c r="B2760">
        <v>2759</v>
      </c>
      <c r="C2760" t="s">
        <v>2815</v>
      </c>
      <c r="D2760">
        <v>2013</v>
      </c>
      <c r="E2760" t="s">
        <v>14</v>
      </c>
      <c r="F2760" t="s">
        <v>2755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f t="shared" si="86"/>
        <v>4.5</v>
      </c>
      <c r="M2760">
        <f t="shared" si="87"/>
        <v>1</v>
      </c>
    </row>
    <row r="2761" spans="1:13" x14ac:dyDescent="0.3">
      <c r="A2761">
        <v>2759</v>
      </c>
      <c r="B2761">
        <v>2760</v>
      </c>
      <c r="C2761" t="s">
        <v>2816</v>
      </c>
      <c r="D2761">
        <v>2017</v>
      </c>
      <c r="F2761" t="s">
        <v>2755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f t="shared" si="86"/>
        <v>4.5</v>
      </c>
      <c r="M2761">
        <f t="shared" si="87"/>
        <v>1</v>
      </c>
    </row>
    <row r="2762" spans="1:13" x14ac:dyDescent="0.3">
      <c r="A2762">
        <v>2760</v>
      </c>
      <c r="B2762">
        <v>2761</v>
      </c>
      <c r="C2762" t="s">
        <v>2817</v>
      </c>
      <c r="D2762">
        <v>2009</v>
      </c>
      <c r="E2762" t="s">
        <v>36</v>
      </c>
      <c r="F2762" t="s">
        <v>2755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f t="shared" si="86"/>
        <v>4.5</v>
      </c>
      <c r="M2762">
        <f t="shared" si="87"/>
        <v>1</v>
      </c>
    </row>
    <row r="2763" spans="1:13" x14ac:dyDescent="0.3">
      <c r="A2763">
        <v>2761</v>
      </c>
      <c r="B2763">
        <v>2762</v>
      </c>
      <c r="C2763" t="s">
        <v>2818</v>
      </c>
      <c r="D2763">
        <v>2020</v>
      </c>
      <c r="F2763" t="s">
        <v>2755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f t="shared" si="86"/>
        <v>4.5</v>
      </c>
      <c r="M2763">
        <f t="shared" si="87"/>
        <v>1</v>
      </c>
    </row>
    <row r="2764" spans="1:13" x14ac:dyDescent="0.3">
      <c r="A2764">
        <v>2762</v>
      </c>
      <c r="B2764">
        <v>2763</v>
      </c>
      <c r="C2764" t="s">
        <v>2819</v>
      </c>
      <c r="D2764">
        <v>2019</v>
      </c>
      <c r="F2764" t="s">
        <v>2755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f t="shared" si="86"/>
        <v>4.5</v>
      </c>
      <c r="M2764">
        <f t="shared" si="87"/>
        <v>1</v>
      </c>
    </row>
    <row r="2765" spans="1:13" x14ac:dyDescent="0.3">
      <c r="A2765">
        <v>2763</v>
      </c>
      <c r="B2765">
        <v>2764</v>
      </c>
      <c r="C2765" t="s">
        <v>2820</v>
      </c>
      <c r="D2765">
        <v>2013</v>
      </c>
      <c r="E2765" t="s">
        <v>36</v>
      </c>
      <c r="F2765" t="s">
        <v>2755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f t="shared" si="86"/>
        <v>4.5</v>
      </c>
      <c r="M2765">
        <f t="shared" si="87"/>
        <v>1</v>
      </c>
    </row>
    <row r="2766" spans="1:13" x14ac:dyDescent="0.3">
      <c r="A2766">
        <v>2764</v>
      </c>
      <c r="B2766">
        <v>2765</v>
      </c>
      <c r="C2766" t="s">
        <v>2821</v>
      </c>
      <c r="D2766">
        <v>2016</v>
      </c>
      <c r="F2766" t="s">
        <v>2755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f t="shared" si="86"/>
        <v>4.5</v>
      </c>
      <c r="M2766">
        <f t="shared" si="87"/>
        <v>1</v>
      </c>
    </row>
    <row r="2767" spans="1:13" x14ac:dyDescent="0.3">
      <c r="A2767">
        <v>2765</v>
      </c>
      <c r="B2767">
        <v>2766</v>
      </c>
      <c r="C2767" t="s">
        <v>2822</v>
      </c>
      <c r="D2767">
        <v>2018</v>
      </c>
      <c r="E2767" t="s">
        <v>11</v>
      </c>
      <c r="F2767" t="s">
        <v>2755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f t="shared" si="86"/>
        <v>4.5</v>
      </c>
      <c r="M2767">
        <f t="shared" si="87"/>
        <v>1</v>
      </c>
    </row>
    <row r="2768" spans="1:13" x14ac:dyDescent="0.3">
      <c r="A2768">
        <v>2766</v>
      </c>
      <c r="B2768">
        <v>2767</v>
      </c>
      <c r="C2768" t="s">
        <v>2823</v>
      </c>
      <c r="D2768">
        <v>2018</v>
      </c>
      <c r="F2768" t="s">
        <v>2755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f t="shared" si="86"/>
        <v>4.5</v>
      </c>
      <c r="M2768">
        <f t="shared" si="87"/>
        <v>1</v>
      </c>
    </row>
    <row r="2769" spans="1:13" x14ac:dyDescent="0.3">
      <c r="A2769">
        <v>2767</v>
      </c>
      <c r="B2769">
        <v>2768</v>
      </c>
      <c r="C2769" t="s">
        <v>2824</v>
      </c>
      <c r="D2769">
        <v>2020</v>
      </c>
      <c r="F2769" t="s">
        <v>2755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f t="shared" si="86"/>
        <v>4.5</v>
      </c>
      <c r="M2769">
        <f t="shared" si="87"/>
        <v>1</v>
      </c>
    </row>
    <row r="2770" spans="1:13" x14ac:dyDescent="0.3">
      <c r="A2770">
        <v>2768</v>
      </c>
      <c r="B2770">
        <v>2769</v>
      </c>
      <c r="C2770" t="s">
        <v>2825</v>
      </c>
      <c r="D2770">
        <v>2016</v>
      </c>
      <c r="F2770" t="s">
        <v>2755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f t="shared" si="86"/>
        <v>4.5</v>
      </c>
      <c r="M2770">
        <f t="shared" si="87"/>
        <v>1</v>
      </c>
    </row>
    <row r="2771" spans="1:13" x14ac:dyDescent="0.3">
      <c r="A2771">
        <v>2769</v>
      </c>
      <c r="B2771">
        <v>2770</v>
      </c>
      <c r="C2771" t="s">
        <v>2826</v>
      </c>
      <c r="D2771">
        <v>2011</v>
      </c>
      <c r="F2771" t="s">
        <v>2755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f t="shared" si="86"/>
        <v>4.5</v>
      </c>
      <c r="M2771">
        <f t="shared" si="87"/>
        <v>1</v>
      </c>
    </row>
    <row r="2772" spans="1:13" x14ac:dyDescent="0.3">
      <c r="A2772">
        <v>2770</v>
      </c>
      <c r="B2772">
        <v>2771</v>
      </c>
      <c r="C2772" t="s">
        <v>2827</v>
      </c>
      <c r="D2772">
        <v>2019</v>
      </c>
      <c r="F2772" t="s">
        <v>2755</v>
      </c>
      <c r="G2772">
        <v>1</v>
      </c>
      <c r="H2772">
        <v>0</v>
      </c>
      <c r="I2772">
        <v>0</v>
      </c>
      <c r="J2772">
        <v>0</v>
      </c>
      <c r="K2772">
        <v>0</v>
      </c>
      <c r="L2772">
        <f t="shared" si="86"/>
        <v>4.5</v>
      </c>
      <c r="M2772">
        <f t="shared" si="87"/>
        <v>1</v>
      </c>
    </row>
    <row r="2773" spans="1:13" x14ac:dyDescent="0.3">
      <c r="A2773">
        <v>2771</v>
      </c>
      <c r="B2773">
        <v>2772</v>
      </c>
      <c r="C2773" t="s">
        <v>2828</v>
      </c>
      <c r="D2773">
        <v>2017</v>
      </c>
      <c r="F2773" t="s">
        <v>2755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f t="shared" si="86"/>
        <v>4.5</v>
      </c>
      <c r="M2773">
        <f t="shared" si="87"/>
        <v>1</v>
      </c>
    </row>
    <row r="2774" spans="1:13" x14ac:dyDescent="0.3">
      <c r="A2774">
        <v>2772</v>
      </c>
      <c r="B2774">
        <v>2773</v>
      </c>
      <c r="C2774" t="s">
        <v>2829</v>
      </c>
      <c r="D2774">
        <v>2019</v>
      </c>
      <c r="E2774" t="s">
        <v>11</v>
      </c>
      <c r="F2774" t="s">
        <v>2755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f t="shared" si="86"/>
        <v>4.5</v>
      </c>
      <c r="M2774">
        <f t="shared" si="87"/>
        <v>1</v>
      </c>
    </row>
    <row r="2775" spans="1:13" x14ac:dyDescent="0.3">
      <c r="A2775">
        <v>2773</v>
      </c>
      <c r="B2775">
        <v>2774</v>
      </c>
      <c r="C2775" t="s">
        <v>2830</v>
      </c>
      <c r="D2775">
        <v>2018</v>
      </c>
      <c r="E2775" t="s">
        <v>36</v>
      </c>
      <c r="F2775" t="s">
        <v>2755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f t="shared" si="86"/>
        <v>4.5</v>
      </c>
      <c r="M2775">
        <f t="shared" si="87"/>
        <v>1</v>
      </c>
    </row>
    <row r="2776" spans="1:13" x14ac:dyDescent="0.3">
      <c r="A2776">
        <v>2774</v>
      </c>
      <c r="B2776">
        <v>2775</v>
      </c>
      <c r="C2776" t="s">
        <v>2831</v>
      </c>
      <c r="D2776">
        <v>2020</v>
      </c>
      <c r="F2776" t="s">
        <v>2755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f t="shared" si="86"/>
        <v>4.5</v>
      </c>
      <c r="M2776">
        <f t="shared" si="87"/>
        <v>1</v>
      </c>
    </row>
    <row r="2777" spans="1:13" x14ac:dyDescent="0.3">
      <c r="A2777">
        <v>2775</v>
      </c>
      <c r="B2777">
        <v>2776</v>
      </c>
      <c r="C2777" t="s">
        <v>2832</v>
      </c>
      <c r="D2777">
        <v>1966</v>
      </c>
      <c r="F2777" t="s">
        <v>2833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f t="shared" si="86"/>
        <v>4.4000000000000004</v>
      </c>
      <c r="M2777">
        <f t="shared" si="87"/>
        <v>1</v>
      </c>
    </row>
    <row r="2778" spans="1:13" x14ac:dyDescent="0.3">
      <c r="A2778">
        <v>2776</v>
      </c>
      <c r="B2778">
        <v>2777</v>
      </c>
      <c r="C2778" t="s">
        <v>2834</v>
      </c>
      <c r="D2778">
        <v>2015</v>
      </c>
      <c r="E2778" t="s">
        <v>36</v>
      </c>
      <c r="F2778" t="s">
        <v>2833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f t="shared" si="86"/>
        <v>4.4000000000000004</v>
      </c>
      <c r="M2778">
        <f t="shared" si="87"/>
        <v>1</v>
      </c>
    </row>
    <row r="2779" spans="1:13" x14ac:dyDescent="0.3">
      <c r="A2779">
        <v>2777</v>
      </c>
      <c r="B2779">
        <v>2778</v>
      </c>
      <c r="C2779" t="s">
        <v>2835</v>
      </c>
      <c r="D2779">
        <v>2018</v>
      </c>
      <c r="F2779" t="s">
        <v>2833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f t="shared" si="86"/>
        <v>4.4000000000000004</v>
      </c>
      <c r="M2779">
        <f t="shared" si="87"/>
        <v>1</v>
      </c>
    </row>
    <row r="2780" spans="1:13" x14ac:dyDescent="0.3">
      <c r="A2780">
        <v>2778</v>
      </c>
      <c r="B2780">
        <v>2779</v>
      </c>
      <c r="C2780" t="s">
        <v>2836</v>
      </c>
      <c r="D2780">
        <v>2019</v>
      </c>
      <c r="E2780" t="s">
        <v>11</v>
      </c>
      <c r="F2780" t="s">
        <v>2833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f t="shared" si="86"/>
        <v>4.4000000000000004</v>
      </c>
      <c r="M2780">
        <f t="shared" si="87"/>
        <v>1</v>
      </c>
    </row>
    <row r="2781" spans="1:13" x14ac:dyDescent="0.3">
      <c r="A2781">
        <v>2779</v>
      </c>
      <c r="B2781">
        <v>2780</v>
      </c>
      <c r="C2781" t="s">
        <v>2837</v>
      </c>
      <c r="D2781">
        <v>2018</v>
      </c>
      <c r="F2781" t="s">
        <v>2833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f t="shared" si="86"/>
        <v>4.4000000000000004</v>
      </c>
      <c r="M2781">
        <f t="shared" si="87"/>
        <v>1</v>
      </c>
    </row>
    <row r="2782" spans="1:13" x14ac:dyDescent="0.3">
      <c r="A2782">
        <v>2780</v>
      </c>
      <c r="B2782">
        <v>2781</v>
      </c>
      <c r="C2782" t="s">
        <v>2838</v>
      </c>
      <c r="D2782">
        <v>2013</v>
      </c>
      <c r="F2782" t="s">
        <v>2833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f t="shared" si="86"/>
        <v>4.4000000000000004</v>
      </c>
      <c r="M2782">
        <f t="shared" si="87"/>
        <v>1</v>
      </c>
    </row>
    <row r="2783" spans="1:13" x14ac:dyDescent="0.3">
      <c r="A2783">
        <v>2781</v>
      </c>
      <c r="B2783">
        <v>2782</v>
      </c>
      <c r="C2783" t="s">
        <v>2839</v>
      </c>
      <c r="D2783">
        <v>2008</v>
      </c>
      <c r="E2783" t="s">
        <v>14</v>
      </c>
      <c r="F2783" t="s">
        <v>2833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f t="shared" si="86"/>
        <v>4.4000000000000004</v>
      </c>
      <c r="M2783">
        <f t="shared" si="87"/>
        <v>1</v>
      </c>
    </row>
    <row r="2784" spans="1:13" x14ac:dyDescent="0.3">
      <c r="A2784">
        <v>2782</v>
      </c>
      <c r="B2784">
        <v>2783</v>
      </c>
      <c r="C2784" t="s">
        <v>2840</v>
      </c>
      <c r="D2784">
        <v>2020</v>
      </c>
      <c r="F2784" t="s">
        <v>2833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f t="shared" si="86"/>
        <v>4.4000000000000004</v>
      </c>
      <c r="M2784">
        <f t="shared" si="87"/>
        <v>1</v>
      </c>
    </row>
    <row r="2785" spans="1:13" x14ac:dyDescent="0.3">
      <c r="A2785">
        <v>2783</v>
      </c>
      <c r="B2785">
        <v>2784</v>
      </c>
      <c r="C2785" t="s">
        <v>2841</v>
      </c>
      <c r="D2785">
        <v>2018</v>
      </c>
      <c r="F2785" t="s">
        <v>2833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f t="shared" si="86"/>
        <v>4.4000000000000004</v>
      </c>
      <c r="M2785">
        <f t="shared" si="87"/>
        <v>1</v>
      </c>
    </row>
    <row r="2786" spans="1:13" x14ac:dyDescent="0.3">
      <c r="A2786">
        <v>2784</v>
      </c>
      <c r="B2786">
        <v>2785</v>
      </c>
      <c r="C2786" t="s">
        <v>2842</v>
      </c>
      <c r="D2786">
        <v>2020</v>
      </c>
      <c r="F2786" t="s">
        <v>2833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f t="shared" si="86"/>
        <v>4.4000000000000004</v>
      </c>
      <c r="M2786">
        <f t="shared" si="87"/>
        <v>1</v>
      </c>
    </row>
    <row r="2787" spans="1:13" x14ac:dyDescent="0.3">
      <c r="A2787">
        <v>2785</v>
      </c>
      <c r="B2787">
        <v>2786</v>
      </c>
      <c r="C2787" t="s">
        <v>2843</v>
      </c>
      <c r="D2787">
        <v>2017</v>
      </c>
      <c r="E2787" t="s">
        <v>11</v>
      </c>
      <c r="F2787" t="s">
        <v>2833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f t="shared" si="86"/>
        <v>4.4000000000000004</v>
      </c>
      <c r="M2787">
        <f t="shared" si="87"/>
        <v>1</v>
      </c>
    </row>
    <row r="2788" spans="1:13" x14ac:dyDescent="0.3">
      <c r="A2788">
        <v>2786</v>
      </c>
      <c r="B2788">
        <v>2787</v>
      </c>
      <c r="C2788" t="s">
        <v>2844</v>
      </c>
      <c r="D2788">
        <v>2019</v>
      </c>
      <c r="F2788" t="s">
        <v>2833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f t="shared" si="86"/>
        <v>4.4000000000000004</v>
      </c>
      <c r="M2788">
        <f t="shared" si="87"/>
        <v>1</v>
      </c>
    </row>
    <row r="2789" spans="1:13" x14ac:dyDescent="0.3">
      <c r="A2789">
        <v>2787</v>
      </c>
      <c r="B2789">
        <v>2788</v>
      </c>
      <c r="C2789" t="s">
        <v>2845</v>
      </c>
      <c r="D2789">
        <v>2019</v>
      </c>
      <c r="F2789" t="s">
        <v>2833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f t="shared" si="86"/>
        <v>4.4000000000000004</v>
      </c>
      <c r="M2789">
        <f t="shared" si="87"/>
        <v>1</v>
      </c>
    </row>
    <row r="2790" spans="1:13" x14ac:dyDescent="0.3">
      <c r="A2790">
        <v>2788</v>
      </c>
      <c r="B2790">
        <v>2789</v>
      </c>
      <c r="C2790" t="s">
        <v>2846</v>
      </c>
      <c r="D2790">
        <v>2019</v>
      </c>
      <c r="F2790" t="s">
        <v>2833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f t="shared" si="86"/>
        <v>4.4000000000000004</v>
      </c>
      <c r="M2790">
        <f t="shared" si="87"/>
        <v>1</v>
      </c>
    </row>
    <row r="2791" spans="1:13" x14ac:dyDescent="0.3">
      <c r="A2791">
        <v>2789</v>
      </c>
      <c r="B2791">
        <v>2790</v>
      </c>
      <c r="C2791" t="s">
        <v>2847</v>
      </c>
      <c r="D2791">
        <v>2017</v>
      </c>
      <c r="E2791" t="s">
        <v>22</v>
      </c>
      <c r="F2791" t="s">
        <v>2833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f t="shared" si="86"/>
        <v>4.4000000000000004</v>
      </c>
      <c r="M2791">
        <f t="shared" si="87"/>
        <v>1</v>
      </c>
    </row>
    <row r="2792" spans="1:13" x14ac:dyDescent="0.3">
      <c r="A2792">
        <v>2790</v>
      </c>
      <c r="B2792">
        <v>2791</v>
      </c>
      <c r="C2792" t="s">
        <v>2848</v>
      </c>
      <c r="D2792">
        <v>2013</v>
      </c>
      <c r="F2792" t="s">
        <v>2833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f t="shared" si="86"/>
        <v>4.4000000000000004</v>
      </c>
      <c r="M2792">
        <f t="shared" si="87"/>
        <v>1</v>
      </c>
    </row>
    <row r="2793" spans="1:13" x14ac:dyDescent="0.3">
      <c r="A2793">
        <v>2791</v>
      </c>
      <c r="B2793">
        <v>2792</v>
      </c>
      <c r="C2793" t="s">
        <v>2849</v>
      </c>
      <c r="D2793">
        <v>2019</v>
      </c>
      <c r="F2793" t="s">
        <v>2833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f t="shared" si="86"/>
        <v>4.4000000000000004</v>
      </c>
      <c r="M2793">
        <f t="shared" si="87"/>
        <v>1</v>
      </c>
    </row>
    <row r="2794" spans="1:13" x14ac:dyDescent="0.3">
      <c r="A2794">
        <v>2792</v>
      </c>
      <c r="B2794">
        <v>2793</v>
      </c>
      <c r="C2794" t="s">
        <v>2850</v>
      </c>
      <c r="D2794">
        <v>2021</v>
      </c>
      <c r="E2794" t="s">
        <v>28</v>
      </c>
      <c r="F2794" t="s">
        <v>2833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f t="shared" si="86"/>
        <v>4.4000000000000004</v>
      </c>
      <c r="M2794">
        <f t="shared" si="87"/>
        <v>1</v>
      </c>
    </row>
    <row r="2795" spans="1:13" x14ac:dyDescent="0.3">
      <c r="A2795">
        <v>2793</v>
      </c>
      <c r="B2795">
        <v>2794</v>
      </c>
      <c r="C2795" t="s">
        <v>2851</v>
      </c>
      <c r="D2795">
        <v>2017</v>
      </c>
      <c r="F2795" t="s">
        <v>2833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f t="shared" si="86"/>
        <v>4.4000000000000004</v>
      </c>
      <c r="M2795">
        <f t="shared" si="87"/>
        <v>1</v>
      </c>
    </row>
    <row r="2796" spans="1:13" x14ac:dyDescent="0.3">
      <c r="A2796">
        <v>2794</v>
      </c>
      <c r="B2796">
        <v>2795</v>
      </c>
      <c r="C2796" t="s">
        <v>2852</v>
      </c>
      <c r="D2796">
        <v>2017</v>
      </c>
      <c r="F2796" t="s">
        <v>2833</v>
      </c>
      <c r="G2796">
        <v>1</v>
      </c>
      <c r="H2796">
        <v>0</v>
      </c>
      <c r="I2796">
        <v>0</v>
      </c>
      <c r="J2796">
        <v>0</v>
      </c>
      <c r="K2796">
        <v>0</v>
      </c>
      <c r="L2796">
        <f t="shared" si="86"/>
        <v>4.4000000000000004</v>
      </c>
      <c r="M2796">
        <f t="shared" si="87"/>
        <v>1</v>
      </c>
    </row>
    <row r="2797" spans="1:13" x14ac:dyDescent="0.3">
      <c r="A2797">
        <v>2795</v>
      </c>
      <c r="B2797">
        <v>2796</v>
      </c>
      <c r="C2797" t="s">
        <v>2853</v>
      </c>
      <c r="D2797">
        <v>2019</v>
      </c>
      <c r="F2797" t="s">
        <v>2833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f t="shared" si="86"/>
        <v>4.4000000000000004</v>
      </c>
      <c r="M2797">
        <f t="shared" si="87"/>
        <v>1</v>
      </c>
    </row>
    <row r="2798" spans="1:13" x14ac:dyDescent="0.3">
      <c r="A2798">
        <v>2796</v>
      </c>
      <c r="B2798">
        <v>2797</v>
      </c>
      <c r="C2798" t="s">
        <v>2854</v>
      </c>
      <c r="D2798">
        <v>2018</v>
      </c>
      <c r="F2798" t="s">
        <v>2833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f t="shared" si="86"/>
        <v>4.4000000000000004</v>
      </c>
      <c r="M2798">
        <f t="shared" si="87"/>
        <v>1</v>
      </c>
    </row>
    <row r="2799" spans="1:13" x14ac:dyDescent="0.3">
      <c r="A2799">
        <v>2797</v>
      </c>
      <c r="B2799">
        <v>2798</v>
      </c>
      <c r="C2799" t="s">
        <v>2855</v>
      </c>
      <c r="D2799">
        <v>2014</v>
      </c>
      <c r="F2799" t="s">
        <v>2833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f t="shared" si="86"/>
        <v>4.4000000000000004</v>
      </c>
      <c r="M2799">
        <f t="shared" si="87"/>
        <v>1</v>
      </c>
    </row>
    <row r="2800" spans="1:13" x14ac:dyDescent="0.3">
      <c r="A2800">
        <v>2798</v>
      </c>
      <c r="B2800">
        <v>2799</v>
      </c>
      <c r="C2800" t="s">
        <v>2856</v>
      </c>
      <c r="D2800">
        <v>2020</v>
      </c>
      <c r="F2800" t="s">
        <v>2833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f t="shared" si="86"/>
        <v>4.4000000000000004</v>
      </c>
      <c r="M2800">
        <f t="shared" si="87"/>
        <v>1</v>
      </c>
    </row>
    <row r="2801" spans="1:13" x14ac:dyDescent="0.3">
      <c r="A2801">
        <v>2799</v>
      </c>
      <c r="B2801">
        <v>2800</v>
      </c>
      <c r="C2801" t="s">
        <v>2857</v>
      </c>
      <c r="D2801">
        <v>2017</v>
      </c>
      <c r="F2801" t="s">
        <v>2833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f t="shared" si="86"/>
        <v>4.4000000000000004</v>
      </c>
      <c r="M2801">
        <f t="shared" si="87"/>
        <v>1</v>
      </c>
    </row>
    <row r="2802" spans="1:13" x14ac:dyDescent="0.3">
      <c r="A2802">
        <v>2800</v>
      </c>
      <c r="B2802">
        <v>2801</v>
      </c>
      <c r="C2802" t="s">
        <v>2858</v>
      </c>
      <c r="D2802">
        <v>2010</v>
      </c>
      <c r="F2802" t="s">
        <v>2833</v>
      </c>
      <c r="G2802">
        <v>1</v>
      </c>
      <c r="H2802">
        <v>0</v>
      </c>
      <c r="I2802">
        <v>0</v>
      </c>
      <c r="J2802">
        <v>0</v>
      </c>
      <c r="K2802">
        <v>0</v>
      </c>
      <c r="L2802">
        <f t="shared" si="86"/>
        <v>4.4000000000000004</v>
      </c>
      <c r="M2802">
        <f t="shared" si="87"/>
        <v>1</v>
      </c>
    </row>
    <row r="2803" spans="1:13" x14ac:dyDescent="0.3">
      <c r="A2803">
        <v>2801</v>
      </c>
      <c r="B2803">
        <v>2802</v>
      </c>
      <c r="C2803" t="s">
        <v>2859</v>
      </c>
      <c r="D2803">
        <v>2020</v>
      </c>
      <c r="F2803" t="s">
        <v>2833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f t="shared" si="86"/>
        <v>4.4000000000000004</v>
      </c>
      <c r="M2803">
        <f t="shared" si="87"/>
        <v>1</v>
      </c>
    </row>
    <row r="2804" spans="1:13" x14ac:dyDescent="0.3">
      <c r="A2804">
        <v>2802</v>
      </c>
      <c r="B2804">
        <v>2803</v>
      </c>
      <c r="C2804" t="s">
        <v>2860</v>
      </c>
      <c r="D2804">
        <v>2019</v>
      </c>
      <c r="E2804" t="s">
        <v>22</v>
      </c>
      <c r="F2804" t="s">
        <v>2833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f t="shared" si="86"/>
        <v>4.4000000000000004</v>
      </c>
      <c r="M2804">
        <f t="shared" si="87"/>
        <v>1</v>
      </c>
    </row>
    <row r="2805" spans="1:13" x14ac:dyDescent="0.3">
      <c r="A2805">
        <v>2803</v>
      </c>
      <c r="B2805">
        <v>2804</v>
      </c>
      <c r="C2805" t="s">
        <v>2861</v>
      </c>
      <c r="D2805">
        <v>2010</v>
      </c>
      <c r="F2805" t="s">
        <v>2833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f t="shared" si="86"/>
        <v>4.4000000000000004</v>
      </c>
      <c r="M2805">
        <f t="shared" si="87"/>
        <v>1</v>
      </c>
    </row>
    <row r="2806" spans="1:13" x14ac:dyDescent="0.3">
      <c r="A2806">
        <v>2804</v>
      </c>
      <c r="B2806">
        <v>2805</v>
      </c>
      <c r="C2806" t="s">
        <v>2862</v>
      </c>
      <c r="D2806">
        <v>2020</v>
      </c>
      <c r="F2806" t="s">
        <v>2833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f t="shared" si="86"/>
        <v>4.4000000000000004</v>
      </c>
      <c r="M2806">
        <f t="shared" si="87"/>
        <v>1</v>
      </c>
    </row>
    <row r="2807" spans="1:13" x14ac:dyDescent="0.3">
      <c r="A2807">
        <v>2805</v>
      </c>
      <c r="B2807">
        <v>2806</v>
      </c>
      <c r="C2807" t="s">
        <v>2863</v>
      </c>
      <c r="D2807">
        <v>2019</v>
      </c>
      <c r="F2807" t="s">
        <v>2833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f t="shared" si="86"/>
        <v>4.4000000000000004</v>
      </c>
      <c r="M2807">
        <f t="shared" si="87"/>
        <v>1</v>
      </c>
    </row>
    <row r="2808" spans="1:13" x14ac:dyDescent="0.3">
      <c r="A2808">
        <v>2806</v>
      </c>
      <c r="B2808">
        <v>2807</v>
      </c>
      <c r="C2808" t="s">
        <v>2864</v>
      </c>
      <c r="D2808">
        <v>2019</v>
      </c>
      <c r="F2808" t="s">
        <v>2833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f t="shared" si="86"/>
        <v>4.4000000000000004</v>
      </c>
      <c r="M2808">
        <f t="shared" si="87"/>
        <v>1</v>
      </c>
    </row>
    <row r="2809" spans="1:13" x14ac:dyDescent="0.3">
      <c r="A2809">
        <v>2807</v>
      </c>
      <c r="B2809">
        <v>2808</v>
      </c>
      <c r="C2809" t="s">
        <v>2865</v>
      </c>
      <c r="D2809">
        <v>2017</v>
      </c>
      <c r="F2809" t="s">
        <v>2833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f t="shared" si="86"/>
        <v>4.4000000000000004</v>
      </c>
      <c r="M2809">
        <f t="shared" si="87"/>
        <v>1</v>
      </c>
    </row>
    <row r="2810" spans="1:13" x14ac:dyDescent="0.3">
      <c r="A2810">
        <v>2808</v>
      </c>
      <c r="B2810">
        <v>2809</v>
      </c>
      <c r="C2810" t="s">
        <v>2866</v>
      </c>
      <c r="D2810">
        <v>2021</v>
      </c>
      <c r="F2810" t="s">
        <v>2833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f t="shared" si="86"/>
        <v>4.4000000000000004</v>
      </c>
      <c r="M2810">
        <f t="shared" si="87"/>
        <v>1</v>
      </c>
    </row>
    <row r="2811" spans="1:13" x14ac:dyDescent="0.3">
      <c r="A2811">
        <v>2809</v>
      </c>
      <c r="B2811">
        <v>2810</v>
      </c>
      <c r="C2811" t="s">
        <v>2867</v>
      </c>
      <c r="D2811">
        <v>2019</v>
      </c>
      <c r="F2811" t="s">
        <v>2833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f t="shared" si="86"/>
        <v>4.4000000000000004</v>
      </c>
      <c r="M2811">
        <f t="shared" si="87"/>
        <v>1</v>
      </c>
    </row>
    <row r="2812" spans="1:13" x14ac:dyDescent="0.3">
      <c r="A2812">
        <v>2810</v>
      </c>
      <c r="B2812">
        <v>2811</v>
      </c>
      <c r="C2812" t="s">
        <v>2868</v>
      </c>
      <c r="D2812">
        <v>2015</v>
      </c>
      <c r="F2812" t="s">
        <v>2833</v>
      </c>
      <c r="G2812">
        <v>1</v>
      </c>
      <c r="H2812">
        <v>0</v>
      </c>
      <c r="I2812">
        <v>0</v>
      </c>
      <c r="J2812">
        <v>0</v>
      </c>
      <c r="K2812">
        <v>0</v>
      </c>
      <c r="L2812">
        <f t="shared" si="86"/>
        <v>4.4000000000000004</v>
      </c>
      <c r="M2812">
        <f t="shared" si="87"/>
        <v>1</v>
      </c>
    </row>
    <row r="2813" spans="1:13" x14ac:dyDescent="0.3">
      <c r="A2813">
        <v>2811</v>
      </c>
      <c r="B2813">
        <v>2812</v>
      </c>
      <c r="C2813" t="s">
        <v>2869</v>
      </c>
      <c r="D2813">
        <v>2020</v>
      </c>
      <c r="F2813" t="s">
        <v>2833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f t="shared" si="86"/>
        <v>4.4000000000000004</v>
      </c>
      <c r="M2813">
        <f t="shared" si="87"/>
        <v>1</v>
      </c>
    </row>
    <row r="2814" spans="1:13" x14ac:dyDescent="0.3">
      <c r="A2814">
        <v>2812</v>
      </c>
      <c r="B2814">
        <v>2813</v>
      </c>
      <c r="C2814" t="s">
        <v>2870</v>
      </c>
      <c r="D2814">
        <v>1991</v>
      </c>
      <c r="F2814" t="s">
        <v>2833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f t="shared" si="86"/>
        <v>4.4000000000000004</v>
      </c>
      <c r="M2814">
        <f t="shared" si="87"/>
        <v>1</v>
      </c>
    </row>
    <row r="2815" spans="1:13" x14ac:dyDescent="0.3">
      <c r="A2815">
        <v>2813</v>
      </c>
      <c r="B2815">
        <v>2814</v>
      </c>
      <c r="C2815" t="s">
        <v>2871</v>
      </c>
      <c r="D2815">
        <v>1988</v>
      </c>
      <c r="F2815" t="s">
        <v>2833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f t="shared" si="86"/>
        <v>4.4000000000000004</v>
      </c>
      <c r="M2815">
        <f t="shared" si="87"/>
        <v>1</v>
      </c>
    </row>
    <row r="2816" spans="1:13" x14ac:dyDescent="0.3">
      <c r="A2816">
        <v>2814</v>
      </c>
      <c r="B2816">
        <v>2815</v>
      </c>
      <c r="C2816" t="s">
        <v>2872</v>
      </c>
      <c r="D2816">
        <v>2013</v>
      </c>
      <c r="F2816" t="s">
        <v>2833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f t="shared" si="86"/>
        <v>4.4000000000000004</v>
      </c>
      <c r="M2816">
        <f t="shared" si="87"/>
        <v>1</v>
      </c>
    </row>
    <row r="2817" spans="1:13" x14ac:dyDescent="0.3">
      <c r="A2817">
        <v>2815</v>
      </c>
      <c r="B2817">
        <v>2816</v>
      </c>
      <c r="C2817" t="s">
        <v>2873</v>
      </c>
      <c r="D2817">
        <v>2021</v>
      </c>
      <c r="F2817" t="s">
        <v>2833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f t="shared" si="86"/>
        <v>4.4000000000000004</v>
      </c>
      <c r="M2817">
        <f t="shared" si="87"/>
        <v>1</v>
      </c>
    </row>
    <row r="2818" spans="1:13" x14ac:dyDescent="0.3">
      <c r="A2818">
        <v>2816</v>
      </c>
      <c r="B2818">
        <v>2817</v>
      </c>
      <c r="C2818" t="s">
        <v>2874</v>
      </c>
      <c r="D2818">
        <v>2019</v>
      </c>
      <c r="F2818" t="s">
        <v>2833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f t="shared" si="86"/>
        <v>4.4000000000000004</v>
      </c>
      <c r="M2818">
        <f t="shared" si="87"/>
        <v>1</v>
      </c>
    </row>
    <row r="2819" spans="1:13" x14ac:dyDescent="0.3">
      <c r="A2819">
        <v>2817</v>
      </c>
      <c r="B2819">
        <v>2818</v>
      </c>
      <c r="C2819" t="s">
        <v>2875</v>
      </c>
      <c r="D2819">
        <v>2008</v>
      </c>
      <c r="F2819" t="s">
        <v>2833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f t="shared" ref="L2819:L2882" si="88">IFERROR(VALUE(LEFT(F2819,FIND("/",F2819)-1))/10,"")</f>
        <v>4.4000000000000004</v>
      </c>
      <c r="M2819">
        <f t="shared" ref="M2819:M2882" si="89">SUM(G2819:J2819)</f>
        <v>1</v>
      </c>
    </row>
    <row r="2820" spans="1:13" x14ac:dyDescent="0.3">
      <c r="A2820">
        <v>2818</v>
      </c>
      <c r="B2820">
        <v>2819</v>
      </c>
      <c r="C2820" t="s">
        <v>2876</v>
      </c>
      <c r="D2820">
        <v>2012</v>
      </c>
      <c r="F2820" t="s">
        <v>2833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f t="shared" si="88"/>
        <v>4.4000000000000004</v>
      </c>
      <c r="M2820">
        <f t="shared" si="89"/>
        <v>1</v>
      </c>
    </row>
    <row r="2821" spans="1:13" x14ac:dyDescent="0.3">
      <c r="A2821">
        <v>2819</v>
      </c>
      <c r="B2821">
        <v>2820</v>
      </c>
      <c r="C2821" t="s">
        <v>2877</v>
      </c>
      <c r="D2821">
        <v>2020</v>
      </c>
      <c r="F2821" t="s">
        <v>2833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f t="shared" si="88"/>
        <v>4.4000000000000004</v>
      </c>
      <c r="M2821">
        <f t="shared" si="89"/>
        <v>1</v>
      </c>
    </row>
    <row r="2822" spans="1:13" x14ac:dyDescent="0.3">
      <c r="A2822">
        <v>2820</v>
      </c>
      <c r="B2822">
        <v>2821</v>
      </c>
      <c r="C2822" t="s">
        <v>2878</v>
      </c>
      <c r="D2822">
        <v>2013</v>
      </c>
      <c r="F2822" t="s">
        <v>2833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f t="shared" si="88"/>
        <v>4.4000000000000004</v>
      </c>
      <c r="M2822">
        <f t="shared" si="89"/>
        <v>1</v>
      </c>
    </row>
    <row r="2823" spans="1:13" x14ac:dyDescent="0.3">
      <c r="A2823">
        <v>2821</v>
      </c>
      <c r="B2823">
        <v>2822</v>
      </c>
      <c r="C2823" t="s">
        <v>2879</v>
      </c>
      <c r="D2823">
        <v>2021</v>
      </c>
      <c r="F2823" t="s">
        <v>2833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f t="shared" si="88"/>
        <v>4.4000000000000004</v>
      </c>
      <c r="M2823">
        <f t="shared" si="89"/>
        <v>1</v>
      </c>
    </row>
    <row r="2824" spans="1:13" x14ac:dyDescent="0.3">
      <c r="A2824">
        <v>2822</v>
      </c>
      <c r="B2824">
        <v>2823</v>
      </c>
      <c r="C2824" t="s">
        <v>2880</v>
      </c>
      <c r="D2824">
        <v>2014</v>
      </c>
      <c r="F2824" t="s">
        <v>2833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f t="shared" si="88"/>
        <v>4.4000000000000004</v>
      </c>
      <c r="M2824">
        <f t="shared" si="89"/>
        <v>1</v>
      </c>
    </row>
    <row r="2825" spans="1:13" x14ac:dyDescent="0.3">
      <c r="A2825">
        <v>2823</v>
      </c>
      <c r="B2825">
        <v>2824</v>
      </c>
      <c r="C2825" t="s">
        <v>2881</v>
      </c>
      <c r="D2825">
        <v>2020</v>
      </c>
      <c r="E2825" t="s">
        <v>36</v>
      </c>
      <c r="F2825" t="s">
        <v>2833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f t="shared" si="88"/>
        <v>4.4000000000000004</v>
      </c>
      <c r="M2825">
        <f t="shared" si="89"/>
        <v>1</v>
      </c>
    </row>
    <row r="2826" spans="1:13" x14ac:dyDescent="0.3">
      <c r="A2826">
        <v>2824</v>
      </c>
      <c r="B2826">
        <v>2825</v>
      </c>
      <c r="C2826" t="s">
        <v>2882</v>
      </c>
      <c r="D2826">
        <v>2019</v>
      </c>
      <c r="F2826" t="s">
        <v>2833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f t="shared" si="88"/>
        <v>4.4000000000000004</v>
      </c>
      <c r="M2826">
        <f t="shared" si="89"/>
        <v>1</v>
      </c>
    </row>
    <row r="2827" spans="1:13" x14ac:dyDescent="0.3">
      <c r="A2827">
        <v>2825</v>
      </c>
      <c r="B2827">
        <v>2826</v>
      </c>
      <c r="C2827" t="s">
        <v>2883</v>
      </c>
      <c r="D2827">
        <v>2019</v>
      </c>
      <c r="F2827" t="s">
        <v>2833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f t="shared" si="88"/>
        <v>4.4000000000000004</v>
      </c>
      <c r="M2827">
        <f t="shared" si="89"/>
        <v>1</v>
      </c>
    </row>
    <row r="2828" spans="1:13" x14ac:dyDescent="0.3">
      <c r="A2828">
        <v>2826</v>
      </c>
      <c r="B2828">
        <v>2827</v>
      </c>
      <c r="C2828" t="s">
        <v>2884</v>
      </c>
      <c r="D2828">
        <v>2019</v>
      </c>
      <c r="E2828" t="s">
        <v>11</v>
      </c>
      <c r="F2828" t="s">
        <v>2833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f t="shared" si="88"/>
        <v>4.4000000000000004</v>
      </c>
      <c r="M2828">
        <f t="shared" si="89"/>
        <v>1</v>
      </c>
    </row>
    <row r="2829" spans="1:13" x14ac:dyDescent="0.3">
      <c r="A2829">
        <v>2827</v>
      </c>
      <c r="B2829">
        <v>2828</v>
      </c>
      <c r="C2829" t="s">
        <v>2885</v>
      </c>
      <c r="D2829">
        <v>2021</v>
      </c>
      <c r="F2829" t="s">
        <v>2833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f t="shared" si="88"/>
        <v>4.4000000000000004</v>
      </c>
      <c r="M2829">
        <f t="shared" si="89"/>
        <v>1</v>
      </c>
    </row>
    <row r="2830" spans="1:13" x14ac:dyDescent="0.3">
      <c r="A2830">
        <v>2828</v>
      </c>
      <c r="B2830">
        <v>2829</v>
      </c>
      <c r="C2830" t="s">
        <v>2886</v>
      </c>
      <c r="D2830">
        <v>2020</v>
      </c>
      <c r="E2830" t="s">
        <v>11</v>
      </c>
      <c r="F2830" t="s">
        <v>2833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f t="shared" si="88"/>
        <v>4.4000000000000004</v>
      </c>
      <c r="M2830">
        <f t="shared" si="89"/>
        <v>1</v>
      </c>
    </row>
    <row r="2831" spans="1:13" x14ac:dyDescent="0.3">
      <c r="A2831">
        <v>2829</v>
      </c>
      <c r="B2831">
        <v>2830</v>
      </c>
      <c r="C2831" t="s">
        <v>2887</v>
      </c>
      <c r="D2831">
        <v>2020</v>
      </c>
      <c r="F2831" t="s">
        <v>2833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f t="shared" si="88"/>
        <v>4.4000000000000004</v>
      </c>
      <c r="M2831">
        <f t="shared" si="89"/>
        <v>1</v>
      </c>
    </row>
    <row r="2832" spans="1:13" x14ac:dyDescent="0.3">
      <c r="A2832">
        <v>2830</v>
      </c>
      <c r="B2832">
        <v>2831</v>
      </c>
      <c r="C2832" t="s">
        <v>2888</v>
      </c>
      <c r="D2832">
        <v>2018</v>
      </c>
      <c r="F2832" t="s">
        <v>2833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f t="shared" si="88"/>
        <v>4.4000000000000004</v>
      </c>
      <c r="M2832">
        <f t="shared" si="89"/>
        <v>1</v>
      </c>
    </row>
    <row r="2833" spans="1:13" x14ac:dyDescent="0.3">
      <c r="A2833">
        <v>2831</v>
      </c>
      <c r="B2833">
        <v>2832</v>
      </c>
      <c r="C2833" t="s">
        <v>2889</v>
      </c>
      <c r="D2833">
        <v>2021</v>
      </c>
      <c r="F2833" t="s">
        <v>2833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f t="shared" si="88"/>
        <v>4.4000000000000004</v>
      </c>
      <c r="M2833">
        <f t="shared" si="89"/>
        <v>1</v>
      </c>
    </row>
    <row r="2834" spans="1:13" x14ac:dyDescent="0.3">
      <c r="A2834">
        <v>2832</v>
      </c>
      <c r="B2834">
        <v>2833</v>
      </c>
      <c r="C2834" t="s">
        <v>2890</v>
      </c>
      <c r="D2834">
        <v>2012</v>
      </c>
      <c r="F2834" t="s">
        <v>2833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f t="shared" si="88"/>
        <v>4.4000000000000004</v>
      </c>
      <c r="M2834">
        <f t="shared" si="89"/>
        <v>1</v>
      </c>
    </row>
    <row r="2835" spans="1:13" x14ac:dyDescent="0.3">
      <c r="A2835">
        <v>2833</v>
      </c>
      <c r="B2835">
        <v>2834</v>
      </c>
      <c r="C2835" t="s">
        <v>2891</v>
      </c>
      <c r="D2835">
        <v>2021</v>
      </c>
      <c r="F2835" t="s">
        <v>2833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f t="shared" si="88"/>
        <v>4.4000000000000004</v>
      </c>
      <c r="M2835">
        <f t="shared" si="89"/>
        <v>1</v>
      </c>
    </row>
    <row r="2836" spans="1:13" x14ac:dyDescent="0.3">
      <c r="A2836">
        <v>2834</v>
      </c>
      <c r="B2836">
        <v>2835</v>
      </c>
      <c r="C2836" t="s">
        <v>2892</v>
      </c>
      <c r="D2836">
        <v>2020</v>
      </c>
      <c r="F2836" t="s">
        <v>2833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f t="shared" si="88"/>
        <v>4.4000000000000004</v>
      </c>
      <c r="M2836">
        <f t="shared" si="89"/>
        <v>1</v>
      </c>
    </row>
    <row r="2837" spans="1:13" x14ac:dyDescent="0.3">
      <c r="A2837">
        <v>2835</v>
      </c>
      <c r="B2837">
        <v>2836</v>
      </c>
      <c r="C2837" t="s">
        <v>2893</v>
      </c>
      <c r="D2837">
        <v>2016</v>
      </c>
      <c r="F2837" t="s">
        <v>2833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f t="shared" si="88"/>
        <v>4.4000000000000004</v>
      </c>
      <c r="M2837">
        <f t="shared" si="89"/>
        <v>1</v>
      </c>
    </row>
    <row r="2838" spans="1:13" x14ac:dyDescent="0.3">
      <c r="A2838">
        <v>2836</v>
      </c>
      <c r="B2838">
        <v>2837</v>
      </c>
      <c r="C2838" t="s">
        <v>2894</v>
      </c>
      <c r="D2838">
        <v>2018</v>
      </c>
      <c r="F2838" t="s">
        <v>2833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f t="shared" si="88"/>
        <v>4.4000000000000004</v>
      </c>
      <c r="M2838">
        <f t="shared" si="89"/>
        <v>1</v>
      </c>
    </row>
    <row r="2839" spans="1:13" x14ac:dyDescent="0.3">
      <c r="A2839">
        <v>2837</v>
      </c>
      <c r="B2839">
        <v>2838</v>
      </c>
      <c r="C2839" t="s">
        <v>2895</v>
      </c>
      <c r="D2839">
        <v>2018</v>
      </c>
      <c r="F2839" t="s">
        <v>2833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f t="shared" si="88"/>
        <v>4.4000000000000004</v>
      </c>
      <c r="M2839">
        <f t="shared" si="89"/>
        <v>1</v>
      </c>
    </row>
    <row r="2840" spans="1:13" x14ac:dyDescent="0.3">
      <c r="A2840">
        <v>2838</v>
      </c>
      <c r="B2840">
        <v>2839</v>
      </c>
      <c r="C2840" t="s">
        <v>2896</v>
      </c>
      <c r="D2840">
        <v>2018</v>
      </c>
      <c r="E2840" t="s">
        <v>11</v>
      </c>
      <c r="F2840" t="s">
        <v>2833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f t="shared" si="88"/>
        <v>4.4000000000000004</v>
      </c>
      <c r="M2840">
        <f t="shared" si="89"/>
        <v>1</v>
      </c>
    </row>
    <row r="2841" spans="1:13" x14ac:dyDescent="0.3">
      <c r="A2841">
        <v>2839</v>
      </c>
      <c r="B2841">
        <v>2840</v>
      </c>
      <c r="C2841" t="s">
        <v>2897</v>
      </c>
      <c r="D2841">
        <v>2017</v>
      </c>
      <c r="F2841" t="s">
        <v>2833</v>
      </c>
      <c r="G2841">
        <v>1</v>
      </c>
      <c r="H2841">
        <v>0</v>
      </c>
      <c r="I2841">
        <v>0</v>
      </c>
      <c r="J2841">
        <v>0</v>
      </c>
      <c r="K2841">
        <v>0</v>
      </c>
      <c r="L2841">
        <f t="shared" si="88"/>
        <v>4.4000000000000004</v>
      </c>
      <c r="M2841">
        <f t="shared" si="89"/>
        <v>1</v>
      </c>
    </row>
    <row r="2842" spans="1:13" x14ac:dyDescent="0.3">
      <c r="A2842">
        <v>2840</v>
      </c>
      <c r="B2842">
        <v>2841</v>
      </c>
      <c r="C2842" t="s">
        <v>2898</v>
      </c>
      <c r="D2842">
        <v>2020</v>
      </c>
      <c r="E2842" t="s">
        <v>11</v>
      </c>
      <c r="F2842" t="s">
        <v>2833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f t="shared" si="88"/>
        <v>4.4000000000000004</v>
      </c>
      <c r="M2842">
        <f t="shared" si="89"/>
        <v>1</v>
      </c>
    </row>
    <row r="2843" spans="1:13" x14ac:dyDescent="0.3">
      <c r="A2843">
        <v>2841</v>
      </c>
      <c r="B2843">
        <v>2842</v>
      </c>
      <c r="C2843" t="s">
        <v>2899</v>
      </c>
      <c r="D2843">
        <v>2020</v>
      </c>
      <c r="F2843" t="s">
        <v>2833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f t="shared" si="88"/>
        <v>4.4000000000000004</v>
      </c>
      <c r="M2843">
        <f t="shared" si="89"/>
        <v>1</v>
      </c>
    </row>
    <row r="2844" spans="1:13" x14ac:dyDescent="0.3">
      <c r="A2844">
        <v>2842</v>
      </c>
      <c r="B2844">
        <v>2843</v>
      </c>
      <c r="C2844" t="s">
        <v>2900</v>
      </c>
      <c r="D2844">
        <v>2018</v>
      </c>
      <c r="F2844" t="s">
        <v>2833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f t="shared" si="88"/>
        <v>4.4000000000000004</v>
      </c>
      <c r="M2844">
        <f t="shared" si="89"/>
        <v>1</v>
      </c>
    </row>
    <row r="2845" spans="1:13" x14ac:dyDescent="0.3">
      <c r="A2845">
        <v>2843</v>
      </c>
      <c r="B2845">
        <v>2844</v>
      </c>
      <c r="C2845" t="s">
        <v>2901</v>
      </c>
      <c r="D2845">
        <v>2018</v>
      </c>
      <c r="E2845" t="s">
        <v>36</v>
      </c>
      <c r="F2845" t="s">
        <v>2833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f t="shared" si="88"/>
        <v>4.4000000000000004</v>
      </c>
      <c r="M2845">
        <f t="shared" si="89"/>
        <v>1</v>
      </c>
    </row>
    <row r="2846" spans="1:13" x14ac:dyDescent="0.3">
      <c r="A2846">
        <v>2844</v>
      </c>
      <c r="B2846">
        <v>2845</v>
      </c>
      <c r="C2846" t="s">
        <v>2902</v>
      </c>
      <c r="D2846">
        <v>2017</v>
      </c>
      <c r="E2846" t="s">
        <v>11</v>
      </c>
      <c r="F2846" t="s">
        <v>2833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f t="shared" si="88"/>
        <v>4.4000000000000004</v>
      </c>
      <c r="M2846">
        <f t="shared" si="89"/>
        <v>1</v>
      </c>
    </row>
    <row r="2847" spans="1:13" x14ac:dyDescent="0.3">
      <c r="A2847">
        <v>2845</v>
      </c>
      <c r="B2847">
        <v>2846</v>
      </c>
      <c r="C2847" t="s">
        <v>2903</v>
      </c>
      <c r="D2847">
        <v>2019</v>
      </c>
      <c r="F2847" t="s">
        <v>2833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f t="shared" si="88"/>
        <v>4.4000000000000004</v>
      </c>
      <c r="M2847">
        <f t="shared" si="89"/>
        <v>1</v>
      </c>
    </row>
    <row r="2848" spans="1:13" x14ac:dyDescent="0.3">
      <c r="A2848">
        <v>2846</v>
      </c>
      <c r="B2848">
        <v>2847</v>
      </c>
      <c r="C2848" t="s">
        <v>2904</v>
      </c>
      <c r="D2848">
        <v>2018</v>
      </c>
      <c r="E2848" t="s">
        <v>36</v>
      </c>
      <c r="F2848" t="s">
        <v>2833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f t="shared" si="88"/>
        <v>4.4000000000000004</v>
      </c>
      <c r="M2848">
        <f t="shared" si="89"/>
        <v>1</v>
      </c>
    </row>
    <row r="2849" spans="1:13" x14ac:dyDescent="0.3">
      <c r="A2849">
        <v>2847</v>
      </c>
      <c r="B2849">
        <v>2848</v>
      </c>
      <c r="C2849" t="s">
        <v>2905</v>
      </c>
      <c r="D2849">
        <v>2018</v>
      </c>
      <c r="F2849" t="s">
        <v>2833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f t="shared" si="88"/>
        <v>4.4000000000000004</v>
      </c>
      <c r="M2849">
        <f t="shared" si="89"/>
        <v>1</v>
      </c>
    </row>
    <row r="2850" spans="1:13" x14ac:dyDescent="0.3">
      <c r="A2850">
        <v>2848</v>
      </c>
      <c r="B2850">
        <v>2849</v>
      </c>
      <c r="C2850" t="s">
        <v>2906</v>
      </c>
      <c r="D2850">
        <v>2009</v>
      </c>
      <c r="F2850" t="s">
        <v>2833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f t="shared" si="88"/>
        <v>4.4000000000000004</v>
      </c>
      <c r="M2850">
        <f t="shared" si="89"/>
        <v>1</v>
      </c>
    </row>
    <row r="2851" spans="1:13" x14ac:dyDescent="0.3">
      <c r="A2851">
        <v>2849</v>
      </c>
      <c r="B2851">
        <v>2850</v>
      </c>
      <c r="C2851" t="s">
        <v>2907</v>
      </c>
      <c r="D2851">
        <v>2019</v>
      </c>
      <c r="F2851" t="s">
        <v>2833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f t="shared" si="88"/>
        <v>4.4000000000000004</v>
      </c>
      <c r="M2851">
        <f t="shared" si="89"/>
        <v>1</v>
      </c>
    </row>
    <row r="2852" spans="1:13" x14ac:dyDescent="0.3">
      <c r="A2852">
        <v>2850</v>
      </c>
      <c r="B2852">
        <v>2851</v>
      </c>
      <c r="C2852" t="s">
        <v>2908</v>
      </c>
      <c r="D2852">
        <v>2020</v>
      </c>
      <c r="F2852" t="s">
        <v>2833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f t="shared" si="88"/>
        <v>4.4000000000000004</v>
      </c>
      <c r="M2852">
        <f t="shared" si="89"/>
        <v>1</v>
      </c>
    </row>
    <row r="2853" spans="1:13" x14ac:dyDescent="0.3">
      <c r="A2853">
        <v>2851</v>
      </c>
      <c r="B2853">
        <v>2852</v>
      </c>
      <c r="C2853" t="s">
        <v>2909</v>
      </c>
      <c r="D2853">
        <v>2021</v>
      </c>
      <c r="F2853" t="s">
        <v>2833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f t="shared" si="88"/>
        <v>4.4000000000000004</v>
      </c>
      <c r="M2853">
        <f t="shared" si="89"/>
        <v>1</v>
      </c>
    </row>
    <row r="2854" spans="1:13" x14ac:dyDescent="0.3">
      <c r="A2854">
        <v>2852</v>
      </c>
      <c r="B2854">
        <v>2853</v>
      </c>
      <c r="C2854" t="s">
        <v>2910</v>
      </c>
      <c r="D2854">
        <v>2018</v>
      </c>
      <c r="F2854" t="s">
        <v>2833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f t="shared" si="88"/>
        <v>4.4000000000000004</v>
      </c>
      <c r="M2854">
        <f t="shared" si="89"/>
        <v>1</v>
      </c>
    </row>
    <row r="2855" spans="1:13" x14ac:dyDescent="0.3">
      <c r="A2855">
        <v>2853</v>
      </c>
      <c r="B2855">
        <v>2854</v>
      </c>
      <c r="C2855" t="s">
        <v>2911</v>
      </c>
      <c r="D2855">
        <v>2016</v>
      </c>
      <c r="F2855" t="s">
        <v>2833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f t="shared" si="88"/>
        <v>4.4000000000000004</v>
      </c>
      <c r="M2855">
        <f t="shared" si="89"/>
        <v>1</v>
      </c>
    </row>
    <row r="2856" spans="1:13" x14ac:dyDescent="0.3">
      <c r="A2856">
        <v>2854</v>
      </c>
      <c r="B2856">
        <v>2855</v>
      </c>
      <c r="C2856" t="s">
        <v>2912</v>
      </c>
      <c r="D2856">
        <v>2020</v>
      </c>
      <c r="F2856" t="s">
        <v>2833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f t="shared" si="88"/>
        <v>4.4000000000000004</v>
      </c>
      <c r="M2856">
        <f t="shared" si="89"/>
        <v>1</v>
      </c>
    </row>
    <row r="2857" spans="1:13" x14ac:dyDescent="0.3">
      <c r="A2857">
        <v>2855</v>
      </c>
      <c r="B2857">
        <v>2856</v>
      </c>
      <c r="C2857" t="s">
        <v>2913</v>
      </c>
      <c r="D2857">
        <v>2017</v>
      </c>
      <c r="E2857" t="s">
        <v>22</v>
      </c>
      <c r="F2857" t="s">
        <v>2833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f t="shared" si="88"/>
        <v>4.4000000000000004</v>
      </c>
      <c r="M2857">
        <f t="shared" si="89"/>
        <v>1</v>
      </c>
    </row>
    <row r="2858" spans="1:13" x14ac:dyDescent="0.3">
      <c r="A2858">
        <v>2856</v>
      </c>
      <c r="B2858">
        <v>2857</v>
      </c>
      <c r="C2858" t="s">
        <v>2914</v>
      </c>
      <c r="D2858">
        <v>2020</v>
      </c>
      <c r="F2858" t="s">
        <v>2833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f t="shared" si="88"/>
        <v>4.4000000000000004</v>
      </c>
      <c r="M2858">
        <f t="shared" si="89"/>
        <v>1</v>
      </c>
    </row>
    <row r="2859" spans="1:13" x14ac:dyDescent="0.3">
      <c r="A2859">
        <v>2857</v>
      </c>
      <c r="B2859">
        <v>2858</v>
      </c>
      <c r="C2859" t="s">
        <v>2915</v>
      </c>
      <c r="D2859">
        <v>2002</v>
      </c>
      <c r="E2859" t="s">
        <v>22</v>
      </c>
      <c r="F2859" t="s">
        <v>2833</v>
      </c>
      <c r="G2859">
        <v>1</v>
      </c>
      <c r="H2859">
        <v>0</v>
      </c>
      <c r="I2859">
        <v>0</v>
      </c>
      <c r="J2859">
        <v>0</v>
      </c>
      <c r="K2859">
        <v>0</v>
      </c>
      <c r="L2859">
        <f t="shared" si="88"/>
        <v>4.4000000000000004</v>
      </c>
      <c r="M2859">
        <f t="shared" si="89"/>
        <v>1</v>
      </c>
    </row>
    <row r="2860" spans="1:13" x14ac:dyDescent="0.3">
      <c r="A2860">
        <v>2858</v>
      </c>
      <c r="B2860">
        <v>2859</v>
      </c>
      <c r="C2860" t="s">
        <v>2916</v>
      </c>
      <c r="D2860">
        <v>1971</v>
      </c>
      <c r="F2860" t="s">
        <v>2833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f t="shared" si="88"/>
        <v>4.4000000000000004</v>
      </c>
      <c r="M2860">
        <f t="shared" si="89"/>
        <v>1</v>
      </c>
    </row>
    <row r="2861" spans="1:13" x14ac:dyDescent="0.3">
      <c r="A2861">
        <v>2859</v>
      </c>
      <c r="B2861">
        <v>2860</v>
      </c>
      <c r="C2861" t="s">
        <v>2917</v>
      </c>
      <c r="D2861">
        <v>2017</v>
      </c>
      <c r="F2861" t="s">
        <v>2833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f t="shared" si="88"/>
        <v>4.4000000000000004</v>
      </c>
      <c r="M2861">
        <f t="shared" si="89"/>
        <v>1</v>
      </c>
    </row>
    <row r="2862" spans="1:13" x14ac:dyDescent="0.3">
      <c r="A2862">
        <v>2860</v>
      </c>
      <c r="B2862">
        <v>2861</v>
      </c>
      <c r="C2862" t="s">
        <v>2918</v>
      </c>
      <c r="D2862">
        <v>2018</v>
      </c>
      <c r="E2862" t="s">
        <v>14</v>
      </c>
      <c r="F2862" t="s">
        <v>2833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f t="shared" si="88"/>
        <v>4.4000000000000004</v>
      </c>
      <c r="M2862">
        <f t="shared" si="89"/>
        <v>1</v>
      </c>
    </row>
    <row r="2863" spans="1:13" x14ac:dyDescent="0.3">
      <c r="A2863">
        <v>2861</v>
      </c>
      <c r="B2863">
        <v>2862</v>
      </c>
      <c r="C2863" t="s">
        <v>2919</v>
      </c>
      <c r="D2863">
        <v>2015</v>
      </c>
      <c r="E2863" t="s">
        <v>36</v>
      </c>
      <c r="F2863" t="s">
        <v>2833</v>
      </c>
      <c r="G2863">
        <v>1</v>
      </c>
      <c r="H2863">
        <v>0</v>
      </c>
      <c r="I2863">
        <v>0</v>
      </c>
      <c r="J2863">
        <v>0</v>
      </c>
      <c r="K2863">
        <v>0</v>
      </c>
      <c r="L2863">
        <f t="shared" si="88"/>
        <v>4.4000000000000004</v>
      </c>
      <c r="M2863">
        <f t="shared" si="89"/>
        <v>1</v>
      </c>
    </row>
    <row r="2864" spans="1:13" x14ac:dyDescent="0.3">
      <c r="A2864">
        <v>2862</v>
      </c>
      <c r="B2864">
        <v>2863</v>
      </c>
      <c r="C2864" t="s">
        <v>2920</v>
      </c>
      <c r="D2864">
        <v>1975</v>
      </c>
      <c r="F2864" t="s">
        <v>2833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f t="shared" si="88"/>
        <v>4.4000000000000004</v>
      </c>
      <c r="M2864">
        <f t="shared" si="89"/>
        <v>1</v>
      </c>
    </row>
    <row r="2865" spans="1:13" x14ac:dyDescent="0.3">
      <c r="A2865">
        <v>2863</v>
      </c>
      <c r="B2865">
        <v>2864</v>
      </c>
      <c r="C2865" t="s">
        <v>2921</v>
      </c>
      <c r="D2865">
        <v>2019</v>
      </c>
      <c r="F2865" t="s">
        <v>2833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f t="shared" si="88"/>
        <v>4.4000000000000004</v>
      </c>
      <c r="M2865">
        <f t="shared" si="89"/>
        <v>1</v>
      </c>
    </row>
    <row r="2866" spans="1:13" x14ac:dyDescent="0.3">
      <c r="A2866">
        <v>2864</v>
      </c>
      <c r="B2866">
        <v>2865</v>
      </c>
      <c r="C2866" t="s">
        <v>2922</v>
      </c>
      <c r="D2866">
        <v>2012</v>
      </c>
      <c r="F2866" t="s">
        <v>2833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f t="shared" si="88"/>
        <v>4.4000000000000004</v>
      </c>
      <c r="M2866">
        <f t="shared" si="89"/>
        <v>1</v>
      </c>
    </row>
    <row r="2867" spans="1:13" x14ac:dyDescent="0.3">
      <c r="A2867">
        <v>2865</v>
      </c>
      <c r="B2867">
        <v>2866</v>
      </c>
      <c r="C2867" t="s">
        <v>2923</v>
      </c>
      <c r="D2867">
        <v>2015</v>
      </c>
      <c r="F2867" t="s">
        <v>2833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f t="shared" si="88"/>
        <v>4.4000000000000004</v>
      </c>
      <c r="M2867">
        <f t="shared" si="89"/>
        <v>1</v>
      </c>
    </row>
    <row r="2868" spans="1:13" x14ac:dyDescent="0.3">
      <c r="A2868">
        <v>2866</v>
      </c>
      <c r="B2868">
        <v>2867</v>
      </c>
      <c r="C2868" t="s">
        <v>2924</v>
      </c>
      <c r="D2868">
        <v>2019</v>
      </c>
      <c r="E2868" t="s">
        <v>11</v>
      </c>
      <c r="F2868" t="s">
        <v>2833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f t="shared" si="88"/>
        <v>4.4000000000000004</v>
      </c>
      <c r="M2868">
        <f t="shared" si="89"/>
        <v>1</v>
      </c>
    </row>
    <row r="2869" spans="1:13" x14ac:dyDescent="0.3">
      <c r="A2869">
        <v>2867</v>
      </c>
      <c r="B2869">
        <v>2868</v>
      </c>
      <c r="C2869" t="s">
        <v>2925</v>
      </c>
      <c r="D2869">
        <v>2020</v>
      </c>
      <c r="F2869" t="s">
        <v>2833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f t="shared" si="88"/>
        <v>4.4000000000000004</v>
      </c>
      <c r="M2869">
        <f t="shared" si="89"/>
        <v>1</v>
      </c>
    </row>
    <row r="2870" spans="1:13" x14ac:dyDescent="0.3">
      <c r="A2870">
        <v>2868</v>
      </c>
      <c r="B2870">
        <v>2869</v>
      </c>
      <c r="C2870" t="s">
        <v>2926</v>
      </c>
      <c r="D2870">
        <v>2004</v>
      </c>
      <c r="E2870" t="s">
        <v>36</v>
      </c>
      <c r="F2870" t="s">
        <v>2833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f t="shared" si="88"/>
        <v>4.4000000000000004</v>
      </c>
      <c r="M2870">
        <f t="shared" si="89"/>
        <v>1</v>
      </c>
    </row>
    <row r="2871" spans="1:13" x14ac:dyDescent="0.3">
      <c r="A2871">
        <v>2869</v>
      </c>
      <c r="B2871">
        <v>2870</v>
      </c>
      <c r="C2871" t="s">
        <v>2927</v>
      </c>
      <c r="D2871">
        <v>2016</v>
      </c>
      <c r="F2871" t="s">
        <v>2833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f t="shared" si="88"/>
        <v>4.4000000000000004</v>
      </c>
      <c r="M2871">
        <f t="shared" si="89"/>
        <v>1</v>
      </c>
    </row>
    <row r="2872" spans="1:13" x14ac:dyDescent="0.3">
      <c r="A2872">
        <v>2870</v>
      </c>
      <c r="B2872">
        <v>2871</v>
      </c>
      <c r="C2872" t="s">
        <v>2928</v>
      </c>
      <c r="D2872">
        <v>2020</v>
      </c>
      <c r="E2872" t="s">
        <v>11</v>
      </c>
      <c r="F2872" t="s">
        <v>2833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f t="shared" si="88"/>
        <v>4.4000000000000004</v>
      </c>
      <c r="M2872">
        <f t="shared" si="89"/>
        <v>1</v>
      </c>
    </row>
    <row r="2873" spans="1:13" x14ac:dyDescent="0.3">
      <c r="A2873">
        <v>2871</v>
      </c>
      <c r="B2873">
        <v>2872</v>
      </c>
      <c r="C2873" t="s">
        <v>2929</v>
      </c>
      <c r="D2873">
        <v>1956</v>
      </c>
      <c r="F2873" t="s">
        <v>2833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f t="shared" si="88"/>
        <v>4.4000000000000004</v>
      </c>
      <c r="M2873">
        <f t="shared" si="89"/>
        <v>1</v>
      </c>
    </row>
    <row r="2874" spans="1:13" x14ac:dyDescent="0.3">
      <c r="A2874">
        <v>2872</v>
      </c>
      <c r="B2874">
        <v>2873</v>
      </c>
      <c r="C2874" t="s">
        <v>2930</v>
      </c>
      <c r="D2874">
        <v>2018</v>
      </c>
      <c r="E2874" t="s">
        <v>14</v>
      </c>
      <c r="F2874" t="s">
        <v>2833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f t="shared" si="88"/>
        <v>4.4000000000000004</v>
      </c>
      <c r="M2874">
        <f t="shared" si="89"/>
        <v>1</v>
      </c>
    </row>
    <row r="2875" spans="1:13" x14ac:dyDescent="0.3">
      <c r="A2875">
        <v>2873</v>
      </c>
      <c r="B2875">
        <v>2874</v>
      </c>
      <c r="C2875" t="s">
        <v>2931</v>
      </c>
      <c r="D2875">
        <v>2015</v>
      </c>
      <c r="F2875" t="s">
        <v>2833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f t="shared" si="88"/>
        <v>4.4000000000000004</v>
      </c>
      <c r="M2875">
        <f t="shared" si="89"/>
        <v>1</v>
      </c>
    </row>
    <row r="2876" spans="1:13" x14ac:dyDescent="0.3">
      <c r="A2876">
        <v>2874</v>
      </c>
      <c r="B2876">
        <v>2875</v>
      </c>
      <c r="C2876" t="s">
        <v>2932</v>
      </c>
      <c r="D2876">
        <v>2018</v>
      </c>
      <c r="E2876" t="s">
        <v>22</v>
      </c>
      <c r="F2876" t="s">
        <v>2833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f t="shared" si="88"/>
        <v>4.4000000000000004</v>
      </c>
      <c r="M2876">
        <f t="shared" si="89"/>
        <v>1</v>
      </c>
    </row>
    <row r="2877" spans="1:13" x14ac:dyDescent="0.3">
      <c r="A2877">
        <v>2875</v>
      </c>
      <c r="B2877">
        <v>2876</v>
      </c>
      <c r="C2877" t="s">
        <v>2933</v>
      </c>
      <c r="D2877">
        <v>2018</v>
      </c>
      <c r="F2877" t="s">
        <v>2833</v>
      </c>
      <c r="G2877">
        <v>1</v>
      </c>
      <c r="H2877">
        <v>0</v>
      </c>
      <c r="I2877">
        <v>1</v>
      </c>
      <c r="J2877">
        <v>0</v>
      </c>
      <c r="K2877">
        <v>0</v>
      </c>
      <c r="L2877">
        <f t="shared" si="88"/>
        <v>4.4000000000000004</v>
      </c>
      <c r="M2877">
        <f t="shared" si="89"/>
        <v>2</v>
      </c>
    </row>
    <row r="2878" spans="1:13" x14ac:dyDescent="0.3">
      <c r="A2878">
        <v>2876</v>
      </c>
      <c r="B2878">
        <v>2877</v>
      </c>
      <c r="C2878" t="s">
        <v>2934</v>
      </c>
      <c r="D2878">
        <v>2016</v>
      </c>
      <c r="F2878" t="s">
        <v>2833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f t="shared" si="88"/>
        <v>4.4000000000000004</v>
      </c>
      <c r="M2878">
        <f t="shared" si="89"/>
        <v>1</v>
      </c>
    </row>
    <row r="2879" spans="1:13" x14ac:dyDescent="0.3">
      <c r="A2879">
        <v>2877</v>
      </c>
      <c r="B2879">
        <v>2878</v>
      </c>
      <c r="C2879" t="s">
        <v>2935</v>
      </c>
      <c r="D2879">
        <v>2018</v>
      </c>
      <c r="F2879" t="s">
        <v>2833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f t="shared" si="88"/>
        <v>4.4000000000000004</v>
      </c>
      <c r="M2879">
        <f t="shared" si="89"/>
        <v>1</v>
      </c>
    </row>
    <row r="2880" spans="1:13" x14ac:dyDescent="0.3">
      <c r="A2880">
        <v>2878</v>
      </c>
      <c r="B2880">
        <v>2879</v>
      </c>
      <c r="C2880" t="s">
        <v>2936</v>
      </c>
      <c r="D2880">
        <v>1969</v>
      </c>
      <c r="F2880" t="s">
        <v>2833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f t="shared" si="88"/>
        <v>4.4000000000000004</v>
      </c>
      <c r="M2880">
        <f t="shared" si="89"/>
        <v>1</v>
      </c>
    </row>
    <row r="2881" spans="1:13" x14ac:dyDescent="0.3">
      <c r="A2881">
        <v>2879</v>
      </c>
      <c r="B2881">
        <v>2880</v>
      </c>
      <c r="C2881" t="s">
        <v>2937</v>
      </c>
      <c r="D2881">
        <v>2020</v>
      </c>
      <c r="F2881" t="s">
        <v>2833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f t="shared" si="88"/>
        <v>4.4000000000000004</v>
      </c>
      <c r="M2881">
        <f t="shared" si="89"/>
        <v>1</v>
      </c>
    </row>
    <row r="2882" spans="1:13" x14ac:dyDescent="0.3">
      <c r="A2882">
        <v>2880</v>
      </c>
      <c r="B2882">
        <v>2881</v>
      </c>
      <c r="C2882" t="s">
        <v>2938</v>
      </c>
      <c r="D2882">
        <v>2016</v>
      </c>
      <c r="E2882" t="s">
        <v>28</v>
      </c>
      <c r="F2882" t="s">
        <v>2833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f t="shared" si="88"/>
        <v>4.4000000000000004</v>
      </c>
      <c r="M2882">
        <f t="shared" si="89"/>
        <v>1</v>
      </c>
    </row>
    <row r="2883" spans="1:13" x14ac:dyDescent="0.3">
      <c r="A2883">
        <v>2881</v>
      </c>
      <c r="B2883">
        <v>2882</v>
      </c>
      <c r="C2883" t="s">
        <v>2939</v>
      </c>
      <c r="D2883">
        <v>2007</v>
      </c>
      <c r="E2883" t="s">
        <v>36</v>
      </c>
      <c r="F2883" t="s">
        <v>2833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f t="shared" ref="L2883:L2946" si="90">IFERROR(VALUE(LEFT(F2883,FIND("/",F2883)-1))/10,"")</f>
        <v>4.4000000000000004</v>
      </c>
      <c r="M2883">
        <f t="shared" ref="M2883:M2946" si="91">SUM(G2883:J2883)</f>
        <v>1</v>
      </c>
    </row>
    <row r="2884" spans="1:13" x14ac:dyDescent="0.3">
      <c r="A2884">
        <v>2882</v>
      </c>
      <c r="B2884">
        <v>2883</v>
      </c>
      <c r="C2884" t="s">
        <v>2940</v>
      </c>
      <c r="D2884">
        <v>2018</v>
      </c>
      <c r="F2884" t="s">
        <v>2941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f t="shared" si="90"/>
        <v>4.3</v>
      </c>
      <c r="M2884">
        <f t="shared" si="91"/>
        <v>1</v>
      </c>
    </row>
    <row r="2885" spans="1:13" x14ac:dyDescent="0.3">
      <c r="A2885">
        <v>2883</v>
      </c>
      <c r="B2885">
        <v>2884</v>
      </c>
      <c r="C2885" t="s">
        <v>2942</v>
      </c>
      <c r="D2885">
        <v>2012</v>
      </c>
      <c r="F2885" t="s">
        <v>2941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f t="shared" si="90"/>
        <v>4.3</v>
      </c>
      <c r="M2885">
        <f t="shared" si="91"/>
        <v>1</v>
      </c>
    </row>
    <row r="2886" spans="1:13" x14ac:dyDescent="0.3">
      <c r="A2886">
        <v>2884</v>
      </c>
      <c r="B2886">
        <v>2885</v>
      </c>
      <c r="C2886" t="s">
        <v>2943</v>
      </c>
      <c r="D2886">
        <v>2008</v>
      </c>
      <c r="F2886" t="s">
        <v>2941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f t="shared" si="90"/>
        <v>4.3</v>
      </c>
      <c r="M2886">
        <f t="shared" si="91"/>
        <v>1</v>
      </c>
    </row>
    <row r="2887" spans="1:13" x14ac:dyDescent="0.3">
      <c r="A2887">
        <v>2885</v>
      </c>
      <c r="B2887">
        <v>2886</v>
      </c>
      <c r="C2887" t="s">
        <v>2944</v>
      </c>
      <c r="D2887">
        <v>2009</v>
      </c>
      <c r="F2887" t="s">
        <v>2941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f t="shared" si="90"/>
        <v>4.3</v>
      </c>
      <c r="M2887">
        <f t="shared" si="91"/>
        <v>1</v>
      </c>
    </row>
    <row r="2888" spans="1:13" x14ac:dyDescent="0.3">
      <c r="A2888">
        <v>2886</v>
      </c>
      <c r="B2888">
        <v>2887</v>
      </c>
      <c r="C2888" t="s">
        <v>2945</v>
      </c>
      <c r="D2888">
        <v>2017</v>
      </c>
      <c r="F2888" t="s">
        <v>2941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f t="shared" si="90"/>
        <v>4.3</v>
      </c>
      <c r="M2888">
        <f t="shared" si="91"/>
        <v>1</v>
      </c>
    </row>
    <row r="2889" spans="1:13" x14ac:dyDescent="0.3">
      <c r="A2889">
        <v>2887</v>
      </c>
      <c r="B2889">
        <v>2888</v>
      </c>
      <c r="C2889" t="s">
        <v>2946</v>
      </c>
      <c r="D2889">
        <v>2015</v>
      </c>
      <c r="F2889" t="s">
        <v>2941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f t="shared" si="90"/>
        <v>4.3</v>
      </c>
      <c r="M2889">
        <f t="shared" si="91"/>
        <v>1</v>
      </c>
    </row>
    <row r="2890" spans="1:13" x14ac:dyDescent="0.3">
      <c r="A2890">
        <v>2888</v>
      </c>
      <c r="B2890">
        <v>2889</v>
      </c>
      <c r="C2890" t="s">
        <v>2947</v>
      </c>
      <c r="D2890">
        <v>2019</v>
      </c>
      <c r="F2890" t="s">
        <v>2941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f t="shared" si="90"/>
        <v>4.3</v>
      </c>
      <c r="M2890">
        <f t="shared" si="91"/>
        <v>1</v>
      </c>
    </row>
    <row r="2891" spans="1:13" x14ac:dyDescent="0.3">
      <c r="A2891">
        <v>2889</v>
      </c>
      <c r="B2891">
        <v>2890</v>
      </c>
      <c r="C2891" t="s">
        <v>2948</v>
      </c>
      <c r="D2891">
        <v>2018</v>
      </c>
      <c r="F2891" t="s">
        <v>2941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f t="shared" si="90"/>
        <v>4.3</v>
      </c>
      <c r="M2891">
        <f t="shared" si="91"/>
        <v>1</v>
      </c>
    </row>
    <row r="2892" spans="1:13" x14ac:dyDescent="0.3">
      <c r="A2892">
        <v>2890</v>
      </c>
      <c r="B2892">
        <v>2891</v>
      </c>
      <c r="C2892" t="s">
        <v>2949</v>
      </c>
      <c r="D2892">
        <v>2020</v>
      </c>
      <c r="E2892" t="s">
        <v>14</v>
      </c>
      <c r="F2892" t="s">
        <v>2941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f t="shared" si="90"/>
        <v>4.3</v>
      </c>
      <c r="M2892">
        <f t="shared" si="91"/>
        <v>1</v>
      </c>
    </row>
    <row r="2893" spans="1:13" x14ac:dyDescent="0.3">
      <c r="A2893">
        <v>2891</v>
      </c>
      <c r="B2893">
        <v>2892</v>
      </c>
      <c r="C2893" t="s">
        <v>2950</v>
      </c>
      <c r="D2893">
        <v>2014</v>
      </c>
      <c r="F2893" t="s">
        <v>2941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f t="shared" si="90"/>
        <v>4.3</v>
      </c>
      <c r="M2893">
        <f t="shared" si="91"/>
        <v>1</v>
      </c>
    </row>
    <row r="2894" spans="1:13" x14ac:dyDescent="0.3">
      <c r="A2894">
        <v>2892</v>
      </c>
      <c r="B2894">
        <v>2893</v>
      </c>
      <c r="C2894" t="s">
        <v>2951</v>
      </c>
      <c r="D2894">
        <v>2018</v>
      </c>
      <c r="E2894" t="s">
        <v>28</v>
      </c>
      <c r="F2894" t="s">
        <v>2941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f t="shared" si="90"/>
        <v>4.3</v>
      </c>
      <c r="M2894">
        <f t="shared" si="91"/>
        <v>1</v>
      </c>
    </row>
    <row r="2895" spans="1:13" x14ac:dyDescent="0.3">
      <c r="A2895">
        <v>2893</v>
      </c>
      <c r="B2895">
        <v>2894</v>
      </c>
      <c r="C2895" t="s">
        <v>2952</v>
      </c>
      <c r="D2895">
        <v>2010</v>
      </c>
      <c r="F2895" t="s">
        <v>2941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f t="shared" si="90"/>
        <v>4.3</v>
      </c>
      <c r="M2895">
        <f t="shared" si="91"/>
        <v>1</v>
      </c>
    </row>
    <row r="2896" spans="1:13" x14ac:dyDescent="0.3">
      <c r="A2896">
        <v>2894</v>
      </c>
      <c r="B2896">
        <v>2895</v>
      </c>
      <c r="C2896" t="s">
        <v>2953</v>
      </c>
      <c r="D2896">
        <v>2020</v>
      </c>
      <c r="F2896" t="s">
        <v>2941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f t="shared" si="90"/>
        <v>4.3</v>
      </c>
      <c r="M2896">
        <f t="shared" si="91"/>
        <v>1</v>
      </c>
    </row>
    <row r="2897" spans="1:13" x14ac:dyDescent="0.3">
      <c r="A2897">
        <v>2895</v>
      </c>
      <c r="B2897">
        <v>2896</v>
      </c>
      <c r="C2897" t="s">
        <v>2954</v>
      </c>
      <c r="D2897">
        <v>1991</v>
      </c>
      <c r="F2897" t="s">
        <v>2941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f t="shared" si="90"/>
        <v>4.3</v>
      </c>
      <c r="M2897">
        <f t="shared" si="91"/>
        <v>1</v>
      </c>
    </row>
    <row r="2898" spans="1:13" x14ac:dyDescent="0.3">
      <c r="A2898">
        <v>2896</v>
      </c>
      <c r="B2898">
        <v>2897</v>
      </c>
      <c r="C2898" t="s">
        <v>2955</v>
      </c>
      <c r="D2898">
        <v>2014</v>
      </c>
      <c r="F2898" t="s">
        <v>2941</v>
      </c>
      <c r="G2898">
        <v>1</v>
      </c>
      <c r="H2898">
        <v>0</v>
      </c>
      <c r="I2898">
        <v>1</v>
      </c>
      <c r="J2898">
        <v>0</v>
      </c>
      <c r="K2898">
        <v>0</v>
      </c>
      <c r="L2898">
        <f t="shared" si="90"/>
        <v>4.3</v>
      </c>
      <c r="M2898">
        <f t="shared" si="91"/>
        <v>2</v>
      </c>
    </row>
    <row r="2899" spans="1:13" x14ac:dyDescent="0.3">
      <c r="A2899">
        <v>2897</v>
      </c>
      <c r="B2899">
        <v>2898</v>
      </c>
      <c r="C2899" t="s">
        <v>2956</v>
      </c>
      <c r="D2899">
        <v>2019</v>
      </c>
      <c r="F2899" t="s">
        <v>2941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f t="shared" si="90"/>
        <v>4.3</v>
      </c>
      <c r="M2899">
        <f t="shared" si="91"/>
        <v>1</v>
      </c>
    </row>
    <row r="2900" spans="1:13" x14ac:dyDescent="0.3">
      <c r="A2900">
        <v>2898</v>
      </c>
      <c r="B2900">
        <v>2899</v>
      </c>
      <c r="C2900" t="s">
        <v>2957</v>
      </c>
      <c r="D2900">
        <v>2015</v>
      </c>
      <c r="F2900" t="s">
        <v>2941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f t="shared" si="90"/>
        <v>4.3</v>
      </c>
      <c r="M2900">
        <f t="shared" si="91"/>
        <v>1</v>
      </c>
    </row>
    <row r="2901" spans="1:13" x14ac:dyDescent="0.3">
      <c r="A2901">
        <v>2899</v>
      </c>
      <c r="B2901">
        <v>2900</v>
      </c>
      <c r="C2901" t="s">
        <v>2958</v>
      </c>
      <c r="D2901">
        <v>2015</v>
      </c>
      <c r="E2901" t="s">
        <v>14</v>
      </c>
      <c r="F2901" t="s">
        <v>2941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f t="shared" si="90"/>
        <v>4.3</v>
      </c>
      <c r="M2901">
        <f t="shared" si="91"/>
        <v>1</v>
      </c>
    </row>
    <row r="2902" spans="1:13" x14ac:dyDescent="0.3">
      <c r="A2902">
        <v>2900</v>
      </c>
      <c r="B2902">
        <v>2901</v>
      </c>
      <c r="C2902" t="s">
        <v>2959</v>
      </c>
      <c r="D2902">
        <v>2019</v>
      </c>
      <c r="F2902" t="s">
        <v>2941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f t="shared" si="90"/>
        <v>4.3</v>
      </c>
      <c r="M2902">
        <f t="shared" si="91"/>
        <v>1</v>
      </c>
    </row>
    <row r="2903" spans="1:13" x14ac:dyDescent="0.3">
      <c r="A2903">
        <v>2901</v>
      </c>
      <c r="B2903">
        <v>2902</v>
      </c>
      <c r="C2903" t="s">
        <v>2960</v>
      </c>
      <c r="D2903">
        <v>2019</v>
      </c>
      <c r="F2903" t="s">
        <v>2941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f t="shared" si="90"/>
        <v>4.3</v>
      </c>
      <c r="M2903">
        <f t="shared" si="91"/>
        <v>1</v>
      </c>
    </row>
    <row r="2904" spans="1:13" x14ac:dyDescent="0.3">
      <c r="A2904">
        <v>2902</v>
      </c>
      <c r="B2904">
        <v>2903</v>
      </c>
      <c r="C2904" t="s">
        <v>2961</v>
      </c>
      <c r="D2904">
        <v>2018</v>
      </c>
      <c r="E2904" t="s">
        <v>11</v>
      </c>
      <c r="F2904" t="s">
        <v>2941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f t="shared" si="90"/>
        <v>4.3</v>
      </c>
      <c r="M2904">
        <f t="shared" si="91"/>
        <v>1</v>
      </c>
    </row>
    <row r="2905" spans="1:13" x14ac:dyDescent="0.3">
      <c r="A2905">
        <v>2903</v>
      </c>
      <c r="B2905">
        <v>2904</v>
      </c>
      <c r="C2905" t="s">
        <v>2962</v>
      </c>
      <c r="D2905">
        <v>2019</v>
      </c>
      <c r="F2905" t="s">
        <v>2941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f t="shared" si="90"/>
        <v>4.3</v>
      </c>
      <c r="M2905">
        <f t="shared" si="91"/>
        <v>1</v>
      </c>
    </row>
    <row r="2906" spans="1:13" x14ac:dyDescent="0.3">
      <c r="A2906">
        <v>2904</v>
      </c>
      <c r="B2906">
        <v>2905</v>
      </c>
      <c r="C2906" t="s">
        <v>2963</v>
      </c>
      <c r="D2906">
        <v>2019</v>
      </c>
      <c r="F2906" t="s">
        <v>2941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f t="shared" si="90"/>
        <v>4.3</v>
      </c>
      <c r="M2906">
        <f t="shared" si="91"/>
        <v>1</v>
      </c>
    </row>
    <row r="2907" spans="1:13" x14ac:dyDescent="0.3">
      <c r="A2907">
        <v>2905</v>
      </c>
      <c r="B2907">
        <v>2906</v>
      </c>
      <c r="C2907" t="s">
        <v>2964</v>
      </c>
      <c r="D2907">
        <v>2004</v>
      </c>
      <c r="F2907" t="s">
        <v>2941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f t="shared" si="90"/>
        <v>4.3</v>
      </c>
      <c r="M2907">
        <f t="shared" si="91"/>
        <v>1</v>
      </c>
    </row>
    <row r="2908" spans="1:13" x14ac:dyDescent="0.3">
      <c r="A2908">
        <v>2906</v>
      </c>
      <c r="B2908">
        <v>2907</v>
      </c>
      <c r="C2908" t="s">
        <v>2965</v>
      </c>
      <c r="D2908">
        <v>2020</v>
      </c>
      <c r="F2908" t="s">
        <v>2941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f t="shared" si="90"/>
        <v>4.3</v>
      </c>
      <c r="M2908">
        <f t="shared" si="91"/>
        <v>1</v>
      </c>
    </row>
    <row r="2909" spans="1:13" x14ac:dyDescent="0.3">
      <c r="A2909">
        <v>2907</v>
      </c>
      <c r="B2909">
        <v>2908</v>
      </c>
      <c r="C2909" t="s">
        <v>2966</v>
      </c>
      <c r="D2909">
        <v>2020</v>
      </c>
      <c r="F2909" t="s">
        <v>2941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f t="shared" si="90"/>
        <v>4.3</v>
      </c>
      <c r="M2909">
        <f t="shared" si="91"/>
        <v>1</v>
      </c>
    </row>
    <row r="2910" spans="1:13" x14ac:dyDescent="0.3">
      <c r="A2910">
        <v>2908</v>
      </c>
      <c r="B2910">
        <v>2909</v>
      </c>
      <c r="C2910" t="s">
        <v>2967</v>
      </c>
      <c r="D2910">
        <v>2018</v>
      </c>
      <c r="F2910" t="s">
        <v>2941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f t="shared" si="90"/>
        <v>4.3</v>
      </c>
      <c r="M2910">
        <f t="shared" si="91"/>
        <v>1</v>
      </c>
    </row>
    <row r="2911" spans="1:13" x14ac:dyDescent="0.3">
      <c r="A2911">
        <v>2909</v>
      </c>
      <c r="B2911">
        <v>2910</v>
      </c>
      <c r="C2911" t="s">
        <v>2968</v>
      </c>
      <c r="D2911">
        <v>2018</v>
      </c>
      <c r="E2911" t="s">
        <v>11</v>
      </c>
      <c r="F2911" t="s">
        <v>2941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f t="shared" si="90"/>
        <v>4.3</v>
      </c>
      <c r="M2911">
        <f t="shared" si="91"/>
        <v>1</v>
      </c>
    </row>
    <row r="2912" spans="1:13" x14ac:dyDescent="0.3">
      <c r="A2912">
        <v>2910</v>
      </c>
      <c r="B2912">
        <v>2911</v>
      </c>
      <c r="C2912" t="s">
        <v>2969</v>
      </c>
      <c r="D2912">
        <v>2020</v>
      </c>
      <c r="F2912" t="s">
        <v>2941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f t="shared" si="90"/>
        <v>4.3</v>
      </c>
      <c r="M2912">
        <f t="shared" si="91"/>
        <v>1</v>
      </c>
    </row>
    <row r="2913" spans="1:13" x14ac:dyDescent="0.3">
      <c r="A2913">
        <v>2911</v>
      </c>
      <c r="B2913">
        <v>2912</v>
      </c>
      <c r="C2913" t="s">
        <v>2970</v>
      </c>
      <c r="D2913">
        <v>2015</v>
      </c>
      <c r="E2913" t="s">
        <v>22</v>
      </c>
      <c r="F2913" t="s">
        <v>2941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f t="shared" si="90"/>
        <v>4.3</v>
      </c>
      <c r="M2913">
        <f t="shared" si="91"/>
        <v>1</v>
      </c>
    </row>
    <row r="2914" spans="1:13" x14ac:dyDescent="0.3">
      <c r="A2914">
        <v>2912</v>
      </c>
      <c r="B2914">
        <v>2913</v>
      </c>
      <c r="C2914" t="s">
        <v>2971</v>
      </c>
      <c r="D2914">
        <v>2020</v>
      </c>
      <c r="F2914" t="s">
        <v>2941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f t="shared" si="90"/>
        <v>4.3</v>
      </c>
      <c r="M2914">
        <f t="shared" si="91"/>
        <v>1</v>
      </c>
    </row>
    <row r="2915" spans="1:13" x14ac:dyDescent="0.3">
      <c r="A2915">
        <v>2913</v>
      </c>
      <c r="B2915">
        <v>2914</v>
      </c>
      <c r="C2915" t="s">
        <v>2972</v>
      </c>
      <c r="D2915">
        <v>2017</v>
      </c>
      <c r="F2915" t="s">
        <v>2941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f t="shared" si="90"/>
        <v>4.3</v>
      </c>
      <c r="M2915">
        <f t="shared" si="91"/>
        <v>1</v>
      </c>
    </row>
    <row r="2916" spans="1:13" x14ac:dyDescent="0.3">
      <c r="A2916">
        <v>2914</v>
      </c>
      <c r="B2916">
        <v>2915</v>
      </c>
      <c r="C2916" t="s">
        <v>2973</v>
      </c>
      <c r="D2916">
        <v>2019</v>
      </c>
      <c r="E2916" t="s">
        <v>36</v>
      </c>
      <c r="F2916" t="s">
        <v>2941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f t="shared" si="90"/>
        <v>4.3</v>
      </c>
      <c r="M2916">
        <f t="shared" si="91"/>
        <v>1</v>
      </c>
    </row>
    <row r="2917" spans="1:13" x14ac:dyDescent="0.3">
      <c r="A2917">
        <v>2915</v>
      </c>
      <c r="B2917">
        <v>2916</v>
      </c>
      <c r="C2917" t="s">
        <v>2974</v>
      </c>
      <c r="D2917">
        <v>2018</v>
      </c>
      <c r="F2917" t="s">
        <v>2941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f t="shared" si="90"/>
        <v>4.3</v>
      </c>
      <c r="M2917">
        <f t="shared" si="91"/>
        <v>1</v>
      </c>
    </row>
    <row r="2918" spans="1:13" x14ac:dyDescent="0.3">
      <c r="A2918">
        <v>2916</v>
      </c>
      <c r="B2918">
        <v>2917</v>
      </c>
      <c r="C2918" t="s">
        <v>2975</v>
      </c>
      <c r="D2918">
        <v>2017</v>
      </c>
      <c r="F2918" t="s">
        <v>2941</v>
      </c>
      <c r="G2918">
        <v>1</v>
      </c>
      <c r="H2918">
        <v>0</v>
      </c>
      <c r="I2918">
        <v>1</v>
      </c>
      <c r="J2918">
        <v>0</v>
      </c>
      <c r="K2918">
        <v>0</v>
      </c>
      <c r="L2918">
        <f t="shared" si="90"/>
        <v>4.3</v>
      </c>
      <c r="M2918">
        <f t="shared" si="91"/>
        <v>2</v>
      </c>
    </row>
    <row r="2919" spans="1:13" x14ac:dyDescent="0.3">
      <c r="A2919">
        <v>2917</v>
      </c>
      <c r="B2919">
        <v>2918</v>
      </c>
      <c r="C2919" t="s">
        <v>2976</v>
      </c>
      <c r="D2919">
        <v>2003</v>
      </c>
      <c r="F2919" t="s">
        <v>2941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f t="shared" si="90"/>
        <v>4.3</v>
      </c>
      <c r="M2919">
        <f t="shared" si="91"/>
        <v>1</v>
      </c>
    </row>
    <row r="2920" spans="1:13" x14ac:dyDescent="0.3">
      <c r="A2920">
        <v>2918</v>
      </c>
      <c r="B2920">
        <v>2919</v>
      </c>
      <c r="C2920" t="s">
        <v>2977</v>
      </c>
      <c r="D2920">
        <v>2021</v>
      </c>
      <c r="F2920" t="s">
        <v>2941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f t="shared" si="90"/>
        <v>4.3</v>
      </c>
      <c r="M2920">
        <f t="shared" si="91"/>
        <v>1</v>
      </c>
    </row>
    <row r="2921" spans="1:13" x14ac:dyDescent="0.3">
      <c r="A2921">
        <v>2919</v>
      </c>
      <c r="B2921">
        <v>2920</v>
      </c>
      <c r="C2921" t="s">
        <v>2978</v>
      </c>
      <c r="D2921">
        <v>2019</v>
      </c>
      <c r="F2921" t="s">
        <v>2941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f t="shared" si="90"/>
        <v>4.3</v>
      </c>
      <c r="M2921">
        <f t="shared" si="91"/>
        <v>1</v>
      </c>
    </row>
    <row r="2922" spans="1:13" x14ac:dyDescent="0.3">
      <c r="A2922">
        <v>2920</v>
      </c>
      <c r="B2922">
        <v>2921</v>
      </c>
      <c r="C2922" t="s">
        <v>2979</v>
      </c>
      <c r="D2922">
        <v>2019</v>
      </c>
      <c r="E2922" t="s">
        <v>14</v>
      </c>
      <c r="F2922" t="s">
        <v>2941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f t="shared" si="90"/>
        <v>4.3</v>
      </c>
      <c r="M2922">
        <f t="shared" si="91"/>
        <v>1</v>
      </c>
    </row>
    <row r="2923" spans="1:13" x14ac:dyDescent="0.3">
      <c r="A2923">
        <v>2921</v>
      </c>
      <c r="B2923">
        <v>2922</v>
      </c>
      <c r="C2923" t="s">
        <v>2980</v>
      </c>
      <c r="D2923">
        <v>2017</v>
      </c>
      <c r="F2923" t="s">
        <v>2941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f t="shared" si="90"/>
        <v>4.3</v>
      </c>
      <c r="M2923">
        <f t="shared" si="91"/>
        <v>1</v>
      </c>
    </row>
    <row r="2924" spans="1:13" x14ac:dyDescent="0.3">
      <c r="A2924">
        <v>2922</v>
      </c>
      <c r="B2924">
        <v>2923</v>
      </c>
      <c r="C2924" t="s">
        <v>2981</v>
      </c>
      <c r="D2924">
        <v>2020</v>
      </c>
      <c r="F2924" t="s">
        <v>2941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f t="shared" si="90"/>
        <v>4.3</v>
      </c>
      <c r="M2924">
        <f t="shared" si="91"/>
        <v>1</v>
      </c>
    </row>
    <row r="2925" spans="1:13" x14ac:dyDescent="0.3">
      <c r="A2925">
        <v>2923</v>
      </c>
      <c r="B2925">
        <v>2924</v>
      </c>
      <c r="C2925" t="s">
        <v>2982</v>
      </c>
      <c r="D2925">
        <v>2020</v>
      </c>
      <c r="F2925" t="s">
        <v>2941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f t="shared" si="90"/>
        <v>4.3</v>
      </c>
      <c r="M2925">
        <f t="shared" si="91"/>
        <v>1</v>
      </c>
    </row>
    <row r="2926" spans="1:13" x14ac:dyDescent="0.3">
      <c r="A2926">
        <v>2924</v>
      </c>
      <c r="B2926">
        <v>2925</v>
      </c>
      <c r="C2926" t="s">
        <v>2983</v>
      </c>
      <c r="D2926">
        <v>2019</v>
      </c>
      <c r="E2926" t="s">
        <v>28</v>
      </c>
      <c r="F2926" t="s">
        <v>2941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f t="shared" si="90"/>
        <v>4.3</v>
      </c>
      <c r="M2926">
        <f t="shared" si="91"/>
        <v>1</v>
      </c>
    </row>
    <row r="2927" spans="1:13" x14ac:dyDescent="0.3">
      <c r="A2927">
        <v>2925</v>
      </c>
      <c r="B2927">
        <v>2926</v>
      </c>
      <c r="C2927" t="s">
        <v>2984</v>
      </c>
      <c r="D2927">
        <v>2013</v>
      </c>
      <c r="F2927" t="s">
        <v>2941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f t="shared" si="90"/>
        <v>4.3</v>
      </c>
      <c r="M2927">
        <f t="shared" si="91"/>
        <v>1</v>
      </c>
    </row>
    <row r="2928" spans="1:13" x14ac:dyDescent="0.3">
      <c r="A2928">
        <v>2926</v>
      </c>
      <c r="B2928">
        <v>2927</v>
      </c>
      <c r="C2928" t="s">
        <v>2985</v>
      </c>
      <c r="D2928">
        <v>2012</v>
      </c>
      <c r="F2928" t="s">
        <v>2941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f t="shared" si="90"/>
        <v>4.3</v>
      </c>
      <c r="M2928">
        <f t="shared" si="91"/>
        <v>1</v>
      </c>
    </row>
    <row r="2929" spans="1:13" x14ac:dyDescent="0.3">
      <c r="A2929">
        <v>2927</v>
      </c>
      <c r="B2929">
        <v>2928</v>
      </c>
      <c r="C2929" t="s">
        <v>2986</v>
      </c>
      <c r="D2929">
        <v>2021</v>
      </c>
      <c r="F2929" t="s">
        <v>2941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f t="shared" si="90"/>
        <v>4.3</v>
      </c>
      <c r="M2929">
        <f t="shared" si="91"/>
        <v>1</v>
      </c>
    </row>
    <row r="2930" spans="1:13" x14ac:dyDescent="0.3">
      <c r="A2930">
        <v>2928</v>
      </c>
      <c r="B2930">
        <v>2929</v>
      </c>
      <c r="C2930" t="s">
        <v>2987</v>
      </c>
      <c r="D2930">
        <v>2020</v>
      </c>
      <c r="F2930" t="s">
        <v>2941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f t="shared" si="90"/>
        <v>4.3</v>
      </c>
      <c r="M2930">
        <f t="shared" si="91"/>
        <v>1</v>
      </c>
    </row>
    <row r="2931" spans="1:13" x14ac:dyDescent="0.3">
      <c r="A2931">
        <v>2929</v>
      </c>
      <c r="B2931">
        <v>2930</v>
      </c>
      <c r="C2931" t="s">
        <v>2988</v>
      </c>
      <c r="D2931">
        <v>1992</v>
      </c>
      <c r="F2931" t="s">
        <v>2941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f t="shared" si="90"/>
        <v>4.3</v>
      </c>
      <c r="M2931">
        <f t="shared" si="91"/>
        <v>1</v>
      </c>
    </row>
    <row r="2932" spans="1:13" x14ac:dyDescent="0.3">
      <c r="A2932">
        <v>2930</v>
      </c>
      <c r="B2932">
        <v>2931</v>
      </c>
      <c r="C2932" t="s">
        <v>2989</v>
      </c>
      <c r="D2932">
        <v>2020</v>
      </c>
      <c r="E2932" t="s">
        <v>11</v>
      </c>
      <c r="F2932" t="s">
        <v>2941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f t="shared" si="90"/>
        <v>4.3</v>
      </c>
      <c r="M2932">
        <f t="shared" si="91"/>
        <v>1</v>
      </c>
    </row>
    <row r="2933" spans="1:13" x14ac:dyDescent="0.3">
      <c r="A2933">
        <v>2931</v>
      </c>
      <c r="B2933">
        <v>2932</v>
      </c>
      <c r="C2933" t="s">
        <v>2990</v>
      </c>
      <c r="D2933">
        <v>2020</v>
      </c>
      <c r="F2933" t="s">
        <v>2941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f t="shared" si="90"/>
        <v>4.3</v>
      </c>
      <c r="M2933">
        <f t="shared" si="91"/>
        <v>1</v>
      </c>
    </row>
    <row r="2934" spans="1:13" x14ac:dyDescent="0.3">
      <c r="A2934">
        <v>2932</v>
      </c>
      <c r="B2934">
        <v>2933</v>
      </c>
      <c r="C2934" t="s">
        <v>2991</v>
      </c>
      <c r="D2934">
        <v>2020</v>
      </c>
      <c r="F2934" t="s">
        <v>2941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f t="shared" si="90"/>
        <v>4.3</v>
      </c>
      <c r="M2934">
        <f t="shared" si="91"/>
        <v>1</v>
      </c>
    </row>
    <row r="2935" spans="1:13" x14ac:dyDescent="0.3">
      <c r="A2935">
        <v>2933</v>
      </c>
      <c r="B2935">
        <v>2934</v>
      </c>
      <c r="C2935" t="s">
        <v>2992</v>
      </c>
      <c r="D2935">
        <v>2019</v>
      </c>
      <c r="F2935" t="s">
        <v>2941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f t="shared" si="90"/>
        <v>4.3</v>
      </c>
      <c r="M2935">
        <f t="shared" si="91"/>
        <v>1</v>
      </c>
    </row>
    <row r="2936" spans="1:13" x14ac:dyDescent="0.3">
      <c r="A2936">
        <v>2934</v>
      </c>
      <c r="B2936">
        <v>2935</v>
      </c>
      <c r="C2936" t="s">
        <v>2993</v>
      </c>
      <c r="D2936">
        <v>2016</v>
      </c>
      <c r="F2936" t="s">
        <v>2941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f t="shared" si="90"/>
        <v>4.3</v>
      </c>
      <c r="M2936">
        <f t="shared" si="91"/>
        <v>1</v>
      </c>
    </row>
    <row r="2937" spans="1:13" x14ac:dyDescent="0.3">
      <c r="A2937">
        <v>2935</v>
      </c>
      <c r="B2937">
        <v>2936</v>
      </c>
      <c r="C2937" t="s">
        <v>2994</v>
      </c>
      <c r="D2937">
        <v>2017</v>
      </c>
      <c r="E2937" t="s">
        <v>14</v>
      </c>
      <c r="F2937" t="s">
        <v>2941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f t="shared" si="90"/>
        <v>4.3</v>
      </c>
      <c r="M2937">
        <f t="shared" si="91"/>
        <v>1</v>
      </c>
    </row>
    <row r="2938" spans="1:13" x14ac:dyDescent="0.3">
      <c r="A2938">
        <v>2936</v>
      </c>
      <c r="B2938">
        <v>2937</v>
      </c>
      <c r="C2938" t="s">
        <v>2995</v>
      </c>
      <c r="D2938">
        <v>1994</v>
      </c>
      <c r="F2938" t="s">
        <v>2941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f t="shared" si="90"/>
        <v>4.3</v>
      </c>
      <c r="M2938">
        <f t="shared" si="91"/>
        <v>1</v>
      </c>
    </row>
    <row r="2939" spans="1:13" x14ac:dyDescent="0.3">
      <c r="A2939">
        <v>2937</v>
      </c>
      <c r="B2939">
        <v>2938</v>
      </c>
      <c r="C2939" t="s">
        <v>2996</v>
      </c>
      <c r="D2939">
        <v>2018</v>
      </c>
      <c r="E2939" t="s">
        <v>11</v>
      </c>
      <c r="F2939" t="s">
        <v>2941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f t="shared" si="90"/>
        <v>4.3</v>
      </c>
      <c r="M2939">
        <f t="shared" si="91"/>
        <v>1</v>
      </c>
    </row>
    <row r="2940" spans="1:13" x14ac:dyDescent="0.3">
      <c r="A2940">
        <v>2938</v>
      </c>
      <c r="B2940">
        <v>2939</v>
      </c>
      <c r="C2940" t="s">
        <v>2997</v>
      </c>
      <c r="D2940">
        <v>2010</v>
      </c>
      <c r="F2940" t="s">
        <v>2941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f t="shared" si="90"/>
        <v>4.3</v>
      </c>
      <c r="M2940">
        <f t="shared" si="91"/>
        <v>1</v>
      </c>
    </row>
    <row r="2941" spans="1:13" x14ac:dyDescent="0.3">
      <c r="A2941">
        <v>2939</v>
      </c>
      <c r="B2941">
        <v>2940</v>
      </c>
      <c r="C2941" t="s">
        <v>2998</v>
      </c>
      <c r="D2941">
        <v>2017</v>
      </c>
      <c r="F2941" t="s">
        <v>2941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f t="shared" si="90"/>
        <v>4.3</v>
      </c>
      <c r="M2941">
        <f t="shared" si="91"/>
        <v>1</v>
      </c>
    </row>
    <row r="2942" spans="1:13" x14ac:dyDescent="0.3">
      <c r="A2942">
        <v>2940</v>
      </c>
      <c r="B2942">
        <v>2941</v>
      </c>
      <c r="C2942" t="s">
        <v>2999</v>
      </c>
      <c r="D2942">
        <v>2021</v>
      </c>
      <c r="F2942" t="s">
        <v>2941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f t="shared" si="90"/>
        <v>4.3</v>
      </c>
      <c r="M2942">
        <f t="shared" si="91"/>
        <v>1</v>
      </c>
    </row>
    <row r="2943" spans="1:13" x14ac:dyDescent="0.3">
      <c r="A2943">
        <v>2941</v>
      </c>
      <c r="B2943">
        <v>2942</v>
      </c>
      <c r="C2943" t="s">
        <v>3000</v>
      </c>
      <c r="D2943">
        <v>2021</v>
      </c>
      <c r="F2943" t="s">
        <v>2941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f t="shared" si="90"/>
        <v>4.3</v>
      </c>
      <c r="M2943">
        <f t="shared" si="91"/>
        <v>1</v>
      </c>
    </row>
    <row r="2944" spans="1:13" x14ac:dyDescent="0.3">
      <c r="A2944">
        <v>2942</v>
      </c>
      <c r="B2944">
        <v>2943</v>
      </c>
      <c r="C2944" t="s">
        <v>3001</v>
      </c>
      <c r="D2944">
        <v>2015</v>
      </c>
      <c r="F2944" t="s">
        <v>2941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f t="shared" si="90"/>
        <v>4.3</v>
      </c>
      <c r="M2944">
        <f t="shared" si="91"/>
        <v>1</v>
      </c>
    </row>
    <row r="2945" spans="1:13" x14ac:dyDescent="0.3">
      <c r="A2945">
        <v>2943</v>
      </c>
      <c r="B2945">
        <v>2944</v>
      </c>
      <c r="C2945" t="s">
        <v>3002</v>
      </c>
      <c r="D2945">
        <v>2020</v>
      </c>
      <c r="F2945" t="s">
        <v>2941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f t="shared" si="90"/>
        <v>4.3</v>
      </c>
      <c r="M2945">
        <f t="shared" si="91"/>
        <v>1</v>
      </c>
    </row>
    <row r="2946" spans="1:13" x14ac:dyDescent="0.3">
      <c r="A2946">
        <v>2944</v>
      </c>
      <c r="B2946">
        <v>2945</v>
      </c>
      <c r="C2946" t="s">
        <v>3003</v>
      </c>
      <c r="D2946">
        <v>2016</v>
      </c>
      <c r="F2946" t="s">
        <v>2941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f t="shared" si="90"/>
        <v>4.3</v>
      </c>
      <c r="M2946">
        <f t="shared" si="91"/>
        <v>1</v>
      </c>
    </row>
    <row r="2947" spans="1:13" x14ac:dyDescent="0.3">
      <c r="A2947">
        <v>2945</v>
      </c>
      <c r="B2947">
        <v>2946</v>
      </c>
      <c r="C2947" t="s">
        <v>3004</v>
      </c>
      <c r="D2947">
        <v>2008</v>
      </c>
      <c r="E2947" t="s">
        <v>36</v>
      </c>
      <c r="F2947" t="s">
        <v>2941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f t="shared" ref="L2947:L3010" si="92">IFERROR(VALUE(LEFT(F2947,FIND("/",F2947)-1))/10,"")</f>
        <v>4.3</v>
      </c>
      <c r="M2947">
        <f t="shared" ref="M2947:M3010" si="93">SUM(G2947:J2947)</f>
        <v>1</v>
      </c>
    </row>
    <row r="2948" spans="1:13" x14ac:dyDescent="0.3">
      <c r="A2948">
        <v>2946</v>
      </c>
      <c r="B2948">
        <v>2947</v>
      </c>
      <c r="C2948" t="s">
        <v>3005</v>
      </c>
      <c r="D2948">
        <v>2019</v>
      </c>
      <c r="F2948" t="s">
        <v>2941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f t="shared" si="92"/>
        <v>4.3</v>
      </c>
      <c r="M2948">
        <f t="shared" si="93"/>
        <v>1</v>
      </c>
    </row>
    <row r="2949" spans="1:13" x14ac:dyDescent="0.3">
      <c r="A2949">
        <v>2947</v>
      </c>
      <c r="B2949">
        <v>2948</v>
      </c>
      <c r="C2949" t="s">
        <v>3006</v>
      </c>
      <c r="D2949">
        <v>2018</v>
      </c>
      <c r="E2949" t="s">
        <v>11</v>
      </c>
      <c r="F2949" t="s">
        <v>2941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f t="shared" si="92"/>
        <v>4.3</v>
      </c>
      <c r="M2949">
        <f t="shared" si="93"/>
        <v>1</v>
      </c>
    </row>
    <row r="2950" spans="1:13" x14ac:dyDescent="0.3">
      <c r="A2950">
        <v>2948</v>
      </c>
      <c r="B2950">
        <v>2949</v>
      </c>
      <c r="C2950" t="s">
        <v>3007</v>
      </c>
      <c r="D2950">
        <v>2019</v>
      </c>
      <c r="F2950" t="s">
        <v>2941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f t="shared" si="92"/>
        <v>4.3</v>
      </c>
      <c r="M2950">
        <f t="shared" si="93"/>
        <v>1</v>
      </c>
    </row>
    <row r="2951" spans="1:13" x14ac:dyDescent="0.3">
      <c r="A2951">
        <v>2949</v>
      </c>
      <c r="B2951">
        <v>2950</v>
      </c>
      <c r="C2951" t="s">
        <v>3008</v>
      </c>
      <c r="D2951">
        <v>2005</v>
      </c>
      <c r="E2951" t="s">
        <v>14</v>
      </c>
      <c r="F2951" t="s">
        <v>2941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f t="shared" si="92"/>
        <v>4.3</v>
      </c>
      <c r="M2951">
        <f t="shared" si="93"/>
        <v>1</v>
      </c>
    </row>
    <row r="2952" spans="1:13" x14ac:dyDescent="0.3">
      <c r="A2952">
        <v>2950</v>
      </c>
      <c r="B2952">
        <v>2951</v>
      </c>
      <c r="C2952" t="s">
        <v>3009</v>
      </c>
      <c r="D2952">
        <v>2020</v>
      </c>
      <c r="F2952" t="s">
        <v>2941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f t="shared" si="92"/>
        <v>4.3</v>
      </c>
      <c r="M2952">
        <f t="shared" si="93"/>
        <v>1</v>
      </c>
    </row>
    <row r="2953" spans="1:13" x14ac:dyDescent="0.3">
      <c r="A2953">
        <v>2951</v>
      </c>
      <c r="B2953">
        <v>2952</v>
      </c>
      <c r="C2953" t="s">
        <v>3010</v>
      </c>
      <c r="D2953">
        <v>2019</v>
      </c>
      <c r="F2953" t="s">
        <v>2941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f t="shared" si="92"/>
        <v>4.3</v>
      </c>
      <c r="M2953">
        <f t="shared" si="93"/>
        <v>1</v>
      </c>
    </row>
    <row r="2954" spans="1:13" x14ac:dyDescent="0.3">
      <c r="A2954">
        <v>2952</v>
      </c>
      <c r="B2954">
        <v>2953</v>
      </c>
      <c r="C2954" t="s">
        <v>3011</v>
      </c>
      <c r="D2954">
        <v>1988</v>
      </c>
      <c r="F2954" t="s">
        <v>2941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f t="shared" si="92"/>
        <v>4.3</v>
      </c>
      <c r="M2954">
        <f t="shared" si="93"/>
        <v>1</v>
      </c>
    </row>
    <row r="2955" spans="1:13" x14ac:dyDescent="0.3">
      <c r="A2955">
        <v>2953</v>
      </c>
      <c r="B2955">
        <v>2954</v>
      </c>
      <c r="C2955" t="s">
        <v>3012</v>
      </c>
      <c r="D2955">
        <v>2020</v>
      </c>
      <c r="F2955" t="s">
        <v>2941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f t="shared" si="92"/>
        <v>4.3</v>
      </c>
      <c r="M2955">
        <f t="shared" si="93"/>
        <v>1</v>
      </c>
    </row>
    <row r="2956" spans="1:13" x14ac:dyDescent="0.3">
      <c r="A2956">
        <v>2954</v>
      </c>
      <c r="B2956">
        <v>2955</v>
      </c>
      <c r="C2956" t="s">
        <v>3013</v>
      </c>
      <c r="D2956">
        <v>2019</v>
      </c>
      <c r="E2956" t="s">
        <v>11</v>
      </c>
      <c r="F2956" t="s">
        <v>2941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f t="shared" si="92"/>
        <v>4.3</v>
      </c>
      <c r="M2956">
        <f t="shared" si="93"/>
        <v>1</v>
      </c>
    </row>
    <row r="2957" spans="1:13" x14ac:dyDescent="0.3">
      <c r="A2957">
        <v>2955</v>
      </c>
      <c r="B2957">
        <v>2956</v>
      </c>
      <c r="C2957" t="s">
        <v>3014</v>
      </c>
      <c r="D2957">
        <v>2017</v>
      </c>
      <c r="F2957" t="s">
        <v>2941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f t="shared" si="92"/>
        <v>4.3</v>
      </c>
      <c r="M2957">
        <f t="shared" si="93"/>
        <v>1</v>
      </c>
    </row>
    <row r="2958" spans="1:13" x14ac:dyDescent="0.3">
      <c r="A2958">
        <v>2956</v>
      </c>
      <c r="B2958">
        <v>2957</v>
      </c>
      <c r="C2958" t="s">
        <v>3015</v>
      </c>
      <c r="D2958">
        <v>2017</v>
      </c>
      <c r="F2958" t="s">
        <v>2941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f t="shared" si="92"/>
        <v>4.3</v>
      </c>
      <c r="M2958">
        <f t="shared" si="93"/>
        <v>1</v>
      </c>
    </row>
    <row r="2959" spans="1:13" x14ac:dyDescent="0.3">
      <c r="A2959">
        <v>2957</v>
      </c>
      <c r="B2959">
        <v>2958</v>
      </c>
      <c r="C2959" t="s">
        <v>3016</v>
      </c>
      <c r="D2959">
        <v>2019</v>
      </c>
      <c r="E2959" t="s">
        <v>28</v>
      </c>
      <c r="F2959" t="s">
        <v>2941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f t="shared" si="92"/>
        <v>4.3</v>
      </c>
      <c r="M2959">
        <f t="shared" si="93"/>
        <v>1</v>
      </c>
    </row>
    <row r="2960" spans="1:13" x14ac:dyDescent="0.3">
      <c r="A2960">
        <v>2958</v>
      </c>
      <c r="B2960">
        <v>2959</v>
      </c>
      <c r="C2960" t="s">
        <v>3017</v>
      </c>
      <c r="D2960">
        <v>2016</v>
      </c>
      <c r="F2960" t="s">
        <v>2941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f t="shared" si="92"/>
        <v>4.3</v>
      </c>
      <c r="M2960">
        <f t="shared" si="93"/>
        <v>1</v>
      </c>
    </row>
    <row r="2961" spans="1:13" x14ac:dyDescent="0.3">
      <c r="A2961">
        <v>2959</v>
      </c>
      <c r="B2961">
        <v>2960</v>
      </c>
      <c r="C2961" t="s">
        <v>3018</v>
      </c>
      <c r="D2961">
        <v>2020</v>
      </c>
      <c r="F2961" t="s">
        <v>2941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f t="shared" si="92"/>
        <v>4.3</v>
      </c>
      <c r="M2961">
        <f t="shared" si="93"/>
        <v>1</v>
      </c>
    </row>
    <row r="2962" spans="1:13" x14ac:dyDescent="0.3">
      <c r="A2962">
        <v>2960</v>
      </c>
      <c r="B2962">
        <v>2961</v>
      </c>
      <c r="C2962" t="s">
        <v>3019</v>
      </c>
      <c r="D2962">
        <v>2018</v>
      </c>
      <c r="F2962" t="s">
        <v>2941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f t="shared" si="92"/>
        <v>4.3</v>
      </c>
      <c r="M2962">
        <f t="shared" si="93"/>
        <v>1</v>
      </c>
    </row>
    <row r="2963" spans="1:13" x14ac:dyDescent="0.3">
      <c r="A2963">
        <v>2961</v>
      </c>
      <c r="B2963">
        <v>2962</v>
      </c>
      <c r="C2963" t="s">
        <v>3020</v>
      </c>
      <c r="D2963">
        <v>2018</v>
      </c>
      <c r="E2963" t="s">
        <v>14</v>
      </c>
      <c r="F2963" t="s">
        <v>2941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f t="shared" si="92"/>
        <v>4.3</v>
      </c>
      <c r="M2963">
        <f t="shared" si="93"/>
        <v>1</v>
      </c>
    </row>
    <row r="2964" spans="1:13" x14ac:dyDescent="0.3">
      <c r="A2964">
        <v>2962</v>
      </c>
      <c r="B2964">
        <v>2963</v>
      </c>
      <c r="C2964" t="s">
        <v>3021</v>
      </c>
      <c r="D2964">
        <v>2018</v>
      </c>
      <c r="F2964" t="s">
        <v>2941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f t="shared" si="92"/>
        <v>4.3</v>
      </c>
      <c r="M2964">
        <f t="shared" si="93"/>
        <v>1</v>
      </c>
    </row>
    <row r="2965" spans="1:13" x14ac:dyDescent="0.3">
      <c r="A2965">
        <v>2963</v>
      </c>
      <c r="B2965">
        <v>2964</v>
      </c>
      <c r="C2965" t="s">
        <v>3022</v>
      </c>
      <c r="D2965">
        <v>2016</v>
      </c>
      <c r="F2965" t="s">
        <v>2941</v>
      </c>
      <c r="G2965">
        <v>1</v>
      </c>
      <c r="H2965">
        <v>0</v>
      </c>
      <c r="I2965">
        <v>0</v>
      </c>
      <c r="J2965">
        <v>0</v>
      </c>
      <c r="K2965">
        <v>0</v>
      </c>
      <c r="L2965">
        <f t="shared" si="92"/>
        <v>4.3</v>
      </c>
      <c r="M2965">
        <f t="shared" si="93"/>
        <v>1</v>
      </c>
    </row>
    <row r="2966" spans="1:13" x14ac:dyDescent="0.3">
      <c r="A2966">
        <v>2964</v>
      </c>
      <c r="B2966">
        <v>2965</v>
      </c>
      <c r="C2966" t="s">
        <v>3023</v>
      </c>
      <c r="D2966">
        <v>2021</v>
      </c>
      <c r="F2966" t="s">
        <v>2941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f t="shared" si="92"/>
        <v>4.3</v>
      </c>
      <c r="M2966">
        <f t="shared" si="93"/>
        <v>1</v>
      </c>
    </row>
    <row r="2967" spans="1:13" x14ac:dyDescent="0.3">
      <c r="A2967">
        <v>2965</v>
      </c>
      <c r="B2967">
        <v>2966</v>
      </c>
      <c r="C2967" t="s">
        <v>3024</v>
      </c>
      <c r="D2967">
        <v>2016</v>
      </c>
      <c r="F2967" t="s">
        <v>2941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f t="shared" si="92"/>
        <v>4.3</v>
      </c>
      <c r="M2967">
        <f t="shared" si="93"/>
        <v>1</v>
      </c>
    </row>
    <row r="2968" spans="1:13" x14ac:dyDescent="0.3">
      <c r="A2968">
        <v>2966</v>
      </c>
      <c r="B2968">
        <v>2967</v>
      </c>
      <c r="C2968" t="s">
        <v>3025</v>
      </c>
      <c r="D2968">
        <v>2019</v>
      </c>
      <c r="F2968" t="s">
        <v>2941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f t="shared" si="92"/>
        <v>4.3</v>
      </c>
      <c r="M2968">
        <f t="shared" si="93"/>
        <v>1</v>
      </c>
    </row>
    <row r="2969" spans="1:13" x14ac:dyDescent="0.3">
      <c r="A2969">
        <v>2967</v>
      </c>
      <c r="B2969">
        <v>2968</v>
      </c>
      <c r="C2969" t="s">
        <v>3026</v>
      </c>
      <c r="D2969">
        <v>2018</v>
      </c>
      <c r="F2969" t="s">
        <v>2941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f t="shared" si="92"/>
        <v>4.3</v>
      </c>
      <c r="M2969">
        <f t="shared" si="93"/>
        <v>1</v>
      </c>
    </row>
    <row r="2970" spans="1:13" x14ac:dyDescent="0.3">
      <c r="A2970">
        <v>2968</v>
      </c>
      <c r="B2970">
        <v>2969</v>
      </c>
      <c r="C2970" t="s">
        <v>3027</v>
      </c>
      <c r="D2970">
        <v>2008</v>
      </c>
      <c r="F2970" t="s">
        <v>2941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f t="shared" si="92"/>
        <v>4.3</v>
      </c>
      <c r="M2970">
        <f t="shared" si="93"/>
        <v>1</v>
      </c>
    </row>
    <row r="2971" spans="1:13" x14ac:dyDescent="0.3">
      <c r="A2971">
        <v>2969</v>
      </c>
      <c r="B2971">
        <v>2970</v>
      </c>
      <c r="C2971" t="s">
        <v>3028</v>
      </c>
      <c r="D2971">
        <v>2020</v>
      </c>
      <c r="F2971" t="s">
        <v>2941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f t="shared" si="92"/>
        <v>4.3</v>
      </c>
      <c r="M2971">
        <f t="shared" si="93"/>
        <v>1</v>
      </c>
    </row>
    <row r="2972" spans="1:13" x14ac:dyDescent="0.3">
      <c r="A2972">
        <v>2970</v>
      </c>
      <c r="B2972">
        <v>2971</v>
      </c>
      <c r="C2972" t="s">
        <v>3029</v>
      </c>
      <c r="D2972">
        <v>2017</v>
      </c>
      <c r="F2972" t="s">
        <v>2941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f t="shared" si="92"/>
        <v>4.3</v>
      </c>
      <c r="M2972">
        <f t="shared" si="93"/>
        <v>1</v>
      </c>
    </row>
    <row r="2973" spans="1:13" x14ac:dyDescent="0.3">
      <c r="A2973">
        <v>2971</v>
      </c>
      <c r="B2973">
        <v>2972</v>
      </c>
      <c r="C2973" t="s">
        <v>3030</v>
      </c>
      <c r="D2973">
        <v>1985</v>
      </c>
      <c r="F2973" t="s">
        <v>2941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f t="shared" si="92"/>
        <v>4.3</v>
      </c>
      <c r="M2973">
        <f t="shared" si="93"/>
        <v>1</v>
      </c>
    </row>
    <row r="2974" spans="1:13" x14ac:dyDescent="0.3">
      <c r="A2974">
        <v>2972</v>
      </c>
      <c r="B2974">
        <v>2973</v>
      </c>
      <c r="C2974" t="s">
        <v>3031</v>
      </c>
      <c r="D2974">
        <v>2020</v>
      </c>
      <c r="E2974" t="s">
        <v>11</v>
      </c>
      <c r="F2974" t="s">
        <v>2941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f t="shared" si="92"/>
        <v>4.3</v>
      </c>
      <c r="M2974">
        <f t="shared" si="93"/>
        <v>1</v>
      </c>
    </row>
    <row r="2975" spans="1:13" x14ac:dyDescent="0.3">
      <c r="A2975">
        <v>2973</v>
      </c>
      <c r="B2975">
        <v>2974</v>
      </c>
      <c r="C2975" t="s">
        <v>3032</v>
      </c>
      <c r="D2975">
        <v>2005</v>
      </c>
      <c r="F2975" t="s">
        <v>2941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f t="shared" si="92"/>
        <v>4.3</v>
      </c>
      <c r="M2975">
        <f t="shared" si="93"/>
        <v>1</v>
      </c>
    </row>
    <row r="2976" spans="1:13" x14ac:dyDescent="0.3">
      <c r="A2976">
        <v>2974</v>
      </c>
      <c r="B2976">
        <v>2975</v>
      </c>
      <c r="C2976" t="s">
        <v>3033</v>
      </c>
      <c r="D2976">
        <v>2014</v>
      </c>
      <c r="F2976" t="s">
        <v>2941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f t="shared" si="92"/>
        <v>4.3</v>
      </c>
      <c r="M2976">
        <f t="shared" si="93"/>
        <v>1</v>
      </c>
    </row>
    <row r="2977" spans="1:13" x14ac:dyDescent="0.3">
      <c r="A2977">
        <v>2975</v>
      </c>
      <c r="B2977">
        <v>2976</v>
      </c>
      <c r="C2977" t="s">
        <v>3034</v>
      </c>
      <c r="D2977">
        <v>2010</v>
      </c>
      <c r="F2977" t="s">
        <v>2941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f t="shared" si="92"/>
        <v>4.3</v>
      </c>
      <c r="M2977">
        <f t="shared" si="93"/>
        <v>1</v>
      </c>
    </row>
    <row r="2978" spans="1:13" x14ac:dyDescent="0.3">
      <c r="A2978">
        <v>2976</v>
      </c>
      <c r="B2978">
        <v>2977</v>
      </c>
      <c r="C2978" t="s">
        <v>3035</v>
      </c>
      <c r="D2978">
        <v>2021</v>
      </c>
      <c r="E2978" t="s">
        <v>28</v>
      </c>
      <c r="F2978" t="s">
        <v>2941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f t="shared" si="92"/>
        <v>4.3</v>
      </c>
      <c r="M2978">
        <f t="shared" si="93"/>
        <v>1</v>
      </c>
    </row>
    <row r="2979" spans="1:13" x14ac:dyDescent="0.3">
      <c r="A2979">
        <v>2977</v>
      </c>
      <c r="B2979">
        <v>2978</v>
      </c>
      <c r="C2979" t="s">
        <v>3036</v>
      </c>
      <c r="D2979">
        <v>2012</v>
      </c>
      <c r="F2979" t="s">
        <v>2941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f t="shared" si="92"/>
        <v>4.3</v>
      </c>
      <c r="M2979">
        <f t="shared" si="93"/>
        <v>1</v>
      </c>
    </row>
    <row r="2980" spans="1:13" x14ac:dyDescent="0.3">
      <c r="A2980">
        <v>2978</v>
      </c>
      <c r="B2980">
        <v>2979</v>
      </c>
      <c r="C2980" t="s">
        <v>3037</v>
      </c>
      <c r="D2980">
        <v>2019</v>
      </c>
      <c r="F2980" t="s">
        <v>3038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f t="shared" si="92"/>
        <v>4.2</v>
      </c>
      <c r="M2980">
        <f t="shared" si="93"/>
        <v>1</v>
      </c>
    </row>
    <row r="2981" spans="1:13" x14ac:dyDescent="0.3">
      <c r="A2981">
        <v>2979</v>
      </c>
      <c r="B2981">
        <v>2980</v>
      </c>
      <c r="C2981" t="s">
        <v>3039</v>
      </c>
      <c r="D2981">
        <v>2017</v>
      </c>
      <c r="F2981" t="s">
        <v>3038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f t="shared" si="92"/>
        <v>4.2</v>
      </c>
      <c r="M2981">
        <f t="shared" si="93"/>
        <v>1</v>
      </c>
    </row>
    <row r="2982" spans="1:13" x14ac:dyDescent="0.3">
      <c r="A2982">
        <v>2980</v>
      </c>
      <c r="B2982">
        <v>2981</v>
      </c>
      <c r="C2982" t="s">
        <v>3040</v>
      </c>
      <c r="D2982">
        <v>2018</v>
      </c>
      <c r="F2982" t="s">
        <v>3038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f t="shared" si="92"/>
        <v>4.2</v>
      </c>
      <c r="M2982">
        <f t="shared" si="93"/>
        <v>1</v>
      </c>
    </row>
    <row r="2983" spans="1:13" x14ac:dyDescent="0.3">
      <c r="A2983">
        <v>2981</v>
      </c>
      <c r="B2983">
        <v>2982</v>
      </c>
      <c r="C2983" t="s">
        <v>3041</v>
      </c>
      <c r="D2983">
        <v>2019</v>
      </c>
      <c r="F2983" t="s">
        <v>3038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f t="shared" si="92"/>
        <v>4.2</v>
      </c>
      <c r="M2983">
        <f t="shared" si="93"/>
        <v>1</v>
      </c>
    </row>
    <row r="2984" spans="1:13" x14ac:dyDescent="0.3">
      <c r="A2984">
        <v>2982</v>
      </c>
      <c r="B2984">
        <v>2983</v>
      </c>
      <c r="C2984" t="s">
        <v>3042</v>
      </c>
      <c r="D2984">
        <v>2011</v>
      </c>
      <c r="F2984" t="s">
        <v>3038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f t="shared" si="92"/>
        <v>4.2</v>
      </c>
      <c r="M2984">
        <f t="shared" si="93"/>
        <v>1</v>
      </c>
    </row>
    <row r="2985" spans="1:13" x14ac:dyDescent="0.3">
      <c r="A2985">
        <v>2983</v>
      </c>
      <c r="B2985">
        <v>2984</v>
      </c>
      <c r="C2985" t="s">
        <v>3043</v>
      </c>
      <c r="D2985">
        <v>2019</v>
      </c>
      <c r="F2985" t="s">
        <v>3038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f t="shared" si="92"/>
        <v>4.2</v>
      </c>
      <c r="M2985">
        <f t="shared" si="93"/>
        <v>1</v>
      </c>
    </row>
    <row r="2986" spans="1:13" x14ac:dyDescent="0.3">
      <c r="A2986">
        <v>2984</v>
      </c>
      <c r="B2986">
        <v>2985</v>
      </c>
      <c r="C2986" t="s">
        <v>3044</v>
      </c>
      <c r="D2986">
        <v>2018</v>
      </c>
      <c r="E2986" t="s">
        <v>28</v>
      </c>
      <c r="F2986" t="s">
        <v>3038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f t="shared" si="92"/>
        <v>4.2</v>
      </c>
      <c r="M2986">
        <f t="shared" si="93"/>
        <v>1</v>
      </c>
    </row>
    <row r="2987" spans="1:13" x14ac:dyDescent="0.3">
      <c r="A2987">
        <v>2985</v>
      </c>
      <c r="B2987">
        <v>2986</v>
      </c>
      <c r="C2987" t="s">
        <v>3045</v>
      </c>
      <c r="D2987">
        <v>2018</v>
      </c>
      <c r="F2987" t="s">
        <v>3038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f t="shared" si="92"/>
        <v>4.2</v>
      </c>
      <c r="M2987">
        <f t="shared" si="93"/>
        <v>1</v>
      </c>
    </row>
    <row r="2988" spans="1:13" x14ac:dyDescent="0.3">
      <c r="A2988">
        <v>2986</v>
      </c>
      <c r="B2988">
        <v>2987</v>
      </c>
      <c r="C2988" t="s">
        <v>3046</v>
      </c>
      <c r="D2988">
        <v>2019</v>
      </c>
      <c r="E2988" t="s">
        <v>36</v>
      </c>
      <c r="F2988" t="s">
        <v>3038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f t="shared" si="92"/>
        <v>4.2</v>
      </c>
      <c r="M2988">
        <f t="shared" si="93"/>
        <v>1</v>
      </c>
    </row>
    <row r="2989" spans="1:13" x14ac:dyDescent="0.3">
      <c r="A2989">
        <v>2987</v>
      </c>
      <c r="B2989">
        <v>2988</v>
      </c>
      <c r="C2989" t="s">
        <v>3047</v>
      </c>
      <c r="D2989">
        <v>2014</v>
      </c>
      <c r="F2989" t="s">
        <v>3038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f t="shared" si="92"/>
        <v>4.2</v>
      </c>
      <c r="M2989">
        <f t="shared" si="93"/>
        <v>1</v>
      </c>
    </row>
    <row r="2990" spans="1:13" x14ac:dyDescent="0.3">
      <c r="A2990">
        <v>2988</v>
      </c>
      <c r="B2990">
        <v>2989</v>
      </c>
      <c r="C2990" t="s">
        <v>3048</v>
      </c>
      <c r="D2990">
        <v>2019</v>
      </c>
      <c r="F2990" t="s">
        <v>3038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f t="shared" si="92"/>
        <v>4.2</v>
      </c>
      <c r="M2990">
        <f t="shared" si="93"/>
        <v>1</v>
      </c>
    </row>
    <row r="2991" spans="1:13" x14ac:dyDescent="0.3">
      <c r="A2991">
        <v>2989</v>
      </c>
      <c r="B2991">
        <v>2990</v>
      </c>
      <c r="C2991" t="s">
        <v>3049</v>
      </c>
      <c r="D2991">
        <v>2019</v>
      </c>
      <c r="F2991" t="s">
        <v>3038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f t="shared" si="92"/>
        <v>4.2</v>
      </c>
      <c r="M2991">
        <f t="shared" si="93"/>
        <v>1</v>
      </c>
    </row>
    <row r="2992" spans="1:13" x14ac:dyDescent="0.3">
      <c r="A2992">
        <v>2990</v>
      </c>
      <c r="B2992">
        <v>2991</v>
      </c>
      <c r="C2992" t="s">
        <v>3050</v>
      </c>
      <c r="D2992">
        <v>2016</v>
      </c>
      <c r="F2992" t="s">
        <v>3038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f t="shared" si="92"/>
        <v>4.2</v>
      </c>
      <c r="M2992">
        <f t="shared" si="93"/>
        <v>1</v>
      </c>
    </row>
    <row r="2993" spans="1:13" x14ac:dyDescent="0.3">
      <c r="A2993">
        <v>2991</v>
      </c>
      <c r="B2993">
        <v>2992</v>
      </c>
      <c r="C2993" t="s">
        <v>3051</v>
      </c>
      <c r="D2993">
        <v>2019</v>
      </c>
      <c r="E2993" t="s">
        <v>11</v>
      </c>
      <c r="F2993" t="s">
        <v>3038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f t="shared" si="92"/>
        <v>4.2</v>
      </c>
      <c r="M2993">
        <f t="shared" si="93"/>
        <v>1</v>
      </c>
    </row>
    <row r="2994" spans="1:13" x14ac:dyDescent="0.3">
      <c r="A2994">
        <v>2992</v>
      </c>
      <c r="B2994">
        <v>2993</v>
      </c>
      <c r="C2994" t="s">
        <v>3052</v>
      </c>
      <c r="D2994">
        <v>2008</v>
      </c>
      <c r="F2994" t="s">
        <v>3038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f t="shared" si="92"/>
        <v>4.2</v>
      </c>
      <c r="M2994">
        <f t="shared" si="93"/>
        <v>1</v>
      </c>
    </row>
    <row r="2995" spans="1:13" x14ac:dyDescent="0.3">
      <c r="A2995">
        <v>2993</v>
      </c>
      <c r="B2995">
        <v>2994</v>
      </c>
      <c r="C2995" t="s">
        <v>3053</v>
      </c>
      <c r="D2995">
        <v>2020</v>
      </c>
      <c r="F2995" t="s">
        <v>3038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f t="shared" si="92"/>
        <v>4.2</v>
      </c>
      <c r="M2995">
        <f t="shared" si="93"/>
        <v>1</v>
      </c>
    </row>
    <row r="2996" spans="1:13" x14ac:dyDescent="0.3">
      <c r="A2996">
        <v>2994</v>
      </c>
      <c r="B2996">
        <v>2995</v>
      </c>
      <c r="C2996" t="s">
        <v>3054</v>
      </c>
      <c r="D2996">
        <v>2017</v>
      </c>
      <c r="F2996" t="s">
        <v>3038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f t="shared" si="92"/>
        <v>4.2</v>
      </c>
      <c r="M2996">
        <f t="shared" si="93"/>
        <v>1</v>
      </c>
    </row>
    <row r="2997" spans="1:13" x14ac:dyDescent="0.3">
      <c r="A2997">
        <v>2995</v>
      </c>
      <c r="B2997">
        <v>2996</v>
      </c>
      <c r="C2997" t="s">
        <v>3055</v>
      </c>
      <c r="D2997">
        <v>2017</v>
      </c>
      <c r="F2997" t="s">
        <v>3038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f t="shared" si="92"/>
        <v>4.2</v>
      </c>
      <c r="M2997">
        <f t="shared" si="93"/>
        <v>1</v>
      </c>
    </row>
    <row r="2998" spans="1:13" x14ac:dyDescent="0.3">
      <c r="A2998">
        <v>2996</v>
      </c>
      <c r="B2998">
        <v>2997</v>
      </c>
      <c r="C2998" t="s">
        <v>3056</v>
      </c>
      <c r="D2998">
        <v>2018</v>
      </c>
      <c r="F2998" t="s">
        <v>3038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f t="shared" si="92"/>
        <v>4.2</v>
      </c>
      <c r="M2998">
        <f t="shared" si="93"/>
        <v>1</v>
      </c>
    </row>
    <row r="2999" spans="1:13" x14ac:dyDescent="0.3">
      <c r="A2999">
        <v>2997</v>
      </c>
      <c r="B2999">
        <v>2998</v>
      </c>
      <c r="C2999" t="s">
        <v>3057</v>
      </c>
      <c r="D2999">
        <v>2019</v>
      </c>
      <c r="F2999" t="s">
        <v>3038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f t="shared" si="92"/>
        <v>4.2</v>
      </c>
      <c r="M2999">
        <f t="shared" si="93"/>
        <v>1</v>
      </c>
    </row>
    <row r="3000" spans="1:13" x14ac:dyDescent="0.3">
      <c r="A3000">
        <v>2998</v>
      </c>
      <c r="B3000">
        <v>2999</v>
      </c>
      <c r="C3000" t="s">
        <v>3058</v>
      </c>
      <c r="D3000">
        <v>2020</v>
      </c>
      <c r="F3000" t="s">
        <v>3038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f t="shared" si="92"/>
        <v>4.2</v>
      </c>
      <c r="M3000">
        <f t="shared" si="93"/>
        <v>1</v>
      </c>
    </row>
    <row r="3001" spans="1:13" x14ac:dyDescent="0.3">
      <c r="A3001">
        <v>2999</v>
      </c>
      <c r="B3001">
        <v>3000</v>
      </c>
      <c r="C3001" t="s">
        <v>3059</v>
      </c>
      <c r="D3001">
        <v>2017</v>
      </c>
      <c r="F3001" t="s">
        <v>3038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f t="shared" si="92"/>
        <v>4.2</v>
      </c>
      <c r="M3001">
        <f t="shared" si="93"/>
        <v>1</v>
      </c>
    </row>
    <row r="3002" spans="1:13" x14ac:dyDescent="0.3">
      <c r="A3002">
        <v>3000</v>
      </c>
      <c r="B3002">
        <v>3001</v>
      </c>
      <c r="C3002" t="s">
        <v>3060</v>
      </c>
      <c r="D3002">
        <v>2017</v>
      </c>
      <c r="F3002" t="s">
        <v>3038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f t="shared" si="92"/>
        <v>4.2</v>
      </c>
      <c r="M3002">
        <f t="shared" si="93"/>
        <v>1</v>
      </c>
    </row>
    <row r="3003" spans="1:13" x14ac:dyDescent="0.3">
      <c r="A3003">
        <v>3001</v>
      </c>
      <c r="B3003">
        <v>3002</v>
      </c>
      <c r="C3003" t="s">
        <v>3061</v>
      </c>
      <c r="D3003">
        <v>2018</v>
      </c>
      <c r="F3003" t="s">
        <v>3038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f t="shared" si="92"/>
        <v>4.2</v>
      </c>
      <c r="M3003">
        <f t="shared" si="93"/>
        <v>1</v>
      </c>
    </row>
    <row r="3004" spans="1:13" x14ac:dyDescent="0.3">
      <c r="A3004">
        <v>3002</v>
      </c>
      <c r="B3004">
        <v>3003</v>
      </c>
      <c r="C3004" t="s">
        <v>3062</v>
      </c>
      <c r="D3004">
        <v>2017</v>
      </c>
      <c r="E3004" t="s">
        <v>28</v>
      </c>
      <c r="F3004" t="s">
        <v>3038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f t="shared" si="92"/>
        <v>4.2</v>
      </c>
      <c r="M3004">
        <f t="shared" si="93"/>
        <v>1</v>
      </c>
    </row>
    <row r="3005" spans="1:13" x14ac:dyDescent="0.3">
      <c r="A3005">
        <v>3003</v>
      </c>
      <c r="B3005">
        <v>3004</v>
      </c>
      <c r="C3005" t="s">
        <v>3063</v>
      </c>
      <c r="D3005">
        <v>2015</v>
      </c>
      <c r="E3005" t="s">
        <v>14</v>
      </c>
      <c r="F3005" t="s">
        <v>3038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f t="shared" si="92"/>
        <v>4.2</v>
      </c>
      <c r="M3005">
        <f t="shared" si="93"/>
        <v>1</v>
      </c>
    </row>
    <row r="3006" spans="1:13" x14ac:dyDescent="0.3">
      <c r="A3006">
        <v>3004</v>
      </c>
      <c r="B3006">
        <v>3005</v>
      </c>
      <c r="C3006" t="s">
        <v>3064</v>
      </c>
      <c r="D3006">
        <v>2014</v>
      </c>
      <c r="F3006" t="s">
        <v>3038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f t="shared" si="92"/>
        <v>4.2</v>
      </c>
      <c r="M3006">
        <f t="shared" si="93"/>
        <v>1</v>
      </c>
    </row>
    <row r="3007" spans="1:13" x14ac:dyDescent="0.3">
      <c r="A3007">
        <v>3005</v>
      </c>
      <c r="B3007">
        <v>3006</v>
      </c>
      <c r="C3007" t="s">
        <v>3065</v>
      </c>
      <c r="D3007">
        <v>2020</v>
      </c>
      <c r="F3007" t="s">
        <v>3038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f t="shared" si="92"/>
        <v>4.2</v>
      </c>
      <c r="M3007">
        <f t="shared" si="93"/>
        <v>1</v>
      </c>
    </row>
    <row r="3008" spans="1:13" x14ac:dyDescent="0.3">
      <c r="A3008">
        <v>3006</v>
      </c>
      <c r="B3008">
        <v>3007</v>
      </c>
      <c r="C3008" t="s">
        <v>3066</v>
      </c>
      <c r="D3008">
        <v>2019</v>
      </c>
      <c r="F3008" t="s">
        <v>3038</v>
      </c>
      <c r="G3008">
        <v>1</v>
      </c>
      <c r="H3008">
        <v>0</v>
      </c>
      <c r="I3008">
        <v>1</v>
      </c>
      <c r="J3008">
        <v>0</v>
      </c>
      <c r="K3008">
        <v>0</v>
      </c>
      <c r="L3008">
        <f t="shared" si="92"/>
        <v>4.2</v>
      </c>
      <c r="M3008">
        <f t="shared" si="93"/>
        <v>2</v>
      </c>
    </row>
    <row r="3009" spans="1:13" x14ac:dyDescent="0.3">
      <c r="A3009">
        <v>3007</v>
      </c>
      <c r="B3009">
        <v>3008</v>
      </c>
      <c r="C3009" t="s">
        <v>3067</v>
      </c>
      <c r="D3009">
        <v>2019</v>
      </c>
      <c r="F3009" t="s">
        <v>3038</v>
      </c>
      <c r="G3009">
        <v>1</v>
      </c>
      <c r="H3009">
        <v>0</v>
      </c>
      <c r="I3009">
        <v>0</v>
      </c>
      <c r="J3009">
        <v>0</v>
      </c>
      <c r="K3009">
        <v>0</v>
      </c>
      <c r="L3009">
        <f t="shared" si="92"/>
        <v>4.2</v>
      </c>
      <c r="M3009">
        <f t="shared" si="93"/>
        <v>1</v>
      </c>
    </row>
    <row r="3010" spans="1:13" x14ac:dyDescent="0.3">
      <c r="A3010">
        <v>3008</v>
      </c>
      <c r="B3010">
        <v>3009</v>
      </c>
      <c r="C3010" t="s">
        <v>3068</v>
      </c>
      <c r="D3010">
        <v>2018</v>
      </c>
      <c r="F3010" t="s">
        <v>3038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f t="shared" si="92"/>
        <v>4.2</v>
      </c>
      <c r="M3010">
        <f t="shared" si="93"/>
        <v>1</v>
      </c>
    </row>
    <row r="3011" spans="1:13" x14ac:dyDescent="0.3">
      <c r="A3011">
        <v>3009</v>
      </c>
      <c r="B3011">
        <v>3010</v>
      </c>
      <c r="C3011" t="s">
        <v>3069</v>
      </c>
      <c r="D3011">
        <v>2020</v>
      </c>
      <c r="F3011" t="s">
        <v>3038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f t="shared" ref="L3011:L3074" si="94">IFERROR(VALUE(LEFT(F3011,FIND("/",F3011)-1))/10,"")</f>
        <v>4.2</v>
      </c>
      <c r="M3011">
        <f t="shared" ref="M3011:M3074" si="95">SUM(G3011:J3011)</f>
        <v>1</v>
      </c>
    </row>
    <row r="3012" spans="1:13" x14ac:dyDescent="0.3">
      <c r="A3012">
        <v>3010</v>
      </c>
      <c r="B3012">
        <v>3011</v>
      </c>
      <c r="C3012" t="s">
        <v>3070</v>
      </c>
      <c r="D3012">
        <v>2019</v>
      </c>
      <c r="F3012" t="s">
        <v>3038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f t="shared" si="94"/>
        <v>4.2</v>
      </c>
      <c r="M3012">
        <f t="shared" si="95"/>
        <v>1</v>
      </c>
    </row>
    <row r="3013" spans="1:13" x14ac:dyDescent="0.3">
      <c r="A3013">
        <v>3011</v>
      </c>
      <c r="B3013">
        <v>3012</v>
      </c>
      <c r="C3013" t="s">
        <v>3071</v>
      </c>
      <c r="D3013">
        <v>2002</v>
      </c>
      <c r="F3013" t="s">
        <v>3038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f t="shared" si="94"/>
        <v>4.2</v>
      </c>
      <c r="M3013">
        <f t="shared" si="95"/>
        <v>1</v>
      </c>
    </row>
    <row r="3014" spans="1:13" x14ac:dyDescent="0.3">
      <c r="A3014">
        <v>3012</v>
      </c>
      <c r="B3014">
        <v>3013</v>
      </c>
      <c r="C3014" t="s">
        <v>3072</v>
      </c>
      <c r="D3014">
        <v>2012</v>
      </c>
      <c r="F3014" t="s">
        <v>3038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f t="shared" si="94"/>
        <v>4.2</v>
      </c>
      <c r="M3014">
        <f t="shared" si="95"/>
        <v>1</v>
      </c>
    </row>
    <row r="3015" spans="1:13" x14ac:dyDescent="0.3">
      <c r="A3015">
        <v>3013</v>
      </c>
      <c r="B3015">
        <v>3014</v>
      </c>
      <c r="C3015" t="s">
        <v>3073</v>
      </c>
      <c r="D3015">
        <v>2015</v>
      </c>
      <c r="F3015" t="s">
        <v>3038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f t="shared" si="94"/>
        <v>4.2</v>
      </c>
      <c r="M3015">
        <f t="shared" si="95"/>
        <v>1</v>
      </c>
    </row>
    <row r="3016" spans="1:13" x14ac:dyDescent="0.3">
      <c r="A3016">
        <v>3014</v>
      </c>
      <c r="B3016">
        <v>3015</v>
      </c>
      <c r="C3016" t="s">
        <v>3074</v>
      </c>
      <c r="D3016">
        <v>2021</v>
      </c>
      <c r="F3016" t="s">
        <v>3038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f t="shared" si="94"/>
        <v>4.2</v>
      </c>
      <c r="M3016">
        <f t="shared" si="95"/>
        <v>1</v>
      </c>
    </row>
    <row r="3017" spans="1:13" x14ac:dyDescent="0.3">
      <c r="A3017">
        <v>3015</v>
      </c>
      <c r="B3017">
        <v>3016</v>
      </c>
      <c r="C3017" t="s">
        <v>3075</v>
      </c>
      <c r="D3017">
        <v>1990</v>
      </c>
      <c r="F3017" t="s">
        <v>3038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f t="shared" si="94"/>
        <v>4.2</v>
      </c>
      <c r="M3017">
        <f t="shared" si="95"/>
        <v>1</v>
      </c>
    </row>
    <row r="3018" spans="1:13" x14ac:dyDescent="0.3">
      <c r="A3018">
        <v>3016</v>
      </c>
      <c r="B3018">
        <v>3017</v>
      </c>
      <c r="C3018" t="s">
        <v>3076</v>
      </c>
      <c r="D3018">
        <v>2009</v>
      </c>
      <c r="E3018" t="s">
        <v>22</v>
      </c>
      <c r="F3018" t="s">
        <v>3038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f t="shared" si="94"/>
        <v>4.2</v>
      </c>
      <c r="M3018">
        <f t="shared" si="95"/>
        <v>1</v>
      </c>
    </row>
    <row r="3019" spans="1:13" x14ac:dyDescent="0.3">
      <c r="A3019">
        <v>3017</v>
      </c>
      <c r="B3019">
        <v>3018</v>
      </c>
      <c r="C3019" t="s">
        <v>3077</v>
      </c>
      <c r="D3019">
        <v>1985</v>
      </c>
      <c r="F3019" t="s">
        <v>3038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f t="shared" si="94"/>
        <v>4.2</v>
      </c>
      <c r="M3019">
        <f t="shared" si="95"/>
        <v>1</v>
      </c>
    </row>
    <row r="3020" spans="1:13" x14ac:dyDescent="0.3">
      <c r="A3020">
        <v>3018</v>
      </c>
      <c r="B3020">
        <v>3019</v>
      </c>
      <c r="C3020" t="s">
        <v>3078</v>
      </c>
      <c r="D3020">
        <v>2016</v>
      </c>
      <c r="F3020" t="s">
        <v>3038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f t="shared" si="94"/>
        <v>4.2</v>
      </c>
      <c r="M3020">
        <f t="shared" si="95"/>
        <v>1</v>
      </c>
    </row>
    <row r="3021" spans="1:13" x14ac:dyDescent="0.3">
      <c r="A3021">
        <v>3019</v>
      </c>
      <c r="B3021">
        <v>3020</v>
      </c>
      <c r="C3021" t="s">
        <v>3079</v>
      </c>
      <c r="D3021">
        <v>2014</v>
      </c>
      <c r="E3021" t="s">
        <v>14</v>
      </c>
      <c r="F3021" t="s">
        <v>3038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f t="shared" si="94"/>
        <v>4.2</v>
      </c>
      <c r="M3021">
        <f t="shared" si="95"/>
        <v>1</v>
      </c>
    </row>
    <row r="3022" spans="1:13" x14ac:dyDescent="0.3">
      <c r="A3022">
        <v>3020</v>
      </c>
      <c r="B3022">
        <v>3021</v>
      </c>
      <c r="C3022" t="s">
        <v>3080</v>
      </c>
      <c r="D3022">
        <v>1986</v>
      </c>
      <c r="F3022" t="s">
        <v>3038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f t="shared" si="94"/>
        <v>4.2</v>
      </c>
      <c r="M3022">
        <f t="shared" si="95"/>
        <v>1</v>
      </c>
    </row>
    <row r="3023" spans="1:13" x14ac:dyDescent="0.3">
      <c r="A3023">
        <v>3021</v>
      </c>
      <c r="B3023">
        <v>3022</v>
      </c>
      <c r="C3023" t="s">
        <v>3081</v>
      </c>
      <c r="D3023">
        <v>2018</v>
      </c>
      <c r="E3023" t="s">
        <v>28</v>
      </c>
      <c r="F3023" t="s">
        <v>3038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f t="shared" si="94"/>
        <v>4.2</v>
      </c>
      <c r="M3023">
        <f t="shared" si="95"/>
        <v>1</v>
      </c>
    </row>
    <row r="3024" spans="1:13" x14ac:dyDescent="0.3">
      <c r="A3024">
        <v>3022</v>
      </c>
      <c r="B3024">
        <v>3023</v>
      </c>
      <c r="C3024" t="s">
        <v>3082</v>
      </c>
      <c r="D3024">
        <v>2001</v>
      </c>
      <c r="E3024" t="s">
        <v>11</v>
      </c>
      <c r="F3024" t="s">
        <v>3038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f t="shared" si="94"/>
        <v>4.2</v>
      </c>
      <c r="M3024">
        <f t="shared" si="95"/>
        <v>1</v>
      </c>
    </row>
    <row r="3025" spans="1:13" x14ac:dyDescent="0.3">
      <c r="A3025">
        <v>3023</v>
      </c>
      <c r="B3025">
        <v>3024</v>
      </c>
      <c r="C3025" t="s">
        <v>3083</v>
      </c>
      <c r="D3025">
        <v>2018</v>
      </c>
      <c r="E3025" t="s">
        <v>11</v>
      </c>
      <c r="F3025" t="s">
        <v>3038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f t="shared" si="94"/>
        <v>4.2</v>
      </c>
      <c r="M3025">
        <f t="shared" si="95"/>
        <v>1</v>
      </c>
    </row>
    <row r="3026" spans="1:13" x14ac:dyDescent="0.3">
      <c r="A3026">
        <v>3024</v>
      </c>
      <c r="B3026">
        <v>3025</v>
      </c>
      <c r="C3026" t="s">
        <v>3084</v>
      </c>
      <c r="D3026">
        <v>2015</v>
      </c>
      <c r="F3026" t="s">
        <v>3038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f t="shared" si="94"/>
        <v>4.2</v>
      </c>
      <c r="M3026">
        <f t="shared" si="95"/>
        <v>1</v>
      </c>
    </row>
    <row r="3027" spans="1:13" x14ac:dyDescent="0.3">
      <c r="A3027">
        <v>3025</v>
      </c>
      <c r="B3027">
        <v>3026</v>
      </c>
      <c r="C3027" t="s">
        <v>3085</v>
      </c>
      <c r="D3027">
        <v>2020</v>
      </c>
      <c r="F3027" t="s">
        <v>3038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f t="shared" si="94"/>
        <v>4.2</v>
      </c>
      <c r="M3027">
        <f t="shared" si="95"/>
        <v>1</v>
      </c>
    </row>
    <row r="3028" spans="1:13" x14ac:dyDescent="0.3">
      <c r="A3028">
        <v>3026</v>
      </c>
      <c r="B3028">
        <v>3027</v>
      </c>
      <c r="C3028" t="s">
        <v>3086</v>
      </c>
      <c r="D3028">
        <v>2018</v>
      </c>
      <c r="E3028" t="s">
        <v>11</v>
      </c>
      <c r="F3028" t="s">
        <v>3038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f t="shared" si="94"/>
        <v>4.2</v>
      </c>
      <c r="M3028">
        <f t="shared" si="95"/>
        <v>1</v>
      </c>
    </row>
    <row r="3029" spans="1:13" x14ac:dyDescent="0.3">
      <c r="A3029">
        <v>3027</v>
      </c>
      <c r="B3029">
        <v>3028</v>
      </c>
      <c r="C3029" t="s">
        <v>3087</v>
      </c>
      <c r="D3029">
        <v>2019</v>
      </c>
      <c r="F3029" t="s">
        <v>3038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f t="shared" si="94"/>
        <v>4.2</v>
      </c>
      <c r="M3029">
        <f t="shared" si="95"/>
        <v>1</v>
      </c>
    </row>
    <row r="3030" spans="1:13" x14ac:dyDescent="0.3">
      <c r="A3030">
        <v>3028</v>
      </c>
      <c r="B3030">
        <v>3029</v>
      </c>
      <c r="C3030" t="s">
        <v>3088</v>
      </c>
      <c r="D3030">
        <v>2018</v>
      </c>
      <c r="E3030" t="s">
        <v>22</v>
      </c>
      <c r="F3030" t="s">
        <v>3038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f t="shared" si="94"/>
        <v>4.2</v>
      </c>
      <c r="M3030">
        <f t="shared" si="95"/>
        <v>1</v>
      </c>
    </row>
    <row r="3031" spans="1:13" x14ac:dyDescent="0.3">
      <c r="A3031">
        <v>3029</v>
      </c>
      <c r="B3031">
        <v>3030</v>
      </c>
      <c r="C3031" t="s">
        <v>3089</v>
      </c>
      <c r="D3031">
        <v>2019</v>
      </c>
      <c r="E3031" t="s">
        <v>28</v>
      </c>
      <c r="F3031" t="s">
        <v>3038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f t="shared" si="94"/>
        <v>4.2</v>
      </c>
      <c r="M3031">
        <f t="shared" si="95"/>
        <v>1</v>
      </c>
    </row>
    <row r="3032" spans="1:13" x14ac:dyDescent="0.3">
      <c r="A3032">
        <v>3030</v>
      </c>
      <c r="B3032">
        <v>3031</v>
      </c>
      <c r="C3032" t="s">
        <v>3090</v>
      </c>
      <c r="D3032">
        <v>2020</v>
      </c>
      <c r="F3032" t="s">
        <v>3038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f t="shared" si="94"/>
        <v>4.2</v>
      </c>
      <c r="M3032">
        <f t="shared" si="95"/>
        <v>1</v>
      </c>
    </row>
    <row r="3033" spans="1:13" x14ac:dyDescent="0.3">
      <c r="A3033">
        <v>3031</v>
      </c>
      <c r="B3033">
        <v>3032</v>
      </c>
      <c r="C3033" t="s">
        <v>3091</v>
      </c>
      <c r="D3033">
        <v>2020</v>
      </c>
      <c r="E3033" t="s">
        <v>11</v>
      </c>
      <c r="F3033" t="s">
        <v>3038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f t="shared" si="94"/>
        <v>4.2</v>
      </c>
      <c r="M3033">
        <f t="shared" si="95"/>
        <v>1</v>
      </c>
    </row>
    <row r="3034" spans="1:13" x14ac:dyDescent="0.3">
      <c r="A3034">
        <v>3032</v>
      </c>
      <c r="B3034">
        <v>3033</v>
      </c>
      <c r="C3034" t="s">
        <v>3092</v>
      </c>
      <c r="D3034">
        <v>2020</v>
      </c>
      <c r="F3034" t="s">
        <v>3038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f t="shared" si="94"/>
        <v>4.2</v>
      </c>
      <c r="M3034">
        <f t="shared" si="95"/>
        <v>1</v>
      </c>
    </row>
    <row r="3035" spans="1:13" x14ac:dyDescent="0.3">
      <c r="A3035">
        <v>3033</v>
      </c>
      <c r="B3035">
        <v>3034</v>
      </c>
      <c r="C3035" t="s">
        <v>3093</v>
      </c>
      <c r="D3035">
        <v>2019</v>
      </c>
      <c r="F3035" t="s">
        <v>3038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f t="shared" si="94"/>
        <v>4.2</v>
      </c>
      <c r="M3035">
        <f t="shared" si="95"/>
        <v>1</v>
      </c>
    </row>
    <row r="3036" spans="1:13" x14ac:dyDescent="0.3">
      <c r="A3036">
        <v>3034</v>
      </c>
      <c r="B3036">
        <v>3035</v>
      </c>
      <c r="C3036" t="s">
        <v>3094</v>
      </c>
      <c r="D3036">
        <v>2016</v>
      </c>
      <c r="F3036" t="s">
        <v>3038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f t="shared" si="94"/>
        <v>4.2</v>
      </c>
      <c r="M3036">
        <f t="shared" si="95"/>
        <v>1</v>
      </c>
    </row>
    <row r="3037" spans="1:13" x14ac:dyDescent="0.3">
      <c r="A3037">
        <v>3035</v>
      </c>
      <c r="B3037">
        <v>3036</v>
      </c>
      <c r="C3037" t="s">
        <v>3095</v>
      </c>
      <c r="D3037">
        <v>2017</v>
      </c>
      <c r="E3037" t="s">
        <v>11</v>
      </c>
      <c r="F3037" t="s">
        <v>3038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f t="shared" si="94"/>
        <v>4.2</v>
      </c>
      <c r="M3037">
        <f t="shared" si="95"/>
        <v>1</v>
      </c>
    </row>
    <row r="3038" spans="1:13" x14ac:dyDescent="0.3">
      <c r="A3038">
        <v>3036</v>
      </c>
      <c r="B3038">
        <v>3037</v>
      </c>
      <c r="C3038" t="s">
        <v>3096</v>
      </c>
      <c r="D3038">
        <v>2011</v>
      </c>
      <c r="E3038" t="s">
        <v>14</v>
      </c>
      <c r="F3038" t="s">
        <v>3038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f t="shared" si="94"/>
        <v>4.2</v>
      </c>
      <c r="M3038">
        <f t="shared" si="95"/>
        <v>1</v>
      </c>
    </row>
    <row r="3039" spans="1:13" x14ac:dyDescent="0.3">
      <c r="A3039">
        <v>3037</v>
      </c>
      <c r="B3039">
        <v>3038</v>
      </c>
      <c r="C3039" t="s">
        <v>3097</v>
      </c>
      <c r="D3039">
        <v>2019</v>
      </c>
      <c r="F3039" t="s">
        <v>3038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f t="shared" si="94"/>
        <v>4.2</v>
      </c>
      <c r="M3039">
        <f t="shared" si="95"/>
        <v>1</v>
      </c>
    </row>
    <row r="3040" spans="1:13" x14ac:dyDescent="0.3">
      <c r="A3040">
        <v>3038</v>
      </c>
      <c r="B3040">
        <v>3039</v>
      </c>
      <c r="C3040" t="s">
        <v>3098</v>
      </c>
      <c r="D3040">
        <v>2017</v>
      </c>
      <c r="F3040" t="s">
        <v>3038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f t="shared" si="94"/>
        <v>4.2</v>
      </c>
      <c r="M3040">
        <f t="shared" si="95"/>
        <v>1</v>
      </c>
    </row>
    <row r="3041" spans="1:13" x14ac:dyDescent="0.3">
      <c r="A3041">
        <v>3039</v>
      </c>
      <c r="B3041">
        <v>3040</v>
      </c>
      <c r="C3041" t="s">
        <v>3099</v>
      </c>
      <c r="D3041">
        <v>2019</v>
      </c>
      <c r="E3041" t="s">
        <v>22</v>
      </c>
      <c r="F3041" t="s">
        <v>3038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f t="shared" si="94"/>
        <v>4.2</v>
      </c>
      <c r="M3041">
        <f t="shared" si="95"/>
        <v>1</v>
      </c>
    </row>
    <row r="3042" spans="1:13" x14ac:dyDescent="0.3">
      <c r="A3042">
        <v>3040</v>
      </c>
      <c r="B3042">
        <v>3041</v>
      </c>
      <c r="C3042" t="s">
        <v>3100</v>
      </c>
      <c r="D3042">
        <v>2018</v>
      </c>
      <c r="F3042" t="s">
        <v>3038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f t="shared" si="94"/>
        <v>4.2</v>
      </c>
      <c r="M3042">
        <f t="shared" si="95"/>
        <v>1</v>
      </c>
    </row>
    <row r="3043" spans="1:13" x14ac:dyDescent="0.3">
      <c r="A3043">
        <v>3041</v>
      </c>
      <c r="B3043">
        <v>3042</v>
      </c>
      <c r="C3043" t="s">
        <v>3101</v>
      </c>
      <c r="D3043">
        <v>2019</v>
      </c>
      <c r="F3043" t="s">
        <v>3038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f t="shared" si="94"/>
        <v>4.2</v>
      </c>
      <c r="M3043">
        <f t="shared" si="95"/>
        <v>1</v>
      </c>
    </row>
    <row r="3044" spans="1:13" x14ac:dyDescent="0.3">
      <c r="A3044">
        <v>3042</v>
      </c>
      <c r="B3044">
        <v>3043</v>
      </c>
      <c r="C3044" t="s">
        <v>3102</v>
      </c>
      <c r="D3044">
        <v>2020</v>
      </c>
      <c r="F3044" t="s">
        <v>3038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f t="shared" si="94"/>
        <v>4.2</v>
      </c>
      <c r="M3044">
        <f t="shared" si="95"/>
        <v>1</v>
      </c>
    </row>
    <row r="3045" spans="1:13" x14ac:dyDescent="0.3">
      <c r="A3045">
        <v>3043</v>
      </c>
      <c r="B3045">
        <v>3044</v>
      </c>
      <c r="C3045" t="s">
        <v>3103</v>
      </c>
      <c r="D3045">
        <v>1984</v>
      </c>
      <c r="F3045" t="s">
        <v>3038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f t="shared" si="94"/>
        <v>4.2</v>
      </c>
      <c r="M3045">
        <f t="shared" si="95"/>
        <v>1</v>
      </c>
    </row>
    <row r="3046" spans="1:13" x14ac:dyDescent="0.3">
      <c r="A3046">
        <v>3044</v>
      </c>
      <c r="B3046">
        <v>3045</v>
      </c>
      <c r="C3046" t="s">
        <v>3104</v>
      </c>
      <c r="D3046">
        <v>2020</v>
      </c>
      <c r="F3046" t="s">
        <v>3038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f t="shared" si="94"/>
        <v>4.2</v>
      </c>
      <c r="M3046">
        <f t="shared" si="95"/>
        <v>1</v>
      </c>
    </row>
    <row r="3047" spans="1:13" x14ac:dyDescent="0.3">
      <c r="A3047">
        <v>3045</v>
      </c>
      <c r="B3047">
        <v>3046</v>
      </c>
      <c r="C3047" t="s">
        <v>3105</v>
      </c>
      <c r="D3047">
        <v>2018</v>
      </c>
      <c r="F3047" t="s">
        <v>3038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f t="shared" si="94"/>
        <v>4.2</v>
      </c>
      <c r="M3047">
        <f t="shared" si="95"/>
        <v>1</v>
      </c>
    </row>
    <row r="3048" spans="1:13" x14ac:dyDescent="0.3">
      <c r="A3048">
        <v>3046</v>
      </c>
      <c r="B3048">
        <v>3047</v>
      </c>
      <c r="C3048" t="s">
        <v>3106</v>
      </c>
      <c r="D3048">
        <v>2018</v>
      </c>
      <c r="F3048" t="s">
        <v>3038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f t="shared" si="94"/>
        <v>4.2</v>
      </c>
      <c r="M3048">
        <f t="shared" si="95"/>
        <v>1</v>
      </c>
    </row>
    <row r="3049" spans="1:13" x14ac:dyDescent="0.3">
      <c r="A3049">
        <v>3047</v>
      </c>
      <c r="B3049">
        <v>3048</v>
      </c>
      <c r="C3049" t="s">
        <v>3107</v>
      </c>
      <c r="D3049">
        <v>2008</v>
      </c>
      <c r="F3049" t="s">
        <v>3038</v>
      </c>
      <c r="G3049">
        <v>1</v>
      </c>
      <c r="H3049">
        <v>0</v>
      </c>
      <c r="I3049">
        <v>1</v>
      </c>
      <c r="J3049">
        <v>0</v>
      </c>
      <c r="K3049">
        <v>0</v>
      </c>
      <c r="L3049">
        <f t="shared" si="94"/>
        <v>4.2</v>
      </c>
      <c r="M3049">
        <f t="shared" si="95"/>
        <v>2</v>
      </c>
    </row>
    <row r="3050" spans="1:13" x14ac:dyDescent="0.3">
      <c r="A3050">
        <v>3048</v>
      </c>
      <c r="B3050">
        <v>3049</v>
      </c>
      <c r="C3050" t="s">
        <v>3108</v>
      </c>
      <c r="D3050">
        <v>2018</v>
      </c>
      <c r="F3050" t="s">
        <v>3038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f t="shared" si="94"/>
        <v>4.2</v>
      </c>
      <c r="M3050">
        <f t="shared" si="95"/>
        <v>1</v>
      </c>
    </row>
    <row r="3051" spans="1:13" x14ac:dyDescent="0.3">
      <c r="A3051">
        <v>3049</v>
      </c>
      <c r="B3051">
        <v>3050</v>
      </c>
      <c r="C3051" t="s">
        <v>3109</v>
      </c>
      <c r="D3051">
        <v>2013</v>
      </c>
      <c r="F3051" t="s">
        <v>3038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f t="shared" si="94"/>
        <v>4.2</v>
      </c>
      <c r="M3051">
        <f t="shared" si="95"/>
        <v>1</v>
      </c>
    </row>
    <row r="3052" spans="1:13" x14ac:dyDescent="0.3">
      <c r="A3052">
        <v>3050</v>
      </c>
      <c r="B3052">
        <v>3051</v>
      </c>
      <c r="C3052" t="s">
        <v>3110</v>
      </c>
      <c r="D3052">
        <v>2016</v>
      </c>
      <c r="F3052" t="s">
        <v>3038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f t="shared" si="94"/>
        <v>4.2</v>
      </c>
      <c r="M3052">
        <f t="shared" si="95"/>
        <v>1</v>
      </c>
    </row>
    <row r="3053" spans="1:13" x14ac:dyDescent="0.3">
      <c r="A3053">
        <v>3051</v>
      </c>
      <c r="B3053">
        <v>3052</v>
      </c>
      <c r="C3053" t="s">
        <v>3111</v>
      </c>
      <c r="D3053">
        <v>2017</v>
      </c>
      <c r="E3053" t="s">
        <v>22</v>
      </c>
      <c r="F3053" t="s">
        <v>3038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f t="shared" si="94"/>
        <v>4.2</v>
      </c>
      <c r="M3053">
        <f t="shared" si="95"/>
        <v>1</v>
      </c>
    </row>
    <row r="3054" spans="1:13" x14ac:dyDescent="0.3">
      <c r="A3054">
        <v>3052</v>
      </c>
      <c r="B3054">
        <v>3053</v>
      </c>
      <c r="C3054" t="s">
        <v>3112</v>
      </c>
      <c r="D3054">
        <v>2018</v>
      </c>
      <c r="F3054" t="s">
        <v>3038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f t="shared" si="94"/>
        <v>4.2</v>
      </c>
      <c r="M3054">
        <f t="shared" si="95"/>
        <v>1</v>
      </c>
    </row>
    <row r="3055" spans="1:13" x14ac:dyDescent="0.3">
      <c r="A3055">
        <v>3053</v>
      </c>
      <c r="B3055">
        <v>3054</v>
      </c>
      <c r="C3055" t="s">
        <v>3113</v>
      </c>
      <c r="D3055">
        <v>2016</v>
      </c>
      <c r="E3055" t="s">
        <v>36</v>
      </c>
      <c r="F3055" t="s">
        <v>3038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f t="shared" si="94"/>
        <v>4.2</v>
      </c>
      <c r="M3055">
        <f t="shared" si="95"/>
        <v>1</v>
      </c>
    </row>
    <row r="3056" spans="1:13" x14ac:dyDescent="0.3">
      <c r="A3056">
        <v>3054</v>
      </c>
      <c r="B3056">
        <v>3055</v>
      </c>
      <c r="C3056" t="s">
        <v>3114</v>
      </c>
      <c r="D3056">
        <v>1973</v>
      </c>
      <c r="F3056" t="s">
        <v>3038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f t="shared" si="94"/>
        <v>4.2</v>
      </c>
      <c r="M3056">
        <f t="shared" si="95"/>
        <v>1</v>
      </c>
    </row>
    <row r="3057" spans="1:13" x14ac:dyDescent="0.3">
      <c r="A3057">
        <v>3055</v>
      </c>
      <c r="B3057">
        <v>3056</v>
      </c>
      <c r="C3057" t="s">
        <v>3115</v>
      </c>
      <c r="D3057">
        <v>2016</v>
      </c>
      <c r="F3057" t="s">
        <v>3038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f t="shared" si="94"/>
        <v>4.2</v>
      </c>
      <c r="M3057">
        <f t="shared" si="95"/>
        <v>1</v>
      </c>
    </row>
    <row r="3058" spans="1:13" x14ac:dyDescent="0.3">
      <c r="A3058">
        <v>3056</v>
      </c>
      <c r="B3058">
        <v>3057</v>
      </c>
      <c r="C3058" t="s">
        <v>3116</v>
      </c>
      <c r="D3058">
        <v>2013</v>
      </c>
      <c r="E3058" t="s">
        <v>11</v>
      </c>
      <c r="F3058" t="s">
        <v>3038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f t="shared" si="94"/>
        <v>4.2</v>
      </c>
      <c r="M3058">
        <f t="shared" si="95"/>
        <v>1</v>
      </c>
    </row>
    <row r="3059" spans="1:13" x14ac:dyDescent="0.3">
      <c r="A3059">
        <v>3057</v>
      </c>
      <c r="B3059">
        <v>3058</v>
      </c>
      <c r="C3059" t="s">
        <v>3117</v>
      </c>
      <c r="D3059">
        <v>2016</v>
      </c>
      <c r="E3059" t="s">
        <v>36</v>
      </c>
      <c r="F3059" t="s">
        <v>3038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f t="shared" si="94"/>
        <v>4.2</v>
      </c>
      <c r="M3059">
        <f t="shared" si="95"/>
        <v>1</v>
      </c>
    </row>
    <row r="3060" spans="1:13" x14ac:dyDescent="0.3">
      <c r="A3060">
        <v>3058</v>
      </c>
      <c r="B3060">
        <v>3059</v>
      </c>
      <c r="C3060" t="s">
        <v>3118</v>
      </c>
      <c r="D3060">
        <v>2018</v>
      </c>
      <c r="F3060" t="s">
        <v>3038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f t="shared" si="94"/>
        <v>4.2</v>
      </c>
      <c r="M3060">
        <f t="shared" si="95"/>
        <v>1</v>
      </c>
    </row>
    <row r="3061" spans="1:13" x14ac:dyDescent="0.3">
      <c r="A3061">
        <v>3059</v>
      </c>
      <c r="B3061">
        <v>3060</v>
      </c>
      <c r="C3061" t="s">
        <v>3119</v>
      </c>
      <c r="D3061">
        <v>2016</v>
      </c>
      <c r="F3061" t="s">
        <v>3038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f t="shared" si="94"/>
        <v>4.2</v>
      </c>
      <c r="M3061">
        <f t="shared" si="95"/>
        <v>1</v>
      </c>
    </row>
    <row r="3062" spans="1:13" x14ac:dyDescent="0.3">
      <c r="A3062">
        <v>3060</v>
      </c>
      <c r="B3062">
        <v>3061</v>
      </c>
      <c r="C3062" t="s">
        <v>3120</v>
      </c>
      <c r="D3062">
        <v>2017</v>
      </c>
      <c r="F3062" t="s">
        <v>3038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f t="shared" si="94"/>
        <v>4.2</v>
      </c>
      <c r="M3062">
        <f t="shared" si="95"/>
        <v>1</v>
      </c>
    </row>
    <row r="3063" spans="1:13" x14ac:dyDescent="0.3">
      <c r="A3063">
        <v>3061</v>
      </c>
      <c r="B3063">
        <v>3062</v>
      </c>
      <c r="C3063" t="s">
        <v>3121</v>
      </c>
      <c r="D3063">
        <v>2018</v>
      </c>
      <c r="F3063" t="s">
        <v>3038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f t="shared" si="94"/>
        <v>4.2</v>
      </c>
      <c r="M3063">
        <f t="shared" si="95"/>
        <v>1</v>
      </c>
    </row>
    <row r="3064" spans="1:13" x14ac:dyDescent="0.3">
      <c r="A3064">
        <v>3062</v>
      </c>
      <c r="B3064">
        <v>3063</v>
      </c>
      <c r="C3064" t="s">
        <v>3122</v>
      </c>
      <c r="D3064">
        <v>2020</v>
      </c>
      <c r="F3064" t="s">
        <v>3038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f t="shared" si="94"/>
        <v>4.2</v>
      </c>
      <c r="M3064">
        <f t="shared" si="95"/>
        <v>1</v>
      </c>
    </row>
    <row r="3065" spans="1:13" x14ac:dyDescent="0.3">
      <c r="A3065">
        <v>3063</v>
      </c>
      <c r="B3065">
        <v>3064</v>
      </c>
      <c r="C3065" t="s">
        <v>3123</v>
      </c>
      <c r="D3065">
        <v>2020</v>
      </c>
      <c r="F3065" t="s">
        <v>3038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f t="shared" si="94"/>
        <v>4.2</v>
      </c>
      <c r="M3065">
        <f t="shared" si="95"/>
        <v>1</v>
      </c>
    </row>
    <row r="3066" spans="1:13" x14ac:dyDescent="0.3">
      <c r="A3066">
        <v>3064</v>
      </c>
      <c r="B3066">
        <v>3065</v>
      </c>
      <c r="C3066" t="s">
        <v>3124</v>
      </c>
      <c r="D3066">
        <v>2019</v>
      </c>
      <c r="F3066" t="s">
        <v>3038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f t="shared" si="94"/>
        <v>4.2</v>
      </c>
      <c r="M3066">
        <f t="shared" si="95"/>
        <v>1</v>
      </c>
    </row>
    <row r="3067" spans="1:13" x14ac:dyDescent="0.3">
      <c r="A3067">
        <v>3065</v>
      </c>
      <c r="B3067">
        <v>3066</v>
      </c>
      <c r="C3067" t="s">
        <v>3125</v>
      </c>
      <c r="D3067">
        <v>2020</v>
      </c>
      <c r="F3067" t="s">
        <v>3038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f t="shared" si="94"/>
        <v>4.2</v>
      </c>
      <c r="M3067">
        <f t="shared" si="95"/>
        <v>1</v>
      </c>
    </row>
    <row r="3068" spans="1:13" x14ac:dyDescent="0.3">
      <c r="A3068">
        <v>3066</v>
      </c>
      <c r="B3068">
        <v>3067</v>
      </c>
      <c r="C3068" t="s">
        <v>3126</v>
      </c>
      <c r="D3068">
        <v>2003</v>
      </c>
      <c r="F3068" t="s">
        <v>3038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f t="shared" si="94"/>
        <v>4.2</v>
      </c>
      <c r="M3068">
        <f t="shared" si="95"/>
        <v>1</v>
      </c>
    </row>
    <row r="3069" spans="1:13" x14ac:dyDescent="0.3">
      <c r="A3069">
        <v>3067</v>
      </c>
      <c r="B3069">
        <v>3068</v>
      </c>
      <c r="C3069" t="s">
        <v>3127</v>
      </c>
      <c r="D3069">
        <v>2018</v>
      </c>
      <c r="E3069" t="s">
        <v>11</v>
      </c>
      <c r="F3069" t="s">
        <v>3038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f t="shared" si="94"/>
        <v>4.2</v>
      </c>
      <c r="M3069">
        <f t="shared" si="95"/>
        <v>1</v>
      </c>
    </row>
    <row r="3070" spans="1:13" x14ac:dyDescent="0.3">
      <c r="A3070">
        <v>3068</v>
      </c>
      <c r="B3070">
        <v>3069</v>
      </c>
      <c r="C3070" t="s">
        <v>3128</v>
      </c>
      <c r="D3070">
        <v>2018</v>
      </c>
      <c r="E3070" t="s">
        <v>36</v>
      </c>
      <c r="F3070" t="s">
        <v>3129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f t="shared" si="94"/>
        <v>4.0999999999999996</v>
      </c>
      <c r="M3070">
        <f t="shared" si="95"/>
        <v>1</v>
      </c>
    </row>
    <row r="3071" spans="1:13" x14ac:dyDescent="0.3">
      <c r="A3071">
        <v>3069</v>
      </c>
      <c r="B3071">
        <v>3070</v>
      </c>
      <c r="C3071" t="s">
        <v>3130</v>
      </c>
      <c r="D3071">
        <v>2017</v>
      </c>
      <c r="F3071" t="s">
        <v>3129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f t="shared" si="94"/>
        <v>4.0999999999999996</v>
      </c>
      <c r="M3071">
        <f t="shared" si="95"/>
        <v>1</v>
      </c>
    </row>
    <row r="3072" spans="1:13" x14ac:dyDescent="0.3">
      <c r="A3072">
        <v>3070</v>
      </c>
      <c r="B3072">
        <v>3071</v>
      </c>
      <c r="C3072" t="s">
        <v>3131</v>
      </c>
      <c r="D3072">
        <v>2015</v>
      </c>
      <c r="F3072" t="s">
        <v>3129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f t="shared" si="94"/>
        <v>4.0999999999999996</v>
      </c>
      <c r="M3072">
        <f t="shared" si="95"/>
        <v>1</v>
      </c>
    </row>
    <row r="3073" spans="1:13" x14ac:dyDescent="0.3">
      <c r="A3073">
        <v>3071</v>
      </c>
      <c r="B3073">
        <v>3072</v>
      </c>
      <c r="C3073" t="s">
        <v>3132</v>
      </c>
      <c r="D3073">
        <v>2016</v>
      </c>
      <c r="F3073" t="s">
        <v>3129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f t="shared" si="94"/>
        <v>4.0999999999999996</v>
      </c>
      <c r="M3073">
        <f t="shared" si="95"/>
        <v>1</v>
      </c>
    </row>
    <row r="3074" spans="1:13" x14ac:dyDescent="0.3">
      <c r="A3074">
        <v>3072</v>
      </c>
      <c r="B3074">
        <v>3073</v>
      </c>
      <c r="C3074" t="s">
        <v>3133</v>
      </c>
      <c r="D3074">
        <v>2019</v>
      </c>
      <c r="F3074" t="s">
        <v>3129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f t="shared" si="94"/>
        <v>4.0999999999999996</v>
      </c>
      <c r="M3074">
        <f t="shared" si="95"/>
        <v>1</v>
      </c>
    </row>
    <row r="3075" spans="1:13" x14ac:dyDescent="0.3">
      <c r="A3075">
        <v>3073</v>
      </c>
      <c r="B3075">
        <v>3074</v>
      </c>
      <c r="C3075" t="s">
        <v>3134</v>
      </c>
      <c r="D3075">
        <v>2017</v>
      </c>
      <c r="F3075" t="s">
        <v>3129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f t="shared" ref="L3075:L3138" si="96">IFERROR(VALUE(LEFT(F3075,FIND("/",F3075)-1))/10,"")</f>
        <v>4.0999999999999996</v>
      </c>
      <c r="M3075">
        <f t="shared" ref="M3075:M3138" si="97">SUM(G3075:J3075)</f>
        <v>1</v>
      </c>
    </row>
    <row r="3076" spans="1:13" x14ac:dyDescent="0.3">
      <c r="A3076">
        <v>3074</v>
      </c>
      <c r="B3076">
        <v>3075</v>
      </c>
      <c r="C3076" t="s">
        <v>3135</v>
      </c>
      <c r="D3076">
        <v>2020</v>
      </c>
      <c r="E3076" t="s">
        <v>22</v>
      </c>
      <c r="F3076" t="s">
        <v>3129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f t="shared" si="96"/>
        <v>4.0999999999999996</v>
      </c>
      <c r="M3076">
        <f t="shared" si="97"/>
        <v>1</v>
      </c>
    </row>
    <row r="3077" spans="1:13" x14ac:dyDescent="0.3">
      <c r="A3077">
        <v>3075</v>
      </c>
      <c r="B3077">
        <v>3076</v>
      </c>
      <c r="C3077" t="s">
        <v>3136</v>
      </c>
      <c r="D3077">
        <v>2018</v>
      </c>
      <c r="F3077" t="s">
        <v>3129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f t="shared" si="96"/>
        <v>4.0999999999999996</v>
      </c>
      <c r="M3077">
        <f t="shared" si="97"/>
        <v>1</v>
      </c>
    </row>
    <row r="3078" spans="1:13" x14ac:dyDescent="0.3">
      <c r="A3078">
        <v>3076</v>
      </c>
      <c r="B3078">
        <v>3077</v>
      </c>
      <c r="C3078" t="s">
        <v>3137</v>
      </c>
      <c r="D3078">
        <v>2018</v>
      </c>
      <c r="E3078" t="s">
        <v>14</v>
      </c>
      <c r="F3078" t="s">
        <v>3129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f t="shared" si="96"/>
        <v>4.0999999999999996</v>
      </c>
      <c r="M3078">
        <f t="shared" si="97"/>
        <v>1</v>
      </c>
    </row>
    <row r="3079" spans="1:13" x14ac:dyDescent="0.3">
      <c r="A3079">
        <v>3077</v>
      </c>
      <c r="B3079">
        <v>3078</v>
      </c>
      <c r="C3079" t="s">
        <v>3138</v>
      </c>
      <c r="D3079">
        <v>2020</v>
      </c>
      <c r="F3079" t="s">
        <v>3129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f t="shared" si="96"/>
        <v>4.0999999999999996</v>
      </c>
      <c r="M3079">
        <f t="shared" si="97"/>
        <v>1</v>
      </c>
    </row>
    <row r="3080" spans="1:13" x14ac:dyDescent="0.3">
      <c r="A3080">
        <v>3078</v>
      </c>
      <c r="B3080">
        <v>3079</v>
      </c>
      <c r="C3080" t="s">
        <v>3139</v>
      </c>
      <c r="D3080">
        <v>1975</v>
      </c>
      <c r="F3080" t="s">
        <v>3129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f t="shared" si="96"/>
        <v>4.0999999999999996</v>
      </c>
      <c r="M3080">
        <f t="shared" si="97"/>
        <v>1</v>
      </c>
    </row>
    <row r="3081" spans="1:13" x14ac:dyDescent="0.3">
      <c r="A3081">
        <v>3079</v>
      </c>
      <c r="B3081">
        <v>3080</v>
      </c>
      <c r="C3081" t="s">
        <v>3140</v>
      </c>
      <c r="D3081">
        <v>2018</v>
      </c>
      <c r="E3081" t="s">
        <v>11</v>
      </c>
      <c r="F3081" t="s">
        <v>3129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f t="shared" si="96"/>
        <v>4.0999999999999996</v>
      </c>
      <c r="M3081">
        <f t="shared" si="97"/>
        <v>1</v>
      </c>
    </row>
    <row r="3082" spans="1:13" x14ac:dyDescent="0.3">
      <c r="A3082">
        <v>3080</v>
      </c>
      <c r="B3082">
        <v>3081</v>
      </c>
      <c r="C3082" t="s">
        <v>3141</v>
      </c>
      <c r="D3082">
        <v>2013</v>
      </c>
      <c r="F3082" t="s">
        <v>3129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f t="shared" si="96"/>
        <v>4.0999999999999996</v>
      </c>
      <c r="M3082">
        <f t="shared" si="97"/>
        <v>1</v>
      </c>
    </row>
    <row r="3083" spans="1:13" x14ac:dyDescent="0.3">
      <c r="A3083">
        <v>3081</v>
      </c>
      <c r="B3083">
        <v>3082</v>
      </c>
      <c r="C3083" t="s">
        <v>3142</v>
      </c>
      <c r="D3083">
        <v>2013</v>
      </c>
      <c r="F3083" t="s">
        <v>3129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f t="shared" si="96"/>
        <v>4.0999999999999996</v>
      </c>
      <c r="M3083">
        <f t="shared" si="97"/>
        <v>1</v>
      </c>
    </row>
    <row r="3084" spans="1:13" x14ac:dyDescent="0.3">
      <c r="A3084">
        <v>3082</v>
      </c>
      <c r="B3084">
        <v>3083</v>
      </c>
      <c r="C3084" t="s">
        <v>3143</v>
      </c>
      <c r="D3084">
        <v>2018</v>
      </c>
      <c r="F3084" t="s">
        <v>3129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f t="shared" si="96"/>
        <v>4.0999999999999996</v>
      </c>
      <c r="M3084">
        <f t="shared" si="97"/>
        <v>1</v>
      </c>
    </row>
    <row r="3085" spans="1:13" x14ac:dyDescent="0.3">
      <c r="A3085">
        <v>3083</v>
      </c>
      <c r="B3085">
        <v>3084</v>
      </c>
      <c r="C3085" t="s">
        <v>3144</v>
      </c>
      <c r="D3085">
        <v>2018</v>
      </c>
      <c r="F3085" t="s">
        <v>3129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f t="shared" si="96"/>
        <v>4.0999999999999996</v>
      </c>
      <c r="M3085">
        <f t="shared" si="97"/>
        <v>1</v>
      </c>
    </row>
    <row r="3086" spans="1:13" x14ac:dyDescent="0.3">
      <c r="A3086">
        <v>3084</v>
      </c>
      <c r="B3086">
        <v>3085</v>
      </c>
      <c r="C3086" t="s">
        <v>3145</v>
      </c>
      <c r="D3086">
        <v>1986</v>
      </c>
      <c r="F3086" t="s">
        <v>3129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f t="shared" si="96"/>
        <v>4.0999999999999996</v>
      </c>
      <c r="M3086">
        <f t="shared" si="97"/>
        <v>1</v>
      </c>
    </row>
    <row r="3087" spans="1:13" x14ac:dyDescent="0.3">
      <c r="A3087">
        <v>3085</v>
      </c>
      <c r="B3087">
        <v>3086</v>
      </c>
      <c r="C3087" t="s">
        <v>3146</v>
      </c>
      <c r="D3087">
        <v>2017</v>
      </c>
      <c r="F3087" t="s">
        <v>3129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f t="shared" si="96"/>
        <v>4.0999999999999996</v>
      </c>
      <c r="M3087">
        <f t="shared" si="97"/>
        <v>1</v>
      </c>
    </row>
    <row r="3088" spans="1:13" x14ac:dyDescent="0.3">
      <c r="A3088">
        <v>3086</v>
      </c>
      <c r="B3088">
        <v>3087</v>
      </c>
      <c r="C3088" t="s">
        <v>3147</v>
      </c>
      <c r="D3088">
        <v>2018</v>
      </c>
      <c r="F3088" t="s">
        <v>3129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f t="shared" si="96"/>
        <v>4.0999999999999996</v>
      </c>
      <c r="M3088">
        <f t="shared" si="97"/>
        <v>1</v>
      </c>
    </row>
    <row r="3089" spans="1:13" x14ac:dyDescent="0.3">
      <c r="A3089">
        <v>3087</v>
      </c>
      <c r="B3089">
        <v>3088</v>
      </c>
      <c r="C3089" t="s">
        <v>3148</v>
      </c>
      <c r="D3089">
        <v>2019</v>
      </c>
      <c r="F3089" t="s">
        <v>3129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f t="shared" si="96"/>
        <v>4.0999999999999996</v>
      </c>
      <c r="M3089">
        <f t="shared" si="97"/>
        <v>1</v>
      </c>
    </row>
    <row r="3090" spans="1:13" x14ac:dyDescent="0.3">
      <c r="A3090">
        <v>3088</v>
      </c>
      <c r="B3090">
        <v>3089</v>
      </c>
      <c r="C3090" t="s">
        <v>3149</v>
      </c>
      <c r="D3090">
        <v>2009</v>
      </c>
      <c r="F3090" t="s">
        <v>3129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f t="shared" si="96"/>
        <v>4.0999999999999996</v>
      </c>
      <c r="M3090">
        <f t="shared" si="97"/>
        <v>1</v>
      </c>
    </row>
    <row r="3091" spans="1:13" x14ac:dyDescent="0.3">
      <c r="A3091">
        <v>3089</v>
      </c>
      <c r="B3091">
        <v>3090</v>
      </c>
      <c r="C3091" t="s">
        <v>3150</v>
      </c>
      <c r="D3091">
        <v>2019</v>
      </c>
      <c r="F3091" t="s">
        <v>3129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f t="shared" si="96"/>
        <v>4.0999999999999996</v>
      </c>
      <c r="M3091">
        <f t="shared" si="97"/>
        <v>1</v>
      </c>
    </row>
    <row r="3092" spans="1:13" x14ac:dyDescent="0.3">
      <c r="A3092">
        <v>3090</v>
      </c>
      <c r="B3092">
        <v>3091</v>
      </c>
      <c r="C3092" t="s">
        <v>3151</v>
      </c>
      <c r="D3092">
        <v>2014</v>
      </c>
      <c r="F3092" t="s">
        <v>3129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f t="shared" si="96"/>
        <v>4.0999999999999996</v>
      </c>
      <c r="M3092">
        <f t="shared" si="97"/>
        <v>1</v>
      </c>
    </row>
    <row r="3093" spans="1:13" x14ac:dyDescent="0.3">
      <c r="A3093">
        <v>3091</v>
      </c>
      <c r="B3093">
        <v>3092</v>
      </c>
      <c r="C3093" t="s">
        <v>3152</v>
      </c>
      <c r="D3093">
        <v>2009</v>
      </c>
      <c r="F3093" t="s">
        <v>3129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f t="shared" si="96"/>
        <v>4.0999999999999996</v>
      </c>
      <c r="M3093">
        <f t="shared" si="97"/>
        <v>1</v>
      </c>
    </row>
    <row r="3094" spans="1:13" x14ac:dyDescent="0.3">
      <c r="A3094">
        <v>3092</v>
      </c>
      <c r="B3094">
        <v>3093</v>
      </c>
      <c r="C3094" t="s">
        <v>3153</v>
      </c>
      <c r="D3094">
        <v>2018</v>
      </c>
      <c r="F3094" t="s">
        <v>3129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f t="shared" si="96"/>
        <v>4.0999999999999996</v>
      </c>
      <c r="M3094">
        <f t="shared" si="97"/>
        <v>1</v>
      </c>
    </row>
    <row r="3095" spans="1:13" x14ac:dyDescent="0.3">
      <c r="A3095">
        <v>3093</v>
      </c>
      <c r="B3095">
        <v>3094</v>
      </c>
      <c r="C3095" t="s">
        <v>3154</v>
      </c>
      <c r="D3095">
        <v>2021</v>
      </c>
      <c r="F3095" t="s">
        <v>3129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f t="shared" si="96"/>
        <v>4.0999999999999996</v>
      </c>
      <c r="M3095">
        <f t="shared" si="97"/>
        <v>1</v>
      </c>
    </row>
    <row r="3096" spans="1:13" x14ac:dyDescent="0.3">
      <c r="A3096">
        <v>3094</v>
      </c>
      <c r="B3096">
        <v>3095</v>
      </c>
      <c r="C3096" t="s">
        <v>3155</v>
      </c>
      <c r="D3096">
        <v>2019</v>
      </c>
      <c r="E3096" t="s">
        <v>11</v>
      </c>
      <c r="F3096" t="s">
        <v>3129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f t="shared" si="96"/>
        <v>4.0999999999999996</v>
      </c>
      <c r="M3096">
        <f t="shared" si="97"/>
        <v>1</v>
      </c>
    </row>
    <row r="3097" spans="1:13" x14ac:dyDescent="0.3">
      <c r="A3097">
        <v>3095</v>
      </c>
      <c r="B3097">
        <v>3096</v>
      </c>
      <c r="C3097" t="s">
        <v>3156</v>
      </c>
      <c r="D3097">
        <v>2019</v>
      </c>
      <c r="E3097" t="s">
        <v>11</v>
      </c>
      <c r="F3097" t="s">
        <v>3129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f t="shared" si="96"/>
        <v>4.0999999999999996</v>
      </c>
      <c r="M3097">
        <f t="shared" si="97"/>
        <v>1</v>
      </c>
    </row>
    <row r="3098" spans="1:13" x14ac:dyDescent="0.3">
      <c r="A3098">
        <v>3096</v>
      </c>
      <c r="B3098">
        <v>3097</v>
      </c>
      <c r="C3098" t="s">
        <v>3157</v>
      </c>
      <c r="D3098">
        <v>2020</v>
      </c>
      <c r="F3098" t="s">
        <v>3129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f t="shared" si="96"/>
        <v>4.0999999999999996</v>
      </c>
      <c r="M3098">
        <f t="shared" si="97"/>
        <v>1</v>
      </c>
    </row>
    <row r="3099" spans="1:13" x14ac:dyDescent="0.3">
      <c r="A3099">
        <v>3097</v>
      </c>
      <c r="B3099">
        <v>3098</v>
      </c>
      <c r="C3099" t="s">
        <v>3158</v>
      </c>
      <c r="D3099">
        <v>2013</v>
      </c>
      <c r="F3099" t="s">
        <v>3129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f t="shared" si="96"/>
        <v>4.0999999999999996</v>
      </c>
      <c r="M3099">
        <f t="shared" si="97"/>
        <v>1</v>
      </c>
    </row>
    <row r="3100" spans="1:13" x14ac:dyDescent="0.3">
      <c r="A3100">
        <v>3098</v>
      </c>
      <c r="B3100">
        <v>3099</v>
      </c>
      <c r="C3100" t="s">
        <v>3159</v>
      </c>
      <c r="D3100">
        <v>2012</v>
      </c>
      <c r="E3100" t="s">
        <v>11</v>
      </c>
      <c r="F3100" t="s">
        <v>3129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f t="shared" si="96"/>
        <v>4.0999999999999996</v>
      </c>
      <c r="M3100">
        <f t="shared" si="97"/>
        <v>1</v>
      </c>
    </row>
    <row r="3101" spans="1:13" x14ac:dyDescent="0.3">
      <c r="A3101">
        <v>3099</v>
      </c>
      <c r="B3101">
        <v>3100</v>
      </c>
      <c r="C3101" t="s">
        <v>3160</v>
      </c>
      <c r="D3101">
        <v>2013</v>
      </c>
      <c r="F3101" t="s">
        <v>3129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f t="shared" si="96"/>
        <v>4.0999999999999996</v>
      </c>
      <c r="M3101">
        <f t="shared" si="97"/>
        <v>1</v>
      </c>
    </row>
    <row r="3102" spans="1:13" x14ac:dyDescent="0.3">
      <c r="A3102">
        <v>3100</v>
      </c>
      <c r="B3102">
        <v>3101</v>
      </c>
      <c r="C3102" t="s">
        <v>3161</v>
      </c>
      <c r="D3102">
        <v>2014</v>
      </c>
      <c r="F3102" t="s">
        <v>3129</v>
      </c>
      <c r="G3102">
        <v>1</v>
      </c>
      <c r="H3102">
        <v>0</v>
      </c>
      <c r="I3102">
        <v>1</v>
      </c>
      <c r="J3102">
        <v>0</v>
      </c>
      <c r="K3102">
        <v>0</v>
      </c>
      <c r="L3102">
        <f t="shared" si="96"/>
        <v>4.0999999999999996</v>
      </c>
      <c r="M3102">
        <f t="shared" si="97"/>
        <v>2</v>
      </c>
    </row>
    <row r="3103" spans="1:13" x14ac:dyDescent="0.3">
      <c r="A3103">
        <v>3101</v>
      </c>
      <c r="B3103">
        <v>3102</v>
      </c>
      <c r="C3103" t="s">
        <v>3162</v>
      </c>
      <c r="D3103">
        <v>2018</v>
      </c>
      <c r="E3103" t="s">
        <v>11</v>
      </c>
      <c r="F3103" t="s">
        <v>3129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f t="shared" si="96"/>
        <v>4.0999999999999996</v>
      </c>
      <c r="M3103">
        <f t="shared" si="97"/>
        <v>1</v>
      </c>
    </row>
    <row r="3104" spans="1:13" x14ac:dyDescent="0.3">
      <c r="A3104">
        <v>3102</v>
      </c>
      <c r="B3104">
        <v>3103</v>
      </c>
      <c r="C3104" t="s">
        <v>3163</v>
      </c>
      <c r="D3104">
        <v>2019</v>
      </c>
      <c r="F3104" t="s">
        <v>3129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f t="shared" si="96"/>
        <v>4.0999999999999996</v>
      </c>
      <c r="M3104">
        <f t="shared" si="97"/>
        <v>1</v>
      </c>
    </row>
    <row r="3105" spans="1:13" x14ac:dyDescent="0.3">
      <c r="A3105">
        <v>3103</v>
      </c>
      <c r="B3105">
        <v>3104</v>
      </c>
      <c r="C3105" t="s">
        <v>3164</v>
      </c>
      <c r="D3105">
        <v>2020</v>
      </c>
      <c r="F3105" t="s">
        <v>3129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f t="shared" si="96"/>
        <v>4.0999999999999996</v>
      </c>
      <c r="M3105">
        <f t="shared" si="97"/>
        <v>1</v>
      </c>
    </row>
    <row r="3106" spans="1:13" x14ac:dyDescent="0.3">
      <c r="A3106">
        <v>3104</v>
      </c>
      <c r="B3106">
        <v>3105</v>
      </c>
      <c r="C3106" t="s">
        <v>3165</v>
      </c>
      <c r="D3106">
        <v>2019</v>
      </c>
      <c r="F3106" t="s">
        <v>3129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f t="shared" si="96"/>
        <v>4.0999999999999996</v>
      </c>
      <c r="M3106">
        <f t="shared" si="97"/>
        <v>1</v>
      </c>
    </row>
    <row r="3107" spans="1:13" x14ac:dyDescent="0.3">
      <c r="A3107">
        <v>3105</v>
      </c>
      <c r="B3107">
        <v>3106</v>
      </c>
      <c r="C3107" t="s">
        <v>3166</v>
      </c>
      <c r="D3107">
        <v>2018</v>
      </c>
      <c r="F3107" t="s">
        <v>3129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f t="shared" si="96"/>
        <v>4.0999999999999996</v>
      </c>
      <c r="M3107">
        <f t="shared" si="97"/>
        <v>1</v>
      </c>
    </row>
    <row r="3108" spans="1:13" x14ac:dyDescent="0.3">
      <c r="A3108">
        <v>3106</v>
      </c>
      <c r="B3108">
        <v>3107</v>
      </c>
      <c r="C3108" t="s">
        <v>3167</v>
      </c>
      <c r="D3108">
        <v>2019</v>
      </c>
      <c r="F3108" t="s">
        <v>3129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f t="shared" si="96"/>
        <v>4.0999999999999996</v>
      </c>
      <c r="M3108">
        <f t="shared" si="97"/>
        <v>1</v>
      </c>
    </row>
    <row r="3109" spans="1:13" x14ac:dyDescent="0.3">
      <c r="A3109">
        <v>3107</v>
      </c>
      <c r="B3109">
        <v>3108</v>
      </c>
      <c r="C3109" t="s">
        <v>3168</v>
      </c>
      <c r="D3109">
        <v>2018</v>
      </c>
      <c r="F3109" t="s">
        <v>3129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f t="shared" si="96"/>
        <v>4.0999999999999996</v>
      </c>
      <c r="M3109">
        <f t="shared" si="97"/>
        <v>1</v>
      </c>
    </row>
    <row r="3110" spans="1:13" x14ac:dyDescent="0.3">
      <c r="A3110">
        <v>3108</v>
      </c>
      <c r="B3110">
        <v>3109</v>
      </c>
      <c r="C3110" t="s">
        <v>3169</v>
      </c>
      <c r="D3110">
        <v>2018</v>
      </c>
      <c r="F3110" t="s">
        <v>3129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f t="shared" si="96"/>
        <v>4.0999999999999996</v>
      </c>
      <c r="M3110">
        <f t="shared" si="97"/>
        <v>1</v>
      </c>
    </row>
    <row r="3111" spans="1:13" x14ac:dyDescent="0.3">
      <c r="A3111">
        <v>3109</v>
      </c>
      <c r="B3111">
        <v>3110</v>
      </c>
      <c r="C3111" t="s">
        <v>3170</v>
      </c>
      <c r="D3111">
        <v>2019</v>
      </c>
      <c r="F3111" t="s">
        <v>3129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f t="shared" si="96"/>
        <v>4.0999999999999996</v>
      </c>
      <c r="M3111">
        <f t="shared" si="97"/>
        <v>1</v>
      </c>
    </row>
    <row r="3112" spans="1:13" x14ac:dyDescent="0.3">
      <c r="A3112">
        <v>3110</v>
      </c>
      <c r="B3112">
        <v>3111</v>
      </c>
      <c r="C3112" t="s">
        <v>3171</v>
      </c>
      <c r="D3112">
        <v>2014</v>
      </c>
      <c r="F3112" t="s">
        <v>3129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f t="shared" si="96"/>
        <v>4.0999999999999996</v>
      </c>
      <c r="M3112">
        <f t="shared" si="97"/>
        <v>1</v>
      </c>
    </row>
    <row r="3113" spans="1:13" x14ac:dyDescent="0.3">
      <c r="A3113">
        <v>3111</v>
      </c>
      <c r="B3113">
        <v>3112</v>
      </c>
      <c r="C3113" t="s">
        <v>3172</v>
      </c>
      <c r="D3113">
        <v>2016</v>
      </c>
      <c r="F3113" t="s">
        <v>3129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f t="shared" si="96"/>
        <v>4.0999999999999996</v>
      </c>
      <c r="M3113">
        <f t="shared" si="97"/>
        <v>1</v>
      </c>
    </row>
    <row r="3114" spans="1:13" x14ac:dyDescent="0.3">
      <c r="A3114">
        <v>3112</v>
      </c>
      <c r="B3114">
        <v>3113</v>
      </c>
      <c r="C3114" t="s">
        <v>3173</v>
      </c>
      <c r="D3114">
        <v>2015</v>
      </c>
      <c r="F3114" t="s">
        <v>3129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f t="shared" si="96"/>
        <v>4.0999999999999996</v>
      </c>
      <c r="M3114">
        <f t="shared" si="97"/>
        <v>1</v>
      </c>
    </row>
    <row r="3115" spans="1:13" x14ac:dyDescent="0.3">
      <c r="A3115">
        <v>3113</v>
      </c>
      <c r="B3115">
        <v>3114</v>
      </c>
      <c r="C3115" t="s">
        <v>3174</v>
      </c>
      <c r="D3115">
        <v>2020</v>
      </c>
      <c r="E3115" t="s">
        <v>14</v>
      </c>
      <c r="F3115" t="s">
        <v>3129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f t="shared" si="96"/>
        <v>4.0999999999999996</v>
      </c>
      <c r="M3115">
        <f t="shared" si="97"/>
        <v>1</v>
      </c>
    </row>
    <row r="3116" spans="1:13" x14ac:dyDescent="0.3">
      <c r="A3116">
        <v>3114</v>
      </c>
      <c r="B3116">
        <v>3115</v>
      </c>
      <c r="C3116" t="s">
        <v>3175</v>
      </c>
      <c r="D3116">
        <v>2017</v>
      </c>
      <c r="F3116" t="s">
        <v>3129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f t="shared" si="96"/>
        <v>4.0999999999999996</v>
      </c>
      <c r="M3116">
        <f t="shared" si="97"/>
        <v>1</v>
      </c>
    </row>
    <row r="3117" spans="1:13" x14ac:dyDescent="0.3">
      <c r="A3117">
        <v>3115</v>
      </c>
      <c r="B3117">
        <v>3116</v>
      </c>
      <c r="C3117" t="s">
        <v>3176</v>
      </c>
      <c r="D3117">
        <v>1988</v>
      </c>
      <c r="F3117" t="s">
        <v>3129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f t="shared" si="96"/>
        <v>4.0999999999999996</v>
      </c>
      <c r="M3117">
        <f t="shared" si="97"/>
        <v>1</v>
      </c>
    </row>
    <row r="3118" spans="1:13" x14ac:dyDescent="0.3">
      <c r="A3118">
        <v>3116</v>
      </c>
      <c r="B3118">
        <v>3117</v>
      </c>
      <c r="C3118" t="s">
        <v>3177</v>
      </c>
      <c r="D3118">
        <v>2020</v>
      </c>
      <c r="F3118" t="s">
        <v>3129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f t="shared" si="96"/>
        <v>4.0999999999999996</v>
      </c>
      <c r="M3118">
        <f t="shared" si="97"/>
        <v>1</v>
      </c>
    </row>
    <row r="3119" spans="1:13" x14ac:dyDescent="0.3">
      <c r="A3119">
        <v>3117</v>
      </c>
      <c r="B3119">
        <v>3118</v>
      </c>
      <c r="C3119" t="s">
        <v>3178</v>
      </c>
      <c r="D3119">
        <v>2017</v>
      </c>
      <c r="F3119" t="s">
        <v>3129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f t="shared" si="96"/>
        <v>4.0999999999999996</v>
      </c>
      <c r="M3119">
        <f t="shared" si="97"/>
        <v>1</v>
      </c>
    </row>
    <row r="3120" spans="1:13" x14ac:dyDescent="0.3">
      <c r="A3120">
        <v>3118</v>
      </c>
      <c r="B3120">
        <v>3119</v>
      </c>
      <c r="C3120" t="s">
        <v>3179</v>
      </c>
      <c r="D3120">
        <v>2020</v>
      </c>
      <c r="E3120" t="s">
        <v>36</v>
      </c>
      <c r="F3120" t="s">
        <v>3129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f t="shared" si="96"/>
        <v>4.0999999999999996</v>
      </c>
      <c r="M3120">
        <f t="shared" si="97"/>
        <v>1</v>
      </c>
    </row>
    <row r="3121" spans="1:13" x14ac:dyDescent="0.3">
      <c r="A3121">
        <v>3119</v>
      </c>
      <c r="B3121">
        <v>3120</v>
      </c>
      <c r="C3121" t="s">
        <v>3180</v>
      </c>
      <c r="D3121">
        <v>2018</v>
      </c>
      <c r="F3121" t="s">
        <v>3129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f t="shared" si="96"/>
        <v>4.0999999999999996</v>
      </c>
      <c r="M3121">
        <f t="shared" si="97"/>
        <v>1</v>
      </c>
    </row>
    <row r="3122" spans="1:13" x14ac:dyDescent="0.3">
      <c r="A3122">
        <v>3120</v>
      </c>
      <c r="B3122">
        <v>3121</v>
      </c>
      <c r="C3122" t="s">
        <v>3181</v>
      </c>
      <c r="D3122">
        <v>2012</v>
      </c>
      <c r="F3122" t="s">
        <v>3129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f t="shared" si="96"/>
        <v>4.0999999999999996</v>
      </c>
      <c r="M3122">
        <f t="shared" si="97"/>
        <v>1</v>
      </c>
    </row>
    <row r="3123" spans="1:13" x14ac:dyDescent="0.3">
      <c r="A3123">
        <v>3121</v>
      </c>
      <c r="B3123">
        <v>3122</v>
      </c>
      <c r="C3123" t="s">
        <v>3182</v>
      </c>
      <c r="D3123">
        <v>2019</v>
      </c>
      <c r="F3123" t="s">
        <v>3129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f t="shared" si="96"/>
        <v>4.0999999999999996</v>
      </c>
      <c r="M3123">
        <f t="shared" si="97"/>
        <v>1</v>
      </c>
    </row>
    <row r="3124" spans="1:13" x14ac:dyDescent="0.3">
      <c r="A3124">
        <v>3122</v>
      </c>
      <c r="B3124">
        <v>3123</v>
      </c>
      <c r="C3124" t="s">
        <v>3183</v>
      </c>
      <c r="D3124">
        <v>2019</v>
      </c>
      <c r="F3124" t="s">
        <v>3129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f t="shared" si="96"/>
        <v>4.0999999999999996</v>
      </c>
      <c r="M3124">
        <f t="shared" si="97"/>
        <v>1</v>
      </c>
    </row>
    <row r="3125" spans="1:13" x14ac:dyDescent="0.3">
      <c r="A3125">
        <v>3123</v>
      </c>
      <c r="B3125">
        <v>3124</v>
      </c>
      <c r="C3125" t="s">
        <v>3184</v>
      </c>
      <c r="D3125">
        <v>2020</v>
      </c>
      <c r="F3125" t="s">
        <v>3129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f t="shared" si="96"/>
        <v>4.0999999999999996</v>
      </c>
      <c r="M3125">
        <f t="shared" si="97"/>
        <v>1</v>
      </c>
    </row>
    <row r="3126" spans="1:13" x14ac:dyDescent="0.3">
      <c r="A3126">
        <v>3124</v>
      </c>
      <c r="B3126">
        <v>3125</v>
      </c>
      <c r="C3126" t="s">
        <v>3185</v>
      </c>
      <c r="D3126">
        <v>2017</v>
      </c>
      <c r="E3126" t="s">
        <v>11</v>
      </c>
      <c r="F3126" t="s">
        <v>3129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f t="shared" si="96"/>
        <v>4.0999999999999996</v>
      </c>
      <c r="M3126">
        <f t="shared" si="97"/>
        <v>1</v>
      </c>
    </row>
    <row r="3127" spans="1:13" x14ac:dyDescent="0.3">
      <c r="A3127">
        <v>3125</v>
      </c>
      <c r="B3127">
        <v>3126</v>
      </c>
      <c r="C3127" t="s">
        <v>3186</v>
      </c>
      <c r="D3127">
        <v>2017</v>
      </c>
      <c r="E3127" t="s">
        <v>36</v>
      </c>
      <c r="F3127" t="s">
        <v>3129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f t="shared" si="96"/>
        <v>4.0999999999999996</v>
      </c>
      <c r="M3127">
        <f t="shared" si="97"/>
        <v>1</v>
      </c>
    </row>
    <row r="3128" spans="1:13" x14ac:dyDescent="0.3">
      <c r="A3128">
        <v>3126</v>
      </c>
      <c r="B3128">
        <v>3127</v>
      </c>
      <c r="C3128" t="s">
        <v>3187</v>
      </c>
      <c r="D3128">
        <v>2014</v>
      </c>
      <c r="F3128" t="s">
        <v>3129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f t="shared" si="96"/>
        <v>4.0999999999999996</v>
      </c>
      <c r="M3128">
        <f t="shared" si="97"/>
        <v>1</v>
      </c>
    </row>
    <row r="3129" spans="1:13" x14ac:dyDescent="0.3">
      <c r="A3129">
        <v>3127</v>
      </c>
      <c r="B3129">
        <v>3128</v>
      </c>
      <c r="C3129" t="s">
        <v>3188</v>
      </c>
      <c r="D3129">
        <v>2017</v>
      </c>
      <c r="F3129" t="s">
        <v>3129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f t="shared" si="96"/>
        <v>4.0999999999999996</v>
      </c>
      <c r="M3129">
        <f t="shared" si="97"/>
        <v>1</v>
      </c>
    </row>
    <row r="3130" spans="1:13" x14ac:dyDescent="0.3">
      <c r="A3130">
        <v>3128</v>
      </c>
      <c r="B3130">
        <v>3129</v>
      </c>
      <c r="C3130" t="s">
        <v>3189</v>
      </c>
      <c r="D3130">
        <v>2019</v>
      </c>
      <c r="F3130" t="s">
        <v>3129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f t="shared" si="96"/>
        <v>4.0999999999999996</v>
      </c>
      <c r="M3130">
        <f t="shared" si="97"/>
        <v>1</v>
      </c>
    </row>
    <row r="3131" spans="1:13" x14ac:dyDescent="0.3">
      <c r="A3131">
        <v>3129</v>
      </c>
      <c r="B3131">
        <v>3130</v>
      </c>
      <c r="C3131" t="s">
        <v>3190</v>
      </c>
      <c r="D3131">
        <v>2016</v>
      </c>
      <c r="F3131" t="s">
        <v>3129</v>
      </c>
      <c r="G3131">
        <v>1</v>
      </c>
      <c r="H3131">
        <v>0</v>
      </c>
      <c r="I3131">
        <v>1</v>
      </c>
      <c r="J3131">
        <v>0</v>
      </c>
      <c r="K3131">
        <v>0</v>
      </c>
      <c r="L3131">
        <f t="shared" si="96"/>
        <v>4.0999999999999996</v>
      </c>
      <c r="M3131">
        <f t="shared" si="97"/>
        <v>2</v>
      </c>
    </row>
    <row r="3132" spans="1:13" x14ac:dyDescent="0.3">
      <c r="A3132">
        <v>3130</v>
      </c>
      <c r="B3132">
        <v>3131</v>
      </c>
      <c r="C3132" t="s">
        <v>3191</v>
      </c>
      <c r="D3132">
        <v>2019</v>
      </c>
      <c r="E3132" t="s">
        <v>11</v>
      </c>
      <c r="F3132" t="s">
        <v>3129</v>
      </c>
      <c r="G3132">
        <v>1</v>
      </c>
      <c r="H3132">
        <v>0</v>
      </c>
      <c r="I3132">
        <v>0</v>
      </c>
      <c r="J3132">
        <v>0</v>
      </c>
      <c r="K3132">
        <v>0</v>
      </c>
      <c r="L3132">
        <f t="shared" si="96"/>
        <v>4.0999999999999996</v>
      </c>
      <c r="M3132">
        <f t="shared" si="97"/>
        <v>1</v>
      </c>
    </row>
    <row r="3133" spans="1:13" x14ac:dyDescent="0.3">
      <c r="A3133">
        <v>3131</v>
      </c>
      <c r="B3133">
        <v>3132</v>
      </c>
      <c r="C3133" t="s">
        <v>3192</v>
      </c>
      <c r="D3133">
        <v>2020</v>
      </c>
      <c r="F3133" t="s">
        <v>3129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f t="shared" si="96"/>
        <v>4.0999999999999996</v>
      </c>
      <c r="M3133">
        <f t="shared" si="97"/>
        <v>1</v>
      </c>
    </row>
    <row r="3134" spans="1:13" x14ac:dyDescent="0.3">
      <c r="A3134">
        <v>3132</v>
      </c>
      <c r="B3134">
        <v>3133</v>
      </c>
      <c r="C3134" t="s">
        <v>3193</v>
      </c>
      <c r="D3134">
        <v>2020</v>
      </c>
      <c r="F3134" t="s">
        <v>3129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f t="shared" si="96"/>
        <v>4.0999999999999996</v>
      </c>
      <c r="M3134">
        <f t="shared" si="97"/>
        <v>1</v>
      </c>
    </row>
    <row r="3135" spans="1:13" x14ac:dyDescent="0.3">
      <c r="A3135">
        <v>3133</v>
      </c>
      <c r="B3135">
        <v>3134</v>
      </c>
      <c r="C3135" t="s">
        <v>3194</v>
      </c>
      <c r="D3135">
        <v>2019</v>
      </c>
      <c r="F3135" t="s">
        <v>3129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f t="shared" si="96"/>
        <v>4.0999999999999996</v>
      </c>
      <c r="M3135">
        <f t="shared" si="97"/>
        <v>1</v>
      </c>
    </row>
    <row r="3136" spans="1:13" x14ac:dyDescent="0.3">
      <c r="A3136">
        <v>3134</v>
      </c>
      <c r="B3136">
        <v>3135</v>
      </c>
      <c r="C3136" t="s">
        <v>3195</v>
      </c>
      <c r="D3136">
        <v>2018</v>
      </c>
      <c r="F3136" t="s">
        <v>3129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f t="shared" si="96"/>
        <v>4.0999999999999996</v>
      </c>
      <c r="M3136">
        <f t="shared" si="97"/>
        <v>1</v>
      </c>
    </row>
    <row r="3137" spans="1:13" x14ac:dyDescent="0.3">
      <c r="A3137">
        <v>3135</v>
      </c>
      <c r="B3137">
        <v>3136</v>
      </c>
      <c r="C3137" t="s">
        <v>3196</v>
      </c>
      <c r="D3137">
        <v>2016</v>
      </c>
      <c r="F3137" t="s">
        <v>3129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f t="shared" si="96"/>
        <v>4.0999999999999996</v>
      </c>
      <c r="M3137">
        <f t="shared" si="97"/>
        <v>1</v>
      </c>
    </row>
    <row r="3138" spans="1:13" x14ac:dyDescent="0.3">
      <c r="A3138">
        <v>3136</v>
      </c>
      <c r="B3138">
        <v>3137</v>
      </c>
      <c r="C3138" t="s">
        <v>3197</v>
      </c>
      <c r="D3138">
        <v>2012</v>
      </c>
      <c r="F3138" t="s">
        <v>3129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f t="shared" si="96"/>
        <v>4.0999999999999996</v>
      </c>
      <c r="M3138">
        <f t="shared" si="97"/>
        <v>1</v>
      </c>
    </row>
    <row r="3139" spans="1:13" x14ac:dyDescent="0.3">
      <c r="A3139">
        <v>3137</v>
      </c>
      <c r="B3139">
        <v>3138</v>
      </c>
      <c r="C3139" t="s">
        <v>3198</v>
      </c>
      <c r="D3139">
        <v>2013</v>
      </c>
      <c r="F3139" t="s">
        <v>3129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f t="shared" ref="L3139:L3202" si="98">IFERROR(VALUE(LEFT(F3139,FIND("/",F3139)-1))/10,"")</f>
        <v>4.0999999999999996</v>
      </c>
      <c r="M3139">
        <f t="shared" ref="M3139:M3202" si="99">SUM(G3139:J3139)</f>
        <v>1</v>
      </c>
    </row>
    <row r="3140" spans="1:13" x14ac:dyDescent="0.3">
      <c r="A3140">
        <v>3138</v>
      </c>
      <c r="B3140">
        <v>3139</v>
      </c>
      <c r="C3140" t="s">
        <v>3199</v>
      </c>
      <c r="D3140">
        <v>1993</v>
      </c>
      <c r="F3140" t="s">
        <v>3129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f t="shared" si="98"/>
        <v>4.0999999999999996</v>
      </c>
      <c r="M3140">
        <f t="shared" si="99"/>
        <v>1</v>
      </c>
    </row>
    <row r="3141" spans="1:13" x14ac:dyDescent="0.3">
      <c r="A3141">
        <v>3139</v>
      </c>
      <c r="B3141">
        <v>3140</v>
      </c>
      <c r="C3141" t="s">
        <v>3200</v>
      </c>
      <c r="D3141">
        <v>2019</v>
      </c>
      <c r="E3141" t="s">
        <v>14</v>
      </c>
      <c r="F3141" t="s">
        <v>3129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f t="shared" si="98"/>
        <v>4.0999999999999996</v>
      </c>
      <c r="M3141">
        <f t="shared" si="99"/>
        <v>1</v>
      </c>
    </row>
    <row r="3142" spans="1:13" x14ac:dyDescent="0.3">
      <c r="A3142">
        <v>3140</v>
      </c>
      <c r="B3142">
        <v>3141</v>
      </c>
      <c r="C3142" t="s">
        <v>3201</v>
      </c>
      <c r="D3142">
        <v>2018</v>
      </c>
      <c r="E3142" t="s">
        <v>14</v>
      </c>
      <c r="F3142" t="s">
        <v>3129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f t="shared" si="98"/>
        <v>4.0999999999999996</v>
      </c>
      <c r="M3142">
        <f t="shared" si="99"/>
        <v>1</v>
      </c>
    </row>
    <row r="3143" spans="1:13" x14ac:dyDescent="0.3">
      <c r="A3143">
        <v>3141</v>
      </c>
      <c r="B3143">
        <v>3142</v>
      </c>
      <c r="C3143" t="s">
        <v>3202</v>
      </c>
      <c r="D3143">
        <v>2019</v>
      </c>
      <c r="F3143" t="s">
        <v>3129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f t="shared" si="98"/>
        <v>4.0999999999999996</v>
      </c>
      <c r="M3143">
        <f t="shared" si="99"/>
        <v>1</v>
      </c>
    </row>
    <row r="3144" spans="1:13" x14ac:dyDescent="0.3">
      <c r="A3144">
        <v>3142</v>
      </c>
      <c r="B3144">
        <v>3143</v>
      </c>
      <c r="C3144" t="s">
        <v>3203</v>
      </c>
      <c r="D3144">
        <v>2020</v>
      </c>
      <c r="F3144" t="s">
        <v>3129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f t="shared" si="98"/>
        <v>4.0999999999999996</v>
      </c>
      <c r="M3144">
        <f t="shared" si="99"/>
        <v>1</v>
      </c>
    </row>
    <row r="3145" spans="1:13" x14ac:dyDescent="0.3">
      <c r="A3145">
        <v>3143</v>
      </c>
      <c r="B3145">
        <v>3144</v>
      </c>
      <c r="C3145" t="s">
        <v>3204</v>
      </c>
      <c r="D3145">
        <v>2019</v>
      </c>
      <c r="F3145" t="s">
        <v>3129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f t="shared" si="98"/>
        <v>4.0999999999999996</v>
      </c>
      <c r="M3145">
        <f t="shared" si="99"/>
        <v>1</v>
      </c>
    </row>
    <row r="3146" spans="1:13" x14ac:dyDescent="0.3">
      <c r="A3146">
        <v>3144</v>
      </c>
      <c r="B3146">
        <v>3145</v>
      </c>
      <c r="C3146" t="s">
        <v>3205</v>
      </c>
      <c r="D3146">
        <v>1983</v>
      </c>
      <c r="E3146" t="s">
        <v>28</v>
      </c>
      <c r="F3146" t="s">
        <v>3129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f t="shared" si="98"/>
        <v>4.0999999999999996</v>
      </c>
      <c r="M3146">
        <f t="shared" si="99"/>
        <v>1</v>
      </c>
    </row>
    <row r="3147" spans="1:13" x14ac:dyDescent="0.3">
      <c r="A3147">
        <v>3145</v>
      </c>
      <c r="B3147">
        <v>3146</v>
      </c>
      <c r="C3147" t="s">
        <v>3206</v>
      </c>
      <c r="D3147">
        <v>2017</v>
      </c>
      <c r="F3147" t="s">
        <v>3129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f t="shared" si="98"/>
        <v>4.0999999999999996</v>
      </c>
      <c r="M3147">
        <f t="shared" si="99"/>
        <v>1</v>
      </c>
    </row>
    <row r="3148" spans="1:13" x14ac:dyDescent="0.3">
      <c r="A3148">
        <v>3146</v>
      </c>
      <c r="B3148">
        <v>3147</v>
      </c>
      <c r="C3148" t="s">
        <v>3207</v>
      </c>
      <c r="D3148">
        <v>2019</v>
      </c>
      <c r="F3148" t="s">
        <v>3129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f t="shared" si="98"/>
        <v>4.0999999999999996</v>
      </c>
      <c r="M3148">
        <f t="shared" si="99"/>
        <v>1</v>
      </c>
    </row>
    <row r="3149" spans="1:13" x14ac:dyDescent="0.3">
      <c r="A3149">
        <v>3147</v>
      </c>
      <c r="B3149">
        <v>3148</v>
      </c>
      <c r="C3149" t="s">
        <v>3208</v>
      </c>
      <c r="D3149">
        <v>2019</v>
      </c>
      <c r="F3149" t="s">
        <v>3129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f t="shared" si="98"/>
        <v>4.0999999999999996</v>
      </c>
      <c r="M3149">
        <f t="shared" si="99"/>
        <v>1</v>
      </c>
    </row>
    <row r="3150" spans="1:13" x14ac:dyDescent="0.3">
      <c r="A3150">
        <v>3148</v>
      </c>
      <c r="B3150">
        <v>3149</v>
      </c>
      <c r="C3150" t="s">
        <v>3209</v>
      </c>
      <c r="D3150">
        <v>2020</v>
      </c>
      <c r="E3150" t="s">
        <v>11</v>
      </c>
      <c r="F3150" t="s">
        <v>3129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f t="shared" si="98"/>
        <v>4.0999999999999996</v>
      </c>
      <c r="M3150">
        <f t="shared" si="99"/>
        <v>1</v>
      </c>
    </row>
    <row r="3151" spans="1:13" x14ac:dyDescent="0.3">
      <c r="A3151">
        <v>3149</v>
      </c>
      <c r="B3151">
        <v>3150</v>
      </c>
      <c r="C3151" t="s">
        <v>3210</v>
      </c>
      <c r="D3151">
        <v>2015</v>
      </c>
      <c r="E3151" t="s">
        <v>14</v>
      </c>
      <c r="F3151" t="s">
        <v>3129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f t="shared" si="98"/>
        <v>4.0999999999999996</v>
      </c>
      <c r="M3151">
        <f t="shared" si="99"/>
        <v>1</v>
      </c>
    </row>
    <row r="3152" spans="1:13" x14ac:dyDescent="0.3">
      <c r="A3152">
        <v>3150</v>
      </c>
      <c r="B3152">
        <v>3151</v>
      </c>
      <c r="C3152" t="s">
        <v>3211</v>
      </c>
      <c r="D3152">
        <v>2018</v>
      </c>
      <c r="F3152" t="s">
        <v>3129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f t="shared" si="98"/>
        <v>4.0999999999999996</v>
      </c>
      <c r="M3152">
        <f t="shared" si="99"/>
        <v>1</v>
      </c>
    </row>
    <row r="3153" spans="1:13" x14ac:dyDescent="0.3">
      <c r="A3153">
        <v>3151</v>
      </c>
      <c r="B3153">
        <v>3152</v>
      </c>
      <c r="C3153" t="s">
        <v>3212</v>
      </c>
      <c r="D3153">
        <v>2019</v>
      </c>
      <c r="F3153" t="s">
        <v>3129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f t="shared" si="98"/>
        <v>4.0999999999999996</v>
      </c>
      <c r="M3153">
        <f t="shared" si="99"/>
        <v>1</v>
      </c>
    </row>
    <row r="3154" spans="1:13" x14ac:dyDescent="0.3">
      <c r="A3154">
        <v>3152</v>
      </c>
      <c r="B3154">
        <v>3153</v>
      </c>
      <c r="C3154" t="s">
        <v>3213</v>
      </c>
      <c r="D3154">
        <v>2019</v>
      </c>
      <c r="E3154" t="s">
        <v>11</v>
      </c>
      <c r="F3154" t="s">
        <v>3129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f t="shared" si="98"/>
        <v>4.0999999999999996</v>
      </c>
      <c r="M3154">
        <f t="shared" si="99"/>
        <v>1</v>
      </c>
    </row>
    <row r="3155" spans="1:13" x14ac:dyDescent="0.3">
      <c r="A3155">
        <v>3153</v>
      </c>
      <c r="B3155">
        <v>3154</v>
      </c>
      <c r="C3155" t="s">
        <v>3214</v>
      </c>
      <c r="D3155">
        <v>2021</v>
      </c>
      <c r="F3155" t="s">
        <v>3129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f t="shared" si="98"/>
        <v>4.0999999999999996</v>
      </c>
      <c r="M3155">
        <f t="shared" si="99"/>
        <v>1</v>
      </c>
    </row>
    <row r="3156" spans="1:13" x14ac:dyDescent="0.3">
      <c r="A3156">
        <v>3154</v>
      </c>
      <c r="B3156">
        <v>3155</v>
      </c>
      <c r="C3156" t="s">
        <v>3215</v>
      </c>
      <c r="D3156">
        <v>1996</v>
      </c>
      <c r="E3156" t="s">
        <v>14</v>
      </c>
      <c r="F3156" t="s">
        <v>3129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f t="shared" si="98"/>
        <v>4.0999999999999996</v>
      </c>
      <c r="M3156">
        <f t="shared" si="99"/>
        <v>1</v>
      </c>
    </row>
    <row r="3157" spans="1:13" x14ac:dyDescent="0.3">
      <c r="A3157">
        <v>3155</v>
      </c>
      <c r="B3157">
        <v>3156</v>
      </c>
      <c r="C3157" t="s">
        <v>3216</v>
      </c>
      <c r="D3157">
        <v>2017</v>
      </c>
      <c r="F3157" t="s">
        <v>3129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f t="shared" si="98"/>
        <v>4.0999999999999996</v>
      </c>
      <c r="M3157">
        <f t="shared" si="99"/>
        <v>1</v>
      </c>
    </row>
    <row r="3158" spans="1:13" x14ac:dyDescent="0.3">
      <c r="A3158">
        <v>3156</v>
      </c>
      <c r="B3158">
        <v>3157</v>
      </c>
      <c r="C3158" t="s">
        <v>3217</v>
      </c>
      <c r="D3158">
        <v>2012</v>
      </c>
      <c r="F3158" t="s">
        <v>3129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f t="shared" si="98"/>
        <v>4.0999999999999996</v>
      </c>
      <c r="M3158">
        <f t="shared" si="99"/>
        <v>1</v>
      </c>
    </row>
    <row r="3159" spans="1:13" x14ac:dyDescent="0.3">
      <c r="A3159">
        <v>3157</v>
      </c>
      <c r="B3159">
        <v>3158</v>
      </c>
      <c r="C3159" t="s">
        <v>3218</v>
      </c>
      <c r="D3159">
        <v>2014</v>
      </c>
      <c r="F3159" t="s">
        <v>3129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f t="shared" si="98"/>
        <v>4.0999999999999996</v>
      </c>
      <c r="M3159">
        <f t="shared" si="99"/>
        <v>1</v>
      </c>
    </row>
    <row r="3160" spans="1:13" x14ac:dyDescent="0.3">
      <c r="A3160">
        <v>3158</v>
      </c>
      <c r="B3160">
        <v>3159</v>
      </c>
      <c r="C3160" t="s">
        <v>3219</v>
      </c>
      <c r="D3160">
        <v>2015</v>
      </c>
      <c r="E3160" t="s">
        <v>11</v>
      </c>
      <c r="F3160" t="s">
        <v>3129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f t="shared" si="98"/>
        <v>4.0999999999999996</v>
      </c>
      <c r="M3160">
        <f t="shared" si="99"/>
        <v>1</v>
      </c>
    </row>
    <row r="3161" spans="1:13" x14ac:dyDescent="0.3">
      <c r="A3161">
        <v>3159</v>
      </c>
      <c r="B3161">
        <v>3160</v>
      </c>
      <c r="C3161" t="s">
        <v>3220</v>
      </c>
      <c r="D3161">
        <v>2016</v>
      </c>
      <c r="E3161" t="s">
        <v>14</v>
      </c>
      <c r="F3161" t="s">
        <v>3129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f t="shared" si="98"/>
        <v>4.0999999999999996</v>
      </c>
      <c r="M3161">
        <f t="shared" si="99"/>
        <v>1</v>
      </c>
    </row>
    <row r="3162" spans="1:13" x14ac:dyDescent="0.3">
      <c r="A3162">
        <v>3160</v>
      </c>
      <c r="B3162">
        <v>3161</v>
      </c>
      <c r="C3162" t="s">
        <v>3221</v>
      </c>
      <c r="D3162">
        <v>2014</v>
      </c>
      <c r="F3162" t="s">
        <v>3129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f t="shared" si="98"/>
        <v>4.0999999999999996</v>
      </c>
      <c r="M3162">
        <f t="shared" si="99"/>
        <v>1</v>
      </c>
    </row>
    <row r="3163" spans="1:13" x14ac:dyDescent="0.3">
      <c r="A3163">
        <v>3161</v>
      </c>
      <c r="B3163">
        <v>3162</v>
      </c>
      <c r="C3163" t="s">
        <v>3222</v>
      </c>
      <c r="D3163">
        <v>2018</v>
      </c>
      <c r="F3163" t="s">
        <v>3129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f t="shared" si="98"/>
        <v>4.0999999999999996</v>
      </c>
      <c r="M3163">
        <f t="shared" si="99"/>
        <v>1</v>
      </c>
    </row>
    <row r="3164" spans="1:13" x14ac:dyDescent="0.3">
      <c r="A3164">
        <v>3162</v>
      </c>
      <c r="B3164">
        <v>3163</v>
      </c>
      <c r="C3164" t="s">
        <v>3223</v>
      </c>
      <c r="D3164">
        <v>2016</v>
      </c>
      <c r="F3164" t="s">
        <v>3129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f t="shared" si="98"/>
        <v>4.0999999999999996</v>
      </c>
      <c r="M3164">
        <f t="shared" si="99"/>
        <v>1</v>
      </c>
    </row>
    <row r="3165" spans="1:13" x14ac:dyDescent="0.3">
      <c r="A3165">
        <v>3163</v>
      </c>
      <c r="B3165">
        <v>3164</v>
      </c>
      <c r="C3165" t="s">
        <v>3224</v>
      </c>
      <c r="D3165">
        <v>1960</v>
      </c>
      <c r="F3165" t="s">
        <v>3129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f t="shared" si="98"/>
        <v>4.0999999999999996</v>
      </c>
      <c r="M3165">
        <f t="shared" si="99"/>
        <v>1</v>
      </c>
    </row>
    <row r="3166" spans="1:13" x14ac:dyDescent="0.3">
      <c r="A3166">
        <v>3164</v>
      </c>
      <c r="B3166">
        <v>3165</v>
      </c>
      <c r="C3166" t="s">
        <v>3225</v>
      </c>
      <c r="D3166">
        <v>2019</v>
      </c>
      <c r="F3166" t="s">
        <v>3226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f t="shared" si="98"/>
        <v>4</v>
      </c>
      <c r="M3166">
        <f t="shared" si="99"/>
        <v>1</v>
      </c>
    </row>
    <row r="3167" spans="1:13" x14ac:dyDescent="0.3">
      <c r="A3167">
        <v>3165</v>
      </c>
      <c r="B3167">
        <v>3166</v>
      </c>
      <c r="C3167" t="s">
        <v>3227</v>
      </c>
      <c r="D3167">
        <v>2019</v>
      </c>
      <c r="F3167" t="s">
        <v>3226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f t="shared" si="98"/>
        <v>4</v>
      </c>
      <c r="M3167">
        <f t="shared" si="99"/>
        <v>1</v>
      </c>
    </row>
    <row r="3168" spans="1:13" x14ac:dyDescent="0.3">
      <c r="A3168">
        <v>3166</v>
      </c>
      <c r="B3168">
        <v>3167</v>
      </c>
      <c r="C3168" t="s">
        <v>3228</v>
      </c>
      <c r="D3168">
        <v>2018</v>
      </c>
      <c r="F3168" t="s">
        <v>3226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f t="shared" si="98"/>
        <v>4</v>
      </c>
      <c r="M3168">
        <f t="shared" si="99"/>
        <v>1</v>
      </c>
    </row>
    <row r="3169" spans="1:13" x14ac:dyDescent="0.3">
      <c r="A3169">
        <v>3167</v>
      </c>
      <c r="B3169">
        <v>3168</v>
      </c>
      <c r="C3169" t="s">
        <v>3229</v>
      </c>
      <c r="D3169">
        <v>2017</v>
      </c>
      <c r="F3169" t="s">
        <v>3226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f t="shared" si="98"/>
        <v>4</v>
      </c>
      <c r="M3169">
        <f t="shared" si="99"/>
        <v>1</v>
      </c>
    </row>
    <row r="3170" spans="1:13" x14ac:dyDescent="0.3">
      <c r="A3170">
        <v>3168</v>
      </c>
      <c r="B3170">
        <v>3169</v>
      </c>
      <c r="C3170" t="s">
        <v>3230</v>
      </c>
      <c r="D3170">
        <v>2019</v>
      </c>
      <c r="F3170" t="s">
        <v>3226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f t="shared" si="98"/>
        <v>4</v>
      </c>
      <c r="M3170">
        <f t="shared" si="99"/>
        <v>1</v>
      </c>
    </row>
    <row r="3171" spans="1:13" x14ac:dyDescent="0.3">
      <c r="A3171">
        <v>3169</v>
      </c>
      <c r="B3171">
        <v>3170</v>
      </c>
      <c r="C3171" t="s">
        <v>3231</v>
      </c>
      <c r="D3171">
        <v>2014</v>
      </c>
      <c r="E3171" t="s">
        <v>14</v>
      </c>
      <c r="F3171" t="s">
        <v>3226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f t="shared" si="98"/>
        <v>4</v>
      </c>
      <c r="M3171">
        <f t="shared" si="99"/>
        <v>1</v>
      </c>
    </row>
    <row r="3172" spans="1:13" x14ac:dyDescent="0.3">
      <c r="A3172">
        <v>3170</v>
      </c>
      <c r="B3172">
        <v>3171</v>
      </c>
      <c r="C3172" t="s">
        <v>3232</v>
      </c>
      <c r="D3172">
        <v>2017</v>
      </c>
      <c r="E3172" t="s">
        <v>36</v>
      </c>
      <c r="F3172" t="s">
        <v>3226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f t="shared" si="98"/>
        <v>4</v>
      </c>
      <c r="M3172">
        <f t="shared" si="99"/>
        <v>1</v>
      </c>
    </row>
    <row r="3173" spans="1:13" x14ac:dyDescent="0.3">
      <c r="A3173">
        <v>3171</v>
      </c>
      <c r="B3173">
        <v>3172</v>
      </c>
      <c r="C3173" t="s">
        <v>3233</v>
      </c>
      <c r="D3173">
        <v>2018</v>
      </c>
      <c r="F3173" t="s">
        <v>3226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f t="shared" si="98"/>
        <v>4</v>
      </c>
      <c r="M3173">
        <f t="shared" si="99"/>
        <v>1</v>
      </c>
    </row>
    <row r="3174" spans="1:13" x14ac:dyDescent="0.3">
      <c r="A3174">
        <v>3172</v>
      </c>
      <c r="B3174">
        <v>3173</v>
      </c>
      <c r="C3174" t="s">
        <v>3234</v>
      </c>
      <c r="D3174">
        <v>2020</v>
      </c>
      <c r="F3174" t="s">
        <v>3226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f t="shared" si="98"/>
        <v>4</v>
      </c>
      <c r="M3174">
        <f t="shared" si="99"/>
        <v>1</v>
      </c>
    </row>
    <row r="3175" spans="1:13" x14ac:dyDescent="0.3">
      <c r="A3175">
        <v>3173</v>
      </c>
      <c r="B3175">
        <v>3174</v>
      </c>
      <c r="C3175" t="s">
        <v>3235</v>
      </c>
      <c r="D3175">
        <v>2001</v>
      </c>
      <c r="F3175" t="s">
        <v>3226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f t="shared" si="98"/>
        <v>4</v>
      </c>
      <c r="M3175">
        <f t="shared" si="99"/>
        <v>1</v>
      </c>
    </row>
    <row r="3176" spans="1:13" x14ac:dyDescent="0.3">
      <c r="A3176">
        <v>3174</v>
      </c>
      <c r="B3176">
        <v>3175</v>
      </c>
      <c r="C3176" t="s">
        <v>3236</v>
      </c>
      <c r="D3176">
        <v>1959</v>
      </c>
      <c r="F3176" t="s">
        <v>3226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f t="shared" si="98"/>
        <v>4</v>
      </c>
      <c r="M3176">
        <f t="shared" si="99"/>
        <v>1</v>
      </c>
    </row>
    <row r="3177" spans="1:13" x14ac:dyDescent="0.3">
      <c r="A3177">
        <v>3175</v>
      </c>
      <c r="B3177">
        <v>3176</v>
      </c>
      <c r="C3177" t="s">
        <v>3237</v>
      </c>
      <c r="D3177">
        <v>2018</v>
      </c>
      <c r="F3177" t="s">
        <v>3226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f t="shared" si="98"/>
        <v>4</v>
      </c>
      <c r="M3177">
        <f t="shared" si="99"/>
        <v>1</v>
      </c>
    </row>
    <row r="3178" spans="1:13" x14ac:dyDescent="0.3">
      <c r="A3178">
        <v>3176</v>
      </c>
      <c r="B3178">
        <v>3177</v>
      </c>
      <c r="C3178" t="s">
        <v>3238</v>
      </c>
      <c r="D3178">
        <v>2014</v>
      </c>
      <c r="E3178" t="s">
        <v>14</v>
      </c>
      <c r="F3178" t="s">
        <v>3226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f t="shared" si="98"/>
        <v>4</v>
      </c>
      <c r="M3178">
        <f t="shared" si="99"/>
        <v>1</v>
      </c>
    </row>
    <row r="3179" spans="1:13" x14ac:dyDescent="0.3">
      <c r="A3179">
        <v>3177</v>
      </c>
      <c r="B3179">
        <v>3178</v>
      </c>
      <c r="C3179" t="s">
        <v>3239</v>
      </c>
      <c r="D3179">
        <v>2005</v>
      </c>
      <c r="F3179" t="s">
        <v>3226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f t="shared" si="98"/>
        <v>4</v>
      </c>
      <c r="M3179">
        <f t="shared" si="99"/>
        <v>1</v>
      </c>
    </row>
    <row r="3180" spans="1:13" x14ac:dyDescent="0.3">
      <c r="A3180">
        <v>3178</v>
      </c>
      <c r="B3180">
        <v>3179</v>
      </c>
      <c r="C3180" t="s">
        <v>3240</v>
      </c>
      <c r="D3180">
        <v>2019</v>
      </c>
      <c r="E3180" t="s">
        <v>11</v>
      </c>
      <c r="F3180" t="s">
        <v>3226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f t="shared" si="98"/>
        <v>4</v>
      </c>
      <c r="M3180">
        <f t="shared" si="99"/>
        <v>1</v>
      </c>
    </row>
    <row r="3181" spans="1:13" x14ac:dyDescent="0.3">
      <c r="A3181">
        <v>3179</v>
      </c>
      <c r="B3181">
        <v>3180</v>
      </c>
      <c r="C3181" t="s">
        <v>3241</v>
      </c>
      <c r="D3181">
        <v>2012</v>
      </c>
      <c r="F3181" t="s">
        <v>3226</v>
      </c>
      <c r="G3181">
        <v>1</v>
      </c>
      <c r="H3181">
        <v>0</v>
      </c>
      <c r="I3181">
        <v>1</v>
      </c>
      <c r="J3181">
        <v>0</v>
      </c>
      <c r="K3181">
        <v>0</v>
      </c>
      <c r="L3181">
        <f t="shared" si="98"/>
        <v>4</v>
      </c>
      <c r="M3181">
        <f t="shared" si="99"/>
        <v>2</v>
      </c>
    </row>
    <row r="3182" spans="1:13" x14ac:dyDescent="0.3">
      <c r="A3182">
        <v>3180</v>
      </c>
      <c r="B3182">
        <v>3181</v>
      </c>
      <c r="C3182" t="s">
        <v>3242</v>
      </c>
      <c r="D3182">
        <v>2018</v>
      </c>
      <c r="F3182" t="s">
        <v>3226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f t="shared" si="98"/>
        <v>4</v>
      </c>
      <c r="M3182">
        <f t="shared" si="99"/>
        <v>1</v>
      </c>
    </row>
    <row r="3183" spans="1:13" x14ac:dyDescent="0.3">
      <c r="A3183">
        <v>3181</v>
      </c>
      <c r="B3183">
        <v>3182</v>
      </c>
      <c r="C3183" t="s">
        <v>3243</v>
      </c>
      <c r="D3183">
        <v>2004</v>
      </c>
      <c r="F3183" t="s">
        <v>3226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f t="shared" si="98"/>
        <v>4</v>
      </c>
      <c r="M3183">
        <f t="shared" si="99"/>
        <v>1</v>
      </c>
    </row>
    <row r="3184" spans="1:13" x14ac:dyDescent="0.3">
      <c r="A3184">
        <v>3182</v>
      </c>
      <c r="B3184">
        <v>3183</v>
      </c>
      <c r="C3184" t="s">
        <v>3244</v>
      </c>
      <c r="D3184">
        <v>2019</v>
      </c>
      <c r="E3184" t="s">
        <v>36</v>
      </c>
      <c r="F3184" t="s">
        <v>3226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f t="shared" si="98"/>
        <v>4</v>
      </c>
      <c r="M3184">
        <f t="shared" si="99"/>
        <v>1</v>
      </c>
    </row>
    <row r="3185" spans="1:13" x14ac:dyDescent="0.3">
      <c r="A3185">
        <v>3183</v>
      </c>
      <c r="B3185">
        <v>3184</v>
      </c>
      <c r="C3185" t="s">
        <v>3245</v>
      </c>
      <c r="D3185">
        <v>2020</v>
      </c>
      <c r="E3185" t="s">
        <v>14</v>
      </c>
      <c r="F3185" t="s">
        <v>3226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f t="shared" si="98"/>
        <v>4</v>
      </c>
      <c r="M3185">
        <f t="shared" si="99"/>
        <v>1</v>
      </c>
    </row>
    <row r="3186" spans="1:13" x14ac:dyDescent="0.3">
      <c r="A3186">
        <v>3184</v>
      </c>
      <c r="B3186">
        <v>3185</v>
      </c>
      <c r="C3186" t="s">
        <v>3246</v>
      </c>
      <c r="D3186">
        <v>2018</v>
      </c>
      <c r="F3186" t="s">
        <v>3226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f t="shared" si="98"/>
        <v>4</v>
      </c>
      <c r="M3186">
        <f t="shared" si="99"/>
        <v>1</v>
      </c>
    </row>
    <row r="3187" spans="1:13" x14ac:dyDescent="0.3">
      <c r="A3187">
        <v>3185</v>
      </c>
      <c r="B3187">
        <v>3186</v>
      </c>
      <c r="C3187" t="s">
        <v>3247</v>
      </c>
      <c r="D3187">
        <v>2017</v>
      </c>
      <c r="F3187" t="s">
        <v>3226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f t="shared" si="98"/>
        <v>4</v>
      </c>
      <c r="M3187">
        <f t="shared" si="99"/>
        <v>1</v>
      </c>
    </row>
    <row r="3188" spans="1:13" x14ac:dyDescent="0.3">
      <c r="A3188">
        <v>3186</v>
      </c>
      <c r="B3188">
        <v>3187</v>
      </c>
      <c r="C3188" t="s">
        <v>3248</v>
      </c>
      <c r="D3188">
        <v>1964</v>
      </c>
      <c r="F3188" t="s">
        <v>3226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f t="shared" si="98"/>
        <v>4</v>
      </c>
      <c r="M3188">
        <f t="shared" si="99"/>
        <v>1</v>
      </c>
    </row>
    <row r="3189" spans="1:13" x14ac:dyDescent="0.3">
      <c r="A3189">
        <v>3187</v>
      </c>
      <c r="B3189">
        <v>3188</v>
      </c>
      <c r="C3189" t="s">
        <v>3249</v>
      </c>
      <c r="D3189">
        <v>2017</v>
      </c>
      <c r="E3189" t="s">
        <v>14</v>
      </c>
      <c r="F3189" t="s">
        <v>3226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f t="shared" si="98"/>
        <v>4</v>
      </c>
      <c r="M3189">
        <f t="shared" si="99"/>
        <v>1</v>
      </c>
    </row>
    <row r="3190" spans="1:13" x14ac:dyDescent="0.3">
      <c r="A3190">
        <v>3188</v>
      </c>
      <c r="B3190">
        <v>3189</v>
      </c>
      <c r="C3190" t="s">
        <v>3250</v>
      </c>
      <c r="D3190">
        <v>2019</v>
      </c>
      <c r="F3190" t="s">
        <v>3226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f t="shared" si="98"/>
        <v>4</v>
      </c>
      <c r="M3190">
        <f t="shared" si="99"/>
        <v>1</v>
      </c>
    </row>
    <row r="3191" spans="1:13" x14ac:dyDescent="0.3">
      <c r="A3191">
        <v>3189</v>
      </c>
      <c r="B3191">
        <v>3190</v>
      </c>
      <c r="C3191" t="s">
        <v>3251</v>
      </c>
      <c r="D3191">
        <v>2018</v>
      </c>
      <c r="E3191" t="s">
        <v>14</v>
      </c>
      <c r="F3191" t="s">
        <v>3226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f t="shared" si="98"/>
        <v>4</v>
      </c>
      <c r="M3191">
        <f t="shared" si="99"/>
        <v>1</v>
      </c>
    </row>
    <row r="3192" spans="1:13" x14ac:dyDescent="0.3">
      <c r="A3192">
        <v>3190</v>
      </c>
      <c r="B3192">
        <v>3191</v>
      </c>
      <c r="C3192" t="s">
        <v>3252</v>
      </c>
      <c r="D3192">
        <v>2014</v>
      </c>
      <c r="F3192" t="s">
        <v>3226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f t="shared" si="98"/>
        <v>4</v>
      </c>
      <c r="M3192">
        <f t="shared" si="99"/>
        <v>1</v>
      </c>
    </row>
    <row r="3193" spans="1:13" x14ac:dyDescent="0.3">
      <c r="A3193">
        <v>3191</v>
      </c>
      <c r="B3193">
        <v>3192</v>
      </c>
      <c r="C3193" t="s">
        <v>3253</v>
      </c>
      <c r="D3193">
        <v>2018</v>
      </c>
      <c r="E3193" t="s">
        <v>11</v>
      </c>
      <c r="F3193" t="s">
        <v>3226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f t="shared" si="98"/>
        <v>4</v>
      </c>
      <c r="M3193">
        <f t="shared" si="99"/>
        <v>1</v>
      </c>
    </row>
    <row r="3194" spans="1:13" x14ac:dyDescent="0.3">
      <c r="A3194">
        <v>3192</v>
      </c>
      <c r="B3194">
        <v>3193</v>
      </c>
      <c r="C3194" t="s">
        <v>3254</v>
      </c>
      <c r="D3194">
        <v>2019</v>
      </c>
      <c r="F3194" t="s">
        <v>3226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f t="shared" si="98"/>
        <v>4</v>
      </c>
      <c r="M3194">
        <f t="shared" si="99"/>
        <v>1</v>
      </c>
    </row>
    <row r="3195" spans="1:13" x14ac:dyDescent="0.3">
      <c r="A3195">
        <v>3193</v>
      </c>
      <c r="B3195">
        <v>3194</v>
      </c>
      <c r="C3195" t="s">
        <v>3255</v>
      </c>
      <c r="D3195">
        <v>2018</v>
      </c>
      <c r="F3195" t="s">
        <v>3226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f t="shared" si="98"/>
        <v>4</v>
      </c>
      <c r="M3195">
        <f t="shared" si="99"/>
        <v>1</v>
      </c>
    </row>
    <row r="3196" spans="1:13" x14ac:dyDescent="0.3">
      <c r="A3196">
        <v>3194</v>
      </c>
      <c r="B3196">
        <v>3195</v>
      </c>
      <c r="C3196" t="s">
        <v>3256</v>
      </c>
      <c r="D3196">
        <v>2009</v>
      </c>
      <c r="F3196" t="s">
        <v>3226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f t="shared" si="98"/>
        <v>4</v>
      </c>
      <c r="M3196">
        <f t="shared" si="99"/>
        <v>1</v>
      </c>
    </row>
    <row r="3197" spans="1:13" x14ac:dyDescent="0.3">
      <c r="A3197">
        <v>3195</v>
      </c>
      <c r="B3197">
        <v>3196</v>
      </c>
      <c r="C3197" t="s">
        <v>3257</v>
      </c>
      <c r="D3197">
        <v>2011</v>
      </c>
      <c r="F3197" t="s">
        <v>3226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f t="shared" si="98"/>
        <v>4</v>
      </c>
      <c r="M3197">
        <f t="shared" si="99"/>
        <v>1</v>
      </c>
    </row>
    <row r="3198" spans="1:13" x14ac:dyDescent="0.3">
      <c r="A3198">
        <v>3196</v>
      </c>
      <c r="B3198">
        <v>3197</v>
      </c>
      <c r="C3198" t="s">
        <v>3258</v>
      </c>
      <c r="D3198">
        <v>2017</v>
      </c>
      <c r="F3198" t="s">
        <v>3226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f t="shared" si="98"/>
        <v>4</v>
      </c>
      <c r="M3198">
        <f t="shared" si="99"/>
        <v>1</v>
      </c>
    </row>
    <row r="3199" spans="1:13" x14ac:dyDescent="0.3">
      <c r="A3199">
        <v>3197</v>
      </c>
      <c r="B3199">
        <v>3198</v>
      </c>
      <c r="C3199" t="s">
        <v>3259</v>
      </c>
      <c r="D3199">
        <v>2020</v>
      </c>
      <c r="F3199" t="s">
        <v>3226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f t="shared" si="98"/>
        <v>4</v>
      </c>
      <c r="M3199">
        <f t="shared" si="99"/>
        <v>1</v>
      </c>
    </row>
    <row r="3200" spans="1:13" x14ac:dyDescent="0.3">
      <c r="A3200">
        <v>3198</v>
      </c>
      <c r="B3200">
        <v>3199</v>
      </c>
      <c r="C3200" t="s">
        <v>3260</v>
      </c>
      <c r="D3200">
        <v>2017</v>
      </c>
      <c r="F3200" t="s">
        <v>3226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f t="shared" si="98"/>
        <v>4</v>
      </c>
      <c r="M3200">
        <f t="shared" si="99"/>
        <v>1</v>
      </c>
    </row>
    <row r="3201" spans="1:13" x14ac:dyDescent="0.3">
      <c r="A3201">
        <v>3199</v>
      </c>
      <c r="B3201">
        <v>3200</v>
      </c>
      <c r="C3201" t="s">
        <v>3261</v>
      </c>
      <c r="D3201">
        <v>2012</v>
      </c>
      <c r="F3201" t="s">
        <v>3226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f t="shared" si="98"/>
        <v>4</v>
      </c>
      <c r="M3201">
        <f t="shared" si="99"/>
        <v>1</v>
      </c>
    </row>
    <row r="3202" spans="1:13" x14ac:dyDescent="0.3">
      <c r="A3202">
        <v>3200</v>
      </c>
      <c r="B3202">
        <v>3201</v>
      </c>
      <c r="C3202" t="s">
        <v>3262</v>
      </c>
      <c r="D3202">
        <v>2018</v>
      </c>
      <c r="E3202" t="s">
        <v>11</v>
      </c>
      <c r="F3202" t="s">
        <v>3226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f t="shared" si="98"/>
        <v>4</v>
      </c>
      <c r="M3202">
        <f t="shared" si="99"/>
        <v>1</v>
      </c>
    </row>
    <row r="3203" spans="1:13" x14ac:dyDescent="0.3">
      <c r="A3203">
        <v>3201</v>
      </c>
      <c r="B3203">
        <v>3202</v>
      </c>
      <c r="C3203" t="s">
        <v>3263</v>
      </c>
      <c r="D3203">
        <v>2012</v>
      </c>
      <c r="F3203" t="s">
        <v>3226</v>
      </c>
      <c r="G3203">
        <v>1</v>
      </c>
      <c r="H3203">
        <v>0</v>
      </c>
      <c r="I3203">
        <v>0</v>
      </c>
      <c r="J3203">
        <v>0</v>
      </c>
      <c r="K3203">
        <v>0</v>
      </c>
      <c r="L3203">
        <f t="shared" ref="L3203:L3266" si="100">IFERROR(VALUE(LEFT(F3203,FIND("/",F3203)-1))/10,"")</f>
        <v>4</v>
      </c>
      <c r="M3203">
        <f t="shared" ref="M3203:M3266" si="101">SUM(G3203:J3203)</f>
        <v>1</v>
      </c>
    </row>
    <row r="3204" spans="1:13" x14ac:dyDescent="0.3">
      <c r="A3204">
        <v>3202</v>
      </c>
      <c r="B3204">
        <v>3203</v>
      </c>
      <c r="C3204" t="s">
        <v>3264</v>
      </c>
      <c r="D3204">
        <v>2019</v>
      </c>
      <c r="F3204" t="s">
        <v>3226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f t="shared" si="100"/>
        <v>4</v>
      </c>
      <c r="M3204">
        <f t="shared" si="101"/>
        <v>1</v>
      </c>
    </row>
    <row r="3205" spans="1:13" x14ac:dyDescent="0.3">
      <c r="A3205">
        <v>3203</v>
      </c>
      <c r="B3205">
        <v>3204</v>
      </c>
      <c r="C3205" t="s">
        <v>3265</v>
      </c>
      <c r="D3205">
        <v>2019</v>
      </c>
      <c r="F3205" t="s">
        <v>3226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f t="shared" si="100"/>
        <v>4</v>
      </c>
      <c r="M3205">
        <f t="shared" si="101"/>
        <v>1</v>
      </c>
    </row>
    <row r="3206" spans="1:13" x14ac:dyDescent="0.3">
      <c r="A3206">
        <v>3204</v>
      </c>
      <c r="B3206">
        <v>3205</v>
      </c>
      <c r="C3206" t="s">
        <v>3266</v>
      </c>
      <c r="D3206">
        <v>2017</v>
      </c>
      <c r="F3206" t="s">
        <v>3226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f t="shared" si="100"/>
        <v>4</v>
      </c>
      <c r="M3206">
        <f t="shared" si="101"/>
        <v>1</v>
      </c>
    </row>
    <row r="3207" spans="1:13" x14ac:dyDescent="0.3">
      <c r="A3207">
        <v>3205</v>
      </c>
      <c r="B3207">
        <v>3206</v>
      </c>
      <c r="C3207" t="s">
        <v>3267</v>
      </c>
      <c r="D3207">
        <v>2015</v>
      </c>
      <c r="F3207" t="s">
        <v>3226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f t="shared" si="100"/>
        <v>4</v>
      </c>
      <c r="M3207">
        <f t="shared" si="101"/>
        <v>1</v>
      </c>
    </row>
    <row r="3208" spans="1:13" x14ac:dyDescent="0.3">
      <c r="A3208">
        <v>3206</v>
      </c>
      <c r="B3208">
        <v>3207</v>
      </c>
      <c r="C3208" t="s">
        <v>3268</v>
      </c>
      <c r="D3208">
        <v>2017</v>
      </c>
      <c r="F3208" t="s">
        <v>3226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f t="shared" si="100"/>
        <v>4</v>
      </c>
      <c r="M3208">
        <f t="shared" si="101"/>
        <v>1</v>
      </c>
    </row>
    <row r="3209" spans="1:13" x14ac:dyDescent="0.3">
      <c r="A3209">
        <v>3207</v>
      </c>
      <c r="B3209">
        <v>3208</v>
      </c>
      <c r="C3209" t="s">
        <v>3269</v>
      </c>
      <c r="D3209">
        <v>2019</v>
      </c>
      <c r="F3209" t="s">
        <v>3226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f t="shared" si="100"/>
        <v>4</v>
      </c>
      <c r="M3209">
        <f t="shared" si="101"/>
        <v>1</v>
      </c>
    </row>
    <row r="3210" spans="1:13" x14ac:dyDescent="0.3">
      <c r="A3210">
        <v>3208</v>
      </c>
      <c r="B3210">
        <v>3209</v>
      </c>
      <c r="C3210" t="s">
        <v>3270</v>
      </c>
      <c r="D3210">
        <v>2020</v>
      </c>
      <c r="E3210" t="s">
        <v>36</v>
      </c>
      <c r="F3210" t="s">
        <v>3226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f t="shared" si="100"/>
        <v>4</v>
      </c>
      <c r="M3210">
        <f t="shared" si="101"/>
        <v>1</v>
      </c>
    </row>
    <row r="3211" spans="1:13" x14ac:dyDescent="0.3">
      <c r="A3211">
        <v>3209</v>
      </c>
      <c r="B3211">
        <v>3210</v>
      </c>
      <c r="C3211" t="s">
        <v>3271</v>
      </c>
      <c r="D3211">
        <v>2013</v>
      </c>
      <c r="F3211" t="s">
        <v>3226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f t="shared" si="100"/>
        <v>4</v>
      </c>
      <c r="M3211">
        <f t="shared" si="101"/>
        <v>1</v>
      </c>
    </row>
    <row r="3212" spans="1:13" x14ac:dyDescent="0.3">
      <c r="A3212">
        <v>3210</v>
      </c>
      <c r="B3212">
        <v>3211</v>
      </c>
      <c r="C3212" t="s">
        <v>3272</v>
      </c>
      <c r="D3212">
        <v>2021</v>
      </c>
      <c r="F3212" t="s">
        <v>3226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f t="shared" si="100"/>
        <v>4</v>
      </c>
      <c r="M3212">
        <f t="shared" si="101"/>
        <v>1</v>
      </c>
    </row>
    <row r="3213" spans="1:13" x14ac:dyDescent="0.3">
      <c r="A3213">
        <v>3211</v>
      </c>
      <c r="B3213">
        <v>3212</v>
      </c>
      <c r="C3213" t="s">
        <v>3273</v>
      </c>
      <c r="D3213">
        <v>1989</v>
      </c>
      <c r="F3213" t="s">
        <v>3226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f t="shared" si="100"/>
        <v>4</v>
      </c>
      <c r="M3213">
        <f t="shared" si="101"/>
        <v>1</v>
      </c>
    </row>
    <row r="3214" spans="1:13" x14ac:dyDescent="0.3">
      <c r="A3214">
        <v>3212</v>
      </c>
      <c r="B3214">
        <v>3213</v>
      </c>
      <c r="C3214" t="s">
        <v>3274</v>
      </c>
      <c r="D3214">
        <v>2012</v>
      </c>
      <c r="E3214" t="s">
        <v>36</v>
      </c>
      <c r="F3214" t="s">
        <v>3226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f t="shared" si="100"/>
        <v>4</v>
      </c>
      <c r="M3214">
        <f t="shared" si="101"/>
        <v>1</v>
      </c>
    </row>
    <row r="3215" spans="1:13" x14ac:dyDescent="0.3">
      <c r="A3215">
        <v>3213</v>
      </c>
      <c r="B3215">
        <v>3214</v>
      </c>
      <c r="C3215" t="s">
        <v>3275</v>
      </c>
      <c r="D3215">
        <v>2018</v>
      </c>
      <c r="F3215" t="s">
        <v>3226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f t="shared" si="100"/>
        <v>4</v>
      </c>
      <c r="M3215">
        <f t="shared" si="101"/>
        <v>1</v>
      </c>
    </row>
    <row r="3216" spans="1:13" x14ac:dyDescent="0.3">
      <c r="A3216">
        <v>3214</v>
      </c>
      <c r="B3216">
        <v>3215</v>
      </c>
      <c r="C3216" t="s">
        <v>3276</v>
      </c>
      <c r="D3216">
        <v>2016</v>
      </c>
      <c r="F3216" t="s">
        <v>3226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f t="shared" si="100"/>
        <v>4</v>
      </c>
      <c r="M3216">
        <f t="shared" si="101"/>
        <v>1</v>
      </c>
    </row>
    <row r="3217" spans="1:13" x14ac:dyDescent="0.3">
      <c r="A3217">
        <v>3215</v>
      </c>
      <c r="B3217">
        <v>3216</v>
      </c>
      <c r="C3217" t="s">
        <v>3277</v>
      </c>
      <c r="D3217">
        <v>1991</v>
      </c>
      <c r="E3217" t="s">
        <v>14</v>
      </c>
      <c r="F3217" t="s">
        <v>3226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f t="shared" si="100"/>
        <v>4</v>
      </c>
      <c r="M3217">
        <f t="shared" si="101"/>
        <v>1</v>
      </c>
    </row>
    <row r="3218" spans="1:13" x14ac:dyDescent="0.3">
      <c r="A3218">
        <v>3216</v>
      </c>
      <c r="B3218">
        <v>3217</v>
      </c>
      <c r="C3218" t="s">
        <v>3278</v>
      </c>
      <c r="D3218">
        <v>2009</v>
      </c>
      <c r="E3218" t="s">
        <v>22</v>
      </c>
      <c r="F3218" t="s">
        <v>3226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f t="shared" si="100"/>
        <v>4</v>
      </c>
      <c r="M3218">
        <f t="shared" si="101"/>
        <v>1</v>
      </c>
    </row>
    <row r="3219" spans="1:13" x14ac:dyDescent="0.3">
      <c r="A3219">
        <v>3217</v>
      </c>
      <c r="B3219">
        <v>3218</v>
      </c>
      <c r="C3219" t="s">
        <v>3279</v>
      </c>
      <c r="D3219">
        <v>2015</v>
      </c>
      <c r="E3219" t="s">
        <v>11</v>
      </c>
      <c r="F3219" t="s">
        <v>3226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f t="shared" si="100"/>
        <v>4</v>
      </c>
      <c r="M3219">
        <f t="shared" si="101"/>
        <v>1</v>
      </c>
    </row>
    <row r="3220" spans="1:13" x14ac:dyDescent="0.3">
      <c r="A3220">
        <v>3218</v>
      </c>
      <c r="B3220">
        <v>3219</v>
      </c>
      <c r="C3220" t="s">
        <v>3280</v>
      </c>
      <c r="D3220">
        <v>2019</v>
      </c>
      <c r="F3220" t="s">
        <v>3226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f t="shared" si="100"/>
        <v>4</v>
      </c>
      <c r="M3220">
        <f t="shared" si="101"/>
        <v>1</v>
      </c>
    </row>
    <row r="3221" spans="1:13" x14ac:dyDescent="0.3">
      <c r="A3221">
        <v>3219</v>
      </c>
      <c r="B3221">
        <v>3220</v>
      </c>
      <c r="C3221" t="s">
        <v>3281</v>
      </c>
      <c r="D3221">
        <v>2009</v>
      </c>
      <c r="F3221" t="s">
        <v>3226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f t="shared" si="100"/>
        <v>4</v>
      </c>
      <c r="M3221">
        <f t="shared" si="101"/>
        <v>1</v>
      </c>
    </row>
    <row r="3222" spans="1:13" x14ac:dyDescent="0.3">
      <c r="A3222">
        <v>3220</v>
      </c>
      <c r="B3222">
        <v>3221</v>
      </c>
      <c r="C3222" t="s">
        <v>3282</v>
      </c>
      <c r="D3222">
        <v>2019</v>
      </c>
      <c r="F3222" t="s">
        <v>3226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f t="shared" si="100"/>
        <v>4</v>
      </c>
      <c r="M3222">
        <f t="shared" si="101"/>
        <v>1</v>
      </c>
    </row>
    <row r="3223" spans="1:13" x14ac:dyDescent="0.3">
      <c r="A3223">
        <v>3221</v>
      </c>
      <c r="B3223">
        <v>3222</v>
      </c>
      <c r="C3223" t="s">
        <v>3283</v>
      </c>
      <c r="D3223">
        <v>2018</v>
      </c>
      <c r="F3223" t="s">
        <v>3226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f t="shared" si="100"/>
        <v>4</v>
      </c>
      <c r="M3223">
        <f t="shared" si="101"/>
        <v>1</v>
      </c>
    </row>
    <row r="3224" spans="1:13" x14ac:dyDescent="0.3">
      <c r="A3224">
        <v>3222</v>
      </c>
      <c r="B3224">
        <v>3223</v>
      </c>
      <c r="C3224" t="s">
        <v>3284</v>
      </c>
      <c r="D3224">
        <v>2009</v>
      </c>
      <c r="F3224" t="s">
        <v>3226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f t="shared" si="100"/>
        <v>4</v>
      </c>
      <c r="M3224">
        <f t="shared" si="101"/>
        <v>1</v>
      </c>
    </row>
    <row r="3225" spans="1:13" x14ac:dyDescent="0.3">
      <c r="A3225">
        <v>3223</v>
      </c>
      <c r="B3225">
        <v>3224</v>
      </c>
      <c r="C3225" t="s">
        <v>3285</v>
      </c>
      <c r="D3225">
        <v>2016</v>
      </c>
      <c r="E3225" t="s">
        <v>11</v>
      </c>
      <c r="F3225" t="s">
        <v>3226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f t="shared" si="100"/>
        <v>4</v>
      </c>
      <c r="M3225">
        <f t="shared" si="101"/>
        <v>1</v>
      </c>
    </row>
    <row r="3226" spans="1:13" x14ac:dyDescent="0.3">
      <c r="A3226">
        <v>3224</v>
      </c>
      <c r="B3226">
        <v>3225</v>
      </c>
      <c r="C3226" t="s">
        <v>3286</v>
      </c>
      <c r="D3226">
        <v>2015</v>
      </c>
      <c r="F3226" t="s">
        <v>3226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f t="shared" si="100"/>
        <v>4</v>
      </c>
      <c r="M3226">
        <f t="shared" si="101"/>
        <v>1</v>
      </c>
    </row>
    <row r="3227" spans="1:13" x14ac:dyDescent="0.3">
      <c r="A3227">
        <v>3225</v>
      </c>
      <c r="B3227">
        <v>3226</v>
      </c>
      <c r="C3227" t="s">
        <v>3287</v>
      </c>
      <c r="D3227">
        <v>2016</v>
      </c>
      <c r="E3227" t="s">
        <v>14</v>
      </c>
      <c r="F3227" t="s">
        <v>3226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f t="shared" si="100"/>
        <v>4</v>
      </c>
      <c r="M3227">
        <f t="shared" si="101"/>
        <v>1</v>
      </c>
    </row>
    <row r="3228" spans="1:13" x14ac:dyDescent="0.3">
      <c r="A3228">
        <v>3226</v>
      </c>
      <c r="B3228">
        <v>3227</v>
      </c>
      <c r="C3228" t="s">
        <v>3288</v>
      </c>
      <c r="D3228">
        <v>1991</v>
      </c>
      <c r="F3228" t="s">
        <v>3226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f t="shared" si="100"/>
        <v>4</v>
      </c>
      <c r="M3228">
        <f t="shared" si="101"/>
        <v>1</v>
      </c>
    </row>
    <row r="3229" spans="1:13" x14ac:dyDescent="0.3">
      <c r="A3229">
        <v>3227</v>
      </c>
      <c r="B3229">
        <v>3228</v>
      </c>
      <c r="C3229" t="s">
        <v>3289</v>
      </c>
      <c r="D3229">
        <v>2018</v>
      </c>
      <c r="F3229" t="s">
        <v>3226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f t="shared" si="100"/>
        <v>4</v>
      </c>
      <c r="M3229">
        <f t="shared" si="101"/>
        <v>1</v>
      </c>
    </row>
    <row r="3230" spans="1:13" x14ac:dyDescent="0.3">
      <c r="A3230">
        <v>3228</v>
      </c>
      <c r="B3230">
        <v>3229</v>
      </c>
      <c r="C3230" t="s">
        <v>3290</v>
      </c>
      <c r="D3230">
        <v>2016</v>
      </c>
      <c r="F3230" t="s">
        <v>3226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f t="shared" si="100"/>
        <v>4</v>
      </c>
      <c r="M3230">
        <f t="shared" si="101"/>
        <v>1</v>
      </c>
    </row>
    <row r="3231" spans="1:13" x14ac:dyDescent="0.3">
      <c r="A3231">
        <v>3229</v>
      </c>
      <c r="B3231">
        <v>3230</v>
      </c>
      <c r="C3231" t="s">
        <v>3291</v>
      </c>
      <c r="D3231">
        <v>2020</v>
      </c>
      <c r="F3231" t="s">
        <v>3226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f t="shared" si="100"/>
        <v>4</v>
      </c>
      <c r="M3231">
        <f t="shared" si="101"/>
        <v>1</v>
      </c>
    </row>
    <row r="3232" spans="1:13" x14ac:dyDescent="0.3">
      <c r="A3232">
        <v>3230</v>
      </c>
      <c r="B3232">
        <v>3231</v>
      </c>
      <c r="C3232" t="s">
        <v>3292</v>
      </c>
      <c r="D3232">
        <v>2020</v>
      </c>
      <c r="F3232" t="s">
        <v>3226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f t="shared" si="100"/>
        <v>4</v>
      </c>
      <c r="M3232">
        <f t="shared" si="101"/>
        <v>1</v>
      </c>
    </row>
    <row r="3233" spans="1:13" x14ac:dyDescent="0.3">
      <c r="A3233">
        <v>3231</v>
      </c>
      <c r="B3233">
        <v>3232</v>
      </c>
      <c r="C3233" t="s">
        <v>3293</v>
      </c>
      <c r="D3233">
        <v>2020</v>
      </c>
      <c r="F3233" t="s">
        <v>3226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f t="shared" si="100"/>
        <v>4</v>
      </c>
      <c r="M3233">
        <f t="shared" si="101"/>
        <v>1</v>
      </c>
    </row>
    <row r="3234" spans="1:13" x14ac:dyDescent="0.3">
      <c r="A3234">
        <v>3232</v>
      </c>
      <c r="B3234">
        <v>3233</v>
      </c>
      <c r="C3234" t="s">
        <v>3294</v>
      </c>
      <c r="D3234">
        <v>2019</v>
      </c>
      <c r="F3234" t="s">
        <v>3226</v>
      </c>
      <c r="G3234">
        <v>1</v>
      </c>
      <c r="H3234">
        <v>0</v>
      </c>
      <c r="I3234">
        <v>1</v>
      </c>
      <c r="J3234">
        <v>0</v>
      </c>
      <c r="K3234">
        <v>0</v>
      </c>
      <c r="L3234">
        <f t="shared" si="100"/>
        <v>4</v>
      </c>
      <c r="M3234">
        <f t="shared" si="101"/>
        <v>2</v>
      </c>
    </row>
    <row r="3235" spans="1:13" x14ac:dyDescent="0.3">
      <c r="A3235">
        <v>3233</v>
      </c>
      <c r="B3235">
        <v>3234</v>
      </c>
      <c r="C3235" t="s">
        <v>3295</v>
      </c>
      <c r="D3235">
        <v>2018</v>
      </c>
      <c r="F3235" t="s">
        <v>3226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f t="shared" si="100"/>
        <v>4</v>
      </c>
      <c r="M3235">
        <f t="shared" si="101"/>
        <v>1</v>
      </c>
    </row>
    <row r="3236" spans="1:13" x14ac:dyDescent="0.3">
      <c r="A3236">
        <v>3234</v>
      </c>
      <c r="B3236">
        <v>3235</v>
      </c>
      <c r="C3236" t="s">
        <v>3296</v>
      </c>
      <c r="D3236">
        <v>2017</v>
      </c>
      <c r="F3236" t="s">
        <v>3226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f t="shared" si="100"/>
        <v>4</v>
      </c>
      <c r="M3236">
        <f t="shared" si="101"/>
        <v>1</v>
      </c>
    </row>
    <row r="3237" spans="1:13" x14ac:dyDescent="0.3">
      <c r="A3237">
        <v>3235</v>
      </c>
      <c r="B3237">
        <v>3236</v>
      </c>
      <c r="C3237" t="s">
        <v>3297</v>
      </c>
      <c r="D3237">
        <v>2019</v>
      </c>
      <c r="F3237" t="s">
        <v>3226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f t="shared" si="100"/>
        <v>4</v>
      </c>
      <c r="M3237">
        <f t="shared" si="101"/>
        <v>1</v>
      </c>
    </row>
    <row r="3238" spans="1:13" x14ac:dyDescent="0.3">
      <c r="A3238">
        <v>3236</v>
      </c>
      <c r="B3238">
        <v>3237</v>
      </c>
      <c r="C3238" t="s">
        <v>3298</v>
      </c>
      <c r="D3238">
        <v>2019</v>
      </c>
      <c r="F3238" t="s">
        <v>3226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f t="shared" si="100"/>
        <v>4</v>
      </c>
      <c r="M3238">
        <f t="shared" si="101"/>
        <v>1</v>
      </c>
    </row>
    <row r="3239" spans="1:13" x14ac:dyDescent="0.3">
      <c r="A3239">
        <v>3237</v>
      </c>
      <c r="B3239">
        <v>3238</v>
      </c>
      <c r="C3239" t="s">
        <v>3299</v>
      </c>
      <c r="D3239">
        <v>2020</v>
      </c>
      <c r="F3239" t="s">
        <v>3226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f t="shared" si="100"/>
        <v>4</v>
      </c>
      <c r="M3239">
        <f t="shared" si="101"/>
        <v>1</v>
      </c>
    </row>
    <row r="3240" spans="1:13" x14ac:dyDescent="0.3">
      <c r="A3240">
        <v>3238</v>
      </c>
      <c r="B3240">
        <v>3239</v>
      </c>
      <c r="C3240" t="s">
        <v>3300</v>
      </c>
      <c r="D3240">
        <v>2021</v>
      </c>
      <c r="F3240" t="s">
        <v>3226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f t="shared" si="100"/>
        <v>4</v>
      </c>
      <c r="M3240">
        <f t="shared" si="101"/>
        <v>1</v>
      </c>
    </row>
    <row r="3241" spans="1:13" x14ac:dyDescent="0.3">
      <c r="A3241">
        <v>3239</v>
      </c>
      <c r="B3241">
        <v>3240</v>
      </c>
      <c r="C3241" t="s">
        <v>3301</v>
      </c>
      <c r="D3241">
        <v>2021</v>
      </c>
      <c r="F3241" t="s">
        <v>3226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f t="shared" si="100"/>
        <v>4</v>
      </c>
      <c r="M3241">
        <f t="shared" si="101"/>
        <v>1</v>
      </c>
    </row>
    <row r="3242" spans="1:13" x14ac:dyDescent="0.3">
      <c r="A3242">
        <v>3240</v>
      </c>
      <c r="B3242">
        <v>3241</v>
      </c>
      <c r="C3242" t="s">
        <v>3302</v>
      </c>
      <c r="D3242">
        <v>2017</v>
      </c>
      <c r="E3242" t="s">
        <v>11</v>
      </c>
      <c r="F3242" t="s">
        <v>3226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f t="shared" si="100"/>
        <v>4</v>
      </c>
      <c r="M3242">
        <f t="shared" si="101"/>
        <v>1</v>
      </c>
    </row>
    <row r="3243" spans="1:13" x14ac:dyDescent="0.3">
      <c r="A3243">
        <v>3241</v>
      </c>
      <c r="B3243">
        <v>3242</v>
      </c>
      <c r="C3243" t="s">
        <v>3303</v>
      </c>
      <c r="D3243">
        <v>2020</v>
      </c>
      <c r="F3243" t="s">
        <v>3226</v>
      </c>
      <c r="G3243">
        <v>1</v>
      </c>
      <c r="H3243">
        <v>0</v>
      </c>
      <c r="I3243">
        <v>0</v>
      </c>
      <c r="J3243">
        <v>0</v>
      </c>
      <c r="K3243">
        <v>0</v>
      </c>
      <c r="L3243">
        <f t="shared" si="100"/>
        <v>4</v>
      </c>
      <c r="M3243">
        <f t="shared" si="101"/>
        <v>1</v>
      </c>
    </row>
    <row r="3244" spans="1:13" x14ac:dyDescent="0.3">
      <c r="A3244">
        <v>3242</v>
      </c>
      <c r="B3244">
        <v>3243</v>
      </c>
      <c r="C3244" t="s">
        <v>3304</v>
      </c>
      <c r="D3244">
        <v>2019</v>
      </c>
      <c r="F3244" t="s">
        <v>3226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f t="shared" si="100"/>
        <v>4</v>
      </c>
      <c r="M3244">
        <f t="shared" si="101"/>
        <v>1</v>
      </c>
    </row>
    <row r="3245" spans="1:13" x14ac:dyDescent="0.3">
      <c r="A3245">
        <v>3243</v>
      </c>
      <c r="B3245">
        <v>3244</v>
      </c>
      <c r="C3245" t="s">
        <v>3305</v>
      </c>
      <c r="D3245">
        <v>2020</v>
      </c>
      <c r="F3245" t="s">
        <v>3226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f t="shared" si="100"/>
        <v>4</v>
      </c>
      <c r="M3245">
        <f t="shared" si="101"/>
        <v>1</v>
      </c>
    </row>
    <row r="3246" spans="1:13" x14ac:dyDescent="0.3">
      <c r="A3246">
        <v>3244</v>
      </c>
      <c r="B3246">
        <v>3245</v>
      </c>
      <c r="C3246" t="s">
        <v>3306</v>
      </c>
      <c r="D3246">
        <v>2020</v>
      </c>
      <c r="F3246" t="s">
        <v>3226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f t="shared" si="100"/>
        <v>4</v>
      </c>
      <c r="M3246">
        <f t="shared" si="101"/>
        <v>1</v>
      </c>
    </row>
    <row r="3247" spans="1:13" x14ac:dyDescent="0.3">
      <c r="A3247">
        <v>3245</v>
      </c>
      <c r="B3247">
        <v>3246</v>
      </c>
      <c r="C3247" t="s">
        <v>3307</v>
      </c>
      <c r="D3247">
        <v>2013</v>
      </c>
      <c r="F3247" t="s">
        <v>3226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f t="shared" si="100"/>
        <v>4</v>
      </c>
      <c r="M3247">
        <f t="shared" si="101"/>
        <v>1</v>
      </c>
    </row>
    <row r="3248" spans="1:13" x14ac:dyDescent="0.3">
      <c r="A3248">
        <v>3246</v>
      </c>
      <c r="B3248">
        <v>3247</v>
      </c>
      <c r="C3248" t="s">
        <v>3308</v>
      </c>
      <c r="D3248">
        <v>2019</v>
      </c>
      <c r="F3248" t="s">
        <v>3226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f t="shared" si="100"/>
        <v>4</v>
      </c>
      <c r="M3248">
        <f t="shared" si="101"/>
        <v>1</v>
      </c>
    </row>
    <row r="3249" spans="1:13" x14ac:dyDescent="0.3">
      <c r="A3249">
        <v>3247</v>
      </c>
      <c r="B3249">
        <v>3248</v>
      </c>
      <c r="C3249" t="s">
        <v>3309</v>
      </c>
      <c r="D3249">
        <v>2020</v>
      </c>
      <c r="F3249" t="s">
        <v>3226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f t="shared" si="100"/>
        <v>4</v>
      </c>
      <c r="M3249">
        <f t="shared" si="101"/>
        <v>1</v>
      </c>
    </row>
    <row r="3250" spans="1:13" x14ac:dyDescent="0.3">
      <c r="A3250">
        <v>3248</v>
      </c>
      <c r="B3250">
        <v>3249</v>
      </c>
      <c r="C3250" t="s">
        <v>3310</v>
      </c>
      <c r="D3250">
        <v>2018</v>
      </c>
      <c r="E3250" t="s">
        <v>11</v>
      </c>
      <c r="F3250" t="s">
        <v>3226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f t="shared" si="100"/>
        <v>4</v>
      </c>
      <c r="M3250">
        <f t="shared" si="101"/>
        <v>1</v>
      </c>
    </row>
    <row r="3251" spans="1:13" x14ac:dyDescent="0.3">
      <c r="A3251">
        <v>3249</v>
      </c>
      <c r="B3251">
        <v>3250</v>
      </c>
      <c r="C3251" t="s">
        <v>3311</v>
      </c>
      <c r="D3251">
        <v>2016</v>
      </c>
      <c r="F3251" t="s">
        <v>3226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f t="shared" si="100"/>
        <v>4</v>
      </c>
      <c r="M3251">
        <f t="shared" si="101"/>
        <v>1</v>
      </c>
    </row>
    <row r="3252" spans="1:13" x14ac:dyDescent="0.3">
      <c r="A3252">
        <v>3250</v>
      </c>
      <c r="B3252">
        <v>3251</v>
      </c>
      <c r="C3252" t="s">
        <v>3312</v>
      </c>
      <c r="D3252">
        <v>2009</v>
      </c>
      <c r="E3252" t="s">
        <v>14</v>
      </c>
      <c r="F3252" t="s">
        <v>3313</v>
      </c>
      <c r="G3252">
        <v>1</v>
      </c>
      <c r="H3252">
        <v>0</v>
      </c>
      <c r="I3252">
        <v>0</v>
      </c>
      <c r="J3252">
        <v>0</v>
      </c>
      <c r="K3252">
        <v>0</v>
      </c>
      <c r="L3252">
        <f t="shared" si="100"/>
        <v>3.9</v>
      </c>
      <c r="M3252">
        <f t="shared" si="101"/>
        <v>1</v>
      </c>
    </row>
    <row r="3253" spans="1:13" x14ac:dyDescent="0.3">
      <c r="A3253">
        <v>3251</v>
      </c>
      <c r="B3253">
        <v>3252</v>
      </c>
      <c r="C3253" t="s">
        <v>3314</v>
      </c>
      <c r="D3253">
        <v>2009</v>
      </c>
      <c r="E3253" t="s">
        <v>36</v>
      </c>
      <c r="F3253" t="s">
        <v>3313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f t="shared" si="100"/>
        <v>3.9</v>
      </c>
      <c r="M3253">
        <f t="shared" si="101"/>
        <v>1</v>
      </c>
    </row>
    <row r="3254" spans="1:13" x14ac:dyDescent="0.3">
      <c r="A3254">
        <v>3252</v>
      </c>
      <c r="B3254">
        <v>3253</v>
      </c>
      <c r="C3254" t="s">
        <v>3315</v>
      </c>
      <c r="D3254">
        <v>2020</v>
      </c>
      <c r="E3254" t="s">
        <v>36</v>
      </c>
      <c r="F3254" t="s">
        <v>3313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f t="shared" si="100"/>
        <v>3.9</v>
      </c>
      <c r="M3254">
        <f t="shared" si="101"/>
        <v>1</v>
      </c>
    </row>
    <row r="3255" spans="1:13" x14ac:dyDescent="0.3">
      <c r="A3255">
        <v>3253</v>
      </c>
      <c r="B3255">
        <v>3254</v>
      </c>
      <c r="C3255" t="s">
        <v>3316</v>
      </c>
      <c r="D3255">
        <v>2019</v>
      </c>
      <c r="F3255" t="s">
        <v>3313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f t="shared" si="100"/>
        <v>3.9</v>
      </c>
      <c r="M3255">
        <f t="shared" si="101"/>
        <v>1</v>
      </c>
    </row>
    <row r="3256" spans="1:13" x14ac:dyDescent="0.3">
      <c r="A3256">
        <v>3254</v>
      </c>
      <c r="B3256">
        <v>3255</v>
      </c>
      <c r="C3256" t="s">
        <v>3317</v>
      </c>
      <c r="D3256">
        <v>2011</v>
      </c>
      <c r="F3256" t="s">
        <v>3313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f t="shared" si="100"/>
        <v>3.9</v>
      </c>
      <c r="M3256">
        <f t="shared" si="101"/>
        <v>1</v>
      </c>
    </row>
    <row r="3257" spans="1:13" x14ac:dyDescent="0.3">
      <c r="A3257">
        <v>3255</v>
      </c>
      <c r="B3257">
        <v>3256</v>
      </c>
      <c r="C3257" t="s">
        <v>3318</v>
      </c>
      <c r="D3257">
        <v>2018</v>
      </c>
      <c r="E3257" t="s">
        <v>14</v>
      </c>
      <c r="F3257" t="s">
        <v>3313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f t="shared" si="100"/>
        <v>3.9</v>
      </c>
      <c r="M3257">
        <f t="shared" si="101"/>
        <v>1</v>
      </c>
    </row>
    <row r="3258" spans="1:13" x14ac:dyDescent="0.3">
      <c r="A3258">
        <v>3256</v>
      </c>
      <c r="B3258">
        <v>3257</v>
      </c>
      <c r="C3258" t="s">
        <v>3319</v>
      </c>
      <c r="D3258">
        <v>2018</v>
      </c>
      <c r="F3258" t="s">
        <v>3313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f t="shared" si="100"/>
        <v>3.9</v>
      </c>
      <c r="M3258">
        <f t="shared" si="101"/>
        <v>1</v>
      </c>
    </row>
    <row r="3259" spans="1:13" x14ac:dyDescent="0.3">
      <c r="A3259">
        <v>3257</v>
      </c>
      <c r="B3259">
        <v>3258</v>
      </c>
      <c r="C3259" t="s">
        <v>3320</v>
      </c>
      <c r="D3259">
        <v>2020</v>
      </c>
      <c r="E3259" t="s">
        <v>36</v>
      </c>
      <c r="F3259" t="s">
        <v>3313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f t="shared" si="100"/>
        <v>3.9</v>
      </c>
      <c r="M3259">
        <f t="shared" si="101"/>
        <v>1</v>
      </c>
    </row>
    <row r="3260" spans="1:13" x14ac:dyDescent="0.3">
      <c r="A3260">
        <v>3258</v>
      </c>
      <c r="B3260">
        <v>3259</v>
      </c>
      <c r="C3260" t="s">
        <v>3321</v>
      </c>
      <c r="D3260">
        <v>2020</v>
      </c>
      <c r="E3260" t="s">
        <v>14</v>
      </c>
      <c r="F3260" t="s">
        <v>3313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f t="shared" si="100"/>
        <v>3.9</v>
      </c>
      <c r="M3260">
        <f t="shared" si="101"/>
        <v>1</v>
      </c>
    </row>
    <row r="3261" spans="1:13" x14ac:dyDescent="0.3">
      <c r="A3261">
        <v>3259</v>
      </c>
      <c r="B3261">
        <v>3260</v>
      </c>
      <c r="C3261" t="s">
        <v>3322</v>
      </c>
      <c r="D3261">
        <v>2017</v>
      </c>
      <c r="F3261" t="s">
        <v>3313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f t="shared" si="100"/>
        <v>3.9</v>
      </c>
      <c r="M3261">
        <f t="shared" si="101"/>
        <v>1</v>
      </c>
    </row>
    <row r="3262" spans="1:13" x14ac:dyDescent="0.3">
      <c r="A3262">
        <v>3260</v>
      </c>
      <c r="B3262">
        <v>3261</v>
      </c>
      <c r="C3262" t="s">
        <v>3323</v>
      </c>
      <c r="D3262">
        <v>2015</v>
      </c>
      <c r="F3262" t="s">
        <v>3313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f t="shared" si="100"/>
        <v>3.9</v>
      </c>
      <c r="M3262">
        <f t="shared" si="101"/>
        <v>1</v>
      </c>
    </row>
    <row r="3263" spans="1:13" x14ac:dyDescent="0.3">
      <c r="A3263">
        <v>3261</v>
      </c>
      <c r="B3263">
        <v>3262</v>
      </c>
      <c r="C3263" t="s">
        <v>3324</v>
      </c>
      <c r="D3263">
        <v>2017</v>
      </c>
      <c r="E3263" t="s">
        <v>14</v>
      </c>
      <c r="F3263" t="s">
        <v>3313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f t="shared" si="100"/>
        <v>3.9</v>
      </c>
      <c r="M3263">
        <f t="shared" si="101"/>
        <v>1</v>
      </c>
    </row>
    <row r="3264" spans="1:13" x14ac:dyDescent="0.3">
      <c r="A3264">
        <v>3262</v>
      </c>
      <c r="B3264">
        <v>3263</v>
      </c>
      <c r="C3264" t="s">
        <v>3325</v>
      </c>
      <c r="D3264">
        <v>2008</v>
      </c>
      <c r="F3264" t="s">
        <v>3313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f t="shared" si="100"/>
        <v>3.9</v>
      </c>
      <c r="M3264">
        <f t="shared" si="101"/>
        <v>1</v>
      </c>
    </row>
    <row r="3265" spans="1:13" x14ac:dyDescent="0.3">
      <c r="A3265">
        <v>3263</v>
      </c>
      <c r="B3265">
        <v>3264</v>
      </c>
      <c r="C3265" t="s">
        <v>3326</v>
      </c>
      <c r="D3265">
        <v>2007</v>
      </c>
      <c r="F3265" t="s">
        <v>3313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f t="shared" si="100"/>
        <v>3.9</v>
      </c>
      <c r="M3265">
        <f t="shared" si="101"/>
        <v>1</v>
      </c>
    </row>
    <row r="3266" spans="1:13" x14ac:dyDescent="0.3">
      <c r="A3266">
        <v>3264</v>
      </c>
      <c r="B3266">
        <v>3265</v>
      </c>
      <c r="C3266" t="s">
        <v>3327</v>
      </c>
      <c r="D3266">
        <v>1984</v>
      </c>
      <c r="F3266" t="s">
        <v>3313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f t="shared" si="100"/>
        <v>3.9</v>
      </c>
      <c r="M3266">
        <f t="shared" si="101"/>
        <v>1</v>
      </c>
    </row>
    <row r="3267" spans="1:13" x14ac:dyDescent="0.3">
      <c r="A3267">
        <v>3265</v>
      </c>
      <c r="B3267">
        <v>3266</v>
      </c>
      <c r="C3267" t="s">
        <v>3328</v>
      </c>
      <c r="D3267">
        <v>2017</v>
      </c>
      <c r="F3267" t="s">
        <v>3313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f t="shared" ref="L3267:L3330" si="102">IFERROR(VALUE(LEFT(F3267,FIND("/",F3267)-1))/10,"")</f>
        <v>3.9</v>
      </c>
      <c r="M3267">
        <f t="shared" ref="M3267:M3330" si="103">SUM(G3267:J3267)</f>
        <v>1</v>
      </c>
    </row>
    <row r="3268" spans="1:13" x14ac:dyDescent="0.3">
      <c r="A3268">
        <v>3266</v>
      </c>
      <c r="B3268">
        <v>3267</v>
      </c>
      <c r="C3268" t="s">
        <v>3329</v>
      </c>
      <c r="D3268">
        <v>2010</v>
      </c>
      <c r="F3268" t="s">
        <v>3313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f t="shared" si="102"/>
        <v>3.9</v>
      </c>
      <c r="M3268">
        <f t="shared" si="103"/>
        <v>1</v>
      </c>
    </row>
    <row r="3269" spans="1:13" x14ac:dyDescent="0.3">
      <c r="A3269">
        <v>3267</v>
      </c>
      <c r="B3269">
        <v>3268</v>
      </c>
      <c r="C3269" t="s">
        <v>3330</v>
      </c>
      <c r="D3269">
        <v>2020</v>
      </c>
      <c r="E3269" t="s">
        <v>14</v>
      </c>
      <c r="F3269" t="s">
        <v>3313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f t="shared" si="102"/>
        <v>3.9</v>
      </c>
      <c r="M3269">
        <f t="shared" si="103"/>
        <v>1</v>
      </c>
    </row>
    <row r="3270" spans="1:13" x14ac:dyDescent="0.3">
      <c r="A3270">
        <v>3268</v>
      </c>
      <c r="B3270">
        <v>3269</v>
      </c>
      <c r="C3270" t="s">
        <v>3331</v>
      </c>
      <c r="D3270">
        <v>2019</v>
      </c>
      <c r="F3270" t="s">
        <v>3313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f t="shared" si="102"/>
        <v>3.9</v>
      </c>
      <c r="M3270">
        <f t="shared" si="103"/>
        <v>1</v>
      </c>
    </row>
    <row r="3271" spans="1:13" x14ac:dyDescent="0.3">
      <c r="A3271">
        <v>3269</v>
      </c>
      <c r="B3271">
        <v>3270</v>
      </c>
      <c r="C3271" t="s">
        <v>3332</v>
      </c>
      <c r="D3271">
        <v>2019</v>
      </c>
      <c r="F3271" t="s">
        <v>3313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f t="shared" si="102"/>
        <v>3.9</v>
      </c>
      <c r="M3271">
        <f t="shared" si="103"/>
        <v>1</v>
      </c>
    </row>
    <row r="3272" spans="1:13" x14ac:dyDescent="0.3">
      <c r="A3272">
        <v>3270</v>
      </c>
      <c r="B3272">
        <v>3271</v>
      </c>
      <c r="C3272" t="s">
        <v>3333</v>
      </c>
      <c r="D3272">
        <v>2020</v>
      </c>
      <c r="F3272" t="s">
        <v>3313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f t="shared" si="102"/>
        <v>3.9</v>
      </c>
      <c r="M3272">
        <f t="shared" si="103"/>
        <v>1</v>
      </c>
    </row>
    <row r="3273" spans="1:13" x14ac:dyDescent="0.3">
      <c r="A3273">
        <v>3271</v>
      </c>
      <c r="B3273">
        <v>3272</v>
      </c>
      <c r="C3273" t="s">
        <v>3334</v>
      </c>
      <c r="D3273">
        <v>2016</v>
      </c>
      <c r="F3273" t="s">
        <v>3313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f t="shared" si="102"/>
        <v>3.9</v>
      </c>
      <c r="M3273">
        <f t="shared" si="103"/>
        <v>1</v>
      </c>
    </row>
    <row r="3274" spans="1:13" x14ac:dyDescent="0.3">
      <c r="A3274">
        <v>3272</v>
      </c>
      <c r="B3274">
        <v>3273</v>
      </c>
      <c r="C3274" t="s">
        <v>3335</v>
      </c>
      <c r="D3274">
        <v>2020</v>
      </c>
      <c r="E3274" t="s">
        <v>11</v>
      </c>
      <c r="F3274" t="s">
        <v>3313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f t="shared" si="102"/>
        <v>3.9</v>
      </c>
      <c r="M3274">
        <f t="shared" si="103"/>
        <v>1</v>
      </c>
    </row>
    <row r="3275" spans="1:13" x14ac:dyDescent="0.3">
      <c r="A3275">
        <v>3273</v>
      </c>
      <c r="B3275">
        <v>3274</v>
      </c>
      <c r="C3275" t="s">
        <v>3336</v>
      </c>
      <c r="D3275">
        <v>2018</v>
      </c>
      <c r="F3275" t="s">
        <v>3313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f t="shared" si="102"/>
        <v>3.9</v>
      </c>
      <c r="M3275">
        <f t="shared" si="103"/>
        <v>1</v>
      </c>
    </row>
    <row r="3276" spans="1:13" x14ac:dyDescent="0.3">
      <c r="A3276">
        <v>3274</v>
      </c>
      <c r="B3276">
        <v>3275</v>
      </c>
      <c r="C3276" t="s">
        <v>3337</v>
      </c>
      <c r="D3276">
        <v>2017</v>
      </c>
      <c r="F3276" t="s">
        <v>3313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f t="shared" si="102"/>
        <v>3.9</v>
      </c>
      <c r="M3276">
        <f t="shared" si="103"/>
        <v>1</v>
      </c>
    </row>
    <row r="3277" spans="1:13" x14ac:dyDescent="0.3">
      <c r="A3277">
        <v>3275</v>
      </c>
      <c r="B3277">
        <v>3276</v>
      </c>
      <c r="C3277" t="s">
        <v>3338</v>
      </c>
      <c r="D3277">
        <v>1987</v>
      </c>
      <c r="F3277" t="s">
        <v>3313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f t="shared" si="102"/>
        <v>3.9</v>
      </c>
      <c r="M3277">
        <f t="shared" si="103"/>
        <v>1</v>
      </c>
    </row>
    <row r="3278" spans="1:13" x14ac:dyDescent="0.3">
      <c r="A3278">
        <v>3276</v>
      </c>
      <c r="B3278">
        <v>3277</v>
      </c>
      <c r="C3278" t="s">
        <v>3339</v>
      </c>
      <c r="D3278">
        <v>2018</v>
      </c>
      <c r="F3278" t="s">
        <v>3313</v>
      </c>
      <c r="G3278">
        <v>1</v>
      </c>
      <c r="H3278">
        <v>0</v>
      </c>
      <c r="I3278">
        <v>0</v>
      </c>
      <c r="J3278">
        <v>0</v>
      </c>
      <c r="K3278">
        <v>0</v>
      </c>
      <c r="L3278">
        <f t="shared" si="102"/>
        <v>3.9</v>
      </c>
      <c r="M3278">
        <f t="shared" si="103"/>
        <v>1</v>
      </c>
    </row>
    <row r="3279" spans="1:13" x14ac:dyDescent="0.3">
      <c r="A3279">
        <v>3277</v>
      </c>
      <c r="B3279">
        <v>3278</v>
      </c>
      <c r="C3279" t="s">
        <v>3340</v>
      </c>
      <c r="D3279">
        <v>2016</v>
      </c>
      <c r="F3279" t="s">
        <v>3313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f t="shared" si="102"/>
        <v>3.9</v>
      </c>
      <c r="M3279">
        <f t="shared" si="103"/>
        <v>1</v>
      </c>
    </row>
    <row r="3280" spans="1:13" x14ac:dyDescent="0.3">
      <c r="A3280">
        <v>3278</v>
      </c>
      <c r="B3280">
        <v>3279</v>
      </c>
      <c r="C3280" t="s">
        <v>3341</v>
      </c>
      <c r="D3280">
        <v>2009</v>
      </c>
      <c r="F3280" t="s">
        <v>3313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f t="shared" si="102"/>
        <v>3.9</v>
      </c>
      <c r="M3280">
        <f t="shared" si="103"/>
        <v>1</v>
      </c>
    </row>
    <row r="3281" spans="1:13" x14ac:dyDescent="0.3">
      <c r="A3281">
        <v>3279</v>
      </c>
      <c r="B3281">
        <v>3280</v>
      </c>
      <c r="C3281" t="s">
        <v>3342</v>
      </c>
      <c r="D3281">
        <v>2019</v>
      </c>
      <c r="E3281" t="s">
        <v>11</v>
      </c>
      <c r="F3281" t="s">
        <v>3313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f t="shared" si="102"/>
        <v>3.9</v>
      </c>
      <c r="M3281">
        <f t="shared" si="103"/>
        <v>1</v>
      </c>
    </row>
    <row r="3282" spans="1:13" x14ac:dyDescent="0.3">
      <c r="A3282">
        <v>3280</v>
      </c>
      <c r="B3282">
        <v>3281</v>
      </c>
      <c r="C3282" t="s">
        <v>3343</v>
      </c>
      <c r="D3282">
        <v>2017</v>
      </c>
      <c r="E3282" t="s">
        <v>14</v>
      </c>
      <c r="F3282" t="s">
        <v>3313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f t="shared" si="102"/>
        <v>3.9</v>
      </c>
      <c r="M3282">
        <f t="shared" si="103"/>
        <v>1</v>
      </c>
    </row>
    <row r="3283" spans="1:13" x14ac:dyDescent="0.3">
      <c r="A3283">
        <v>3281</v>
      </c>
      <c r="B3283">
        <v>3282</v>
      </c>
      <c r="C3283" t="s">
        <v>3344</v>
      </c>
      <c r="D3283">
        <v>2020</v>
      </c>
      <c r="E3283" t="s">
        <v>36</v>
      </c>
      <c r="F3283" t="s">
        <v>3313</v>
      </c>
      <c r="G3283">
        <v>1</v>
      </c>
      <c r="H3283">
        <v>0</v>
      </c>
      <c r="I3283">
        <v>1</v>
      </c>
      <c r="J3283">
        <v>0</v>
      </c>
      <c r="K3283">
        <v>0</v>
      </c>
      <c r="L3283">
        <f t="shared" si="102"/>
        <v>3.9</v>
      </c>
      <c r="M3283">
        <f t="shared" si="103"/>
        <v>2</v>
      </c>
    </row>
    <row r="3284" spans="1:13" x14ac:dyDescent="0.3">
      <c r="A3284">
        <v>3282</v>
      </c>
      <c r="B3284">
        <v>3283</v>
      </c>
      <c r="C3284" t="s">
        <v>3345</v>
      </c>
      <c r="D3284">
        <v>2020</v>
      </c>
      <c r="F3284" t="s">
        <v>3313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f t="shared" si="102"/>
        <v>3.9</v>
      </c>
      <c r="M3284">
        <f t="shared" si="103"/>
        <v>1</v>
      </c>
    </row>
    <row r="3285" spans="1:13" x14ac:dyDescent="0.3">
      <c r="A3285">
        <v>3283</v>
      </c>
      <c r="B3285">
        <v>3284</v>
      </c>
      <c r="C3285" t="s">
        <v>3346</v>
      </c>
      <c r="D3285">
        <v>2019</v>
      </c>
      <c r="F3285" t="s">
        <v>3313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f t="shared" si="102"/>
        <v>3.9</v>
      </c>
      <c r="M3285">
        <f t="shared" si="103"/>
        <v>1</v>
      </c>
    </row>
    <row r="3286" spans="1:13" x14ac:dyDescent="0.3">
      <c r="A3286">
        <v>3284</v>
      </c>
      <c r="B3286">
        <v>3285</v>
      </c>
      <c r="C3286" t="s">
        <v>3347</v>
      </c>
      <c r="D3286">
        <v>2018</v>
      </c>
      <c r="F3286" t="s">
        <v>3313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f t="shared" si="102"/>
        <v>3.9</v>
      </c>
      <c r="M3286">
        <f t="shared" si="103"/>
        <v>1</v>
      </c>
    </row>
    <row r="3287" spans="1:13" x14ac:dyDescent="0.3">
      <c r="A3287">
        <v>3285</v>
      </c>
      <c r="B3287">
        <v>3286</v>
      </c>
      <c r="C3287" t="s">
        <v>3348</v>
      </c>
      <c r="D3287">
        <v>2017</v>
      </c>
      <c r="E3287" t="s">
        <v>11</v>
      </c>
      <c r="F3287" t="s">
        <v>3313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f t="shared" si="102"/>
        <v>3.9</v>
      </c>
      <c r="M3287">
        <f t="shared" si="103"/>
        <v>1</v>
      </c>
    </row>
    <row r="3288" spans="1:13" x14ac:dyDescent="0.3">
      <c r="A3288">
        <v>3286</v>
      </c>
      <c r="B3288">
        <v>3287</v>
      </c>
      <c r="C3288" t="s">
        <v>3349</v>
      </c>
      <c r="D3288">
        <v>2021</v>
      </c>
      <c r="F3288" t="s">
        <v>3313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f t="shared" si="102"/>
        <v>3.9</v>
      </c>
      <c r="M3288">
        <f t="shared" si="103"/>
        <v>1</v>
      </c>
    </row>
    <row r="3289" spans="1:13" x14ac:dyDescent="0.3">
      <c r="A3289">
        <v>3287</v>
      </c>
      <c r="B3289">
        <v>3288</v>
      </c>
      <c r="C3289" t="s">
        <v>3350</v>
      </c>
      <c r="D3289">
        <v>2015</v>
      </c>
      <c r="F3289" t="s">
        <v>3313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f t="shared" si="102"/>
        <v>3.9</v>
      </c>
      <c r="M3289">
        <f t="shared" si="103"/>
        <v>1</v>
      </c>
    </row>
    <row r="3290" spans="1:13" x14ac:dyDescent="0.3">
      <c r="A3290">
        <v>3288</v>
      </c>
      <c r="B3290">
        <v>3289</v>
      </c>
      <c r="C3290" t="s">
        <v>3351</v>
      </c>
      <c r="D3290">
        <v>2020</v>
      </c>
      <c r="E3290" t="s">
        <v>28</v>
      </c>
      <c r="F3290" t="s">
        <v>3313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f t="shared" si="102"/>
        <v>3.9</v>
      </c>
      <c r="M3290">
        <f t="shared" si="103"/>
        <v>1</v>
      </c>
    </row>
    <row r="3291" spans="1:13" x14ac:dyDescent="0.3">
      <c r="A3291">
        <v>3289</v>
      </c>
      <c r="B3291">
        <v>3290</v>
      </c>
      <c r="C3291" t="s">
        <v>3352</v>
      </c>
      <c r="D3291">
        <v>2016</v>
      </c>
      <c r="F3291" t="s">
        <v>3313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f t="shared" si="102"/>
        <v>3.9</v>
      </c>
      <c r="M3291">
        <f t="shared" si="103"/>
        <v>1</v>
      </c>
    </row>
    <row r="3292" spans="1:13" x14ac:dyDescent="0.3">
      <c r="A3292">
        <v>3290</v>
      </c>
      <c r="B3292">
        <v>3291</v>
      </c>
      <c r="C3292" t="s">
        <v>3353</v>
      </c>
      <c r="D3292">
        <v>2018</v>
      </c>
      <c r="F3292" t="s">
        <v>3313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f t="shared" si="102"/>
        <v>3.9</v>
      </c>
      <c r="M3292">
        <f t="shared" si="103"/>
        <v>1</v>
      </c>
    </row>
    <row r="3293" spans="1:13" x14ac:dyDescent="0.3">
      <c r="A3293">
        <v>3291</v>
      </c>
      <c r="B3293">
        <v>3292</v>
      </c>
      <c r="C3293" t="s">
        <v>3354</v>
      </c>
      <c r="D3293">
        <v>2017</v>
      </c>
      <c r="F3293" t="s">
        <v>3313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f t="shared" si="102"/>
        <v>3.9</v>
      </c>
      <c r="M3293">
        <f t="shared" si="103"/>
        <v>1</v>
      </c>
    </row>
    <row r="3294" spans="1:13" x14ac:dyDescent="0.3">
      <c r="A3294">
        <v>3292</v>
      </c>
      <c r="B3294">
        <v>3293</v>
      </c>
      <c r="C3294" t="s">
        <v>3355</v>
      </c>
      <c r="D3294">
        <v>2015</v>
      </c>
      <c r="E3294" t="s">
        <v>14</v>
      </c>
      <c r="F3294" t="s">
        <v>3313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f t="shared" si="102"/>
        <v>3.9</v>
      </c>
      <c r="M3294">
        <f t="shared" si="103"/>
        <v>1</v>
      </c>
    </row>
    <row r="3295" spans="1:13" x14ac:dyDescent="0.3">
      <c r="A3295">
        <v>3293</v>
      </c>
      <c r="B3295">
        <v>3294</v>
      </c>
      <c r="C3295" t="s">
        <v>3356</v>
      </c>
      <c r="D3295">
        <v>2018</v>
      </c>
      <c r="F3295" t="s">
        <v>3313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f t="shared" si="102"/>
        <v>3.9</v>
      </c>
      <c r="M3295">
        <f t="shared" si="103"/>
        <v>1</v>
      </c>
    </row>
    <row r="3296" spans="1:13" x14ac:dyDescent="0.3">
      <c r="A3296">
        <v>3294</v>
      </c>
      <c r="B3296">
        <v>3295</v>
      </c>
      <c r="C3296" t="s">
        <v>3357</v>
      </c>
      <c r="D3296">
        <v>2020</v>
      </c>
      <c r="F3296" t="s">
        <v>3313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f t="shared" si="102"/>
        <v>3.9</v>
      </c>
      <c r="M3296">
        <f t="shared" si="103"/>
        <v>1</v>
      </c>
    </row>
    <row r="3297" spans="1:13" x14ac:dyDescent="0.3">
      <c r="A3297">
        <v>3295</v>
      </c>
      <c r="B3297">
        <v>3296</v>
      </c>
      <c r="C3297" t="s">
        <v>3358</v>
      </c>
      <c r="D3297">
        <v>2018</v>
      </c>
      <c r="F3297" t="s">
        <v>3313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f t="shared" si="102"/>
        <v>3.9</v>
      </c>
      <c r="M3297">
        <f t="shared" si="103"/>
        <v>1</v>
      </c>
    </row>
    <row r="3298" spans="1:13" x14ac:dyDescent="0.3">
      <c r="A3298">
        <v>3296</v>
      </c>
      <c r="B3298">
        <v>3297</v>
      </c>
      <c r="C3298" t="s">
        <v>3359</v>
      </c>
      <c r="D3298">
        <v>2015</v>
      </c>
      <c r="F3298" t="s">
        <v>3313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f t="shared" si="102"/>
        <v>3.9</v>
      </c>
      <c r="M3298">
        <f t="shared" si="103"/>
        <v>1</v>
      </c>
    </row>
    <row r="3299" spans="1:13" x14ac:dyDescent="0.3">
      <c r="A3299">
        <v>3297</v>
      </c>
      <c r="B3299">
        <v>3298</v>
      </c>
      <c r="C3299" t="s">
        <v>3360</v>
      </c>
      <c r="D3299">
        <v>2005</v>
      </c>
      <c r="E3299" t="s">
        <v>36</v>
      </c>
      <c r="F3299" t="s">
        <v>3313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f t="shared" si="102"/>
        <v>3.9</v>
      </c>
      <c r="M3299">
        <f t="shared" si="103"/>
        <v>1</v>
      </c>
    </row>
    <row r="3300" spans="1:13" x14ac:dyDescent="0.3">
      <c r="A3300">
        <v>3298</v>
      </c>
      <c r="B3300">
        <v>3299</v>
      </c>
      <c r="C3300" t="s">
        <v>3361</v>
      </c>
      <c r="D3300">
        <v>2018</v>
      </c>
      <c r="F3300" t="s">
        <v>3313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f t="shared" si="102"/>
        <v>3.9</v>
      </c>
      <c r="M3300">
        <f t="shared" si="103"/>
        <v>1</v>
      </c>
    </row>
    <row r="3301" spans="1:13" x14ac:dyDescent="0.3">
      <c r="A3301">
        <v>3299</v>
      </c>
      <c r="B3301">
        <v>3300</v>
      </c>
      <c r="C3301" t="s">
        <v>3362</v>
      </c>
      <c r="D3301">
        <v>2018</v>
      </c>
      <c r="F3301" t="s">
        <v>3313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f t="shared" si="102"/>
        <v>3.9</v>
      </c>
      <c r="M3301">
        <f t="shared" si="103"/>
        <v>1</v>
      </c>
    </row>
    <row r="3302" spans="1:13" x14ac:dyDescent="0.3">
      <c r="A3302">
        <v>3300</v>
      </c>
      <c r="B3302">
        <v>3301</v>
      </c>
      <c r="C3302" t="s">
        <v>3363</v>
      </c>
      <c r="D3302">
        <v>2016</v>
      </c>
      <c r="F3302" t="s">
        <v>3313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f t="shared" si="102"/>
        <v>3.9</v>
      </c>
      <c r="M3302">
        <f t="shared" si="103"/>
        <v>1</v>
      </c>
    </row>
    <row r="3303" spans="1:13" x14ac:dyDescent="0.3">
      <c r="A3303">
        <v>3301</v>
      </c>
      <c r="B3303">
        <v>3302</v>
      </c>
      <c r="C3303" t="s">
        <v>3364</v>
      </c>
      <c r="D3303">
        <v>2010</v>
      </c>
      <c r="F3303" t="s">
        <v>3313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f t="shared" si="102"/>
        <v>3.9</v>
      </c>
      <c r="M3303">
        <f t="shared" si="103"/>
        <v>1</v>
      </c>
    </row>
    <row r="3304" spans="1:13" x14ac:dyDescent="0.3">
      <c r="A3304">
        <v>3302</v>
      </c>
      <c r="B3304">
        <v>3303</v>
      </c>
      <c r="C3304" t="s">
        <v>3365</v>
      </c>
      <c r="D3304">
        <v>2016</v>
      </c>
      <c r="F3304" t="s">
        <v>3313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f t="shared" si="102"/>
        <v>3.9</v>
      </c>
      <c r="M3304">
        <f t="shared" si="103"/>
        <v>1</v>
      </c>
    </row>
    <row r="3305" spans="1:13" x14ac:dyDescent="0.3">
      <c r="A3305">
        <v>3303</v>
      </c>
      <c r="B3305">
        <v>3304</v>
      </c>
      <c r="C3305" t="s">
        <v>3366</v>
      </c>
      <c r="D3305">
        <v>1982</v>
      </c>
      <c r="F3305" t="s">
        <v>3313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f t="shared" si="102"/>
        <v>3.9</v>
      </c>
      <c r="M3305">
        <f t="shared" si="103"/>
        <v>1</v>
      </c>
    </row>
    <row r="3306" spans="1:13" x14ac:dyDescent="0.3">
      <c r="A3306">
        <v>3304</v>
      </c>
      <c r="B3306">
        <v>3305</v>
      </c>
      <c r="C3306" t="s">
        <v>3367</v>
      </c>
      <c r="D3306">
        <v>2017</v>
      </c>
      <c r="E3306" t="s">
        <v>36</v>
      </c>
      <c r="F3306" t="s">
        <v>3313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f t="shared" si="102"/>
        <v>3.9</v>
      </c>
      <c r="M3306">
        <f t="shared" si="103"/>
        <v>1</v>
      </c>
    </row>
    <row r="3307" spans="1:13" x14ac:dyDescent="0.3">
      <c r="A3307">
        <v>3305</v>
      </c>
      <c r="B3307">
        <v>3306</v>
      </c>
      <c r="C3307" t="s">
        <v>3368</v>
      </c>
      <c r="D3307">
        <v>2018</v>
      </c>
      <c r="F3307" t="s">
        <v>3313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f t="shared" si="102"/>
        <v>3.9</v>
      </c>
      <c r="M3307">
        <f t="shared" si="103"/>
        <v>1</v>
      </c>
    </row>
    <row r="3308" spans="1:13" x14ac:dyDescent="0.3">
      <c r="A3308">
        <v>3306</v>
      </c>
      <c r="B3308">
        <v>3307</v>
      </c>
      <c r="C3308" t="s">
        <v>3369</v>
      </c>
      <c r="D3308">
        <v>2019</v>
      </c>
      <c r="F3308" t="s">
        <v>3313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f t="shared" si="102"/>
        <v>3.9</v>
      </c>
      <c r="M3308">
        <f t="shared" si="103"/>
        <v>1</v>
      </c>
    </row>
    <row r="3309" spans="1:13" x14ac:dyDescent="0.3">
      <c r="A3309">
        <v>3307</v>
      </c>
      <c r="B3309">
        <v>3308</v>
      </c>
      <c r="C3309" t="s">
        <v>3370</v>
      </c>
      <c r="D3309">
        <v>2010</v>
      </c>
      <c r="E3309" t="s">
        <v>11</v>
      </c>
      <c r="F3309" t="s">
        <v>3313</v>
      </c>
      <c r="G3309">
        <v>1</v>
      </c>
      <c r="H3309">
        <v>1</v>
      </c>
      <c r="I3309">
        <v>0</v>
      </c>
      <c r="J3309">
        <v>0</v>
      </c>
      <c r="K3309">
        <v>0</v>
      </c>
      <c r="L3309">
        <f t="shared" si="102"/>
        <v>3.9</v>
      </c>
      <c r="M3309">
        <f t="shared" si="103"/>
        <v>2</v>
      </c>
    </row>
    <row r="3310" spans="1:13" x14ac:dyDescent="0.3">
      <c r="A3310">
        <v>3308</v>
      </c>
      <c r="B3310">
        <v>3309</v>
      </c>
      <c r="C3310" t="s">
        <v>3371</v>
      </c>
      <c r="D3310">
        <v>2017</v>
      </c>
      <c r="F3310" t="s">
        <v>3313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f t="shared" si="102"/>
        <v>3.9</v>
      </c>
      <c r="M3310">
        <f t="shared" si="103"/>
        <v>1</v>
      </c>
    </row>
    <row r="3311" spans="1:13" x14ac:dyDescent="0.3">
      <c r="A3311">
        <v>3309</v>
      </c>
      <c r="B3311">
        <v>3310</v>
      </c>
      <c r="C3311" t="s">
        <v>3372</v>
      </c>
      <c r="D3311">
        <v>2012</v>
      </c>
      <c r="F3311" t="s">
        <v>3313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f t="shared" si="102"/>
        <v>3.9</v>
      </c>
      <c r="M3311">
        <f t="shared" si="103"/>
        <v>1</v>
      </c>
    </row>
    <row r="3312" spans="1:13" x14ac:dyDescent="0.3">
      <c r="A3312">
        <v>3310</v>
      </c>
      <c r="B3312">
        <v>3311</v>
      </c>
      <c r="C3312" t="s">
        <v>3373</v>
      </c>
      <c r="D3312">
        <v>2019</v>
      </c>
      <c r="F3312" t="s">
        <v>3313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f t="shared" si="102"/>
        <v>3.9</v>
      </c>
      <c r="M3312">
        <f t="shared" si="103"/>
        <v>1</v>
      </c>
    </row>
    <row r="3313" spans="1:13" x14ac:dyDescent="0.3">
      <c r="A3313">
        <v>3311</v>
      </c>
      <c r="B3313">
        <v>3312</v>
      </c>
      <c r="C3313" t="s">
        <v>3374</v>
      </c>
      <c r="D3313">
        <v>2020</v>
      </c>
      <c r="F3313" t="s">
        <v>3313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f t="shared" si="102"/>
        <v>3.9</v>
      </c>
      <c r="M3313">
        <f t="shared" si="103"/>
        <v>1</v>
      </c>
    </row>
    <row r="3314" spans="1:13" x14ac:dyDescent="0.3">
      <c r="A3314">
        <v>3312</v>
      </c>
      <c r="B3314">
        <v>3313</v>
      </c>
      <c r="C3314" t="s">
        <v>3375</v>
      </c>
      <c r="D3314">
        <v>2018</v>
      </c>
      <c r="F3314" t="s">
        <v>3313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f t="shared" si="102"/>
        <v>3.9</v>
      </c>
      <c r="M3314">
        <f t="shared" si="103"/>
        <v>1</v>
      </c>
    </row>
    <row r="3315" spans="1:13" x14ac:dyDescent="0.3">
      <c r="A3315">
        <v>3313</v>
      </c>
      <c r="B3315">
        <v>3314</v>
      </c>
      <c r="C3315" t="s">
        <v>3376</v>
      </c>
      <c r="D3315">
        <v>2019</v>
      </c>
      <c r="F3315" t="s">
        <v>3313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f t="shared" si="102"/>
        <v>3.9</v>
      </c>
      <c r="M3315">
        <f t="shared" si="103"/>
        <v>1</v>
      </c>
    </row>
    <row r="3316" spans="1:13" x14ac:dyDescent="0.3">
      <c r="A3316">
        <v>3314</v>
      </c>
      <c r="B3316">
        <v>3315</v>
      </c>
      <c r="C3316" t="s">
        <v>3377</v>
      </c>
      <c r="D3316">
        <v>2002</v>
      </c>
      <c r="E3316" t="s">
        <v>28</v>
      </c>
      <c r="F3316" t="s">
        <v>3313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f t="shared" si="102"/>
        <v>3.9</v>
      </c>
      <c r="M3316">
        <f t="shared" si="103"/>
        <v>1</v>
      </c>
    </row>
    <row r="3317" spans="1:13" x14ac:dyDescent="0.3">
      <c r="A3317">
        <v>3315</v>
      </c>
      <c r="B3317">
        <v>3316</v>
      </c>
      <c r="C3317" t="s">
        <v>3378</v>
      </c>
      <c r="D3317">
        <v>2016</v>
      </c>
      <c r="F3317" t="s">
        <v>3313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f t="shared" si="102"/>
        <v>3.9</v>
      </c>
      <c r="M3317">
        <f t="shared" si="103"/>
        <v>1</v>
      </c>
    </row>
    <row r="3318" spans="1:13" x14ac:dyDescent="0.3">
      <c r="A3318">
        <v>3316</v>
      </c>
      <c r="B3318">
        <v>3317</v>
      </c>
      <c r="C3318" t="s">
        <v>3379</v>
      </c>
      <c r="D3318">
        <v>2016</v>
      </c>
      <c r="F3318" t="s">
        <v>3313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f t="shared" si="102"/>
        <v>3.9</v>
      </c>
      <c r="M3318">
        <f t="shared" si="103"/>
        <v>1</v>
      </c>
    </row>
    <row r="3319" spans="1:13" x14ac:dyDescent="0.3">
      <c r="A3319">
        <v>3317</v>
      </c>
      <c r="B3319">
        <v>3318</v>
      </c>
      <c r="C3319" t="s">
        <v>3380</v>
      </c>
      <c r="D3319">
        <v>2019</v>
      </c>
      <c r="F3319" t="s">
        <v>3313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f t="shared" si="102"/>
        <v>3.9</v>
      </c>
      <c r="M3319">
        <f t="shared" si="103"/>
        <v>1</v>
      </c>
    </row>
    <row r="3320" spans="1:13" x14ac:dyDescent="0.3">
      <c r="A3320">
        <v>3318</v>
      </c>
      <c r="B3320">
        <v>3319</v>
      </c>
      <c r="C3320" t="s">
        <v>3381</v>
      </c>
      <c r="D3320">
        <v>2017</v>
      </c>
      <c r="F3320" t="s">
        <v>3313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f t="shared" si="102"/>
        <v>3.9</v>
      </c>
      <c r="M3320">
        <f t="shared" si="103"/>
        <v>1</v>
      </c>
    </row>
    <row r="3321" spans="1:13" x14ac:dyDescent="0.3">
      <c r="A3321">
        <v>3319</v>
      </c>
      <c r="B3321">
        <v>3320</v>
      </c>
      <c r="C3321" t="s">
        <v>3382</v>
      </c>
      <c r="D3321">
        <v>2016</v>
      </c>
      <c r="F3321" t="s">
        <v>3313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f t="shared" si="102"/>
        <v>3.9</v>
      </c>
      <c r="M3321">
        <f t="shared" si="103"/>
        <v>1</v>
      </c>
    </row>
    <row r="3322" spans="1:13" x14ac:dyDescent="0.3">
      <c r="A3322">
        <v>3320</v>
      </c>
      <c r="B3322">
        <v>3321</v>
      </c>
      <c r="C3322" t="s">
        <v>3383</v>
      </c>
      <c r="D3322">
        <v>2014</v>
      </c>
      <c r="F3322" t="s">
        <v>3313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f t="shared" si="102"/>
        <v>3.9</v>
      </c>
      <c r="M3322">
        <f t="shared" si="103"/>
        <v>1</v>
      </c>
    </row>
    <row r="3323" spans="1:13" x14ac:dyDescent="0.3">
      <c r="A3323">
        <v>3321</v>
      </c>
      <c r="B3323">
        <v>3322</v>
      </c>
      <c r="C3323" t="s">
        <v>3384</v>
      </c>
      <c r="D3323">
        <v>2012</v>
      </c>
      <c r="F3323" t="s">
        <v>3313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f t="shared" si="102"/>
        <v>3.9</v>
      </c>
      <c r="M3323">
        <f t="shared" si="103"/>
        <v>1</v>
      </c>
    </row>
    <row r="3324" spans="1:13" x14ac:dyDescent="0.3">
      <c r="A3324">
        <v>3322</v>
      </c>
      <c r="B3324">
        <v>3323</v>
      </c>
      <c r="C3324" t="s">
        <v>3385</v>
      </c>
      <c r="D3324">
        <v>2020</v>
      </c>
      <c r="F3324" t="s">
        <v>3313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f t="shared" si="102"/>
        <v>3.9</v>
      </c>
      <c r="M3324">
        <f t="shared" si="103"/>
        <v>1</v>
      </c>
    </row>
    <row r="3325" spans="1:13" x14ac:dyDescent="0.3">
      <c r="A3325">
        <v>3323</v>
      </c>
      <c r="B3325">
        <v>3324</v>
      </c>
      <c r="C3325" t="s">
        <v>3386</v>
      </c>
      <c r="D3325">
        <v>2018</v>
      </c>
      <c r="E3325" t="s">
        <v>14</v>
      </c>
      <c r="F3325" t="s">
        <v>3313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f t="shared" si="102"/>
        <v>3.9</v>
      </c>
      <c r="M3325">
        <f t="shared" si="103"/>
        <v>1</v>
      </c>
    </row>
    <row r="3326" spans="1:13" x14ac:dyDescent="0.3">
      <c r="A3326">
        <v>3324</v>
      </c>
      <c r="B3326">
        <v>3325</v>
      </c>
      <c r="C3326" t="s">
        <v>3387</v>
      </c>
      <c r="D3326">
        <v>2019</v>
      </c>
      <c r="F3326" t="s">
        <v>3313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f t="shared" si="102"/>
        <v>3.9</v>
      </c>
      <c r="M3326">
        <f t="shared" si="103"/>
        <v>1</v>
      </c>
    </row>
    <row r="3327" spans="1:13" x14ac:dyDescent="0.3">
      <c r="A3327">
        <v>3325</v>
      </c>
      <c r="B3327">
        <v>3326</v>
      </c>
      <c r="C3327" t="s">
        <v>3388</v>
      </c>
      <c r="D3327">
        <v>2018</v>
      </c>
      <c r="E3327" t="s">
        <v>11</v>
      </c>
      <c r="F3327" t="s">
        <v>3313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f t="shared" si="102"/>
        <v>3.9</v>
      </c>
      <c r="M3327">
        <f t="shared" si="103"/>
        <v>1</v>
      </c>
    </row>
    <row r="3328" spans="1:13" x14ac:dyDescent="0.3">
      <c r="A3328">
        <v>3326</v>
      </c>
      <c r="B3328">
        <v>3327</v>
      </c>
      <c r="C3328" t="s">
        <v>3389</v>
      </c>
      <c r="D3328">
        <v>2018</v>
      </c>
      <c r="F3328" t="s">
        <v>3313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f t="shared" si="102"/>
        <v>3.9</v>
      </c>
      <c r="M3328">
        <f t="shared" si="103"/>
        <v>1</v>
      </c>
    </row>
    <row r="3329" spans="1:13" x14ac:dyDescent="0.3">
      <c r="A3329">
        <v>3327</v>
      </c>
      <c r="B3329">
        <v>3328</v>
      </c>
      <c r="C3329" t="s">
        <v>3390</v>
      </c>
      <c r="D3329">
        <v>2018</v>
      </c>
      <c r="F3329" t="s">
        <v>3313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f t="shared" si="102"/>
        <v>3.9</v>
      </c>
      <c r="M3329">
        <f t="shared" si="103"/>
        <v>1</v>
      </c>
    </row>
    <row r="3330" spans="1:13" x14ac:dyDescent="0.3">
      <c r="A3330">
        <v>3328</v>
      </c>
      <c r="B3330">
        <v>3329</v>
      </c>
      <c r="C3330" t="s">
        <v>3391</v>
      </c>
      <c r="D3330">
        <v>2020</v>
      </c>
      <c r="F3330" t="s">
        <v>3313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f t="shared" si="102"/>
        <v>3.9</v>
      </c>
      <c r="M3330">
        <f t="shared" si="103"/>
        <v>1</v>
      </c>
    </row>
    <row r="3331" spans="1:13" x14ac:dyDescent="0.3">
      <c r="A3331">
        <v>3329</v>
      </c>
      <c r="B3331">
        <v>3330</v>
      </c>
      <c r="C3331" t="s">
        <v>3392</v>
      </c>
      <c r="D3331">
        <v>2020</v>
      </c>
      <c r="E3331" t="s">
        <v>36</v>
      </c>
      <c r="F3331" t="s">
        <v>3313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f t="shared" ref="L3331:L3394" si="104">IFERROR(VALUE(LEFT(F3331,FIND("/",F3331)-1))/10,"")</f>
        <v>3.9</v>
      </c>
      <c r="M3331">
        <f t="shared" ref="M3331:M3394" si="105">SUM(G3331:J3331)</f>
        <v>1</v>
      </c>
    </row>
    <row r="3332" spans="1:13" x14ac:dyDescent="0.3">
      <c r="A3332">
        <v>3330</v>
      </c>
      <c r="B3332">
        <v>3331</v>
      </c>
      <c r="C3332" t="s">
        <v>3393</v>
      </c>
      <c r="D3332">
        <v>2017</v>
      </c>
      <c r="F3332" t="s">
        <v>3313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f t="shared" si="104"/>
        <v>3.9</v>
      </c>
      <c r="M3332">
        <f t="shared" si="105"/>
        <v>1</v>
      </c>
    </row>
    <row r="3333" spans="1:13" x14ac:dyDescent="0.3">
      <c r="A3333">
        <v>3331</v>
      </c>
      <c r="B3333">
        <v>3332</v>
      </c>
      <c r="C3333" t="s">
        <v>3394</v>
      </c>
      <c r="D3333">
        <v>2017</v>
      </c>
      <c r="E3333" t="s">
        <v>22</v>
      </c>
      <c r="F3333" t="s">
        <v>3313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f t="shared" si="104"/>
        <v>3.9</v>
      </c>
      <c r="M3333">
        <f t="shared" si="105"/>
        <v>1</v>
      </c>
    </row>
    <row r="3334" spans="1:13" x14ac:dyDescent="0.3">
      <c r="A3334">
        <v>3332</v>
      </c>
      <c r="B3334">
        <v>3333</v>
      </c>
      <c r="C3334" t="s">
        <v>3395</v>
      </c>
      <c r="D3334">
        <v>2016</v>
      </c>
      <c r="E3334" t="s">
        <v>14</v>
      </c>
      <c r="F3334" t="s">
        <v>3313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f t="shared" si="104"/>
        <v>3.9</v>
      </c>
      <c r="M3334">
        <f t="shared" si="105"/>
        <v>1</v>
      </c>
    </row>
    <row r="3335" spans="1:13" x14ac:dyDescent="0.3">
      <c r="A3335">
        <v>3333</v>
      </c>
      <c r="B3335">
        <v>3334</v>
      </c>
      <c r="C3335" t="s">
        <v>3396</v>
      </c>
      <c r="D3335">
        <v>2019</v>
      </c>
      <c r="F3335" t="s">
        <v>3313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f t="shared" si="104"/>
        <v>3.9</v>
      </c>
      <c r="M3335">
        <f t="shared" si="105"/>
        <v>1</v>
      </c>
    </row>
    <row r="3336" spans="1:13" x14ac:dyDescent="0.3">
      <c r="A3336">
        <v>3334</v>
      </c>
      <c r="B3336">
        <v>3335</v>
      </c>
      <c r="C3336" t="s">
        <v>3397</v>
      </c>
      <c r="D3336">
        <v>2018</v>
      </c>
      <c r="F3336" t="s">
        <v>3313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f t="shared" si="104"/>
        <v>3.9</v>
      </c>
      <c r="M3336">
        <f t="shared" si="105"/>
        <v>1</v>
      </c>
    </row>
    <row r="3337" spans="1:13" x14ac:dyDescent="0.3">
      <c r="A3337">
        <v>3335</v>
      </c>
      <c r="B3337">
        <v>3336</v>
      </c>
      <c r="C3337" t="s">
        <v>3398</v>
      </c>
      <c r="D3337">
        <v>2012</v>
      </c>
      <c r="E3337" t="s">
        <v>14</v>
      </c>
      <c r="F3337" t="s">
        <v>3313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f t="shared" si="104"/>
        <v>3.9</v>
      </c>
      <c r="M3337">
        <f t="shared" si="105"/>
        <v>1</v>
      </c>
    </row>
    <row r="3338" spans="1:13" x14ac:dyDescent="0.3">
      <c r="A3338">
        <v>3336</v>
      </c>
      <c r="B3338">
        <v>3337</v>
      </c>
      <c r="C3338" t="s">
        <v>3399</v>
      </c>
      <c r="D3338">
        <v>2018</v>
      </c>
      <c r="F3338" t="s">
        <v>3313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f t="shared" si="104"/>
        <v>3.9</v>
      </c>
      <c r="M3338">
        <f t="shared" si="105"/>
        <v>1</v>
      </c>
    </row>
    <row r="3339" spans="1:13" x14ac:dyDescent="0.3">
      <c r="A3339">
        <v>3337</v>
      </c>
      <c r="B3339">
        <v>3338</v>
      </c>
      <c r="C3339" t="s">
        <v>3400</v>
      </c>
      <c r="D3339">
        <v>2020</v>
      </c>
      <c r="E3339" t="s">
        <v>28</v>
      </c>
      <c r="F3339" t="s">
        <v>3313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f t="shared" si="104"/>
        <v>3.9</v>
      </c>
      <c r="M3339">
        <f t="shared" si="105"/>
        <v>1</v>
      </c>
    </row>
    <row r="3340" spans="1:13" x14ac:dyDescent="0.3">
      <c r="A3340">
        <v>3338</v>
      </c>
      <c r="B3340">
        <v>3339</v>
      </c>
      <c r="C3340" t="s">
        <v>3401</v>
      </c>
      <c r="D3340">
        <v>2020</v>
      </c>
      <c r="F3340" t="s">
        <v>3313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f t="shared" si="104"/>
        <v>3.9</v>
      </c>
      <c r="M3340">
        <f t="shared" si="105"/>
        <v>1</v>
      </c>
    </row>
    <row r="3341" spans="1:13" x14ac:dyDescent="0.3">
      <c r="A3341">
        <v>3339</v>
      </c>
      <c r="B3341">
        <v>3340</v>
      </c>
      <c r="C3341" t="s">
        <v>3402</v>
      </c>
      <c r="D3341">
        <v>2018</v>
      </c>
      <c r="F3341" t="s">
        <v>3313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f t="shared" si="104"/>
        <v>3.9</v>
      </c>
      <c r="M3341">
        <f t="shared" si="105"/>
        <v>1</v>
      </c>
    </row>
    <row r="3342" spans="1:13" x14ac:dyDescent="0.3">
      <c r="A3342">
        <v>3340</v>
      </c>
      <c r="B3342">
        <v>3341</v>
      </c>
      <c r="C3342" t="s">
        <v>3403</v>
      </c>
      <c r="D3342">
        <v>2011</v>
      </c>
      <c r="F3342" t="s">
        <v>3404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f t="shared" si="104"/>
        <v>3.8</v>
      </c>
      <c r="M3342">
        <f t="shared" si="105"/>
        <v>1</v>
      </c>
    </row>
    <row r="3343" spans="1:13" x14ac:dyDescent="0.3">
      <c r="A3343">
        <v>3341</v>
      </c>
      <c r="B3343">
        <v>3342</v>
      </c>
      <c r="C3343" t="s">
        <v>3405</v>
      </c>
      <c r="D3343">
        <v>2011</v>
      </c>
      <c r="F3343" t="s">
        <v>3404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f t="shared" si="104"/>
        <v>3.8</v>
      </c>
      <c r="M3343">
        <f t="shared" si="105"/>
        <v>1</v>
      </c>
    </row>
    <row r="3344" spans="1:13" x14ac:dyDescent="0.3">
      <c r="A3344">
        <v>3342</v>
      </c>
      <c r="B3344">
        <v>3343</v>
      </c>
      <c r="C3344" t="s">
        <v>3406</v>
      </c>
      <c r="D3344">
        <v>2007</v>
      </c>
      <c r="F3344" t="s">
        <v>3404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f t="shared" si="104"/>
        <v>3.8</v>
      </c>
      <c r="M3344">
        <f t="shared" si="105"/>
        <v>1</v>
      </c>
    </row>
    <row r="3345" spans="1:13" x14ac:dyDescent="0.3">
      <c r="A3345">
        <v>3343</v>
      </c>
      <c r="B3345">
        <v>3344</v>
      </c>
      <c r="C3345" t="s">
        <v>3407</v>
      </c>
      <c r="D3345">
        <v>2018</v>
      </c>
      <c r="E3345" t="s">
        <v>36</v>
      </c>
      <c r="F3345" t="s">
        <v>3404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f t="shared" si="104"/>
        <v>3.8</v>
      </c>
      <c r="M3345">
        <f t="shared" si="105"/>
        <v>1</v>
      </c>
    </row>
    <row r="3346" spans="1:13" x14ac:dyDescent="0.3">
      <c r="A3346">
        <v>3344</v>
      </c>
      <c r="B3346">
        <v>3345</v>
      </c>
      <c r="C3346" t="s">
        <v>3408</v>
      </c>
      <c r="D3346">
        <v>2019</v>
      </c>
      <c r="F3346" t="s">
        <v>3404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f t="shared" si="104"/>
        <v>3.8</v>
      </c>
      <c r="M3346">
        <f t="shared" si="105"/>
        <v>1</v>
      </c>
    </row>
    <row r="3347" spans="1:13" x14ac:dyDescent="0.3">
      <c r="A3347">
        <v>3345</v>
      </c>
      <c r="B3347">
        <v>3346</v>
      </c>
      <c r="C3347" t="s">
        <v>3409</v>
      </c>
      <c r="D3347">
        <v>2020</v>
      </c>
      <c r="E3347" t="s">
        <v>14</v>
      </c>
      <c r="F3347" t="s">
        <v>3404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f t="shared" si="104"/>
        <v>3.8</v>
      </c>
      <c r="M3347">
        <f t="shared" si="105"/>
        <v>1</v>
      </c>
    </row>
    <row r="3348" spans="1:13" x14ac:dyDescent="0.3">
      <c r="A3348">
        <v>3346</v>
      </c>
      <c r="B3348">
        <v>3347</v>
      </c>
      <c r="C3348" t="s">
        <v>3410</v>
      </c>
      <c r="D3348">
        <v>2017</v>
      </c>
      <c r="F3348" t="s">
        <v>3404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f t="shared" si="104"/>
        <v>3.8</v>
      </c>
      <c r="M3348">
        <f t="shared" si="105"/>
        <v>1</v>
      </c>
    </row>
    <row r="3349" spans="1:13" x14ac:dyDescent="0.3">
      <c r="A3349">
        <v>3347</v>
      </c>
      <c r="B3349">
        <v>3348</v>
      </c>
      <c r="C3349" t="s">
        <v>3411</v>
      </c>
      <c r="D3349">
        <v>2018</v>
      </c>
      <c r="F3349" t="s">
        <v>3404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f t="shared" si="104"/>
        <v>3.8</v>
      </c>
      <c r="M3349">
        <f t="shared" si="105"/>
        <v>1</v>
      </c>
    </row>
    <row r="3350" spans="1:13" x14ac:dyDescent="0.3">
      <c r="A3350">
        <v>3348</v>
      </c>
      <c r="B3350">
        <v>3349</v>
      </c>
      <c r="C3350" t="s">
        <v>3412</v>
      </c>
      <c r="D3350">
        <v>2017</v>
      </c>
      <c r="F3350" t="s">
        <v>3404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f t="shared" si="104"/>
        <v>3.8</v>
      </c>
      <c r="M3350">
        <f t="shared" si="105"/>
        <v>1</v>
      </c>
    </row>
    <row r="3351" spans="1:13" x14ac:dyDescent="0.3">
      <c r="A3351">
        <v>3349</v>
      </c>
      <c r="B3351">
        <v>3350</v>
      </c>
      <c r="C3351" t="s">
        <v>3413</v>
      </c>
      <c r="D3351">
        <v>2020</v>
      </c>
      <c r="F3351" t="s">
        <v>3404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f t="shared" si="104"/>
        <v>3.8</v>
      </c>
      <c r="M3351">
        <f t="shared" si="105"/>
        <v>1</v>
      </c>
    </row>
    <row r="3352" spans="1:13" x14ac:dyDescent="0.3">
      <c r="A3352">
        <v>3350</v>
      </c>
      <c r="B3352">
        <v>3351</v>
      </c>
      <c r="C3352" t="s">
        <v>3414</v>
      </c>
      <c r="D3352">
        <v>2016</v>
      </c>
      <c r="F3352" t="s">
        <v>3404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f t="shared" si="104"/>
        <v>3.8</v>
      </c>
      <c r="M3352">
        <f t="shared" si="105"/>
        <v>1</v>
      </c>
    </row>
    <row r="3353" spans="1:13" x14ac:dyDescent="0.3">
      <c r="A3353">
        <v>3351</v>
      </c>
      <c r="B3353">
        <v>3352</v>
      </c>
      <c r="C3353" t="s">
        <v>3415</v>
      </c>
      <c r="D3353">
        <v>2017</v>
      </c>
      <c r="F3353" t="s">
        <v>3404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f t="shared" si="104"/>
        <v>3.8</v>
      </c>
      <c r="M3353">
        <f t="shared" si="105"/>
        <v>1</v>
      </c>
    </row>
    <row r="3354" spans="1:13" x14ac:dyDescent="0.3">
      <c r="A3354">
        <v>3352</v>
      </c>
      <c r="B3354">
        <v>3353</v>
      </c>
      <c r="C3354" t="s">
        <v>3416</v>
      </c>
      <c r="D3354">
        <v>2019</v>
      </c>
      <c r="E3354" t="s">
        <v>11</v>
      </c>
      <c r="F3354" t="s">
        <v>3404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f t="shared" si="104"/>
        <v>3.8</v>
      </c>
      <c r="M3354">
        <f t="shared" si="105"/>
        <v>1</v>
      </c>
    </row>
    <row r="3355" spans="1:13" x14ac:dyDescent="0.3">
      <c r="A3355">
        <v>3353</v>
      </c>
      <c r="B3355">
        <v>3354</v>
      </c>
      <c r="C3355" t="s">
        <v>3417</v>
      </c>
      <c r="D3355">
        <v>2019</v>
      </c>
      <c r="E3355" t="s">
        <v>22</v>
      </c>
      <c r="F3355" t="s">
        <v>3404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f t="shared" si="104"/>
        <v>3.8</v>
      </c>
      <c r="M3355">
        <f t="shared" si="105"/>
        <v>1</v>
      </c>
    </row>
    <row r="3356" spans="1:13" x14ac:dyDescent="0.3">
      <c r="A3356">
        <v>3354</v>
      </c>
      <c r="B3356">
        <v>3355</v>
      </c>
      <c r="C3356" t="s">
        <v>3418</v>
      </c>
      <c r="D3356">
        <v>2020</v>
      </c>
      <c r="F3356" t="s">
        <v>3404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f t="shared" si="104"/>
        <v>3.8</v>
      </c>
      <c r="M3356">
        <f t="shared" si="105"/>
        <v>1</v>
      </c>
    </row>
    <row r="3357" spans="1:13" x14ac:dyDescent="0.3">
      <c r="A3357">
        <v>3355</v>
      </c>
      <c r="B3357">
        <v>3356</v>
      </c>
      <c r="C3357" t="s">
        <v>3419</v>
      </c>
      <c r="D3357">
        <v>2003</v>
      </c>
      <c r="F3357" t="s">
        <v>3404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f t="shared" si="104"/>
        <v>3.8</v>
      </c>
      <c r="M3357">
        <f t="shared" si="105"/>
        <v>1</v>
      </c>
    </row>
    <row r="3358" spans="1:13" x14ac:dyDescent="0.3">
      <c r="A3358">
        <v>3356</v>
      </c>
      <c r="B3358">
        <v>3357</v>
      </c>
      <c r="C3358" t="s">
        <v>3420</v>
      </c>
      <c r="D3358">
        <v>2016</v>
      </c>
      <c r="F3358" t="s">
        <v>3404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f t="shared" si="104"/>
        <v>3.8</v>
      </c>
      <c r="M3358">
        <f t="shared" si="105"/>
        <v>1</v>
      </c>
    </row>
    <row r="3359" spans="1:13" x14ac:dyDescent="0.3">
      <c r="A3359">
        <v>3357</v>
      </c>
      <c r="B3359">
        <v>3358</v>
      </c>
      <c r="C3359" t="s">
        <v>3421</v>
      </c>
      <c r="D3359">
        <v>2017</v>
      </c>
      <c r="F3359" t="s">
        <v>3404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f t="shared" si="104"/>
        <v>3.8</v>
      </c>
      <c r="M3359">
        <f t="shared" si="105"/>
        <v>1</v>
      </c>
    </row>
    <row r="3360" spans="1:13" x14ac:dyDescent="0.3">
      <c r="A3360">
        <v>3358</v>
      </c>
      <c r="B3360">
        <v>3359</v>
      </c>
      <c r="C3360" t="s">
        <v>3422</v>
      </c>
      <c r="D3360">
        <v>2018</v>
      </c>
      <c r="E3360" t="s">
        <v>22</v>
      </c>
      <c r="F3360" t="s">
        <v>3404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f t="shared" si="104"/>
        <v>3.8</v>
      </c>
      <c r="M3360">
        <f t="shared" si="105"/>
        <v>1</v>
      </c>
    </row>
    <row r="3361" spans="1:13" x14ac:dyDescent="0.3">
      <c r="A3361">
        <v>3359</v>
      </c>
      <c r="B3361">
        <v>3360</v>
      </c>
      <c r="C3361" t="s">
        <v>3423</v>
      </c>
      <c r="D3361">
        <v>2016</v>
      </c>
      <c r="E3361" t="s">
        <v>22</v>
      </c>
      <c r="F3361" t="s">
        <v>3404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f t="shared" si="104"/>
        <v>3.8</v>
      </c>
      <c r="M3361">
        <f t="shared" si="105"/>
        <v>1</v>
      </c>
    </row>
    <row r="3362" spans="1:13" x14ac:dyDescent="0.3">
      <c r="A3362">
        <v>3360</v>
      </c>
      <c r="B3362">
        <v>3361</v>
      </c>
      <c r="C3362" t="s">
        <v>3424</v>
      </c>
      <c r="D3362">
        <v>2019</v>
      </c>
      <c r="F3362" t="s">
        <v>3404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f t="shared" si="104"/>
        <v>3.8</v>
      </c>
      <c r="M3362">
        <f t="shared" si="105"/>
        <v>1</v>
      </c>
    </row>
    <row r="3363" spans="1:13" x14ac:dyDescent="0.3">
      <c r="A3363">
        <v>3361</v>
      </c>
      <c r="B3363">
        <v>3362</v>
      </c>
      <c r="C3363" t="s">
        <v>3425</v>
      </c>
      <c r="D3363">
        <v>2006</v>
      </c>
      <c r="F3363" t="s">
        <v>3404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f t="shared" si="104"/>
        <v>3.8</v>
      </c>
      <c r="M3363">
        <f t="shared" si="105"/>
        <v>1</v>
      </c>
    </row>
    <row r="3364" spans="1:13" x14ac:dyDescent="0.3">
      <c r="A3364">
        <v>3362</v>
      </c>
      <c r="B3364">
        <v>3363</v>
      </c>
      <c r="C3364" t="s">
        <v>3426</v>
      </c>
      <c r="D3364">
        <v>2015</v>
      </c>
      <c r="E3364" t="s">
        <v>36</v>
      </c>
      <c r="F3364" t="s">
        <v>3404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f t="shared" si="104"/>
        <v>3.8</v>
      </c>
      <c r="M3364">
        <f t="shared" si="105"/>
        <v>1</v>
      </c>
    </row>
    <row r="3365" spans="1:13" x14ac:dyDescent="0.3">
      <c r="A3365">
        <v>3363</v>
      </c>
      <c r="B3365">
        <v>3364</v>
      </c>
      <c r="C3365" t="s">
        <v>3427</v>
      </c>
      <c r="D3365">
        <v>1991</v>
      </c>
      <c r="F3365" t="s">
        <v>3404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f t="shared" si="104"/>
        <v>3.8</v>
      </c>
      <c r="M3365">
        <f t="shared" si="105"/>
        <v>1</v>
      </c>
    </row>
    <row r="3366" spans="1:13" x14ac:dyDescent="0.3">
      <c r="A3366">
        <v>3364</v>
      </c>
      <c r="B3366">
        <v>3365</v>
      </c>
      <c r="C3366" t="s">
        <v>3428</v>
      </c>
      <c r="D3366">
        <v>1979</v>
      </c>
      <c r="F3366" t="s">
        <v>3404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f t="shared" si="104"/>
        <v>3.8</v>
      </c>
      <c r="M3366">
        <f t="shared" si="105"/>
        <v>1</v>
      </c>
    </row>
    <row r="3367" spans="1:13" x14ac:dyDescent="0.3">
      <c r="A3367">
        <v>3365</v>
      </c>
      <c r="B3367">
        <v>3366</v>
      </c>
      <c r="C3367" t="s">
        <v>3429</v>
      </c>
      <c r="D3367">
        <v>2019</v>
      </c>
      <c r="F3367" t="s">
        <v>3404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f t="shared" si="104"/>
        <v>3.8</v>
      </c>
      <c r="M3367">
        <f t="shared" si="105"/>
        <v>1</v>
      </c>
    </row>
    <row r="3368" spans="1:13" x14ac:dyDescent="0.3">
      <c r="A3368">
        <v>3366</v>
      </c>
      <c r="B3368">
        <v>3367</v>
      </c>
      <c r="C3368" t="s">
        <v>3430</v>
      </c>
      <c r="D3368">
        <v>2013</v>
      </c>
      <c r="F3368" t="s">
        <v>3404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f t="shared" si="104"/>
        <v>3.8</v>
      </c>
      <c r="M3368">
        <f t="shared" si="105"/>
        <v>1</v>
      </c>
    </row>
    <row r="3369" spans="1:13" x14ac:dyDescent="0.3">
      <c r="A3369">
        <v>3367</v>
      </c>
      <c r="B3369">
        <v>3368</v>
      </c>
      <c r="C3369" t="s">
        <v>3431</v>
      </c>
      <c r="D3369">
        <v>2020</v>
      </c>
      <c r="F3369" t="s">
        <v>3404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f t="shared" si="104"/>
        <v>3.8</v>
      </c>
      <c r="M3369">
        <f t="shared" si="105"/>
        <v>1</v>
      </c>
    </row>
    <row r="3370" spans="1:13" x14ac:dyDescent="0.3">
      <c r="A3370">
        <v>3368</v>
      </c>
      <c r="B3370">
        <v>3369</v>
      </c>
      <c r="C3370" t="s">
        <v>3432</v>
      </c>
      <c r="D3370">
        <v>2015</v>
      </c>
      <c r="E3370" t="s">
        <v>22</v>
      </c>
      <c r="F3370" t="s">
        <v>3404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f t="shared" si="104"/>
        <v>3.8</v>
      </c>
      <c r="M3370">
        <f t="shared" si="105"/>
        <v>1</v>
      </c>
    </row>
    <row r="3371" spans="1:13" x14ac:dyDescent="0.3">
      <c r="A3371">
        <v>3369</v>
      </c>
      <c r="B3371">
        <v>3370</v>
      </c>
      <c r="C3371" t="s">
        <v>3433</v>
      </c>
      <c r="D3371">
        <v>2013</v>
      </c>
      <c r="F3371" t="s">
        <v>3404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f t="shared" si="104"/>
        <v>3.8</v>
      </c>
      <c r="M3371">
        <f t="shared" si="105"/>
        <v>1</v>
      </c>
    </row>
    <row r="3372" spans="1:13" x14ac:dyDescent="0.3">
      <c r="A3372">
        <v>3370</v>
      </c>
      <c r="B3372">
        <v>3371</v>
      </c>
      <c r="C3372" t="s">
        <v>3434</v>
      </c>
      <c r="D3372">
        <v>2018</v>
      </c>
      <c r="E3372" t="s">
        <v>11</v>
      </c>
      <c r="F3372" t="s">
        <v>3404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f t="shared" si="104"/>
        <v>3.8</v>
      </c>
      <c r="M3372">
        <f t="shared" si="105"/>
        <v>1</v>
      </c>
    </row>
    <row r="3373" spans="1:13" x14ac:dyDescent="0.3">
      <c r="A3373">
        <v>3371</v>
      </c>
      <c r="B3373">
        <v>3372</v>
      </c>
      <c r="C3373" t="s">
        <v>3435</v>
      </c>
      <c r="D3373">
        <v>2016</v>
      </c>
      <c r="F3373" t="s">
        <v>3404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f t="shared" si="104"/>
        <v>3.8</v>
      </c>
      <c r="M3373">
        <f t="shared" si="105"/>
        <v>1</v>
      </c>
    </row>
    <row r="3374" spans="1:13" x14ac:dyDescent="0.3">
      <c r="A3374">
        <v>3372</v>
      </c>
      <c r="B3374">
        <v>3373</v>
      </c>
      <c r="C3374" t="s">
        <v>3436</v>
      </c>
      <c r="D3374">
        <v>2012</v>
      </c>
      <c r="F3374" t="s">
        <v>3404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f t="shared" si="104"/>
        <v>3.8</v>
      </c>
      <c r="M3374">
        <f t="shared" si="105"/>
        <v>1</v>
      </c>
    </row>
    <row r="3375" spans="1:13" x14ac:dyDescent="0.3">
      <c r="A3375">
        <v>3373</v>
      </c>
      <c r="B3375">
        <v>3374</v>
      </c>
      <c r="C3375" t="s">
        <v>3437</v>
      </c>
      <c r="D3375">
        <v>2011</v>
      </c>
      <c r="F3375" t="s">
        <v>3404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f t="shared" si="104"/>
        <v>3.8</v>
      </c>
      <c r="M3375">
        <f t="shared" si="105"/>
        <v>1</v>
      </c>
    </row>
    <row r="3376" spans="1:13" x14ac:dyDescent="0.3">
      <c r="A3376">
        <v>3374</v>
      </c>
      <c r="B3376">
        <v>3375</v>
      </c>
      <c r="C3376" t="s">
        <v>3438</v>
      </c>
      <c r="D3376">
        <v>2017</v>
      </c>
      <c r="E3376" t="s">
        <v>11</v>
      </c>
      <c r="F3376" t="s">
        <v>3404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f t="shared" si="104"/>
        <v>3.8</v>
      </c>
      <c r="M3376">
        <f t="shared" si="105"/>
        <v>1</v>
      </c>
    </row>
    <row r="3377" spans="1:13" x14ac:dyDescent="0.3">
      <c r="A3377">
        <v>3375</v>
      </c>
      <c r="B3377">
        <v>3376</v>
      </c>
      <c r="C3377" t="s">
        <v>3439</v>
      </c>
      <c r="D3377">
        <v>2017</v>
      </c>
      <c r="F3377" t="s">
        <v>3404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f t="shared" si="104"/>
        <v>3.8</v>
      </c>
      <c r="M3377">
        <f t="shared" si="105"/>
        <v>1</v>
      </c>
    </row>
    <row r="3378" spans="1:13" x14ac:dyDescent="0.3">
      <c r="A3378">
        <v>3376</v>
      </c>
      <c r="B3378">
        <v>3377</v>
      </c>
      <c r="C3378" t="s">
        <v>3440</v>
      </c>
      <c r="D3378">
        <v>2016</v>
      </c>
      <c r="F3378" t="s">
        <v>3404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f t="shared" si="104"/>
        <v>3.8</v>
      </c>
      <c r="M3378">
        <f t="shared" si="105"/>
        <v>1</v>
      </c>
    </row>
    <row r="3379" spans="1:13" x14ac:dyDescent="0.3">
      <c r="A3379">
        <v>3377</v>
      </c>
      <c r="B3379">
        <v>3378</v>
      </c>
      <c r="C3379" t="s">
        <v>3441</v>
      </c>
      <c r="D3379">
        <v>2006</v>
      </c>
      <c r="F3379" t="s">
        <v>3404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f t="shared" si="104"/>
        <v>3.8</v>
      </c>
      <c r="M3379">
        <f t="shared" si="105"/>
        <v>1</v>
      </c>
    </row>
    <row r="3380" spans="1:13" x14ac:dyDescent="0.3">
      <c r="A3380">
        <v>3378</v>
      </c>
      <c r="B3380">
        <v>3379</v>
      </c>
      <c r="C3380" t="s">
        <v>3442</v>
      </c>
      <c r="D3380">
        <v>2020</v>
      </c>
      <c r="F3380" t="s">
        <v>3404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f t="shared" si="104"/>
        <v>3.8</v>
      </c>
      <c r="M3380">
        <f t="shared" si="105"/>
        <v>1</v>
      </c>
    </row>
    <row r="3381" spans="1:13" x14ac:dyDescent="0.3">
      <c r="A3381">
        <v>3379</v>
      </c>
      <c r="B3381">
        <v>3380</v>
      </c>
      <c r="C3381" t="s">
        <v>3443</v>
      </c>
      <c r="D3381">
        <v>2013</v>
      </c>
      <c r="F3381" t="s">
        <v>3404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f t="shared" si="104"/>
        <v>3.8</v>
      </c>
      <c r="M3381">
        <f t="shared" si="105"/>
        <v>1</v>
      </c>
    </row>
    <row r="3382" spans="1:13" x14ac:dyDescent="0.3">
      <c r="A3382">
        <v>3380</v>
      </c>
      <c r="B3382">
        <v>3381</v>
      </c>
      <c r="C3382" t="s">
        <v>3444</v>
      </c>
      <c r="D3382">
        <v>2019</v>
      </c>
      <c r="F3382" t="s">
        <v>3404</v>
      </c>
      <c r="G3382">
        <v>1</v>
      </c>
      <c r="H3382">
        <v>0</v>
      </c>
      <c r="I3382">
        <v>0</v>
      </c>
      <c r="J3382">
        <v>0</v>
      </c>
      <c r="K3382">
        <v>0</v>
      </c>
      <c r="L3382">
        <f t="shared" si="104"/>
        <v>3.8</v>
      </c>
      <c r="M3382">
        <f t="shared" si="105"/>
        <v>1</v>
      </c>
    </row>
    <row r="3383" spans="1:13" x14ac:dyDescent="0.3">
      <c r="A3383">
        <v>3381</v>
      </c>
      <c r="B3383">
        <v>3382</v>
      </c>
      <c r="C3383" t="s">
        <v>3445</v>
      </c>
      <c r="D3383">
        <v>2017</v>
      </c>
      <c r="F3383" t="s">
        <v>3404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f t="shared" si="104"/>
        <v>3.8</v>
      </c>
      <c r="M3383">
        <f t="shared" si="105"/>
        <v>1</v>
      </c>
    </row>
    <row r="3384" spans="1:13" x14ac:dyDescent="0.3">
      <c r="A3384">
        <v>3382</v>
      </c>
      <c r="B3384">
        <v>3383</v>
      </c>
      <c r="C3384" t="s">
        <v>3446</v>
      </c>
      <c r="D3384">
        <v>2013</v>
      </c>
      <c r="F3384" t="s">
        <v>3404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f t="shared" si="104"/>
        <v>3.8</v>
      </c>
      <c r="M3384">
        <f t="shared" si="105"/>
        <v>1</v>
      </c>
    </row>
    <row r="3385" spans="1:13" x14ac:dyDescent="0.3">
      <c r="A3385">
        <v>3383</v>
      </c>
      <c r="B3385">
        <v>3384</v>
      </c>
      <c r="C3385" t="s">
        <v>3447</v>
      </c>
      <c r="D3385">
        <v>2020</v>
      </c>
      <c r="F3385" t="s">
        <v>3404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f t="shared" si="104"/>
        <v>3.8</v>
      </c>
      <c r="M3385">
        <f t="shared" si="105"/>
        <v>1</v>
      </c>
    </row>
    <row r="3386" spans="1:13" x14ac:dyDescent="0.3">
      <c r="A3386">
        <v>3384</v>
      </c>
      <c r="B3386">
        <v>3385</v>
      </c>
      <c r="C3386" t="s">
        <v>3448</v>
      </c>
      <c r="D3386">
        <v>2019</v>
      </c>
      <c r="F3386" t="s">
        <v>3404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f t="shared" si="104"/>
        <v>3.8</v>
      </c>
      <c r="M3386">
        <f t="shared" si="105"/>
        <v>1</v>
      </c>
    </row>
    <row r="3387" spans="1:13" x14ac:dyDescent="0.3">
      <c r="A3387">
        <v>3385</v>
      </c>
      <c r="B3387">
        <v>3386</v>
      </c>
      <c r="C3387" t="s">
        <v>3449</v>
      </c>
      <c r="D3387">
        <v>2016</v>
      </c>
      <c r="E3387" t="s">
        <v>22</v>
      </c>
      <c r="F3387" t="s">
        <v>3404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f t="shared" si="104"/>
        <v>3.8</v>
      </c>
      <c r="M3387">
        <f t="shared" si="105"/>
        <v>1</v>
      </c>
    </row>
    <row r="3388" spans="1:13" x14ac:dyDescent="0.3">
      <c r="A3388">
        <v>3386</v>
      </c>
      <c r="B3388">
        <v>3387</v>
      </c>
      <c r="C3388" t="s">
        <v>3450</v>
      </c>
      <c r="D3388">
        <v>2017</v>
      </c>
      <c r="F3388" t="s">
        <v>3404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f t="shared" si="104"/>
        <v>3.8</v>
      </c>
      <c r="M3388">
        <f t="shared" si="105"/>
        <v>1</v>
      </c>
    </row>
    <row r="3389" spans="1:13" x14ac:dyDescent="0.3">
      <c r="A3389">
        <v>3387</v>
      </c>
      <c r="B3389">
        <v>3388</v>
      </c>
      <c r="C3389" t="s">
        <v>3451</v>
      </c>
      <c r="D3389">
        <v>2019</v>
      </c>
      <c r="F3389" t="s">
        <v>3404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f t="shared" si="104"/>
        <v>3.8</v>
      </c>
      <c r="M3389">
        <f t="shared" si="105"/>
        <v>1</v>
      </c>
    </row>
    <row r="3390" spans="1:13" x14ac:dyDescent="0.3">
      <c r="A3390">
        <v>3388</v>
      </c>
      <c r="B3390">
        <v>3389</v>
      </c>
      <c r="C3390" t="s">
        <v>3452</v>
      </c>
      <c r="D3390">
        <v>2019</v>
      </c>
      <c r="F3390" t="s">
        <v>3404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f t="shared" si="104"/>
        <v>3.8</v>
      </c>
      <c r="M3390">
        <f t="shared" si="105"/>
        <v>1</v>
      </c>
    </row>
    <row r="3391" spans="1:13" x14ac:dyDescent="0.3">
      <c r="A3391">
        <v>3389</v>
      </c>
      <c r="B3391">
        <v>3390</v>
      </c>
      <c r="C3391" t="s">
        <v>3453</v>
      </c>
      <c r="D3391">
        <v>2010</v>
      </c>
      <c r="F3391" t="s">
        <v>3404</v>
      </c>
      <c r="G3391">
        <v>1</v>
      </c>
      <c r="H3391">
        <v>0</v>
      </c>
      <c r="I3391">
        <v>1</v>
      </c>
      <c r="J3391">
        <v>0</v>
      </c>
      <c r="K3391">
        <v>0</v>
      </c>
      <c r="L3391">
        <f t="shared" si="104"/>
        <v>3.8</v>
      </c>
      <c r="M3391">
        <f t="shared" si="105"/>
        <v>2</v>
      </c>
    </row>
    <row r="3392" spans="1:13" x14ac:dyDescent="0.3">
      <c r="A3392">
        <v>3390</v>
      </c>
      <c r="B3392">
        <v>3391</v>
      </c>
      <c r="C3392" t="s">
        <v>3454</v>
      </c>
      <c r="D3392">
        <v>2017</v>
      </c>
      <c r="F3392" t="s">
        <v>3404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f t="shared" si="104"/>
        <v>3.8</v>
      </c>
      <c r="M3392">
        <f t="shared" si="105"/>
        <v>1</v>
      </c>
    </row>
    <row r="3393" spans="1:13" x14ac:dyDescent="0.3">
      <c r="A3393">
        <v>3391</v>
      </c>
      <c r="B3393">
        <v>3392</v>
      </c>
      <c r="C3393" t="s">
        <v>3455</v>
      </c>
      <c r="D3393">
        <v>2018</v>
      </c>
      <c r="F3393" t="s">
        <v>3404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f t="shared" si="104"/>
        <v>3.8</v>
      </c>
      <c r="M3393">
        <f t="shared" si="105"/>
        <v>1</v>
      </c>
    </row>
    <row r="3394" spans="1:13" x14ac:dyDescent="0.3">
      <c r="A3394">
        <v>3392</v>
      </c>
      <c r="B3394">
        <v>3393</v>
      </c>
      <c r="C3394" t="s">
        <v>3456</v>
      </c>
      <c r="D3394">
        <v>2020</v>
      </c>
      <c r="F3394" t="s">
        <v>3404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f t="shared" si="104"/>
        <v>3.8</v>
      </c>
      <c r="M3394">
        <f t="shared" si="105"/>
        <v>1</v>
      </c>
    </row>
    <row r="3395" spans="1:13" x14ac:dyDescent="0.3">
      <c r="A3395">
        <v>3393</v>
      </c>
      <c r="B3395">
        <v>3394</v>
      </c>
      <c r="C3395" t="s">
        <v>3457</v>
      </c>
      <c r="D3395">
        <v>2019</v>
      </c>
      <c r="F3395" t="s">
        <v>3404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f t="shared" ref="L3395:L3458" si="106">IFERROR(VALUE(LEFT(F3395,FIND("/",F3395)-1))/10,"")</f>
        <v>3.8</v>
      </c>
      <c r="M3395">
        <f t="shared" ref="M3395:M3458" si="107">SUM(G3395:J3395)</f>
        <v>1</v>
      </c>
    </row>
    <row r="3396" spans="1:13" x14ac:dyDescent="0.3">
      <c r="A3396">
        <v>3394</v>
      </c>
      <c r="B3396">
        <v>3395</v>
      </c>
      <c r="C3396" t="s">
        <v>3458</v>
      </c>
      <c r="D3396">
        <v>2019</v>
      </c>
      <c r="F3396" t="s">
        <v>3404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f t="shared" si="106"/>
        <v>3.8</v>
      </c>
      <c r="M3396">
        <f t="shared" si="107"/>
        <v>1</v>
      </c>
    </row>
    <row r="3397" spans="1:13" x14ac:dyDescent="0.3">
      <c r="A3397">
        <v>3395</v>
      </c>
      <c r="B3397">
        <v>3396</v>
      </c>
      <c r="C3397" t="s">
        <v>3459</v>
      </c>
      <c r="D3397">
        <v>2019</v>
      </c>
      <c r="E3397" t="s">
        <v>22</v>
      </c>
      <c r="F3397" t="s">
        <v>3404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f t="shared" si="106"/>
        <v>3.8</v>
      </c>
      <c r="M3397">
        <f t="shared" si="107"/>
        <v>1</v>
      </c>
    </row>
    <row r="3398" spans="1:13" x14ac:dyDescent="0.3">
      <c r="A3398">
        <v>3396</v>
      </c>
      <c r="B3398">
        <v>3397</v>
      </c>
      <c r="C3398" t="s">
        <v>3460</v>
      </c>
      <c r="D3398">
        <v>2017</v>
      </c>
      <c r="E3398" t="s">
        <v>36</v>
      </c>
      <c r="F3398" t="s">
        <v>3404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f t="shared" si="106"/>
        <v>3.8</v>
      </c>
      <c r="M3398">
        <f t="shared" si="107"/>
        <v>1</v>
      </c>
    </row>
    <row r="3399" spans="1:13" x14ac:dyDescent="0.3">
      <c r="A3399">
        <v>3397</v>
      </c>
      <c r="B3399">
        <v>3398</v>
      </c>
      <c r="C3399" t="s">
        <v>3461</v>
      </c>
      <c r="D3399">
        <v>2017</v>
      </c>
      <c r="E3399" t="s">
        <v>11</v>
      </c>
      <c r="F3399" t="s">
        <v>3404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f t="shared" si="106"/>
        <v>3.8</v>
      </c>
      <c r="M3399">
        <f t="shared" si="107"/>
        <v>1</v>
      </c>
    </row>
    <row r="3400" spans="1:13" x14ac:dyDescent="0.3">
      <c r="A3400">
        <v>3398</v>
      </c>
      <c r="B3400">
        <v>3399</v>
      </c>
      <c r="C3400" t="s">
        <v>3462</v>
      </c>
      <c r="D3400">
        <v>2018</v>
      </c>
      <c r="E3400" t="s">
        <v>11</v>
      </c>
      <c r="F3400" t="s">
        <v>3404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f t="shared" si="106"/>
        <v>3.8</v>
      </c>
      <c r="M3400">
        <f t="shared" si="107"/>
        <v>1</v>
      </c>
    </row>
    <row r="3401" spans="1:13" x14ac:dyDescent="0.3">
      <c r="A3401">
        <v>3399</v>
      </c>
      <c r="B3401">
        <v>3400</v>
      </c>
      <c r="C3401" t="s">
        <v>3463</v>
      </c>
      <c r="D3401">
        <v>2016</v>
      </c>
      <c r="F3401" t="s">
        <v>3404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f t="shared" si="106"/>
        <v>3.8</v>
      </c>
      <c r="M3401">
        <f t="shared" si="107"/>
        <v>1</v>
      </c>
    </row>
    <row r="3402" spans="1:13" x14ac:dyDescent="0.3">
      <c r="A3402">
        <v>3400</v>
      </c>
      <c r="B3402">
        <v>3401</v>
      </c>
      <c r="C3402" t="s">
        <v>3464</v>
      </c>
      <c r="D3402">
        <v>2019</v>
      </c>
      <c r="F3402" t="s">
        <v>3404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f t="shared" si="106"/>
        <v>3.8</v>
      </c>
      <c r="M3402">
        <f t="shared" si="107"/>
        <v>1</v>
      </c>
    </row>
    <row r="3403" spans="1:13" x14ac:dyDescent="0.3">
      <c r="A3403">
        <v>3401</v>
      </c>
      <c r="B3403">
        <v>3402</v>
      </c>
      <c r="C3403" t="s">
        <v>3465</v>
      </c>
      <c r="D3403">
        <v>2017</v>
      </c>
      <c r="F3403" t="s">
        <v>3404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f t="shared" si="106"/>
        <v>3.8</v>
      </c>
      <c r="M3403">
        <f t="shared" si="107"/>
        <v>1</v>
      </c>
    </row>
    <row r="3404" spans="1:13" x14ac:dyDescent="0.3">
      <c r="A3404">
        <v>3402</v>
      </c>
      <c r="B3404">
        <v>3403</v>
      </c>
      <c r="C3404" t="s">
        <v>3466</v>
      </c>
      <c r="D3404">
        <v>2008</v>
      </c>
      <c r="F3404" t="s">
        <v>3404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f t="shared" si="106"/>
        <v>3.8</v>
      </c>
      <c r="M3404">
        <f t="shared" si="107"/>
        <v>1</v>
      </c>
    </row>
    <row r="3405" spans="1:13" x14ac:dyDescent="0.3">
      <c r="A3405">
        <v>3403</v>
      </c>
      <c r="B3405">
        <v>3404</v>
      </c>
      <c r="C3405" t="s">
        <v>3467</v>
      </c>
      <c r="D3405">
        <v>2019</v>
      </c>
      <c r="F3405" t="s">
        <v>3404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f t="shared" si="106"/>
        <v>3.8</v>
      </c>
      <c r="M3405">
        <f t="shared" si="107"/>
        <v>1</v>
      </c>
    </row>
    <row r="3406" spans="1:13" x14ac:dyDescent="0.3">
      <c r="A3406">
        <v>3404</v>
      </c>
      <c r="B3406">
        <v>3405</v>
      </c>
      <c r="C3406" t="s">
        <v>3468</v>
      </c>
      <c r="D3406">
        <v>2018</v>
      </c>
      <c r="F3406" t="s">
        <v>3469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f t="shared" si="106"/>
        <v>3.7</v>
      </c>
      <c r="M3406">
        <f t="shared" si="107"/>
        <v>1</v>
      </c>
    </row>
    <row r="3407" spans="1:13" x14ac:dyDescent="0.3">
      <c r="A3407">
        <v>3405</v>
      </c>
      <c r="B3407">
        <v>3406</v>
      </c>
      <c r="C3407" t="s">
        <v>3470</v>
      </c>
      <c r="D3407">
        <v>2020</v>
      </c>
      <c r="F3407" t="s">
        <v>3469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f t="shared" si="106"/>
        <v>3.7</v>
      </c>
      <c r="M3407">
        <f t="shared" si="107"/>
        <v>1</v>
      </c>
    </row>
    <row r="3408" spans="1:13" x14ac:dyDescent="0.3">
      <c r="A3408">
        <v>3406</v>
      </c>
      <c r="B3408">
        <v>3407</v>
      </c>
      <c r="C3408" t="s">
        <v>3471</v>
      </c>
      <c r="D3408">
        <v>2019</v>
      </c>
      <c r="E3408" t="s">
        <v>36</v>
      </c>
      <c r="F3408" t="s">
        <v>3469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f t="shared" si="106"/>
        <v>3.7</v>
      </c>
      <c r="M3408">
        <f t="shared" si="107"/>
        <v>1</v>
      </c>
    </row>
    <row r="3409" spans="1:13" x14ac:dyDescent="0.3">
      <c r="A3409">
        <v>3407</v>
      </c>
      <c r="B3409">
        <v>3408</v>
      </c>
      <c r="C3409" t="s">
        <v>3472</v>
      </c>
      <c r="D3409">
        <v>2019</v>
      </c>
      <c r="F3409" t="s">
        <v>3469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f t="shared" si="106"/>
        <v>3.7</v>
      </c>
      <c r="M3409">
        <f t="shared" si="107"/>
        <v>1</v>
      </c>
    </row>
    <row r="3410" spans="1:13" x14ac:dyDescent="0.3">
      <c r="A3410">
        <v>3408</v>
      </c>
      <c r="B3410">
        <v>3409</v>
      </c>
      <c r="C3410" t="s">
        <v>3473</v>
      </c>
      <c r="D3410">
        <v>2019</v>
      </c>
      <c r="E3410" t="s">
        <v>11</v>
      </c>
      <c r="F3410" t="s">
        <v>3469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f t="shared" si="106"/>
        <v>3.7</v>
      </c>
      <c r="M3410">
        <f t="shared" si="107"/>
        <v>1</v>
      </c>
    </row>
    <row r="3411" spans="1:13" x14ac:dyDescent="0.3">
      <c r="A3411">
        <v>3409</v>
      </c>
      <c r="B3411">
        <v>3410</v>
      </c>
      <c r="C3411" t="s">
        <v>3474</v>
      </c>
      <c r="D3411">
        <v>1998</v>
      </c>
      <c r="F3411" t="s">
        <v>3469</v>
      </c>
      <c r="G3411">
        <v>1</v>
      </c>
      <c r="H3411">
        <v>0</v>
      </c>
      <c r="I3411">
        <v>0</v>
      </c>
      <c r="J3411">
        <v>0</v>
      </c>
      <c r="K3411">
        <v>0</v>
      </c>
      <c r="L3411">
        <f t="shared" si="106"/>
        <v>3.7</v>
      </c>
      <c r="M3411">
        <f t="shared" si="107"/>
        <v>1</v>
      </c>
    </row>
    <row r="3412" spans="1:13" x14ac:dyDescent="0.3">
      <c r="A3412">
        <v>3410</v>
      </c>
      <c r="B3412">
        <v>3411</v>
      </c>
      <c r="C3412" t="s">
        <v>3475</v>
      </c>
      <c r="D3412">
        <v>2019</v>
      </c>
      <c r="F3412" t="s">
        <v>3469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f t="shared" si="106"/>
        <v>3.7</v>
      </c>
      <c r="M3412">
        <f t="shared" si="107"/>
        <v>1</v>
      </c>
    </row>
    <row r="3413" spans="1:13" x14ac:dyDescent="0.3">
      <c r="A3413">
        <v>3411</v>
      </c>
      <c r="B3413">
        <v>3412</v>
      </c>
      <c r="C3413" t="s">
        <v>3476</v>
      </c>
      <c r="D3413">
        <v>2020</v>
      </c>
      <c r="F3413" t="s">
        <v>3469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f t="shared" si="106"/>
        <v>3.7</v>
      </c>
      <c r="M3413">
        <f t="shared" si="107"/>
        <v>1</v>
      </c>
    </row>
    <row r="3414" spans="1:13" x14ac:dyDescent="0.3">
      <c r="A3414">
        <v>3412</v>
      </c>
      <c r="B3414">
        <v>3413</v>
      </c>
      <c r="C3414" t="s">
        <v>3477</v>
      </c>
      <c r="D3414">
        <v>2016</v>
      </c>
      <c r="E3414" t="s">
        <v>36</v>
      </c>
      <c r="F3414" t="s">
        <v>3469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f t="shared" si="106"/>
        <v>3.7</v>
      </c>
      <c r="M3414">
        <f t="shared" si="107"/>
        <v>1</v>
      </c>
    </row>
    <row r="3415" spans="1:13" x14ac:dyDescent="0.3">
      <c r="A3415">
        <v>3413</v>
      </c>
      <c r="B3415">
        <v>3414</v>
      </c>
      <c r="C3415" t="s">
        <v>3478</v>
      </c>
      <c r="D3415">
        <v>2013</v>
      </c>
      <c r="F3415" t="s">
        <v>3469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f t="shared" si="106"/>
        <v>3.7</v>
      </c>
      <c r="M3415">
        <f t="shared" si="107"/>
        <v>1</v>
      </c>
    </row>
    <row r="3416" spans="1:13" x14ac:dyDescent="0.3">
      <c r="A3416">
        <v>3414</v>
      </c>
      <c r="B3416">
        <v>3415</v>
      </c>
      <c r="C3416" t="s">
        <v>3479</v>
      </c>
      <c r="D3416">
        <v>2012</v>
      </c>
      <c r="F3416" t="s">
        <v>3469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f t="shared" si="106"/>
        <v>3.7</v>
      </c>
      <c r="M3416">
        <f t="shared" si="107"/>
        <v>1</v>
      </c>
    </row>
    <row r="3417" spans="1:13" x14ac:dyDescent="0.3">
      <c r="A3417">
        <v>3415</v>
      </c>
      <c r="B3417">
        <v>3416</v>
      </c>
      <c r="C3417" t="s">
        <v>3480</v>
      </c>
      <c r="D3417">
        <v>2018</v>
      </c>
      <c r="F3417" t="s">
        <v>3469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f t="shared" si="106"/>
        <v>3.7</v>
      </c>
      <c r="M3417">
        <f t="shared" si="107"/>
        <v>1</v>
      </c>
    </row>
    <row r="3418" spans="1:13" x14ac:dyDescent="0.3">
      <c r="A3418">
        <v>3416</v>
      </c>
      <c r="B3418">
        <v>3417</v>
      </c>
      <c r="C3418" t="s">
        <v>3481</v>
      </c>
      <c r="D3418">
        <v>2019</v>
      </c>
      <c r="F3418" t="s">
        <v>3469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f t="shared" si="106"/>
        <v>3.7</v>
      </c>
      <c r="M3418">
        <f t="shared" si="107"/>
        <v>1</v>
      </c>
    </row>
    <row r="3419" spans="1:13" x14ac:dyDescent="0.3">
      <c r="A3419">
        <v>3417</v>
      </c>
      <c r="B3419">
        <v>3418</v>
      </c>
      <c r="C3419" t="s">
        <v>3482</v>
      </c>
      <c r="D3419">
        <v>2019</v>
      </c>
      <c r="E3419" t="s">
        <v>22</v>
      </c>
      <c r="F3419" t="s">
        <v>3469</v>
      </c>
      <c r="G3419">
        <v>1</v>
      </c>
      <c r="H3419">
        <v>0</v>
      </c>
      <c r="I3419">
        <v>0</v>
      </c>
      <c r="J3419">
        <v>0</v>
      </c>
      <c r="K3419">
        <v>0</v>
      </c>
      <c r="L3419">
        <f t="shared" si="106"/>
        <v>3.7</v>
      </c>
      <c r="M3419">
        <f t="shared" si="107"/>
        <v>1</v>
      </c>
    </row>
    <row r="3420" spans="1:13" x14ac:dyDescent="0.3">
      <c r="A3420">
        <v>3418</v>
      </c>
      <c r="B3420">
        <v>3419</v>
      </c>
      <c r="C3420" t="s">
        <v>3483</v>
      </c>
      <c r="D3420">
        <v>2020</v>
      </c>
      <c r="F3420" t="s">
        <v>3469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f t="shared" si="106"/>
        <v>3.7</v>
      </c>
      <c r="M3420">
        <f t="shared" si="107"/>
        <v>1</v>
      </c>
    </row>
    <row r="3421" spans="1:13" x14ac:dyDescent="0.3">
      <c r="A3421">
        <v>3419</v>
      </c>
      <c r="B3421">
        <v>3420</v>
      </c>
      <c r="C3421" t="s">
        <v>3484</v>
      </c>
      <c r="D3421">
        <v>2019</v>
      </c>
      <c r="F3421" t="s">
        <v>3469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f t="shared" si="106"/>
        <v>3.7</v>
      </c>
      <c r="M3421">
        <f t="shared" si="107"/>
        <v>1</v>
      </c>
    </row>
    <row r="3422" spans="1:13" x14ac:dyDescent="0.3">
      <c r="A3422">
        <v>3420</v>
      </c>
      <c r="B3422">
        <v>3421</v>
      </c>
      <c r="C3422" t="s">
        <v>3485</v>
      </c>
      <c r="D3422">
        <v>2018</v>
      </c>
      <c r="F3422" t="s">
        <v>3469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f t="shared" si="106"/>
        <v>3.7</v>
      </c>
      <c r="M3422">
        <f t="shared" si="107"/>
        <v>1</v>
      </c>
    </row>
    <row r="3423" spans="1:13" x14ac:dyDescent="0.3">
      <c r="A3423">
        <v>3421</v>
      </c>
      <c r="B3423">
        <v>3422</v>
      </c>
      <c r="C3423" t="s">
        <v>3486</v>
      </c>
      <c r="D3423">
        <v>2017</v>
      </c>
      <c r="F3423" t="s">
        <v>3469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f t="shared" si="106"/>
        <v>3.7</v>
      </c>
      <c r="M3423">
        <f t="shared" si="107"/>
        <v>1</v>
      </c>
    </row>
    <row r="3424" spans="1:13" x14ac:dyDescent="0.3">
      <c r="A3424">
        <v>3422</v>
      </c>
      <c r="B3424">
        <v>3423</v>
      </c>
      <c r="C3424" t="s">
        <v>3487</v>
      </c>
      <c r="D3424">
        <v>2016</v>
      </c>
      <c r="E3424" t="s">
        <v>22</v>
      </c>
      <c r="F3424" t="s">
        <v>3469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f t="shared" si="106"/>
        <v>3.7</v>
      </c>
      <c r="M3424">
        <f t="shared" si="107"/>
        <v>1</v>
      </c>
    </row>
    <row r="3425" spans="1:13" x14ac:dyDescent="0.3">
      <c r="A3425">
        <v>3423</v>
      </c>
      <c r="B3425">
        <v>3424</v>
      </c>
      <c r="C3425" t="s">
        <v>3488</v>
      </c>
      <c r="D3425">
        <v>2018</v>
      </c>
      <c r="F3425" t="s">
        <v>3469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f t="shared" si="106"/>
        <v>3.7</v>
      </c>
      <c r="M3425">
        <f t="shared" si="107"/>
        <v>1</v>
      </c>
    </row>
    <row r="3426" spans="1:13" x14ac:dyDescent="0.3">
      <c r="A3426">
        <v>3424</v>
      </c>
      <c r="B3426">
        <v>3425</v>
      </c>
      <c r="C3426" t="s">
        <v>3489</v>
      </c>
      <c r="D3426">
        <v>2017</v>
      </c>
      <c r="F3426" t="s">
        <v>3469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f t="shared" si="106"/>
        <v>3.7</v>
      </c>
      <c r="M3426">
        <f t="shared" si="107"/>
        <v>1</v>
      </c>
    </row>
    <row r="3427" spans="1:13" x14ac:dyDescent="0.3">
      <c r="A3427">
        <v>3425</v>
      </c>
      <c r="B3427">
        <v>3426</v>
      </c>
      <c r="C3427" t="s">
        <v>3490</v>
      </c>
      <c r="D3427">
        <v>2015</v>
      </c>
      <c r="F3427" t="s">
        <v>3469</v>
      </c>
      <c r="G3427">
        <v>1</v>
      </c>
      <c r="H3427">
        <v>0</v>
      </c>
      <c r="I3427">
        <v>0</v>
      </c>
      <c r="J3427">
        <v>0</v>
      </c>
      <c r="K3427">
        <v>0</v>
      </c>
      <c r="L3427">
        <f t="shared" si="106"/>
        <v>3.7</v>
      </c>
      <c r="M3427">
        <f t="shared" si="107"/>
        <v>1</v>
      </c>
    </row>
    <row r="3428" spans="1:13" x14ac:dyDescent="0.3">
      <c r="A3428">
        <v>3426</v>
      </c>
      <c r="B3428">
        <v>3427</v>
      </c>
      <c r="C3428" t="s">
        <v>3491</v>
      </c>
      <c r="D3428">
        <v>2019</v>
      </c>
      <c r="F3428" t="s">
        <v>3469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f t="shared" si="106"/>
        <v>3.7</v>
      </c>
      <c r="M3428">
        <f t="shared" si="107"/>
        <v>1</v>
      </c>
    </row>
    <row r="3429" spans="1:13" x14ac:dyDescent="0.3">
      <c r="A3429">
        <v>3427</v>
      </c>
      <c r="B3429">
        <v>3428</v>
      </c>
      <c r="C3429" t="s">
        <v>3492</v>
      </c>
      <c r="D3429">
        <v>2018</v>
      </c>
      <c r="F3429" t="s">
        <v>3469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f t="shared" si="106"/>
        <v>3.7</v>
      </c>
      <c r="M3429">
        <f t="shared" si="107"/>
        <v>1</v>
      </c>
    </row>
    <row r="3430" spans="1:13" x14ac:dyDescent="0.3">
      <c r="A3430">
        <v>3428</v>
      </c>
      <c r="B3430">
        <v>3429</v>
      </c>
      <c r="C3430" t="s">
        <v>3493</v>
      </c>
      <c r="D3430">
        <v>2018</v>
      </c>
      <c r="E3430" t="s">
        <v>22</v>
      </c>
      <c r="F3430" t="s">
        <v>3469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f t="shared" si="106"/>
        <v>3.7</v>
      </c>
      <c r="M3430">
        <f t="shared" si="107"/>
        <v>1</v>
      </c>
    </row>
    <row r="3431" spans="1:13" x14ac:dyDescent="0.3">
      <c r="A3431">
        <v>3429</v>
      </c>
      <c r="B3431">
        <v>3430</v>
      </c>
      <c r="C3431" t="s">
        <v>3494</v>
      </c>
      <c r="D3431">
        <v>2019</v>
      </c>
      <c r="E3431" t="s">
        <v>36</v>
      </c>
      <c r="F3431" t="s">
        <v>3469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f t="shared" si="106"/>
        <v>3.7</v>
      </c>
      <c r="M3431">
        <f t="shared" si="107"/>
        <v>1</v>
      </c>
    </row>
    <row r="3432" spans="1:13" x14ac:dyDescent="0.3">
      <c r="A3432">
        <v>3430</v>
      </c>
      <c r="B3432">
        <v>3431</v>
      </c>
      <c r="C3432" t="s">
        <v>3495</v>
      </c>
      <c r="D3432">
        <v>2019</v>
      </c>
      <c r="F3432" t="s">
        <v>3469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f t="shared" si="106"/>
        <v>3.7</v>
      </c>
      <c r="M3432">
        <f t="shared" si="107"/>
        <v>1</v>
      </c>
    </row>
    <row r="3433" spans="1:13" x14ac:dyDescent="0.3">
      <c r="A3433">
        <v>3431</v>
      </c>
      <c r="B3433">
        <v>3432</v>
      </c>
      <c r="C3433" t="s">
        <v>3496</v>
      </c>
      <c r="D3433">
        <v>2019</v>
      </c>
      <c r="F3433" t="s">
        <v>3469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f t="shared" si="106"/>
        <v>3.7</v>
      </c>
      <c r="M3433">
        <f t="shared" si="107"/>
        <v>1</v>
      </c>
    </row>
    <row r="3434" spans="1:13" x14ac:dyDescent="0.3">
      <c r="A3434">
        <v>3432</v>
      </c>
      <c r="B3434">
        <v>3433</v>
      </c>
      <c r="C3434" t="s">
        <v>3497</v>
      </c>
      <c r="D3434">
        <v>2014</v>
      </c>
      <c r="E3434" t="s">
        <v>14</v>
      </c>
      <c r="F3434" t="s">
        <v>3469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f t="shared" si="106"/>
        <v>3.7</v>
      </c>
      <c r="M3434">
        <f t="shared" si="107"/>
        <v>1</v>
      </c>
    </row>
    <row r="3435" spans="1:13" x14ac:dyDescent="0.3">
      <c r="A3435">
        <v>3433</v>
      </c>
      <c r="B3435">
        <v>3434</v>
      </c>
      <c r="C3435" t="s">
        <v>3498</v>
      </c>
      <c r="D3435">
        <v>2019</v>
      </c>
      <c r="F3435" t="s">
        <v>3469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f t="shared" si="106"/>
        <v>3.7</v>
      </c>
      <c r="M3435">
        <f t="shared" si="107"/>
        <v>1</v>
      </c>
    </row>
    <row r="3436" spans="1:13" x14ac:dyDescent="0.3">
      <c r="A3436">
        <v>3434</v>
      </c>
      <c r="B3436">
        <v>3435</v>
      </c>
      <c r="C3436" t="s">
        <v>3499</v>
      </c>
      <c r="D3436">
        <v>2014</v>
      </c>
      <c r="F3436" t="s">
        <v>3469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f t="shared" si="106"/>
        <v>3.7</v>
      </c>
      <c r="M3436">
        <f t="shared" si="107"/>
        <v>1</v>
      </c>
    </row>
    <row r="3437" spans="1:13" x14ac:dyDescent="0.3">
      <c r="A3437">
        <v>3435</v>
      </c>
      <c r="B3437">
        <v>3436</v>
      </c>
      <c r="C3437" t="s">
        <v>3500</v>
      </c>
      <c r="D3437">
        <v>2020</v>
      </c>
      <c r="F3437" t="s">
        <v>3469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f t="shared" si="106"/>
        <v>3.7</v>
      </c>
      <c r="M3437">
        <f t="shared" si="107"/>
        <v>1</v>
      </c>
    </row>
    <row r="3438" spans="1:13" x14ac:dyDescent="0.3">
      <c r="A3438">
        <v>3436</v>
      </c>
      <c r="B3438">
        <v>3437</v>
      </c>
      <c r="C3438" t="s">
        <v>3501</v>
      </c>
      <c r="D3438">
        <v>2017</v>
      </c>
      <c r="F3438" t="s">
        <v>3469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f t="shared" si="106"/>
        <v>3.7</v>
      </c>
      <c r="M3438">
        <f t="shared" si="107"/>
        <v>1</v>
      </c>
    </row>
    <row r="3439" spans="1:13" x14ac:dyDescent="0.3">
      <c r="A3439">
        <v>3437</v>
      </c>
      <c r="B3439">
        <v>3438</v>
      </c>
      <c r="C3439" t="s">
        <v>3502</v>
      </c>
      <c r="D3439">
        <v>2019</v>
      </c>
      <c r="F3439" t="s">
        <v>3469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f t="shared" si="106"/>
        <v>3.7</v>
      </c>
      <c r="M3439">
        <f t="shared" si="107"/>
        <v>1</v>
      </c>
    </row>
    <row r="3440" spans="1:13" x14ac:dyDescent="0.3">
      <c r="A3440">
        <v>3438</v>
      </c>
      <c r="B3440">
        <v>3439</v>
      </c>
      <c r="C3440" t="s">
        <v>3503</v>
      </c>
      <c r="D3440">
        <v>2017</v>
      </c>
      <c r="F3440" t="s">
        <v>3469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f t="shared" si="106"/>
        <v>3.7</v>
      </c>
      <c r="M3440">
        <f t="shared" si="107"/>
        <v>1</v>
      </c>
    </row>
    <row r="3441" spans="1:13" x14ac:dyDescent="0.3">
      <c r="A3441">
        <v>3439</v>
      </c>
      <c r="B3441">
        <v>3440</v>
      </c>
      <c r="C3441" t="s">
        <v>3504</v>
      </c>
      <c r="D3441">
        <v>2020</v>
      </c>
      <c r="E3441" t="s">
        <v>36</v>
      </c>
      <c r="F3441" t="s">
        <v>3469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f t="shared" si="106"/>
        <v>3.7</v>
      </c>
      <c r="M3441">
        <f t="shared" si="107"/>
        <v>1</v>
      </c>
    </row>
    <row r="3442" spans="1:13" x14ac:dyDescent="0.3">
      <c r="A3442">
        <v>3440</v>
      </c>
      <c r="B3442">
        <v>3441</v>
      </c>
      <c r="C3442" t="s">
        <v>3505</v>
      </c>
      <c r="D3442">
        <v>2020</v>
      </c>
      <c r="F3442" t="s">
        <v>3469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f t="shared" si="106"/>
        <v>3.7</v>
      </c>
      <c r="M3442">
        <f t="shared" si="107"/>
        <v>1</v>
      </c>
    </row>
    <row r="3443" spans="1:13" x14ac:dyDescent="0.3">
      <c r="A3443">
        <v>3441</v>
      </c>
      <c r="B3443">
        <v>3442</v>
      </c>
      <c r="C3443" t="s">
        <v>3506</v>
      </c>
      <c r="D3443">
        <v>2016</v>
      </c>
      <c r="F3443" t="s">
        <v>3469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f t="shared" si="106"/>
        <v>3.7</v>
      </c>
      <c r="M3443">
        <f t="shared" si="107"/>
        <v>1</v>
      </c>
    </row>
    <row r="3444" spans="1:13" x14ac:dyDescent="0.3">
      <c r="A3444">
        <v>3442</v>
      </c>
      <c r="B3444">
        <v>3443</v>
      </c>
      <c r="C3444" t="s">
        <v>3507</v>
      </c>
      <c r="D3444">
        <v>2019</v>
      </c>
      <c r="F3444" t="s">
        <v>3469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f t="shared" si="106"/>
        <v>3.7</v>
      </c>
      <c r="M3444">
        <f t="shared" si="107"/>
        <v>1</v>
      </c>
    </row>
    <row r="3445" spans="1:13" x14ac:dyDescent="0.3">
      <c r="A3445">
        <v>3443</v>
      </c>
      <c r="B3445">
        <v>3444</v>
      </c>
      <c r="C3445" t="s">
        <v>3508</v>
      </c>
      <c r="D3445">
        <v>2014</v>
      </c>
      <c r="F3445" t="s">
        <v>3469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f t="shared" si="106"/>
        <v>3.7</v>
      </c>
      <c r="M3445">
        <f t="shared" si="107"/>
        <v>1</v>
      </c>
    </row>
    <row r="3446" spans="1:13" x14ac:dyDescent="0.3">
      <c r="A3446">
        <v>3444</v>
      </c>
      <c r="B3446">
        <v>3445</v>
      </c>
      <c r="C3446" t="s">
        <v>3509</v>
      </c>
      <c r="D3446">
        <v>2018</v>
      </c>
      <c r="F3446" t="s">
        <v>3469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f t="shared" si="106"/>
        <v>3.7</v>
      </c>
      <c r="M3446">
        <f t="shared" si="107"/>
        <v>1</v>
      </c>
    </row>
    <row r="3447" spans="1:13" x14ac:dyDescent="0.3">
      <c r="A3447">
        <v>3445</v>
      </c>
      <c r="B3447">
        <v>3446</v>
      </c>
      <c r="C3447" t="s">
        <v>3510</v>
      </c>
      <c r="D3447">
        <v>2019</v>
      </c>
      <c r="F3447" t="s">
        <v>3469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f t="shared" si="106"/>
        <v>3.7</v>
      </c>
      <c r="M3447">
        <f t="shared" si="107"/>
        <v>1</v>
      </c>
    </row>
    <row r="3448" spans="1:13" x14ac:dyDescent="0.3">
      <c r="A3448">
        <v>3446</v>
      </c>
      <c r="B3448">
        <v>3447</v>
      </c>
      <c r="C3448" t="s">
        <v>3511</v>
      </c>
      <c r="D3448">
        <v>2019</v>
      </c>
      <c r="F3448" t="s">
        <v>3469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f t="shared" si="106"/>
        <v>3.7</v>
      </c>
      <c r="M3448">
        <f t="shared" si="107"/>
        <v>1</v>
      </c>
    </row>
    <row r="3449" spans="1:13" x14ac:dyDescent="0.3">
      <c r="A3449">
        <v>3447</v>
      </c>
      <c r="B3449">
        <v>3448</v>
      </c>
      <c r="C3449" t="s">
        <v>3512</v>
      </c>
      <c r="D3449">
        <v>2002</v>
      </c>
      <c r="F3449" t="s">
        <v>3469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f t="shared" si="106"/>
        <v>3.7</v>
      </c>
      <c r="M3449">
        <f t="shared" si="107"/>
        <v>1</v>
      </c>
    </row>
    <row r="3450" spans="1:13" x14ac:dyDescent="0.3">
      <c r="A3450">
        <v>3448</v>
      </c>
      <c r="B3450">
        <v>3449</v>
      </c>
      <c r="C3450" t="s">
        <v>3513</v>
      </c>
      <c r="D3450">
        <v>2016</v>
      </c>
      <c r="E3450" t="s">
        <v>14</v>
      </c>
      <c r="F3450" t="s">
        <v>3469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f t="shared" si="106"/>
        <v>3.7</v>
      </c>
      <c r="M3450">
        <f t="shared" si="107"/>
        <v>1</v>
      </c>
    </row>
    <row r="3451" spans="1:13" x14ac:dyDescent="0.3">
      <c r="A3451">
        <v>3449</v>
      </c>
      <c r="B3451">
        <v>3450</v>
      </c>
      <c r="C3451" t="s">
        <v>3514</v>
      </c>
      <c r="D3451">
        <v>2016</v>
      </c>
      <c r="E3451" t="s">
        <v>22</v>
      </c>
      <c r="F3451" t="s">
        <v>3469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f t="shared" si="106"/>
        <v>3.7</v>
      </c>
      <c r="M3451">
        <f t="shared" si="107"/>
        <v>1</v>
      </c>
    </row>
    <row r="3452" spans="1:13" x14ac:dyDescent="0.3">
      <c r="A3452">
        <v>3450</v>
      </c>
      <c r="B3452">
        <v>3451</v>
      </c>
      <c r="C3452" t="s">
        <v>3515</v>
      </c>
      <c r="D3452">
        <v>2019</v>
      </c>
      <c r="F3452" t="s">
        <v>3469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f t="shared" si="106"/>
        <v>3.7</v>
      </c>
      <c r="M3452">
        <f t="shared" si="107"/>
        <v>1</v>
      </c>
    </row>
    <row r="3453" spans="1:13" x14ac:dyDescent="0.3">
      <c r="A3453">
        <v>3451</v>
      </c>
      <c r="B3453">
        <v>3452</v>
      </c>
      <c r="C3453" t="s">
        <v>3516</v>
      </c>
      <c r="D3453">
        <v>2013</v>
      </c>
      <c r="F3453" t="s">
        <v>3469</v>
      </c>
      <c r="G3453">
        <v>1</v>
      </c>
      <c r="H3453">
        <v>0</v>
      </c>
      <c r="I3453">
        <v>0</v>
      </c>
      <c r="J3453">
        <v>0</v>
      </c>
      <c r="K3453">
        <v>0</v>
      </c>
      <c r="L3453">
        <f t="shared" si="106"/>
        <v>3.7</v>
      </c>
      <c r="M3453">
        <f t="shared" si="107"/>
        <v>1</v>
      </c>
    </row>
    <row r="3454" spans="1:13" x14ac:dyDescent="0.3">
      <c r="A3454">
        <v>3452</v>
      </c>
      <c r="B3454">
        <v>3453</v>
      </c>
      <c r="C3454" t="s">
        <v>3517</v>
      </c>
      <c r="D3454">
        <v>2019</v>
      </c>
      <c r="F3454" t="s">
        <v>3469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f t="shared" si="106"/>
        <v>3.7</v>
      </c>
      <c r="M3454">
        <f t="shared" si="107"/>
        <v>1</v>
      </c>
    </row>
    <row r="3455" spans="1:13" x14ac:dyDescent="0.3">
      <c r="A3455">
        <v>3453</v>
      </c>
      <c r="B3455">
        <v>3454</v>
      </c>
      <c r="C3455" t="s">
        <v>3518</v>
      </c>
      <c r="D3455">
        <v>2018</v>
      </c>
      <c r="F3455" t="s">
        <v>3469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f t="shared" si="106"/>
        <v>3.7</v>
      </c>
      <c r="M3455">
        <f t="shared" si="107"/>
        <v>1</v>
      </c>
    </row>
    <row r="3456" spans="1:13" x14ac:dyDescent="0.3">
      <c r="A3456">
        <v>3454</v>
      </c>
      <c r="B3456">
        <v>3455</v>
      </c>
      <c r="C3456" t="s">
        <v>3519</v>
      </c>
      <c r="D3456">
        <v>2020</v>
      </c>
      <c r="E3456" t="s">
        <v>11</v>
      </c>
      <c r="F3456" t="s">
        <v>3469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f t="shared" si="106"/>
        <v>3.7</v>
      </c>
      <c r="M3456">
        <f t="shared" si="107"/>
        <v>1</v>
      </c>
    </row>
    <row r="3457" spans="1:13" x14ac:dyDescent="0.3">
      <c r="A3457">
        <v>3455</v>
      </c>
      <c r="B3457">
        <v>3456</v>
      </c>
      <c r="C3457" t="s">
        <v>3520</v>
      </c>
      <c r="D3457">
        <v>2013</v>
      </c>
      <c r="E3457" t="s">
        <v>22</v>
      </c>
      <c r="F3457" t="s">
        <v>3469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f t="shared" si="106"/>
        <v>3.7</v>
      </c>
      <c r="M3457">
        <f t="shared" si="107"/>
        <v>1</v>
      </c>
    </row>
    <row r="3458" spans="1:13" x14ac:dyDescent="0.3">
      <c r="A3458">
        <v>3456</v>
      </c>
      <c r="B3458">
        <v>3457</v>
      </c>
      <c r="C3458" t="s">
        <v>3521</v>
      </c>
      <c r="D3458">
        <v>2017</v>
      </c>
      <c r="F3458" t="s">
        <v>3469</v>
      </c>
      <c r="G3458">
        <v>1</v>
      </c>
      <c r="H3458">
        <v>0</v>
      </c>
      <c r="I3458">
        <v>0</v>
      </c>
      <c r="J3458">
        <v>0</v>
      </c>
      <c r="K3458">
        <v>0</v>
      </c>
      <c r="L3458">
        <f t="shared" si="106"/>
        <v>3.7</v>
      </c>
      <c r="M3458">
        <f t="shared" si="107"/>
        <v>1</v>
      </c>
    </row>
    <row r="3459" spans="1:13" x14ac:dyDescent="0.3">
      <c r="A3459">
        <v>3457</v>
      </c>
      <c r="B3459">
        <v>3458</v>
      </c>
      <c r="C3459" t="s">
        <v>3522</v>
      </c>
      <c r="D3459">
        <v>2006</v>
      </c>
      <c r="F3459" t="s">
        <v>3523</v>
      </c>
      <c r="G3459">
        <v>1</v>
      </c>
      <c r="H3459">
        <v>0</v>
      </c>
      <c r="I3459">
        <v>0</v>
      </c>
      <c r="J3459">
        <v>0</v>
      </c>
      <c r="K3459">
        <v>0</v>
      </c>
      <c r="L3459">
        <f t="shared" ref="L3459:L3522" si="108">IFERROR(VALUE(LEFT(F3459,FIND("/",F3459)-1))/10,"")</f>
        <v>3.6</v>
      </c>
      <c r="M3459">
        <f t="shared" ref="M3459:M3522" si="109">SUM(G3459:J3459)</f>
        <v>1</v>
      </c>
    </row>
    <row r="3460" spans="1:13" x14ac:dyDescent="0.3">
      <c r="A3460">
        <v>3458</v>
      </c>
      <c r="B3460">
        <v>3459</v>
      </c>
      <c r="C3460" t="s">
        <v>3524</v>
      </c>
      <c r="D3460">
        <v>2004</v>
      </c>
      <c r="F3460" t="s">
        <v>3523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f t="shared" si="108"/>
        <v>3.6</v>
      </c>
      <c r="M3460">
        <f t="shared" si="109"/>
        <v>1</v>
      </c>
    </row>
    <row r="3461" spans="1:13" x14ac:dyDescent="0.3">
      <c r="A3461">
        <v>3459</v>
      </c>
      <c r="B3461">
        <v>3460</v>
      </c>
      <c r="C3461" t="s">
        <v>3525</v>
      </c>
      <c r="D3461">
        <v>2015</v>
      </c>
      <c r="F3461" t="s">
        <v>3523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f t="shared" si="108"/>
        <v>3.6</v>
      </c>
      <c r="M3461">
        <f t="shared" si="109"/>
        <v>1</v>
      </c>
    </row>
    <row r="3462" spans="1:13" x14ac:dyDescent="0.3">
      <c r="A3462">
        <v>3460</v>
      </c>
      <c r="B3462">
        <v>3461</v>
      </c>
      <c r="C3462" t="s">
        <v>3526</v>
      </c>
      <c r="D3462">
        <v>2019</v>
      </c>
      <c r="F3462" t="s">
        <v>3523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f t="shared" si="108"/>
        <v>3.6</v>
      </c>
      <c r="M3462">
        <f t="shared" si="109"/>
        <v>1</v>
      </c>
    </row>
    <row r="3463" spans="1:13" x14ac:dyDescent="0.3">
      <c r="A3463">
        <v>3461</v>
      </c>
      <c r="B3463">
        <v>3462</v>
      </c>
      <c r="C3463" t="s">
        <v>3527</v>
      </c>
      <c r="D3463">
        <v>2018</v>
      </c>
      <c r="E3463" t="s">
        <v>22</v>
      </c>
      <c r="F3463" t="s">
        <v>3523</v>
      </c>
      <c r="G3463">
        <v>1</v>
      </c>
      <c r="H3463">
        <v>0</v>
      </c>
      <c r="I3463">
        <v>0</v>
      </c>
      <c r="J3463">
        <v>0</v>
      </c>
      <c r="K3463">
        <v>0</v>
      </c>
      <c r="L3463">
        <f t="shared" si="108"/>
        <v>3.6</v>
      </c>
      <c r="M3463">
        <f t="shared" si="109"/>
        <v>1</v>
      </c>
    </row>
    <row r="3464" spans="1:13" x14ac:dyDescent="0.3">
      <c r="A3464">
        <v>3462</v>
      </c>
      <c r="B3464">
        <v>3463</v>
      </c>
      <c r="C3464" t="s">
        <v>3528</v>
      </c>
      <c r="D3464">
        <v>2020</v>
      </c>
      <c r="E3464" t="s">
        <v>11</v>
      </c>
      <c r="F3464" t="s">
        <v>3523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f t="shared" si="108"/>
        <v>3.6</v>
      </c>
      <c r="M3464">
        <f t="shared" si="109"/>
        <v>1</v>
      </c>
    </row>
    <row r="3465" spans="1:13" x14ac:dyDescent="0.3">
      <c r="A3465">
        <v>3463</v>
      </c>
      <c r="B3465">
        <v>3464</v>
      </c>
      <c r="C3465" t="s">
        <v>3529</v>
      </c>
      <c r="D3465">
        <v>2015</v>
      </c>
      <c r="F3465" t="s">
        <v>3523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f t="shared" si="108"/>
        <v>3.6</v>
      </c>
      <c r="M3465">
        <f t="shared" si="109"/>
        <v>1</v>
      </c>
    </row>
    <row r="3466" spans="1:13" x14ac:dyDescent="0.3">
      <c r="A3466">
        <v>3464</v>
      </c>
      <c r="B3466">
        <v>3465</v>
      </c>
      <c r="C3466" t="s">
        <v>3530</v>
      </c>
      <c r="D3466">
        <v>2016</v>
      </c>
      <c r="F3466" t="s">
        <v>3523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f t="shared" si="108"/>
        <v>3.6</v>
      </c>
      <c r="M3466">
        <f t="shared" si="109"/>
        <v>1</v>
      </c>
    </row>
    <row r="3467" spans="1:13" x14ac:dyDescent="0.3">
      <c r="A3467">
        <v>3465</v>
      </c>
      <c r="B3467">
        <v>3466</v>
      </c>
      <c r="C3467" t="s">
        <v>3531</v>
      </c>
      <c r="D3467">
        <v>2020</v>
      </c>
      <c r="F3467" t="s">
        <v>3523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f t="shared" si="108"/>
        <v>3.6</v>
      </c>
      <c r="M3467">
        <f t="shared" si="109"/>
        <v>1</v>
      </c>
    </row>
    <row r="3468" spans="1:13" x14ac:dyDescent="0.3">
      <c r="A3468">
        <v>3466</v>
      </c>
      <c r="B3468">
        <v>3467</v>
      </c>
      <c r="C3468" t="s">
        <v>3532</v>
      </c>
      <c r="D3468">
        <v>2019</v>
      </c>
      <c r="F3468" t="s">
        <v>3523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f t="shared" si="108"/>
        <v>3.6</v>
      </c>
      <c r="M3468">
        <f t="shared" si="109"/>
        <v>1</v>
      </c>
    </row>
    <row r="3469" spans="1:13" x14ac:dyDescent="0.3">
      <c r="A3469">
        <v>3467</v>
      </c>
      <c r="B3469">
        <v>3468</v>
      </c>
      <c r="C3469" t="s">
        <v>3533</v>
      </c>
      <c r="D3469">
        <v>2021</v>
      </c>
      <c r="E3469" t="s">
        <v>11</v>
      </c>
      <c r="F3469" t="s">
        <v>3523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f t="shared" si="108"/>
        <v>3.6</v>
      </c>
      <c r="M3469">
        <f t="shared" si="109"/>
        <v>1</v>
      </c>
    </row>
    <row r="3470" spans="1:13" x14ac:dyDescent="0.3">
      <c r="A3470">
        <v>3468</v>
      </c>
      <c r="B3470">
        <v>3469</v>
      </c>
      <c r="C3470" t="s">
        <v>3534</v>
      </c>
      <c r="D3470">
        <v>2019</v>
      </c>
      <c r="F3470" t="s">
        <v>3523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f t="shared" si="108"/>
        <v>3.6</v>
      </c>
      <c r="M3470">
        <f t="shared" si="109"/>
        <v>1</v>
      </c>
    </row>
    <row r="3471" spans="1:13" x14ac:dyDescent="0.3">
      <c r="A3471">
        <v>3469</v>
      </c>
      <c r="B3471">
        <v>3470</v>
      </c>
      <c r="C3471" t="s">
        <v>3535</v>
      </c>
      <c r="D3471">
        <v>2018</v>
      </c>
      <c r="F3471" t="s">
        <v>3523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f t="shared" si="108"/>
        <v>3.6</v>
      </c>
      <c r="M3471">
        <f t="shared" si="109"/>
        <v>1</v>
      </c>
    </row>
    <row r="3472" spans="1:13" x14ac:dyDescent="0.3">
      <c r="A3472">
        <v>3470</v>
      </c>
      <c r="B3472">
        <v>3471</v>
      </c>
      <c r="C3472" t="s">
        <v>3536</v>
      </c>
      <c r="D3472">
        <v>2019</v>
      </c>
      <c r="E3472" t="s">
        <v>22</v>
      </c>
      <c r="F3472" t="s">
        <v>3523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f t="shared" si="108"/>
        <v>3.6</v>
      </c>
      <c r="M3472">
        <f t="shared" si="109"/>
        <v>1</v>
      </c>
    </row>
    <row r="3473" spans="1:13" x14ac:dyDescent="0.3">
      <c r="A3473">
        <v>3471</v>
      </c>
      <c r="B3473">
        <v>3472</v>
      </c>
      <c r="C3473" t="s">
        <v>3537</v>
      </c>
      <c r="D3473">
        <v>2019</v>
      </c>
      <c r="F3473" t="s">
        <v>3523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f t="shared" si="108"/>
        <v>3.6</v>
      </c>
      <c r="M3473">
        <f t="shared" si="109"/>
        <v>1</v>
      </c>
    </row>
    <row r="3474" spans="1:13" x14ac:dyDescent="0.3">
      <c r="A3474">
        <v>3472</v>
      </c>
      <c r="B3474">
        <v>3473</v>
      </c>
      <c r="C3474" t="s">
        <v>3538</v>
      </c>
      <c r="D3474">
        <v>2016</v>
      </c>
      <c r="F3474" t="s">
        <v>3523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f t="shared" si="108"/>
        <v>3.6</v>
      </c>
      <c r="M3474">
        <f t="shared" si="109"/>
        <v>1</v>
      </c>
    </row>
    <row r="3475" spans="1:13" x14ac:dyDescent="0.3">
      <c r="A3475">
        <v>3473</v>
      </c>
      <c r="B3475">
        <v>3474</v>
      </c>
      <c r="C3475" t="s">
        <v>3539</v>
      </c>
      <c r="D3475">
        <v>2017</v>
      </c>
      <c r="E3475" t="s">
        <v>11</v>
      </c>
      <c r="F3475" t="s">
        <v>3523</v>
      </c>
      <c r="G3475">
        <v>1</v>
      </c>
      <c r="H3475">
        <v>0</v>
      </c>
      <c r="I3475">
        <v>0</v>
      </c>
      <c r="J3475">
        <v>0</v>
      </c>
      <c r="K3475">
        <v>0</v>
      </c>
      <c r="L3475">
        <f t="shared" si="108"/>
        <v>3.6</v>
      </c>
      <c r="M3475">
        <f t="shared" si="109"/>
        <v>1</v>
      </c>
    </row>
    <row r="3476" spans="1:13" x14ac:dyDescent="0.3">
      <c r="A3476">
        <v>3474</v>
      </c>
      <c r="B3476">
        <v>3475</v>
      </c>
      <c r="C3476" t="s">
        <v>3540</v>
      </c>
      <c r="D3476">
        <v>2018</v>
      </c>
      <c r="F3476" t="s">
        <v>3523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f t="shared" si="108"/>
        <v>3.6</v>
      </c>
      <c r="M3476">
        <f t="shared" si="109"/>
        <v>1</v>
      </c>
    </row>
    <row r="3477" spans="1:13" x14ac:dyDescent="0.3">
      <c r="A3477">
        <v>3475</v>
      </c>
      <c r="B3477">
        <v>3476</v>
      </c>
      <c r="C3477" t="s">
        <v>3541</v>
      </c>
      <c r="D3477">
        <v>2018</v>
      </c>
      <c r="F3477" t="s">
        <v>3523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f t="shared" si="108"/>
        <v>3.6</v>
      </c>
      <c r="M3477">
        <f t="shared" si="109"/>
        <v>1</v>
      </c>
    </row>
    <row r="3478" spans="1:13" x14ac:dyDescent="0.3">
      <c r="A3478">
        <v>3476</v>
      </c>
      <c r="B3478">
        <v>3477</v>
      </c>
      <c r="C3478" t="s">
        <v>3542</v>
      </c>
      <c r="D3478">
        <v>2019</v>
      </c>
      <c r="E3478" t="s">
        <v>36</v>
      </c>
      <c r="F3478" t="s">
        <v>3523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f t="shared" si="108"/>
        <v>3.6</v>
      </c>
      <c r="M3478">
        <f t="shared" si="109"/>
        <v>1</v>
      </c>
    </row>
    <row r="3479" spans="1:13" x14ac:dyDescent="0.3">
      <c r="A3479">
        <v>3477</v>
      </c>
      <c r="B3479">
        <v>3478</v>
      </c>
      <c r="C3479" t="s">
        <v>3543</v>
      </c>
      <c r="D3479">
        <v>2009</v>
      </c>
      <c r="F3479" t="s">
        <v>3523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f t="shared" si="108"/>
        <v>3.6</v>
      </c>
      <c r="M3479">
        <f t="shared" si="109"/>
        <v>1</v>
      </c>
    </row>
    <row r="3480" spans="1:13" x14ac:dyDescent="0.3">
      <c r="A3480">
        <v>3478</v>
      </c>
      <c r="B3480">
        <v>3479</v>
      </c>
      <c r="C3480" t="s">
        <v>3544</v>
      </c>
      <c r="D3480">
        <v>2018</v>
      </c>
      <c r="E3480" t="s">
        <v>36</v>
      </c>
      <c r="F3480" t="s">
        <v>3523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f t="shared" si="108"/>
        <v>3.6</v>
      </c>
      <c r="M3480">
        <f t="shared" si="109"/>
        <v>1</v>
      </c>
    </row>
    <row r="3481" spans="1:13" x14ac:dyDescent="0.3">
      <c r="A3481">
        <v>3479</v>
      </c>
      <c r="B3481">
        <v>3480</v>
      </c>
      <c r="C3481" t="s">
        <v>3545</v>
      </c>
      <c r="D3481">
        <v>2016</v>
      </c>
      <c r="F3481" t="s">
        <v>3523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f t="shared" si="108"/>
        <v>3.6</v>
      </c>
      <c r="M3481">
        <f t="shared" si="109"/>
        <v>1</v>
      </c>
    </row>
    <row r="3482" spans="1:13" x14ac:dyDescent="0.3">
      <c r="A3482">
        <v>3480</v>
      </c>
      <c r="B3482">
        <v>3481</v>
      </c>
      <c r="C3482" t="s">
        <v>3546</v>
      </c>
      <c r="D3482">
        <v>2018</v>
      </c>
      <c r="F3482" t="s">
        <v>3523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f t="shared" si="108"/>
        <v>3.6</v>
      </c>
      <c r="M3482">
        <f t="shared" si="109"/>
        <v>1</v>
      </c>
    </row>
    <row r="3483" spans="1:13" x14ac:dyDescent="0.3">
      <c r="A3483">
        <v>3481</v>
      </c>
      <c r="B3483">
        <v>3482</v>
      </c>
      <c r="C3483" t="s">
        <v>3547</v>
      </c>
      <c r="D3483">
        <v>2019</v>
      </c>
      <c r="F3483" t="s">
        <v>3523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f t="shared" si="108"/>
        <v>3.6</v>
      </c>
      <c r="M3483">
        <f t="shared" si="109"/>
        <v>1</v>
      </c>
    </row>
    <row r="3484" spans="1:13" x14ac:dyDescent="0.3">
      <c r="A3484">
        <v>3482</v>
      </c>
      <c r="B3484">
        <v>3483</v>
      </c>
      <c r="C3484" t="s">
        <v>3548</v>
      </c>
      <c r="D3484">
        <v>2019</v>
      </c>
      <c r="F3484" t="s">
        <v>3523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f t="shared" si="108"/>
        <v>3.6</v>
      </c>
      <c r="M3484">
        <f t="shared" si="109"/>
        <v>1</v>
      </c>
    </row>
    <row r="3485" spans="1:13" x14ac:dyDescent="0.3">
      <c r="A3485">
        <v>3483</v>
      </c>
      <c r="B3485">
        <v>3484</v>
      </c>
      <c r="C3485" t="s">
        <v>3549</v>
      </c>
      <c r="D3485">
        <v>2018</v>
      </c>
      <c r="F3485" t="s">
        <v>3523</v>
      </c>
      <c r="G3485">
        <v>1</v>
      </c>
      <c r="H3485">
        <v>0</v>
      </c>
      <c r="I3485">
        <v>0</v>
      </c>
      <c r="J3485">
        <v>0</v>
      </c>
      <c r="K3485">
        <v>0</v>
      </c>
      <c r="L3485">
        <f t="shared" si="108"/>
        <v>3.6</v>
      </c>
      <c r="M3485">
        <f t="shared" si="109"/>
        <v>1</v>
      </c>
    </row>
    <row r="3486" spans="1:13" x14ac:dyDescent="0.3">
      <c r="A3486">
        <v>3484</v>
      </c>
      <c r="B3486">
        <v>3485</v>
      </c>
      <c r="C3486" t="s">
        <v>3550</v>
      </c>
      <c r="D3486">
        <v>2013</v>
      </c>
      <c r="F3486" t="s">
        <v>3523</v>
      </c>
      <c r="G3486">
        <v>1</v>
      </c>
      <c r="H3486">
        <v>0</v>
      </c>
      <c r="I3486">
        <v>0</v>
      </c>
      <c r="J3486">
        <v>0</v>
      </c>
      <c r="K3486">
        <v>0</v>
      </c>
      <c r="L3486">
        <f t="shared" si="108"/>
        <v>3.6</v>
      </c>
      <c r="M3486">
        <f t="shared" si="109"/>
        <v>1</v>
      </c>
    </row>
    <row r="3487" spans="1:13" x14ac:dyDescent="0.3">
      <c r="A3487">
        <v>3485</v>
      </c>
      <c r="B3487">
        <v>3486</v>
      </c>
      <c r="C3487" t="s">
        <v>3551</v>
      </c>
      <c r="D3487">
        <v>2017</v>
      </c>
      <c r="F3487" t="s">
        <v>3523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f t="shared" si="108"/>
        <v>3.6</v>
      </c>
      <c r="M3487">
        <f t="shared" si="109"/>
        <v>1</v>
      </c>
    </row>
    <row r="3488" spans="1:13" x14ac:dyDescent="0.3">
      <c r="A3488">
        <v>3486</v>
      </c>
      <c r="B3488">
        <v>3487</v>
      </c>
      <c r="C3488" t="s">
        <v>3552</v>
      </c>
      <c r="D3488">
        <v>2018</v>
      </c>
      <c r="E3488" t="s">
        <v>14</v>
      </c>
      <c r="F3488" t="s">
        <v>3523</v>
      </c>
      <c r="G3488">
        <v>1</v>
      </c>
      <c r="H3488">
        <v>0</v>
      </c>
      <c r="I3488">
        <v>0</v>
      </c>
      <c r="J3488">
        <v>0</v>
      </c>
      <c r="K3488">
        <v>0</v>
      </c>
      <c r="L3488">
        <f t="shared" si="108"/>
        <v>3.6</v>
      </c>
      <c r="M3488">
        <f t="shared" si="109"/>
        <v>1</v>
      </c>
    </row>
    <row r="3489" spans="1:13" x14ac:dyDescent="0.3">
      <c r="A3489">
        <v>3487</v>
      </c>
      <c r="B3489">
        <v>3488</v>
      </c>
      <c r="C3489" t="s">
        <v>3553</v>
      </c>
      <c r="D3489">
        <v>2020</v>
      </c>
      <c r="F3489" t="s">
        <v>3523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f t="shared" si="108"/>
        <v>3.6</v>
      </c>
      <c r="M3489">
        <f t="shared" si="109"/>
        <v>1</v>
      </c>
    </row>
    <row r="3490" spans="1:13" x14ac:dyDescent="0.3">
      <c r="A3490">
        <v>3488</v>
      </c>
      <c r="B3490">
        <v>3489</v>
      </c>
      <c r="C3490" t="s">
        <v>3554</v>
      </c>
      <c r="D3490">
        <v>2019</v>
      </c>
      <c r="F3490" t="s">
        <v>3523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f t="shared" si="108"/>
        <v>3.6</v>
      </c>
      <c r="M3490">
        <f t="shared" si="109"/>
        <v>1</v>
      </c>
    </row>
    <row r="3491" spans="1:13" x14ac:dyDescent="0.3">
      <c r="A3491">
        <v>3489</v>
      </c>
      <c r="B3491">
        <v>3490</v>
      </c>
      <c r="C3491" t="s">
        <v>3555</v>
      </c>
      <c r="D3491">
        <v>2019</v>
      </c>
      <c r="F3491" t="s">
        <v>3523</v>
      </c>
      <c r="G3491">
        <v>1</v>
      </c>
      <c r="H3491">
        <v>0</v>
      </c>
      <c r="I3491">
        <v>0</v>
      </c>
      <c r="J3491">
        <v>0</v>
      </c>
      <c r="K3491">
        <v>0</v>
      </c>
      <c r="L3491">
        <f t="shared" si="108"/>
        <v>3.6</v>
      </c>
      <c r="M3491">
        <f t="shared" si="109"/>
        <v>1</v>
      </c>
    </row>
    <row r="3492" spans="1:13" x14ac:dyDescent="0.3">
      <c r="A3492">
        <v>3490</v>
      </c>
      <c r="B3492">
        <v>3491</v>
      </c>
      <c r="C3492" t="s">
        <v>3556</v>
      </c>
      <c r="D3492">
        <v>2020</v>
      </c>
      <c r="F3492" t="s">
        <v>3523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f t="shared" si="108"/>
        <v>3.6</v>
      </c>
      <c r="M3492">
        <f t="shared" si="109"/>
        <v>1</v>
      </c>
    </row>
    <row r="3493" spans="1:13" x14ac:dyDescent="0.3">
      <c r="A3493">
        <v>3491</v>
      </c>
      <c r="B3493">
        <v>3492</v>
      </c>
      <c r="C3493" t="s">
        <v>3557</v>
      </c>
      <c r="D3493">
        <v>2019</v>
      </c>
      <c r="F3493" t="s">
        <v>3523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f t="shared" si="108"/>
        <v>3.6</v>
      </c>
      <c r="M3493">
        <f t="shared" si="109"/>
        <v>1</v>
      </c>
    </row>
    <row r="3494" spans="1:13" x14ac:dyDescent="0.3">
      <c r="A3494">
        <v>3492</v>
      </c>
      <c r="B3494">
        <v>3493</v>
      </c>
      <c r="C3494" t="s">
        <v>3558</v>
      </c>
      <c r="D3494">
        <v>2020</v>
      </c>
      <c r="F3494" t="s">
        <v>3523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f t="shared" si="108"/>
        <v>3.6</v>
      </c>
      <c r="M3494">
        <f t="shared" si="109"/>
        <v>1</v>
      </c>
    </row>
    <row r="3495" spans="1:13" x14ac:dyDescent="0.3">
      <c r="A3495">
        <v>3493</v>
      </c>
      <c r="B3495">
        <v>3494</v>
      </c>
      <c r="C3495" t="s">
        <v>3559</v>
      </c>
      <c r="D3495">
        <v>2017</v>
      </c>
      <c r="F3495" t="s">
        <v>3523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f t="shared" si="108"/>
        <v>3.6</v>
      </c>
      <c r="M3495">
        <f t="shared" si="109"/>
        <v>1</v>
      </c>
    </row>
    <row r="3496" spans="1:13" x14ac:dyDescent="0.3">
      <c r="A3496">
        <v>3494</v>
      </c>
      <c r="B3496">
        <v>3495</v>
      </c>
      <c r="C3496" t="s">
        <v>3560</v>
      </c>
      <c r="D3496">
        <v>2015</v>
      </c>
      <c r="E3496" t="s">
        <v>11</v>
      </c>
      <c r="F3496" t="s">
        <v>3523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f t="shared" si="108"/>
        <v>3.6</v>
      </c>
      <c r="M3496">
        <f t="shared" si="109"/>
        <v>1</v>
      </c>
    </row>
    <row r="3497" spans="1:13" x14ac:dyDescent="0.3">
      <c r="A3497">
        <v>3495</v>
      </c>
      <c r="B3497">
        <v>3496</v>
      </c>
      <c r="C3497" t="s">
        <v>3561</v>
      </c>
      <c r="D3497">
        <v>2017</v>
      </c>
      <c r="E3497" t="s">
        <v>11</v>
      </c>
      <c r="F3497" t="s">
        <v>3523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f t="shared" si="108"/>
        <v>3.6</v>
      </c>
      <c r="M3497">
        <f t="shared" si="109"/>
        <v>1</v>
      </c>
    </row>
    <row r="3498" spans="1:13" x14ac:dyDescent="0.3">
      <c r="A3498">
        <v>3496</v>
      </c>
      <c r="B3498">
        <v>3497</v>
      </c>
      <c r="C3498" t="s">
        <v>3562</v>
      </c>
      <c r="D3498">
        <v>1973</v>
      </c>
      <c r="F3498" t="s">
        <v>3523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f t="shared" si="108"/>
        <v>3.6</v>
      </c>
      <c r="M3498">
        <f t="shared" si="109"/>
        <v>1</v>
      </c>
    </row>
    <row r="3499" spans="1:13" x14ac:dyDescent="0.3">
      <c r="A3499">
        <v>3497</v>
      </c>
      <c r="B3499">
        <v>3498</v>
      </c>
      <c r="C3499" t="s">
        <v>3563</v>
      </c>
      <c r="D3499">
        <v>2019</v>
      </c>
      <c r="F3499" t="s">
        <v>3523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f t="shared" si="108"/>
        <v>3.6</v>
      </c>
      <c r="M3499">
        <f t="shared" si="109"/>
        <v>1</v>
      </c>
    </row>
    <row r="3500" spans="1:13" x14ac:dyDescent="0.3">
      <c r="A3500">
        <v>3498</v>
      </c>
      <c r="B3500">
        <v>3499</v>
      </c>
      <c r="C3500" t="s">
        <v>3564</v>
      </c>
      <c r="D3500">
        <v>2016</v>
      </c>
      <c r="F3500" t="s">
        <v>3523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f t="shared" si="108"/>
        <v>3.6</v>
      </c>
      <c r="M3500">
        <f t="shared" si="109"/>
        <v>1</v>
      </c>
    </row>
    <row r="3501" spans="1:13" x14ac:dyDescent="0.3">
      <c r="A3501">
        <v>3499</v>
      </c>
      <c r="B3501">
        <v>3500</v>
      </c>
      <c r="C3501" t="s">
        <v>3565</v>
      </c>
      <c r="D3501">
        <v>2012</v>
      </c>
      <c r="F3501" t="s">
        <v>3523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f t="shared" si="108"/>
        <v>3.6</v>
      </c>
      <c r="M3501">
        <f t="shared" si="109"/>
        <v>1</v>
      </c>
    </row>
    <row r="3502" spans="1:13" x14ac:dyDescent="0.3">
      <c r="A3502">
        <v>3500</v>
      </c>
      <c r="B3502">
        <v>3501</v>
      </c>
      <c r="C3502" t="s">
        <v>3566</v>
      </c>
      <c r="D3502">
        <v>2006</v>
      </c>
      <c r="F3502" t="s">
        <v>3523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f t="shared" si="108"/>
        <v>3.6</v>
      </c>
      <c r="M3502">
        <f t="shared" si="109"/>
        <v>1</v>
      </c>
    </row>
    <row r="3503" spans="1:13" x14ac:dyDescent="0.3">
      <c r="A3503">
        <v>3501</v>
      </c>
      <c r="B3503">
        <v>3502</v>
      </c>
      <c r="C3503" t="s">
        <v>3567</v>
      </c>
      <c r="D3503">
        <v>2019</v>
      </c>
      <c r="E3503" t="s">
        <v>22</v>
      </c>
      <c r="F3503" t="s">
        <v>3523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f t="shared" si="108"/>
        <v>3.6</v>
      </c>
      <c r="M3503">
        <f t="shared" si="109"/>
        <v>1</v>
      </c>
    </row>
    <row r="3504" spans="1:13" x14ac:dyDescent="0.3">
      <c r="A3504">
        <v>3502</v>
      </c>
      <c r="B3504">
        <v>3503</v>
      </c>
      <c r="C3504" t="s">
        <v>3568</v>
      </c>
      <c r="D3504">
        <v>2017</v>
      </c>
      <c r="F3504" t="s">
        <v>3523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f t="shared" si="108"/>
        <v>3.6</v>
      </c>
      <c r="M3504">
        <f t="shared" si="109"/>
        <v>1</v>
      </c>
    </row>
    <row r="3505" spans="1:13" x14ac:dyDescent="0.3">
      <c r="A3505">
        <v>3503</v>
      </c>
      <c r="B3505">
        <v>3504</v>
      </c>
      <c r="C3505" t="s">
        <v>3569</v>
      </c>
      <c r="D3505">
        <v>2019</v>
      </c>
      <c r="F3505" t="s">
        <v>3523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f t="shared" si="108"/>
        <v>3.6</v>
      </c>
      <c r="M3505">
        <f t="shared" si="109"/>
        <v>1</v>
      </c>
    </row>
    <row r="3506" spans="1:13" x14ac:dyDescent="0.3">
      <c r="A3506">
        <v>3504</v>
      </c>
      <c r="B3506">
        <v>3505</v>
      </c>
      <c r="C3506" t="s">
        <v>3570</v>
      </c>
      <c r="D3506">
        <v>2018</v>
      </c>
      <c r="F3506" t="s">
        <v>3523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f t="shared" si="108"/>
        <v>3.6</v>
      </c>
      <c r="M3506">
        <f t="shared" si="109"/>
        <v>1</v>
      </c>
    </row>
    <row r="3507" spans="1:13" x14ac:dyDescent="0.3">
      <c r="A3507">
        <v>3505</v>
      </c>
      <c r="B3507">
        <v>3506</v>
      </c>
      <c r="C3507" t="s">
        <v>3571</v>
      </c>
      <c r="D3507">
        <v>2018</v>
      </c>
      <c r="F3507" t="s">
        <v>3523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f t="shared" si="108"/>
        <v>3.6</v>
      </c>
      <c r="M3507">
        <f t="shared" si="109"/>
        <v>1</v>
      </c>
    </row>
    <row r="3508" spans="1:13" x14ac:dyDescent="0.3">
      <c r="A3508">
        <v>3506</v>
      </c>
      <c r="B3508">
        <v>3507</v>
      </c>
      <c r="C3508" t="s">
        <v>3572</v>
      </c>
      <c r="D3508">
        <v>2018</v>
      </c>
      <c r="F3508" t="s">
        <v>3523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f t="shared" si="108"/>
        <v>3.6</v>
      </c>
      <c r="M3508">
        <f t="shared" si="109"/>
        <v>1</v>
      </c>
    </row>
    <row r="3509" spans="1:13" x14ac:dyDescent="0.3">
      <c r="A3509">
        <v>3507</v>
      </c>
      <c r="B3509">
        <v>3508</v>
      </c>
      <c r="C3509" t="s">
        <v>3573</v>
      </c>
      <c r="D3509">
        <v>2018</v>
      </c>
      <c r="F3509" t="s">
        <v>3523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f t="shared" si="108"/>
        <v>3.6</v>
      </c>
      <c r="M3509">
        <f t="shared" si="109"/>
        <v>1</v>
      </c>
    </row>
    <row r="3510" spans="1:13" x14ac:dyDescent="0.3">
      <c r="A3510">
        <v>3508</v>
      </c>
      <c r="B3510">
        <v>3509</v>
      </c>
      <c r="C3510" t="s">
        <v>3574</v>
      </c>
      <c r="D3510">
        <v>2020</v>
      </c>
      <c r="F3510" t="s">
        <v>3523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f t="shared" si="108"/>
        <v>3.6</v>
      </c>
      <c r="M3510">
        <f t="shared" si="109"/>
        <v>1</v>
      </c>
    </row>
    <row r="3511" spans="1:13" x14ac:dyDescent="0.3">
      <c r="A3511">
        <v>3509</v>
      </c>
      <c r="B3511">
        <v>3510</v>
      </c>
      <c r="C3511" t="s">
        <v>3575</v>
      </c>
      <c r="D3511">
        <v>2020</v>
      </c>
      <c r="F3511" t="s">
        <v>3523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f t="shared" si="108"/>
        <v>3.6</v>
      </c>
      <c r="M3511">
        <f t="shared" si="109"/>
        <v>1</v>
      </c>
    </row>
    <row r="3512" spans="1:13" x14ac:dyDescent="0.3">
      <c r="A3512">
        <v>3510</v>
      </c>
      <c r="B3512">
        <v>3511</v>
      </c>
      <c r="C3512" t="s">
        <v>3576</v>
      </c>
      <c r="D3512">
        <v>2012</v>
      </c>
      <c r="F3512" t="s">
        <v>3523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f t="shared" si="108"/>
        <v>3.6</v>
      </c>
      <c r="M3512">
        <f t="shared" si="109"/>
        <v>1</v>
      </c>
    </row>
    <row r="3513" spans="1:13" x14ac:dyDescent="0.3">
      <c r="A3513">
        <v>3511</v>
      </c>
      <c r="B3513">
        <v>3512</v>
      </c>
      <c r="C3513" t="s">
        <v>3577</v>
      </c>
      <c r="D3513">
        <v>2018</v>
      </c>
      <c r="F3513" t="s">
        <v>3523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f t="shared" si="108"/>
        <v>3.6</v>
      </c>
      <c r="M3513">
        <f t="shared" si="109"/>
        <v>1</v>
      </c>
    </row>
    <row r="3514" spans="1:13" x14ac:dyDescent="0.3">
      <c r="A3514">
        <v>3512</v>
      </c>
      <c r="B3514">
        <v>3513</v>
      </c>
      <c r="C3514" t="s">
        <v>3578</v>
      </c>
      <c r="D3514">
        <v>2013</v>
      </c>
      <c r="E3514" t="s">
        <v>28</v>
      </c>
      <c r="F3514" t="s">
        <v>3579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f t="shared" si="108"/>
        <v>3.5</v>
      </c>
      <c r="M3514">
        <f t="shared" si="109"/>
        <v>1</v>
      </c>
    </row>
    <row r="3515" spans="1:13" x14ac:dyDescent="0.3">
      <c r="A3515">
        <v>3513</v>
      </c>
      <c r="B3515">
        <v>3514</v>
      </c>
      <c r="C3515" t="s">
        <v>3580</v>
      </c>
      <c r="D3515">
        <v>2020</v>
      </c>
      <c r="F3515" t="s">
        <v>3579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f t="shared" si="108"/>
        <v>3.5</v>
      </c>
      <c r="M3515">
        <f t="shared" si="109"/>
        <v>1</v>
      </c>
    </row>
    <row r="3516" spans="1:13" x14ac:dyDescent="0.3">
      <c r="A3516">
        <v>3514</v>
      </c>
      <c r="B3516">
        <v>3515</v>
      </c>
      <c r="C3516" t="s">
        <v>3581</v>
      </c>
      <c r="D3516">
        <v>2016</v>
      </c>
      <c r="F3516" t="s">
        <v>3579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f t="shared" si="108"/>
        <v>3.5</v>
      </c>
      <c r="M3516">
        <f t="shared" si="109"/>
        <v>1</v>
      </c>
    </row>
    <row r="3517" spans="1:13" x14ac:dyDescent="0.3">
      <c r="A3517">
        <v>3515</v>
      </c>
      <c r="B3517">
        <v>3516</v>
      </c>
      <c r="C3517" t="s">
        <v>3582</v>
      </c>
      <c r="D3517">
        <v>2012</v>
      </c>
      <c r="E3517" t="s">
        <v>36</v>
      </c>
      <c r="F3517" t="s">
        <v>3579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f t="shared" si="108"/>
        <v>3.5</v>
      </c>
      <c r="M3517">
        <f t="shared" si="109"/>
        <v>1</v>
      </c>
    </row>
    <row r="3518" spans="1:13" x14ac:dyDescent="0.3">
      <c r="A3518">
        <v>3516</v>
      </c>
      <c r="B3518">
        <v>3517</v>
      </c>
      <c r="C3518" t="s">
        <v>3583</v>
      </c>
      <c r="D3518">
        <v>2019</v>
      </c>
      <c r="F3518" t="s">
        <v>3579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f t="shared" si="108"/>
        <v>3.5</v>
      </c>
      <c r="M3518">
        <f t="shared" si="109"/>
        <v>1</v>
      </c>
    </row>
    <row r="3519" spans="1:13" x14ac:dyDescent="0.3">
      <c r="A3519">
        <v>3517</v>
      </c>
      <c r="B3519">
        <v>3518</v>
      </c>
      <c r="C3519" t="s">
        <v>3584</v>
      </c>
      <c r="D3519">
        <v>2017</v>
      </c>
      <c r="F3519" t="s">
        <v>3579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f t="shared" si="108"/>
        <v>3.5</v>
      </c>
      <c r="M3519">
        <f t="shared" si="109"/>
        <v>1</v>
      </c>
    </row>
    <row r="3520" spans="1:13" x14ac:dyDescent="0.3">
      <c r="A3520">
        <v>3518</v>
      </c>
      <c r="B3520">
        <v>3519</v>
      </c>
      <c r="C3520" t="s">
        <v>3585</v>
      </c>
      <c r="D3520">
        <v>2019</v>
      </c>
      <c r="F3520" t="s">
        <v>3579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f t="shared" si="108"/>
        <v>3.5</v>
      </c>
      <c r="M3520">
        <f t="shared" si="109"/>
        <v>1</v>
      </c>
    </row>
    <row r="3521" spans="1:13" x14ac:dyDescent="0.3">
      <c r="A3521">
        <v>3519</v>
      </c>
      <c r="B3521">
        <v>3520</v>
      </c>
      <c r="C3521" t="s">
        <v>3586</v>
      </c>
      <c r="D3521">
        <v>2014</v>
      </c>
      <c r="E3521" t="s">
        <v>36</v>
      </c>
      <c r="F3521" t="s">
        <v>3579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f t="shared" si="108"/>
        <v>3.5</v>
      </c>
      <c r="M3521">
        <f t="shared" si="109"/>
        <v>1</v>
      </c>
    </row>
    <row r="3522" spans="1:13" x14ac:dyDescent="0.3">
      <c r="A3522">
        <v>3520</v>
      </c>
      <c r="B3522">
        <v>3521</v>
      </c>
      <c r="C3522" t="s">
        <v>3587</v>
      </c>
      <c r="D3522">
        <v>2018</v>
      </c>
      <c r="F3522" t="s">
        <v>3579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f t="shared" si="108"/>
        <v>3.5</v>
      </c>
      <c r="M3522">
        <f t="shared" si="109"/>
        <v>1</v>
      </c>
    </row>
    <row r="3523" spans="1:13" x14ac:dyDescent="0.3">
      <c r="A3523">
        <v>3521</v>
      </c>
      <c r="B3523">
        <v>3522</v>
      </c>
      <c r="C3523" t="s">
        <v>3588</v>
      </c>
      <c r="D3523">
        <v>2016</v>
      </c>
      <c r="F3523" t="s">
        <v>3579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f t="shared" ref="L3523:L3586" si="110">IFERROR(VALUE(LEFT(F3523,FIND("/",F3523)-1))/10,"")</f>
        <v>3.5</v>
      </c>
      <c r="M3523">
        <f t="shared" ref="M3523:M3586" si="111">SUM(G3523:J3523)</f>
        <v>1</v>
      </c>
    </row>
    <row r="3524" spans="1:13" x14ac:dyDescent="0.3">
      <c r="A3524">
        <v>3522</v>
      </c>
      <c r="B3524">
        <v>3523</v>
      </c>
      <c r="C3524" t="s">
        <v>3589</v>
      </c>
      <c r="D3524">
        <v>2018</v>
      </c>
      <c r="F3524" t="s">
        <v>3579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f t="shared" si="110"/>
        <v>3.5</v>
      </c>
      <c r="M3524">
        <f t="shared" si="111"/>
        <v>1</v>
      </c>
    </row>
    <row r="3525" spans="1:13" x14ac:dyDescent="0.3">
      <c r="A3525">
        <v>3523</v>
      </c>
      <c r="B3525">
        <v>3524</v>
      </c>
      <c r="C3525" t="s">
        <v>3590</v>
      </c>
      <c r="D3525">
        <v>2018</v>
      </c>
      <c r="E3525" t="s">
        <v>14</v>
      </c>
      <c r="F3525" t="s">
        <v>3579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f t="shared" si="110"/>
        <v>3.5</v>
      </c>
      <c r="M3525">
        <f t="shared" si="111"/>
        <v>1</v>
      </c>
    </row>
    <row r="3526" spans="1:13" x14ac:dyDescent="0.3">
      <c r="A3526">
        <v>3524</v>
      </c>
      <c r="B3526">
        <v>3525</v>
      </c>
      <c r="C3526" t="s">
        <v>3591</v>
      </c>
      <c r="D3526">
        <v>2018</v>
      </c>
      <c r="F3526" t="s">
        <v>3579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f t="shared" si="110"/>
        <v>3.5</v>
      </c>
      <c r="M3526">
        <f t="shared" si="111"/>
        <v>1</v>
      </c>
    </row>
    <row r="3527" spans="1:13" x14ac:dyDescent="0.3">
      <c r="A3527">
        <v>3525</v>
      </c>
      <c r="B3527">
        <v>3526</v>
      </c>
      <c r="C3527" t="s">
        <v>3592</v>
      </c>
      <c r="D3527">
        <v>2016</v>
      </c>
      <c r="F3527" t="s">
        <v>3579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f t="shared" si="110"/>
        <v>3.5</v>
      </c>
      <c r="M3527">
        <f t="shared" si="111"/>
        <v>1</v>
      </c>
    </row>
    <row r="3528" spans="1:13" x14ac:dyDescent="0.3">
      <c r="A3528">
        <v>3526</v>
      </c>
      <c r="B3528">
        <v>3527</v>
      </c>
      <c r="C3528" t="s">
        <v>3593</v>
      </c>
      <c r="D3528">
        <v>2009</v>
      </c>
      <c r="F3528" t="s">
        <v>3579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f t="shared" si="110"/>
        <v>3.5</v>
      </c>
      <c r="M3528">
        <f t="shared" si="111"/>
        <v>1</v>
      </c>
    </row>
    <row r="3529" spans="1:13" x14ac:dyDescent="0.3">
      <c r="A3529">
        <v>3527</v>
      </c>
      <c r="B3529">
        <v>3528</v>
      </c>
      <c r="C3529" t="s">
        <v>3594</v>
      </c>
      <c r="D3529">
        <v>2015</v>
      </c>
      <c r="F3529" t="s">
        <v>3579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f t="shared" si="110"/>
        <v>3.5</v>
      </c>
      <c r="M3529">
        <f t="shared" si="111"/>
        <v>1</v>
      </c>
    </row>
    <row r="3530" spans="1:13" x14ac:dyDescent="0.3">
      <c r="A3530">
        <v>3528</v>
      </c>
      <c r="B3530">
        <v>3529</v>
      </c>
      <c r="C3530" t="s">
        <v>3595</v>
      </c>
      <c r="D3530">
        <v>2020</v>
      </c>
      <c r="F3530" t="s">
        <v>3579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f t="shared" si="110"/>
        <v>3.5</v>
      </c>
      <c r="M3530">
        <f t="shared" si="111"/>
        <v>1</v>
      </c>
    </row>
    <row r="3531" spans="1:13" x14ac:dyDescent="0.3">
      <c r="A3531">
        <v>3529</v>
      </c>
      <c r="B3531">
        <v>3530</v>
      </c>
      <c r="C3531" t="s">
        <v>3596</v>
      </c>
      <c r="D3531">
        <v>2020</v>
      </c>
      <c r="F3531" t="s">
        <v>3579</v>
      </c>
      <c r="G3531">
        <v>1</v>
      </c>
      <c r="H3531">
        <v>0</v>
      </c>
      <c r="I3531">
        <v>0</v>
      </c>
      <c r="J3531">
        <v>0</v>
      </c>
      <c r="K3531">
        <v>0</v>
      </c>
      <c r="L3531">
        <f t="shared" si="110"/>
        <v>3.5</v>
      </c>
      <c r="M3531">
        <f t="shared" si="111"/>
        <v>1</v>
      </c>
    </row>
    <row r="3532" spans="1:13" x14ac:dyDescent="0.3">
      <c r="A3532">
        <v>3530</v>
      </c>
      <c r="B3532">
        <v>3531</v>
      </c>
      <c r="C3532" t="s">
        <v>3597</v>
      </c>
      <c r="D3532">
        <v>1978</v>
      </c>
      <c r="F3532" t="s">
        <v>3579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f t="shared" si="110"/>
        <v>3.5</v>
      </c>
      <c r="M3532">
        <f t="shared" si="111"/>
        <v>1</v>
      </c>
    </row>
    <row r="3533" spans="1:13" x14ac:dyDescent="0.3">
      <c r="A3533">
        <v>3531</v>
      </c>
      <c r="B3533">
        <v>3532</v>
      </c>
      <c r="C3533" t="s">
        <v>3598</v>
      </c>
      <c r="D3533">
        <v>2019</v>
      </c>
      <c r="F3533" t="s">
        <v>3579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f t="shared" si="110"/>
        <v>3.5</v>
      </c>
      <c r="M3533">
        <f t="shared" si="111"/>
        <v>1</v>
      </c>
    </row>
    <row r="3534" spans="1:13" x14ac:dyDescent="0.3">
      <c r="A3534">
        <v>3532</v>
      </c>
      <c r="B3534">
        <v>3533</v>
      </c>
      <c r="C3534" t="s">
        <v>3599</v>
      </c>
      <c r="D3534">
        <v>2019</v>
      </c>
      <c r="F3534" t="s">
        <v>3579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f t="shared" si="110"/>
        <v>3.5</v>
      </c>
      <c r="M3534">
        <f t="shared" si="111"/>
        <v>1</v>
      </c>
    </row>
    <row r="3535" spans="1:13" x14ac:dyDescent="0.3">
      <c r="A3535">
        <v>3533</v>
      </c>
      <c r="B3535">
        <v>3534</v>
      </c>
      <c r="C3535" t="s">
        <v>3600</v>
      </c>
      <c r="D3535">
        <v>2013</v>
      </c>
      <c r="E3535" t="s">
        <v>22</v>
      </c>
      <c r="F3535" t="s">
        <v>3579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f t="shared" si="110"/>
        <v>3.5</v>
      </c>
      <c r="M3535">
        <f t="shared" si="111"/>
        <v>1</v>
      </c>
    </row>
    <row r="3536" spans="1:13" x14ac:dyDescent="0.3">
      <c r="A3536">
        <v>3534</v>
      </c>
      <c r="B3536">
        <v>3535</v>
      </c>
      <c r="C3536" t="s">
        <v>3601</v>
      </c>
      <c r="D3536">
        <v>2014</v>
      </c>
      <c r="F3536" t="s">
        <v>3579</v>
      </c>
      <c r="G3536">
        <v>1</v>
      </c>
      <c r="H3536">
        <v>0</v>
      </c>
      <c r="I3536">
        <v>1</v>
      </c>
      <c r="J3536">
        <v>0</v>
      </c>
      <c r="K3536">
        <v>0</v>
      </c>
      <c r="L3536">
        <f t="shared" si="110"/>
        <v>3.5</v>
      </c>
      <c r="M3536">
        <f t="shared" si="111"/>
        <v>2</v>
      </c>
    </row>
    <row r="3537" spans="1:13" x14ac:dyDescent="0.3">
      <c r="A3537">
        <v>3535</v>
      </c>
      <c r="B3537">
        <v>3536</v>
      </c>
      <c r="C3537" t="s">
        <v>3602</v>
      </c>
      <c r="D3537">
        <v>2001</v>
      </c>
      <c r="F3537" t="s">
        <v>3579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f t="shared" si="110"/>
        <v>3.5</v>
      </c>
      <c r="M3537">
        <f t="shared" si="111"/>
        <v>1</v>
      </c>
    </row>
    <row r="3538" spans="1:13" x14ac:dyDescent="0.3">
      <c r="A3538">
        <v>3536</v>
      </c>
      <c r="B3538">
        <v>3537</v>
      </c>
      <c r="C3538" t="s">
        <v>3603</v>
      </c>
      <c r="D3538">
        <v>2018</v>
      </c>
      <c r="F3538" t="s">
        <v>3579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f t="shared" si="110"/>
        <v>3.5</v>
      </c>
      <c r="M3538">
        <f t="shared" si="111"/>
        <v>1</v>
      </c>
    </row>
    <row r="3539" spans="1:13" x14ac:dyDescent="0.3">
      <c r="A3539">
        <v>3537</v>
      </c>
      <c r="B3539">
        <v>3538</v>
      </c>
      <c r="C3539" t="s">
        <v>3604</v>
      </c>
      <c r="D3539">
        <v>2017</v>
      </c>
      <c r="F3539" t="s">
        <v>3579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f t="shared" si="110"/>
        <v>3.5</v>
      </c>
      <c r="M3539">
        <f t="shared" si="111"/>
        <v>1</v>
      </c>
    </row>
    <row r="3540" spans="1:13" x14ac:dyDescent="0.3">
      <c r="A3540">
        <v>3538</v>
      </c>
      <c r="B3540">
        <v>3539</v>
      </c>
      <c r="C3540" t="s">
        <v>3605</v>
      </c>
      <c r="D3540">
        <v>2016</v>
      </c>
      <c r="F3540" t="s">
        <v>3579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f t="shared" si="110"/>
        <v>3.5</v>
      </c>
      <c r="M3540">
        <f t="shared" si="111"/>
        <v>1</v>
      </c>
    </row>
    <row r="3541" spans="1:13" x14ac:dyDescent="0.3">
      <c r="A3541">
        <v>3539</v>
      </c>
      <c r="B3541">
        <v>3540</v>
      </c>
      <c r="C3541" t="s">
        <v>3606</v>
      </c>
      <c r="D3541">
        <v>2020</v>
      </c>
      <c r="F3541" t="s">
        <v>3579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f t="shared" si="110"/>
        <v>3.5</v>
      </c>
      <c r="M3541">
        <f t="shared" si="111"/>
        <v>1</v>
      </c>
    </row>
    <row r="3542" spans="1:13" x14ac:dyDescent="0.3">
      <c r="A3542">
        <v>3540</v>
      </c>
      <c r="B3542">
        <v>3541</v>
      </c>
      <c r="C3542" t="s">
        <v>3607</v>
      </c>
      <c r="D3542">
        <v>2017</v>
      </c>
      <c r="E3542" t="s">
        <v>22</v>
      </c>
      <c r="F3542" t="s">
        <v>3579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f t="shared" si="110"/>
        <v>3.5</v>
      </c>
      <c r="M3542">
        <f t="shared" si="111"/>
        <v>1</v>
      </c>
    </row>
    <row r="3543" spans="1:13" x14ac:dyDescent="0.3">
      <c r="A3543">
        <v>3541</v>
      </c>
      <c r="B3543">
        <v>3542</v>
      </c>
      <c r="C3543" t="s">
        <v>3608</v>
      </c>
      <c r="D3543">
        <v>2016</v>
      </c>
      <c r="F3543" t="s">
        <v>3579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f t="shared" si="110"/>
        <v>3.5</v>
      </c>
      <c r="M3543">
        <f t="shared" si="111"/>
        <v>1</v>
      </c>
    </row>
    <row r="3544" spans="1:13" x14ac:dyDescent="0.3">
      <c r="A3544">
        <v>3542</v>
      </c>
      <c r="B3544">
        <v>3543</v>
      </c>
      <c r="C3544" t="s">
        <v>3609</v>
      </c>
      <c r="D3544">
        <v>2015</v>
      </c>
      <c r="F3544" t="s">
        <v>3579</v>
      </c>
      <c r="G3544">
        <v>1</v>
      </c>
      <c r="H3544">
        <v>0</v>
      </c>
      <c r="I3544">
        <v>0</v>
      </c>
      <c r="J3544">
        <v>0</v>
      </c>
      <c r="K3544">
        <v>0</v>
      </c>
      <c r="L3544">
        <f t="shared" si="110"/>
        <v>3.5</v>
      </c>
      <c r="M3544">
        <f t="shared" si="111"/>
        <v>1</v>
      </c>
    </row>
    <row r="3545" spans="1:13" x14ac:dyDescent="0.3">
      <c r="A3545">
        <v>3543</v>
      </c>
      <c r="B3545">
        <v>3544</v>
      </c>
      <c r="C3545" t="s">
        <v>3610</v>
      </c>
      <c r="D3545">
        <v>2017</v>
      </c>
      <c r="F3545" t="s">
        <v>3579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f t="shared" si="110"/>
        <v>3.5</v>
      </c>
      <c r="M3545">
        <f t="shared" si="111"/>
        <v>1</v>
      </c>
    </row>
    <row r="3546" spans="1:13" x14ac:dyDescent="0.3">
      <c r="A3546">
        <v>3544</v>
      </c>
      <c r="B3546">
        <v>3545</v>
      </c>
      <c r="C3546" t="s">
        <v>3611</v>
      </c>
      <c r="D3546">
        <v>2010</v>
      </c>
      <c r="F3546" t="s">
        <v>3579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f t="shared" si="110"/>
        <v>3.5</v>
      </c>
      <c r="M3546">
        <f t="shared" si="111"/>
        <v>1</v>
      </c>
    </row>
    <row r="3547" spans="1:13" x14ac:dyDescent="0.3">
      <c r="A3547">
        <v>3545</v>
      </c>
      <c r="B3547">
        <v>3546</v>
      </c>
      <c r="C3547" t="s">
        <v>3612</v>
      </c>
      <c r="D3547">
        <v>2016</v>
      </c>
      <c r="F3547" t="s">
        <v>3579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f t="shared" si="110"/>
        <v>3.5</v>
      </c>
      <c r="M3547">
        <f t="shared" si="111"/>
        <v>1</v>
      </c>
    </row>
    <row r="3548" spans="1:13" x14ac:dyDescent="0.3">
      <c r="A3548">
        <v>3546</v>
      </c>
      <c r="B3548">
        <v>3547</v>
      </c>
      <c r="C3548" t="s">
        <v>3613</v>
      </c>
      <c r="D3548">
        <v>2018</v>
      </c>
      <c r="F3548" t="s">
        <v>3579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f t="shared" si="110"/>
        <v>3.5</v>
      </c>
      <c r="M3548">
        <f t="shared" si="111"/>
        <v>1</v>
      </c>
    </row>
    <row r="3549" spans="1:13" x14ac:dyDescent="0.3">
      <c r="A3549">
        <v>3547</v>
      </c>
      <c r="B3549">
        <v>3548</v>
      </c>
      <c r="C3549" t="s">
        <v>3614</v>
      </c>
      <c r="D3549">
        <v>2014</v>
      </c>
      <c r="F3549" t="s">
        <v>3579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f t="shared" si="110"/>
        <v>3.5</v>
      </c>
      <c r="M3549">
        <f t="shared" si="111"/>
        <v>1</v>
      </c>
    </row>
    <row r="3550" spans="1:13" x14ac:dyDescent="0.3">
      <c r="A3550">
        <v>3548</v>
      </c>
      <c r="B3550">
        <v>3549</v>
      </c>
      <c r="C3550" t="s">
        <v>3615</v>
      </c>
      <c r="D3550">
        <v>1983</v>
      </c>
      <c r="F3550" t="s">
        <v>3579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f t="shared" si="110"/>
        <v>3.5</v>
      </c>
      <c r="M3550">
        <f t="shared" si="111"/>
        <v>1</v>
      </c>
    </row>
    <row r="3551" spans="1:13" x14ac:dyDescent="0.3">
      <c r="A3551">
        <v>3549</v>
      </c>
      <c r="B3551">
        <v>3550</v>
      </c>
      <c r="C3551" t="s">
        <v>3616</v>
      </c>
      <c r="D3551">
        <v>2019</v>
      </c>
      <c r="F3551" t="s">
        <v>3579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f t="shared" si="110"/>
        <v>3.5</v>
      </c>
      <c r="M3551">
        <f t="shared" si="111"/>
        <v>1</v>
      </c>
    </row>
    <row r="3552" spans="1:13" x14ac:dyDescent="0.3">
      <c r="A3552">
        <v>3550</v>
      </c>
      <c r="B3552">
        <v>3551</v>
      </c>
      <c r="C3552" t="s">
        <v>3617</v>
      </c>
      <c r="D3552">
        <v>2016</v>
      </c>
      <c r="E3552" t="s">
        <v>11</v>
      </c>
      <c r="F3552" t="s">
        <v>3579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f t="shared" si="110"/>
        <v>3.5</v>
      </c>
      <c r="M3552">
        <f t="shared" si="111"/>
        <v>1</v>
      </c>
    </row>
    <row r="3553" spans="1:13" x14ac:dyDescent="0.3">
      <c r="A3553">
        <v>3551</v>
      </c>
      <c r="B3553">
        <v>3552</v>
      </c>
      <c r="C3553" t="s">
        <v>3618</v>
      </c>
      <c r="D3553">
        <v>2019</v>
      </c>
      <c r="F3553" t="s">
        <v>3619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f t="shared" si="110"/>
        <v>3.4</v>
      </c>
      <c r="M3553">
        <f t="shared" si="111"/>
        <v>1</v>
      </c>
    </row>
    <row r="3554" spans="1:13" x14ac:dyDescent="0.3">
      <c r="A3554">
        <v>3552</v>
      </c>
      <c r="B3554">
        <v>3553</v>
      </c>
      <c r="C3554" t="s">
        <v>3620</v>
      </c>
      <c r="D3554">
        <v>2017</v>
      </c>
      <c r="F3554" t="s">
        <v>3619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f t="shared" si="110"/>
        <v>3.4</v>
      </c>
      <c r="M3554">
        <f t="shared" si="111"/>
        <v>1</v>
      </c>
    </row>
    <row r="3555" spans="1:13" x14ac:dyDescent="0.3">
      <c r="A3555">
        <v>3553</v>
      </c>
      <c r="B3555">
        <v>3554</v>
      </c>
      <c r="C3555" t="s">
        <v>3621</v>
      </c>
      <c r="D3555">
        <v>2019</v>
      </c>
      <c r="F3555" t="s">
        <v>3619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f t="shared" si="110"/>
        <v>3.4</v>
      </c>
      <c r="M3555">
        <f t="shared" si="111"/>
        <v>1</v>
      </c>
    </row>
    <row r="3556" spans="1:13" x14ac:dyDescent="0.3">
      <c r="A3556">
        <v>3554</v>
      </c>
      <c r="B3556">
        <v>3555</v>
      </c>
      <c r="C3556" t="s">
        <v>3622</v>
      </c>
      <c r="D3556">
        <v>2010</v>
      </c>
      <c r="F3556" t="s">
        <v>3619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f t="shared" si="110"/>
        <v>3.4</v>
      </c>
      <c r="M3556">
        <f t="shared" si="111"/>
        <v>1</v>
      </c>
    </row>
    <row r="3557" spans="1:13" x14ac:dyDescent="0.3">
      <c r="A3557">
        <v>3555</v>
      </c>
      <c r="B3557">
        <v>3556</v>
      </c>
      <c r="C3557" t="s">
        <v>3623</v>
      </c>
      <c r="D3557">
        <v>2019</v>
      </c>
      <c r="E3557" t="s">
        <v>14</v>
      </c>
      <c r="F3557" t="s">
        <v>3619</v>
      </c>
      <c r="G3557">
        <v>1</v>
      </c>
      <c r="H3557">
        <v>0</v>
      </c>
      <c r="I3557">
        <v>0</v>
      </c>
      <c r="J3557">
        <v>0</v>
      </c>
      <c r="K3557">
        <v>0</v>
      </c>
      <c r="L3557">
        <f t="shared" si="110"/>
        <v>3.4</v>
      </c>
      <c r="M3557">
        <f t="shared" si="111"/>
        <v>1</v>
      </c>
    </row>
    <row r="3558" spans="1:13" x14ac:dyDescent="0.3">
      <c r="A3558">
        <v>3556</v>
      </c>
      <c r="B3558">
        <v>3557</v>
      </c>
      <c r="C3558" t="s">
        <v>3624</v>
      </c>
      <c r="D3558">
        <v>2016</v>
      </c>
      <c r="F3558" t="s">
        <v>3619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f t="shared" si="110"/>
        <v>3.4</v>
      </c>
      <c r="M3558">
        <f t="shared" si="111"/>
        <v>1</v>
      </c>
    </row>
    <row r="3559" spans="1:13" x14ac:dyDescent="0.3">
      <c r="A3559">
        <v>3557</v>
      </c>
      <c r="B3559">
        <v>3558</v>
      </c>
      <c r="C3559" t="s">
        <v>3625</v>
      </c>
      <c r="D3559">
        <v>2014</v>
      </c>
      <c r="E3559" t="s">
        <v>11</v>
      </c>
      <c r="F3559" t="s">
        <v>3619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f t="shared" si="110"/>
        <v>3.4</v>
      </c>
      <c r="M3559">
        <f t="shared" si="111"/>
        <v>1</v>
      </c>
    </row>
    <row r="3560" spans="1:13" x14ac:dyDescent="0.3">
      <c r="A3560">
        <v>3558</v>
      </c>
      <c r="B3560">
        <v>3559</v>
      </c>
      <c r="C3560" t="s">
        <v>3626</v>
      </c>
      <c r="D3560">
        <v>2017</v>
      </c>
      <c r="F3560" t="s">
        <v>3619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f t="shared" si="110"/>
        <v>3.4</v>
      </c>
      <c r="M3560">
        <f t="shared" si="111"/>
        <v>1</v>
      </c>
    </row>
    <row r="3561" spans="1:13" x14ac:dyDescent="0.3">
      <c r="A3561">
        <v>3559</v>
      </c>
      <c r="B3561">
        <v>3560</v>
      </c>
      <c r="C3561" t="s">
        <v>3627</v>
      </c>
      <c r="D3561">
        <v>2020</v>
      </c>
      <c r="F3561" t="s">
        <v>3619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f t="shared" si="110"/>
        <v>3.4</v>
      </c>
      <c r="M3561">
        <f t="shared" si="111"/>
        <v>1</v>
      </c>
    </row>
    <row r="3562" spans="1:13" x14ac:dyDescent="0.3">
      <c r="A3562">
        <v>3560</v>
      </c>
      <c r="B3562">
        <v>3561</v>
      </c>
      <c r="C3562" t="s">
        <v>3628</v>
      </c>
      <c r="D3562">
        <v>2017</v>
      </c>
      <c r="F3562" t="s">
        <v>3619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f t="shared" si="110"/>
        <v>3.4</v>
      </c>
      <c r="M3562">
        <f t="shared" si="111"/>
        <v>1</v>
      </c>
    </row>
    <row r="3563" spans="1:13" x14ac:dyDescent="0.3">
      <c r="A3563">
        <v>3561</v>
      </c>
      <c r="B3563">
        <v>3562</v>
      </c>
      <c r="C3563" t="s">
        <v>3629</v>
      </c>
      <c r="D3563">
        <v>2016</v>
      </c>
      <c r="E3563" t="s">
        <v>14</v>
      </c>
      <c r="F3563" t="s">
        <v>3619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f t="shared" si="110"/>
        <v>3.4</v>
      </c>
      <c r="M3563">
        <f t="shared" si="111"/>
        <v>1</v>
      </c>
    </row>
    <row r="3564" spans="1:13" x14ac:dyDescent="0.3">
      <c r="A3564">
        <v>3562</v>
      </c>
      <c r="B3564">
        <v>3563</v>
      </c>
      <c r="C3564" t="s">
        <v>3630</v>
      </c>
      <c r="D3564">
        <v>2017</v>
      </c>
      <c r="F3564" t="s">
        <v>3619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f t="shared" si="110"/>
        <v>3.4</v>
      </c>
      <c r="M3564">
        <f t="shared" si="111"/>
        <v>1</v>
      </c>
    </row>
    <row r="3565" spans="1:13" x14ac:dyDescent="0.3">
      <c r="A3565">
        <v>3563</v>
      </c>
      <c r="B3565">
        <v>3564</v>
      </c>
      <c r="C3565" t="s">
        <v>3631</v>
      </c>
      <c r="D3565">
        <v>1995</v>
      </c>
      <c r="E3565" t="s">
        <v>36</v>
      </c>
      <c r="F3565" t="s">
        <v>3619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f t="shared" si="110"/>
        <v>3.4</v>
      </c>
      <c r="M3565">
        <f t="shared" si="111"/>
        <v>1</v>
      </c>
    </row>
    <row r="3566" spans="1:13" x14ac:dyDescent="0.3">
      <c r="A3566">
        <v>3564</v>
      </c>
      <c r="B3566">
        <v>3565</v>
      </c>
      <c r="C3566" t="s">
        <v>3632</v>
      </c>
      <c r="D3566">
        <v>2011</v>
      </c>
      <c r="F3566" t="s">
        <v>3619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f t="shared" si="110"/>
        <v>3.4</v>
      </c>
      <c r="M3566">
        <f t="shared" si="111"/>
        <v>1</v>
      </c>
    </row>
    <row r="3567" spans="1:13" x14ac:dyDescent="0.3">
      <c r="A3567">
        <v>3565</v>
      </c>
      <c r="B3567">
        <v>3566</v>
      </c>
      <c r="C3567" t="s">
        <v>3633</v>
      </c>
      <c r="D3567">
        <v>2017</v>
      </c>
      <c r="F3567" t="s">
        <v>3619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f t="shared" si="110"/>
        <v>3.4</v>
      </c>
      <c r="M3567">
        <f t="shared" si="111"/>
        <v>1</v>
      </c>
    </row>
    <row r="3568" spans="1:13" x14ac:dyDescent="0.3">
      <c r="A3568">
        <v>3566</v>
      </c>
      <c r="B3568">
        <v>3567</v>
      </c>
      <c r="C3568" t="s">
        <v>3634</v>
      </c>
      <c r="D3568">
        <v>2017</v>
      </c>
      <c r="F3568" t="s">
        <v>3619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f t="shared" si="110"/>
        <v>3.4</v>
      </c>
      <c r="M3568">
        <f t="shared" si="111"/>
        <v>1</v>
      </c>
    </row>
    <row r="3569" spans="1:13" x14ac:dyDescent="0.3">
      <c r="A3569">
        <v>3567</v>
      </c>
      <c r="B3569">
        <v>3568</v>
      </c>
      <c r="C3569" t="s">
        <v>3635</v>
      </c>
      <c r="D3569">
        <v>2020</v>
      </c>
      <c r="F3569" t="s">
        <v>3619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f t="shared" si="110"/>
        <v>3.4</v>
      </c>
      <c r="M3569">
        <f t="shared" si="111"/>
        <v>1</v>
      </c>
    </row>
    <row r="3570" spans="1:13" x14ac:dyDescent="0.3">
      <c r="A3570">
        <v>3568</v>
      </c>
      <c r="B3570">
        <v>3569</v>
      </c>
      <c r="C3570" t="s">
        <v>3636</v>
      </c>
      <c r="D3570">
        <v>2018</v>
      </c>
      <c r="E3570" t="s">
        <v>22</v>
      </c>
      <c r="F3570" t="s">
        <v>3619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f t="shared" si="110"/>
        <v>3.4</v>
      </c>
      <c r="M3570">
        <f t="shared" si="111"/>
        <v>1</v>
      </c>
    </row>
    <row r="3571" spans="1:13" x14ac:dyDescent="0.3">
      <c r="A3571">
        <v>3569</v>
      </c>
      <c r="B3571">
        <v>3570</v>
      </c>
      <c r="C3571" t="s">
        <v>3637</v>
      </c>
      <c r="D3571">
        <v>2015</v>
      </c>
      <c r="F3571" t="s">
        <v>3619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f t="shared" si="110"/>
        <v>3.4</v>
      </c>
      <c r="M3571">
        <f t="shared" si="111"/>
        <v>1</v>
      </c>
    </row>
    <row r="3572" spans="1:13" x14ac:dyDescent="0.3">
      <c r="A3572">
        <v>3570</v>
      </c>
      <c r="B3572">
        <v>3571</v>
      </c>
      <c r="C3572" t="s">
        <v>3638</v>
      </c>
      <c r="D3572">
        <v>2016</v>
      </c>
      <c r="F3572" t="s">
        <v>3619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f t="shared" si="110"/>
        <v>3.4</v>
      </c>
      <c r="M3572">
        <f t="shared" si="111"/>
        <v>1</v>
      </c>
    </row>
    <row r="3573" spans="1:13" x14ac:dyDescent="0.3">
      <c r="A3573">
        <v>3571</v>
      </c>
      <c r="B3573">
        <v>3572</v>
      </c>
      <c r="C3573" t="s">
        <v>3639</v>
      </c>
      <c r="D3573">
        <v>2020</v>
      </c>
      <c r="F3573" t="s">
        <v>3619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f t="shared" si="110"/>
        <v>3.4</v>
      </c>
      <c r="M3573">
        <f t="shared" si="111"/>
        <v>1</v>
      </c>
    </row>
    <row r="3574" spans="1:13" x14ac:dyDescent="0.3">
      <c r="A3574">
        <v>3572</v>
      </c>
      <c r="B3574">
        <v>3573</v>
      </c>
      <c r="C3574" t="s">
        <v>3640</v>
      </c>
      <c r="D3574">
        <v>2018</v>
      </c>
      <c r="F3574" t="s">
        <v>3619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f t="shared" si="110"/>
        <v>3.4</v>
      </c>
      <c r="M3574">
        <f t="shared" si="111"/>
        <v>1</v>
      </c>
    </row>
    <row r="3575" spans="1:13" x14ac:dyDescent="0.3">
      <c r="A3575">
        <v>3573</v>
      </c>
      <c r="B3575">
        <v>3574</v>
      </c>
      <c r="C3575" t="s">
        <v>3641</v>
      </c>
      <c r="D3575">
        <v>2021</v>
      </c>
      <c r="F3575" t="s">
        <v>3619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f t="shared" si="110"/>
        <v>3.4</v>
      </c>
      <c r="M3575">
        <f t="shared" si="111"/>
        <v>1</v>
      </c>
    </row>
    <row r="3576" spans="1:13" x14ac:dyDescent="0.3">
      <c r="A3576">
        <v>3574</v>
      </c>
      <c r="B3576">
        <v>3575</v>
      </c>
      <c r="C3576" t="s">
        <v>3642</v>
      </c>
      <c r="D3576">
        <v>2013</v>
      </c>
      <c r="F3576" t="s">
        <v>3619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f t="shared" si="110"/>
        <v>3.4</v>
      </c>
      <c r="M3576">
        <f t="shared" si="111"/>
        <v>1</v>
      </c>
    </row>
    <row r="3577" spans="1:13" x14ac:dyDescent="0.3">
      <c r="A3577">
        <v>3575</v>
      </c>
      <c r="B3577">
        <v>3576</v>
      </c>
      <c r="C3577" t="s">
        <v>3643</v>
      </c>
      <c r="D3577">
        <v>2018</v>
      </c>
      <c r="F3577" t="s">
        <v>3619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f t="shared" si="110"/>
        <v>3.4</v>
      </c>
      <c r="M3577">
        <f t="shared" si="111"/>
        <v>1</v>
      </c>
    </row>
    <row r="3578" spans="1:13" x14ac:dyDescent="0.3">
      <c r="A3578">
        <v>3576</v>
      </c>
      <c r="B3578">
        <v>3577</v>
      </c>
      <c r="C3578" t="s">
        <v>3644</v>
      </c>
      <c r="D3578">
        <v>2019</v>
      </c>
      <c r="F3578" t="s">
        <v>3619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f t="shared" si="110"/>
        <v>3.4</v>
      </c>
      <c r="M3578">
        <f t="shared" si="111"/>
        <v>1</v>
      </c>
    </row>
    <row r="3579" spans="1:13" x14ac:dyDescent="0.3">
      <c r="A3579">
        <v>3577</v>
      </c>
      <c r="B3579">
        <v>3578</v>
      </c>
      <c r="C3579" t="s">
        <v>3645</v>
      </c>
      <c r="D3579">
        <v>2018</v>
      </c>
      <c r="F3579" t="s">
        <v>3619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f t="shared" si="110"/>
        <v>3.4</v>
      </c>
      <c r="M3579">
        <f t="shared" si="111"/>
        <v>1</v>
      </c>
    </row>
    <row r="3580" spans="1:13" x14ac:dyDescent="0.3">
      <c r="A3580">
        <v>3578</v>
      </c>
      <c r="B3580">
        <v>3579</v>
      </c>
      <c r="C3580" t="s">
        <v>3646</v>
      </c>
      <c r="D3580">
        <v>2019</v>
      </c>
      <c r="F3580" t="s">
        <v>3619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f t="shared" si="110"/>
        <v>3.4</v>
      </c>
      <c r="M3580">
        <f t="shared" si="111"/>
        <v>1</v>
      </c>
    </row>
    <row r="3581" spans="1:13" x14ac:dyDescent="0.3">
      <c r="A3581">
        <v>3579</v>
      </c>
      <c r="B3581">
        <v>3580</v>
      </c>
      <c r="C3581" t="s">
        <v>3647</v>
      </c>
      <c r="D3581">
        <v>2017</v>
      </c>
      <c r="F3581" t="s">
        <v>3619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f t="shared" si="110"/>
        <v>3.4</v>
      </c>
      <c r="M3581">
        <f t="shared" si="111"/>
        <v>1</v>
      </c>
    </row>
    <row r="3582" spans="1:13" x14ac:dyDescent="0.3">
      <c r="A3582">
        <v>3580</v>
      </c>
      <c r="B3582">
        <v>3581</v>
      </c>
      <c r="C3582" t="s">
        <v>3648</v>
      </c>
      <c r="D3582">
        <v>2020</v>
      </c>
      <c r="F3582" t="s">
        <v>3619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f t="shared" si="110"/>
        <v>3.4</v>
      </c>
      <c r="M3582">
        <f t="shared" si="111"/>
        <v>1</v>
      </c>
    </row>
    <row r="3583" spans="1:13" x14ac:dyDescent="0.3">
      <c r="A3583">
        <v>3581</v>
      </c>
      <c r="B3583">
        <v>3582</v>
      </c>
      <c r="C3583" t="s">
        <v>3649</v>
      </c>
      <c r="D3583">
        <v>2018</v>
      </c>
      <c r="F3583" t="s">
        <v>3619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f t="shared" si="110"/>
        <v>3.4</v>
      </c>
      <c r="M3583">
        <f t="shared" si="111"/>
        <v>1</v>
      </c>
    </row>
    <row r="3584" spans="1:13" x14ac:dyDescent="0.3">
      <c r="A3584">
        <v>3582</v>
      </c>
      <c r="B3584">
        <v>3583</v>
      </c>
      <c r="C3584" t="s">
        <v>3650</v>
      </c>
      <c r="D3584">
        <v>2014</v>
      </c>
      <c r="E3584" t="s">
        <v>36</v>
      </c>
      <c r="F3584" t="s">
        <v>3619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f t="shared" si="110"/>
        <v>3.4</v>
      </c>
      <c r="M3584">
        <f t="shared" si="111"/>
        <v>1</v>
      </c>
    </row>
    <row r="3585" spans="1:13" x14ac:dyDescent="0.3">
      <c r="A3585">
        <v>3583</v>
      </c>
      <c r="B3585">
        <v>3584</v>
      </c>
      <c r="C3585" t="s">
        <v>3651</v>
      </c>
      <c r="D3585">
        <v>2018</v>
      </c>
      <c r="F3585" t="s">
        <v>3652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f t="shared" si="110"/>
        <v>3.3</v>
      </c>
      <c r="M3585">
        <f t="shared" si="111"/>
        <v>1</v>
      </c>
    </row>
    <row r="3586" spans="1:13" x14ac:dyDescent="0.3">
      <c r="A3586">
        <v>3584</v>
      </c>
      <c r="B3586">
        <v>3585</v>
      </c>
      <c r="C3586" t="s">
        <v>3653</v>
      </c>
      <c r="D3586">
        <v>2017</v>
      </c>
      <c r="F3586" t="s">
        <v>3652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f t="shared" si="110"/>
        <v>3.3</v>
      </c>
      <c r="M3586">
        <f t="shared" si="111"/>
        <v>1</v>
      </c>
    </row>
    <row r="3587" spans="1:13" x14ac:dyDescent="0.3">
      <c r="A3587">
        <v>3585</v>
      </c>
      <c r="B3587">
        <v>3586</v>
      </c>
      <c r="C3587" t="s">
        <v>3654</v>
      </c>
      <c r="D3587">
        <v>1981</v>
      </c>
      <c r="F3587" t="s">
        <v>3652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f t="shared" ref="L3587:L3650" si="112">IFERROR(VALUE(LEFT(F3587,FIND("/",F3587)-1))/10,"")</f>
        <v>3.3</v>
      </c>
      <c r="M3587">
        <f t="shared" ref="M3587:M3650" si="113">SUM(G3587:J3587)</f>
        <v>1</v>
      </c>
    </row>
    <row r="3588" spans="1:13" x14ac:dyDescent="0.3">
      <c r="A3588">
        <v>3586</v>
      </c>
      <c r="B3588">
        <v>3587</v>
      </c>
      <c r="C3588" t="s">
        <v>3655</v>
      </c>
      <c r="D3588">
        <v>2013</v>
      </c>
      <c r="F3588" t="s">
        <v>3652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f t="shared" si="112"/>
        <v>3.3</v>
      </c>
      <c r="M3588">
        <f t="shared" si="113"/>
        <v>1</v>
      </c>
    </row>
    <row r="3589" spans="1:13" x14ac:dyDescent="0.3">
      <c r="A3589">
        <v>3587</v>
      </c>
      <c r="B3589">
        <v>3588</v>
      </c>
      <c r="C3589" t="s">
        <v>3656</v>
      </c>
      <c r="D3589">
        <v>2016</v>
      </c>
      <c r="F3589" t="s">
        <v>3652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f t="shared" si="112"/>
        <v>3.3</v>
      </c>
      <c r="M3589">
        <f t="shared" si="113"/>
        <v>1</v>
      </c>
    </row>
    <row r="3590" spans="1:13" x14ac:dyDescent="0.3">
      <c r="A3590">
        <v>3588</v>
      </c>
      <c r="B3590">
        <v>3589</v>
      </c>
      <c r="C3590" t="s">
        <v>3657</v>
      </c>
      <c r="D3590">
        <v>2014</v>
      </c>
      <c r="F3590" t="s">
        <v>3652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f t="shared" si="112"/>
        <v>3.3</v>
      </c>
      <c r="M3590">
        <f t="shared" si="113"/>
        <v>1</v>
      </c>
    </row>
    <row r="3591" spans="1:13" x14ac:dyDescent="0.3">
      <c r="A3591">
        <v>3589</v>
      </c>
      <c r="B3591">
        <v>3590</v>
      </c>
      <c r="C3591" t="s">
        <v>3658</v>
      </c>
      <c r="D3591">
        <v>2020</v>
      </c>
      <c r="F3591" t="s">
        <v>3652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f t="shared" si="112"/>
        <v>3.3</v>
      </c>
      <c r="M3591">
        <f t="shared" si="113"/>
        <v>1</v>
      </c>
    </row>
    <row r="3592" spans="1:13" x14ac:dyDescent="0.3">
      <c r="A3592">
        <v>3590</v>
      </c>
      <c r="B3592">
        <v>3591</v>
      </c>
      <c r="C3592" t="s">
        <v>3659</v>
      </c>
      <c r="D3592">
        <v>2018</v>
      </c>
      <c r="E3592" t="s">
        <v>14</v>
      </c>
      <c r="F3592" t="s">
        <v>3652</v>
      </c>
      <c r="G3592">
        <v>1</v>
      </c>
      <c r="H3592">
        <v>0</v>
      </c>
      <c r="I3592">
        <v>0</v>
      </c>
      <c r="J3592">
        <v>0</v>
      </c>
      <c r="K3592">
        <v>0</v>
      </c>
      <c r="L3592">
        <f t="shared" si="112"/>
        <v>3.3</v>
      </c>
      <c r="M3592">
        <f t="shared" si="113"/>
        <v>1</v>
      </c>
    </row>
    <row r="3593" spans="1:13" x14ac:dyDescent="0.3">
      <c r="A3593">
        <v>3591</v>
      </c>
      <c r="B3593">
        <v>3592</v>
      </c>
      <c r="C3593" t="s">
        <v>3660</v>
      </c>
      <c r="D3593">
        <v>2013</v>
      </c>
      <c r="F3593" t="s">
        <v>3652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f t="shared" si="112"/>
        <v>3.3</v>
      </c>
      <c r="M3593">
        <f t="shared" si="113"/>
        <v>1</v>
      </c>
    </row>
    <row r="3594" spans="1:13" x14ac:dyDescent="0.3">
      <c r="A3594">
        <v>3592</v>
      </c>
      <c r="B3594">
        <v>3593</v>
      </c>
      <c r="C3594" t="s">
        <v>3661</v>
      </c>
      <c r="D3594">
        <v>2020</v>
      </c>
      <c r="F3594" t="s">
        <v>3652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f t="shared" si="112"/>
        <v>3.3</v>
      </c>
      <c r="M3594">
        <f t="shared" si="113"/>
        <v>1</v>
      </c>
    </row>
    <row r="3595" spans="1:13" x14ac:dyDescent="0.3">
      <c r="A3595">
        <v>3593</v>
      </c>
      <c r="B3595">
        <v>3594</v>
      </c>
      <c r="C3595" t="s">
        <v>3662</v>
      </c>
      <c r="D3595">
        <v>1976</v>
      </c>
      <c r="F3595" t="s">
        <v>3652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f t="shared" si="112"/>
        <v>3.3</v>
      </c>
      <c r="M3595">
        <f t="shared" si="113"/>
        <v>1</v>
      </c>
    </row>
    <row r="3596" spans="1:13" x14ac:dyDescent="0.3">
      <c r="A3596">
        <v>3594</v>
      </c>
      <c r="B3596">
        <v>3595</v>
      </c>
      <c r="C3596" t="s">
        <v>3663</v>
      </c>
      <c r="D3596">
        <v>2016</v>
      </c>
      <c r="F3596" t="s">
        <v>3652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f t="shared" si="112"/>
        <v>3.3</v>
      </c>
      <c r="M3596">
        <f t="shared" si="113"/>
        <v>1</v>
      </c>
    </row>
    <row r="3597" spans="1:13" x14ac:dyDescent="0.3">
      <c r="A3597">
        <v>3595</v>
      </c>
      <c r="B3597">
        <v>3596</v>
      </c>
      <c r="C3597" t="s">
        <v>3664</v>
      </c>
      <c r="D3597">
        <v>2018</v>
      </c>
      <c r="F3597" t="s">
        <v>3652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f t="shared" si="112"/>
        <v>3.3</v>
      </c>
      <c r="M3597">
        <f t="shared" si="113"/>
        <v>1</v>
      </c>
    </row>
    <row r="3598" spans="1:13" x14ac:dyDescent="0.3">
      <c r="A3598">
        <v>3596</v>
      </c>
      <c r="B3598">
        <v>3597</v>
      </c>
      <c r="C3598" t="s">
        <v>3665</v>
      </c>
      <c r="D3598">
        <v>2019</v>
      </c>
      <c r="F3598" t="s">
        <v>3652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f t="shared" si="112"/>
        <v>3.3</v>
      </c>
      <c r="M3598">
        <f t="shared" si="113"/>
        <v>1</v>
      </c>
    </row>
    <row r="3599" spans="1:13" x14ac:dyDescent="0.3">
      <c r="A3599">
        <v>3597</v>
      </c>
      <c r="B3599">
        <v>3598</v>
      </c>
      <c r="C3599" t="s">
        <v>3666</v>
      </c>
      <c r="D3599">
        <v>2018</v>
      </c>
      <c r="F3599" t="s">
        <v>3652</v>
      </c>
      <c r="G3599">
        <v>1</v>
      </c>
      <c r="H3599">
        <v>0</v>
      </c>
      <c r="I3599">
        <v>0</v>
      </c>
      <c r="J3599">
        <v>0</v>
      </c>
      <c r="K3599">
        <v>0</v>
      </c>
      <c r="L3599">
        <f t="shared" si="112"/>
        <v>3.3</v>
      </c>
      <c r="M3599">
        <f t="shared" si="113"/>
        <v>1</v>
      </c>
    </row>
    <row r="3600" spans="1:13" x14ac:dyDescent="0.3">
      <c r="A3600">
        <v>3598</v>
      </c>
      <c r="B3600">
        <v>3599</v>
      </c>
      <c r="C3600" t="s">
        <v>3667</v>
      </c>
      <c r="D3600">
        <v>2019</v>
      </c>
      <c r="F3600" t="s">
        <v>3652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f t="shared" si="112"/>
        <v>3.3</v>
      </c>
      <c r="M3600">
        <f t="shared" si="113"/>
        <v>1</v>
      </c>
    </row>
    <row r="3601" spans="1:13" x14ac:dyDescent="0.3">
      <c r="A3601">
        <v>3599</v>
      </c>
      <c r="B3601">
        <v>3600</v>
      </c>
      <c r="C3601" t="s">
        <v>3668</v>
      </c>
      <c r="D3601">
        <v>2015</v>
      </c>
      <c r="F3601" t="s">
        <v>3652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f t="shared" si="112"/>
        <v>3.3</v>
      </c>
      <c r="M3601">
        <f t="shared" si="113"/>
        <v>1</v>
      </c>
    </row>
    <row r="3602" spans="1:13" x14ac:dyDescent="0.3">
      <c r="A3602">
        <v>3600</v>
      </c>
      <c r="B3602">
        <v>3601</v>
      </c>
      <c r="C3602" t="s">
        <v>3669</v>
      </c>
      <c r="D3602">
        <v>2020</v>
      </c>
      <c r="F3602" t="s">
        <v>3652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f t="shared" si="112"/>
        <v>3.3</v>
      </c>
      <c r="M3602">
        <f t="shared" si="113"/>
        <v>1</v>
      </c>
    </row>
    <row r="3603" spans="1:13" x14ac:dyDescent="0.3">
      <c r="A3603">
        <v>3601</v>
      </c>
      <c r="B3603">
        <v>3602</v>
      </c>
      <c r="C3603" t="s">
        <v>3670</v>
      </c>
      <c r="D3603">
        <v>2020</v>
      </c>
      <c r="F3603" t="s">
        <v>3671</v>
      </c>
      <c r="G3603">
        <v>1</v>
      </c>
      <c r="H3603">
        <v>0</v>
      </c>
      <c r="I3603">
        <v>0</v>
      </c>
      <c r="J3603">
        <v>0</v>
      </c>
      <c r="K3603">
        <v>0</v>
      </c>
      <c r="L3603">
        <f t="shared" si="112"/>
        <v>3.2</v>
      </c>
      <c r="M3603">
        <f t="shared" si="113"/>
        <v>1</v>
      </c>
    </row>
    <row r="3604" spans="1:13" x14ac:dyDescent="0.3">
      <c r="A3604">
        <v>3602</v>
      </c>
      <c r="B3604">
        <v>3603</v>
      </c>
      <c r="C3604" t="s">
        <v>3672</v>
      </c>
      <c r="D3604">
        <v>2018</v>
      </c>
      <c r="F3604" t="s">
        <v>3671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f t="shared" si="112"/>
        <v>3.2</v>
      </c>
      <c r="M3604">
        <f t="shared" si="113"/>
        <v>1</v>
      </c>
    </row>
    <row r="3605" spans="1:13" x14ac:dyDescent="0.3">
      <c r="A3605">
        <v>3603</v>
      </c>
      <c r="B3605">
        <v>3604</v>
      </c>
      <c r="C3605" t="s">
        <v>3673</v>
      </c>
      <c r="D3605">
        <v>2016</v>
      </c>
      <c r="E3605" t="s">
        <v>22</v>
      </c>
      <c r="F3605" t="s">
        <v>3671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f t="shared" si="112"/>
        <v>3.2</v>
      </c>
      <c r="M3605">
        <f t="shared" si="113"/>
        <v>1</v>
      </c>
    </row>
    <row r="3606" spans="1:13" x14ac:dyDescent="0.3">
      <c r="A3606">
        <v>3604</v>
      </c>
      <c r="B3606">
        <v>3605</v>
      </c>
      <c r="C3606" t="s">
        <v>3674</v>
      </c>
      <c r="D3606">
        <v>2018</v>
      </c>
      <c r="F3606" t="s">
        <v>3671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f t="shared" si="112"/>
        <v>3.2</v>
      </c>
      <c r="M3606">
        <f t="shared" si="113"/>
        <v>1</v>
      </c>
    </row>
    <row r="3607" spans="1:13" x14ac:dyDescent="0.3">
      <c r="A3607">
        <v>3605</v>
      </c>
      <c r="B3607">
        <v>3606</v>
      </c>
      <c r="C3607" t="s">
        <v>3675</v>
      </c>
      <c r="D3607">
        <v>2017</v>
      </c>
      <c r="F3607" t="s">
        <v>3671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f t="shared" si="112"/>
        <v>3.2</v>
      </c>
      <c r="M3607">
        <f t="shared" si="113"/>
        <v>1</v>
      </c>
    </row>
    <row r="3608" spans="1:13" x14ac:dyDescent="0.3">
      <c r="A3608">
        <v>3606</v>
      </c>
      <c r="B3608">
        <v>3607</v>
      </c>
      <c r="C3608" t="s">
        <v>3676</v>
      </c>
      <c r="D3608">
        <v>2020</v>
      </c>
      <c r="F3608" t="s">
        <v>3671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f t="shared" si="112"/>
        <v>3.2</v>
      </c>
      <c r="M3608">
        <f t="shared" si="113"/>
        <v>1</v>
      </c>
    </row>
    <row r="3609" spans="1:13" x14ac:dyDescent="0.3">
      <c r="A3609">
        <v>3607</v>
      </c>
      <c r="B3609">
        <v>3608</v>
      </c>
      <c r="C3609" t="s">
        <v>3677</v>
      </c>
      <c r="D3609">
        <v>2015</v>
      </c>
      <c r="E3609" t="s">
        <v>36</v>
      </c>
      <c r="F3609" t="s">
        <v>3671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f t="shared" si="112"/>
        <v>3.2</v>
      </c>
      <c r="M3609">
        <f t="shared" si="113"/>
        <v>1</v>
      </c>
    </row>
    <row r="3610" spans="1:13" x14ac:dyDescent="0.3">
      <c r="A3610">
        <v>3608</v>
      </c>
      <c r="B3610">
        <v>3609</v>
      </c>
      <c r="C3610" t="s">
        <v>3678</v>
      </c>
      <c r="D3610">
        <v>2013</v>
      </c>
      <c r="F3610" t="s">
        <v>3671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f t="shared" si="112"/>
        <v>3.2</v>
      </c>
      <c r="M3610">
        <f t="shared" si="113"/>
        <v>1</v>
      </c>
    </row>
    <row r="3611" spans="1:13" x14ac:dyDescent="0.3">
      <c r="A3611">
        <v>3609</v>
      </c>
      <c r="B3611">
        <v>3610</v>
      </c>
      <c r="C3611" t="s">
        <v>3679</v>
      </c>
      <c r="D3611">
        <v>2013</v>
      </c>
      <c r="E3611" t="s">
        <v>14</v>
      </c>
      <c r="F3611" t="s">
        <v>3671</v>
      </c>
      <c r="G3611">
        <v>1</v>
      </c>
      <c r="H3611">
        <v>0</v>
      </c>
      <c r="I3611">
        <v>0</v>
      </c>
      <c r="J3611">
        <v>0</v>
      </c>
      <c r="K3611">
        <v>0</v>
      </c>
      <c r="L3611">
        <f t="shared" si="112"/>
        <v>3.2</v>
      </c>
      <c r="M3611">
        <f t="shared" si="113"/>
        <v>1</v>
      </c>
    </row>
    <row r="3612" spans="1:13" x14ac:dyDescent="0.3">
      <c r="A3612">
        <v>3610</v>
      </c>
      <c r="B3612">
        <v>3611</v>
      </c>
      <c r="C3612" t="s">
        <v>3680</v>
      </c>
      <c r="D3612">
        <v>2019</v>
      </c>
      <c r="F3612" t="s">
        <v>3671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f t="shared" si="112"/>
        <v>3.2</v>
      </c>
      <c r="M3612">
        <f t="shared" si="113"/>
        <v>1</v>
      </c>
    </row>
    <row r="3613" spans="1:13" x14ac:dyDescent="0.3">
      <c r="A3613">
        <v>3611</v>
      </c>
      <c r="B3613">
        <v>3612</v>
      </c>
      <c r="C3613" t="s">
        <v>3681</v>
      </c>
      <c r="D3613">
        <v>2018</v>
      </c>
      <c r="E3613" t="s">
        <v>22</v>
      </c>
      <c r="F3613" t="s">
        <v>3671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f t="shared" si="112"/>
        <v>3.2</v>
      </c>
      <c r="M3613">
        <f t="shared" si="113"/>
        <v>1</v>
      </c>
    </row>
    <row r="3614" spans="1:13" x14ac:dyDescent="0.3">
      <c r="A3614">
        <v>3612</v>
      </c>
      <c r="B3614">
        <v>3613</v>
      </c>
      <c r="C3614" t="s">
        <v>3682</v>
      </c>
      <c r="D3614">
        <v>2018</v>
      </c>
      <c r="F3614" t="s">
        <v>3683</v>
      </c>
      <c r="G3614">
        <v>1</v>
      </c>
      <c r="H3614">
        <v>0</v>
      </c>
      <c r="I3614">
        <v>0</v>
      </c>
      <c r="J3614">
        <v>0</v>
      </c>
      <c r="K3614">
        <v>0</v>
      </c>
      <c r="L3614">
        <f t="shared" si="112"/>
        <v>3.1</v>
      </c>
      <c r="M3614">
        <f t="shared" si="113"/>
        <v>1</v>
      </c>
    </row>
    <row r="3615" spans="1:13" x14ac:dyDescent="0.3">
      <c r="A3615">
        <v>3613</v>
      </c>
      <c r="B3615">
        <v>3614</v>
      </c>
      <c r="C3615" t="s">
        <v>3684</v>
      </c>
      <c r="D3615">
        <v>2018</v>
      </c>
      <c r="F3615" t="s">
        <v>3683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f t="shared" si="112"/>
        <v>3.1</v>
      </c>
      <c r="M3615">
        <f t="shared" si="113"/>
        <v>1</v>
      </c>
    </row>
    <row r="3616" spans="1:13" x14ac:dyDescent="0.3">
      <c r="A3616">
        <v>3614</v>
      </c>
      <c r="B3616">
        <v>3615</v>
      </c>
      <c r="C3616" t="s">
        <v>3685</v>
      </c>
      <c r="D3616">
        <v>2017</v>
      </c>
      <c r="F3616" t="s">
        <v>3683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f t="shared" si="112"/>
        <v>3.1</v>
      </c>
      <c r="M3616">
        <f t="shared" si="113"/>
        <v>1</v>
      </c>
    </row>
    <row r="3617" spans="1:13" x14ac:dyDescent="0.3">
      <c r="A3617">
        <v>3615</v>
      </c>
      <c r="B3617">
        <v>3616</v>
      </c>
      <c r="C3617" t="s">
        <v>3686</v>
      </c>
      <c r="D3617">
        <v>2014</v>
      </c>
      <c r="E3617" t="s">
        <v>36</v>
      </c>
      <c r="F3617" t="s">
        <v>3683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f t="shared" si="112"/>
        <v>3.1</v>
      </c>
      <c r="M3617">
        <f t="shared" si="113"/>
        <v>1</v>
      </c>
    </row>
    <row r="3618" spans="1:13" x14ac:dyDescent="0.3">
      <c r="A3618">
        <v>3616</v>
      </c>
      <c r="B3618">
        <v>3617</v>
      </c>
      <c r="C3618" t="s">
        <v>3687</v>
      </c>
      <c r="D3618">
        <v>2020</v>
      </c>
      <c r="F3618" t="s">
        <v>3683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f t="shared" si="112"/>
        <v>3.1</v>
      </c>
      <c r="M3618">
        <f t="shared" si="113"/>
        <v>1</v>
      </c>
    </row>
    <row r="3619" spans="1:13" x14ac:dyDescent="0.3">
      <c r="A3619">
        <v>3617</v>
      </c>
      <c r="B3619">
        <v>3618</v>
      </c>
      <c r="C3619" t="s">
        <v>3688</v>
      </c>
      <c r="D3619">
        <v>2019</v>
      </c>
      <c r="F3619" t="s">
        <v>3683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f t="shared" si="112"/>
        <v>3.1</v>
      </c>
      <c r="M3619">
        <f t="shared" si="113"/>
        <v>1</v>
      </c>
    </row>
    <row r="3620" spans="1:13" x14ac:dyDescent="0.3">
      <c r="A3620">
        <v>3618</v>
      </c>
      <c r="B3620">
        <v>3619</v>
      </c>
      <c r="C3620" t="s">
        <v>3689</v>
      </c>
      <c r="D3620">
        <v>2018</v>
      </c>
      <c r="F3620" t="s">
        <v>3683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f t="shared" si="112"/>
        <v>3.1</v>
      </c>
      <c r="M3620">
        <f t="shared" si="113"/>
        <v>1</v>
      </c>
    </row>
    <row r="3621" spans="1:13" x14ac:dyDescent="0.3">
      <c r="A3621">
        <v>3619</v>
      </c>
      <c r="B3621">
        <v>3620</v>
      </c>
      <c r="C3621" t="s">
        <v>3690</v>
      </c>
      <c r="D3621">
        <v>2014</v>
      </c>
      <c r="E3621" t="s">
        <v>14</v>
      </c>
      <c r="F3621" t="s">
        <v>3683</v>
      </c>
      <c r="G3621">
        <v>1</v>
      </c>
      <c r="H3621">
        <v>0</v>
      </c>
      <c r="I3621">
        <v>0</v>
      </c>
      <c r="J3621">
        <v>0</v>
      </c>
      <c r="K3621">
        <v>0</v>
      </c>
      <c r="L3621">
        <f t="shared" si="112"/>
        <v>3.1</v>
      </c>
      <c r="M3621">
        <f t="shared" si="113"/>
        <v>1</v>
      </c>
    </row>
    <row r="3622" spans="1:13" x14ac:dyDescent="0.3">
      <c r="A3622">
        <v>3620</v>
      </c>
      <c r="B3622">
        <v>3621</v>
      </c>
      <c r="C3622" t="s">
        <v>3691</v>
      </c>
      <c r="D3622">
        <v>2018</v>
      </c>
      <c r="F3622" t="s">
        <v>3692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f t="shared" si="112"/>
        <v>3</v>
      </c>
      <c r="M3622">
        <f t="shared" si="113"/>
        <v>1</v>
      </c>
    </row>
    <row r="3623" spans="1:13" x14ac:dyDescent="0.3">
      <c r="A3623">
        <v>3621</v>
      </c>
      <c r="B3623">
        <v>3622</v>
      </c>
      <c r="C3623" t="s">
        <v>3693</v>
      </c>
      <c r="D3623">
        <v>2019</v>
      </c>
      <c r="F3623" t="s">
        <v>3692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f t="shared" si="112"/>
        <v>3</v>
      </c>
      <c r="M3623">
        <f t="shared" si="113"/>
        <v>1</v>
      </c>
    </row>
    <row r="3624" spans="1:13" x14ac:dyDescent="0.3">
      <c r="A3624">
        <v>3622</v>
      </c>
      <c r="B3624">
        <v>3623</v>
      </c>
      <c r="C3624" t="s">
        <v>3694</v>
      </c>
      <c r="D3624">
        <v>2018</v>
      </c>
      <c r="F3624" t="s">
        <v>3692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f t="shared" si="112"/>
        <v>3</v>
      </c>
      <c r="M3624">
        <f t="shared" si="113"/>
        <v>1</v>
      </c>
    </row>
    <row r="3625" spans="1:13" x14ac:dyDescent="0.3">
      <c r="A3625">
        <v>3623</v>
      </c>
      <c r="B3625">
        <v>3624</v>
      </c>
      <c r="C3625" t="s">
        <v>3695</v>
      </c>
      <c r="D3625">
        <v>2019</v>
      </c>
      <c r="E3625" t="s">
        <v>11</v>
      </c>
      <c r="F3625" t="s">
        <v>3696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f t="shared" si="112"/>
        <v>2.9</v>
      </c>
      <c r="M3625">
        <f t="shared" si="113"/>
        <v>1</v>
      </c>
    </row>
    <row r="3626" spans="1:13" x14ac:dyDescent="0.3">
      <c r="A3626">
        <v>3624</v>
      </c>
      <c r="B3626">
        <v>3625</v>
      </c>
      <c r="C3626" t="s">
        <v>3697</v>
      </c>
      <c r="D3626">
        <v>2012</v>
      </c>
      <c r="F3626" t="s">
        <v>3696</v>
      </c>
      <c r="G3626">
        <v>1</v>
      </c>
      <c r="H3626">
        <v>0</v>
      </c>
      <c r="I3626">
        <v>0</v>
      </c>
      <c r="J3626">
        <v>0</v>
      </c>
      <c r="K3626">
        <v>0</v>
      </c>
      <c r="L3626">
        <f t="shared" si="112"/>
        <v>2.9</v>
      </c>
      <c r="M3626">
        <f t="shared" si="113"/>
        <v>1</v>
      </c>
    </row>
    <row r="3627" spans="1:13" x14ac:dyDescent="0.3">
      <c r="A3627">
        <v>3625</v>
      </c>
      <c r="B3627">
        <v>3626</v>
      </c>
      <c r="C3627" t="s">
        <v>3698</v>
      </c>
      <c r="D3627">
        <v>2017</v>
      </c>
      <c r="F3627" t="s">
        <v>3696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f t="shared" si="112"/>
        <v>2.9</v>
      </c>
      <c r="M3627">
        <f t="shared" si="113"/>
        <v>1</v>
      </c>
    </row>
    <row r="3628" spans="1:13" x14ac:dyDescent="0.3">
      <c r="A3628">
        <v>3626</v>
      </c>
      <c r="B3628">
        <v>3627</v>
      </c>
      <c r="C3628" t="s">
        <v>3699</v>
      </c>
      <c r="D3628">
        <v>2017</v>
      </c>
      <c r="F3628" t="s">
        <v>3696</v>
      </c>
      <c r="G3628">
        <v>1</v>
      </c>
      <c r="H3628">
        <v>0</v>
      </c>
      <c r="I3628">
        <v>0</v>
      </c>
      <c r="J3628">
        <v>0</v>
      </c>
      <c r="K3628">
        <v>0</v>
      </c>
      <c r="L3628">
        <f t="shared" si="112"/>
        <v>2.9</v>
      </c>
      <c r="M3628">
        <f t="shared" si="113"/>
        <v>1</v>
      </c>
    </row>
    <row r="3629" spans="1:13" x14ac:dyDescent="0.3">
      <c r="A3629">
        <v>3627</v>
      </c>
      <c r="B3629">
        <v>3628</v>
      </c>
      <c r="C3629" t="s">
        <v>3700</v>
      </c>
      <c r="D3629">
        <v>2007</v>
      </c>
      <c r="E3629" t="s">
        <v>14</v>
      </c>
      <c r="F3629" t="s">
        <v>3696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f t="shared" si="112"/>
        <v>2.9</v>
      </c>
      <c r="M3629">
        <f t="shared" si="113"/>
        <v>1</v>
      </c>
    </row>
    <row r="3630" spans="1:13" x14ac:dyDescent="0.3">
      <c r="A3630">
        <v>3628</v>
      </c>
      <c r="B3630">
        <v>3629</v>
      </c>
      <c r="C3630" t="s">
        <v>3701</v>
      </c>
      <c r="D3630">
        <v>2016</v>
      </c>
      <c r="E3630" t="s">
        <v>22</v>
      </c>
      <c r="F3630" t="s">
        <v>3696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f t="shared" si="112"/>
        <v>2.9</v>
      </c>
      <c r="M3630">
        <f t="shared" si="113"/>
        <v>1</v>
      </c>
    </row>
    <row r="3631" spans="1:13" x14ac:dyDescent="0.3">
      <c r="A3631">
        <v>3629</v>
      </c>
      <c r="B3631">
        <v>3630</v>
      </c>
      <c r="C3631" t="s">
        <v>3702</v>
      </c>
      <c r="D3631">
        <v>2019</v>
      </c>
      <c r="F3631" t="s">
        <v>3703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f t="shared" si="112"/>
        <v>2.8</v>
      </c>
      <c r="M3631">
        <f t="shared" si="113"/>
        <v>1</v>
      </c>
    </row>
    <row r="3632" spans="1:13" x14ac:dyDescent="0.3">
      <c r="A3632">
        <v>3630</v>
      </c>
      <c r="B3632">
        <v>3631</v>
      </c>
      <c r="C3632" t="s">
        <v>3704</v>
      </c>
      <c r="D3632">
        <v>2019</v>
      </c>
      <c r="F3632" t="s">
        <v>3705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f t="shared" si="112"/>
        <v>2.7</v>
      </c>
      <c r="M3632">
        <f t="shared" si="113"/>
        <v>1</v>
      </c>
    </row>
    <row r="3633" spans="1:13" x14ac:dyDescent="0.3">
      <c r="A3633">
        <v>3631</v>
      </c>
      <c r="B3633">
        <v>3632</v>
      </c>
      <c r="C3633" t="s">
        <v>3706</v>
      </c>
      <c r="D3633">
        <v>2021</v>
      </c>
      <c r="E3633" t="s">
        <v>22</v>
      </c>
      <c r="F3633" t="s">
        <v>3707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f t="shared" si="112"/>
        <v>2.4</v>
      </c>
      <c r="M3633">
        <f t="shared" si="113"/>
        <v>1</v>
      </c>
    </row>
    <row r="3634" spans="1:13" x14ac:dyDescent="0.3">
      <c r="A3634">
        <v>3632</v>
      </c>
      <c r="B3634">
        <v>3633</v>
      </c>
      <c r="C3634" t="s">
        <v>3708</v>
      </c>
      <c r="D3634">
        <v>2021</v>
      </c>
      <c r="F3634" t="s">
        <v>3709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f t="shared" si="112"/>
        <v>2.2999999999999998</v>
      </c>
      <c r="M3634">
        <f t="shared" si="113"/>
        <v>1</v>
      </c>
    </row>
    <row r="3635" spans="1:13" x14ac:dyDescent="0.3">
      <c r="A3635">
        <v>3633</v>
      </c>
      <c r="B3635">
        <v>3634</v>
      </c>
      <c r="C3635" t="s">
        <v>3710</v>
      </c>
      <c r="D3635">
        <v>2021</v>
      </c>
      <c r="F3635" t="s">
        <v>3711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f t="shared" si="112"/>
        <v>2.1</v>
      </c>
      <c r="M3635">
        <f t="shared" si="113"/>
        <v>1</v>
      </c>
    </row>
    <row r="3636" spans="1:13" x14ac:dyDescent="0.3">
      <c r="A3636">
        <v>3634</v>
      </c>
      <c r="B3636">
        <v>3635</v>
      </c>
      <c r="C3636" t="s">
        <v>3712</v>
      </c>
      <c r="D3636">
        <v>2021</v>
      </c>
      <c r="E3636" t="s">
        <v>11</v>
      </c>
      <c r="F3636" t="s">
        <v>3713</v>
      </c>
      <c r="G3636">
        <v>1</v>
      </c>
      <c r="H3636">
        <v>0</v>
      </c>
      <c r="I3636">
        <v>0</v>
      </c>
      <c r="J3636">
        <v>0</v>
      </c>
      <c r="K3636">
        <v>0</v>
      </c>
      <c r="L3636">
        <f t="shared" si="112"/>
        <v>2</v>
      </c>
      <c r="M3636">
        <f t="shared" si="113"/>
        <v>1</v>
      </c>
    </row>
    <row r="3637" spans="1:13" x14ac:dyDescent="0.3">
      <c r="A3637">
        <v>3635</v>
      </c>
      <c r="B3637">
        <v>3636</v>
      </c>
      <c r="C3637" t="s">
        <v>3714</v>
      </c>
      <c r="D3637">
        <v>2020</v>
      </c>
      <c r="F3637" t="s">
        <v>3715</v>
      </c>
      <c r="G3637">
        <v>1</v>
      </c>
      <c r="H3637">
        <v>0</v>
      </c>
      <c r="I3637">
        <v>0</v>
      </c>
      <c r="J3637">
        <v>0</v>
      </c>
      <c r="K3637">
        <v>0</v>
      </c>
      <c r="L3637">
        <f t="shared" si="112"/>
        <v>1.7</v>
      </c>
      <c r="M3637">
        <f t="shared" si="113"/>
        <v>1</v>
      </c>
    </row>
    <row r="3638" spans="1:13" x14ac:dyDescent="0.3">
      <c r="A3638">
        <v>3636</v>
      </c>
      <c r="B3638">
        <v>3637</v>
      </c>
      <c r="C3638" t="s">
        <v>3716</v>
      </c>
      <c r="D3638">
        <v>2020</v>
      </c>
      <c r="F3638" t="s">
        <v>3715</v>
      </c>
      <c r="G3638">
        <v>1</v>
      </c>
      <c r="H3638">
        <v>0</v>
      </c>
      <c r="I3638">
        <v>0</v>
      </c>
      <c r="J3638">
        <v>0</v>
      </c>
      <c r="K3638">
        <v>0</v>
      </c>
      <c r="L3638">
        <f t="shared" si="112"/>
        <v>1.7</v>
      </c>
      <c r="M3638">
        <f t="shared" si="113"/>
        <v>1</v>
      </c>
    </row>
    <row r="3639" spans="1:13" x14ac:dyDescent="0.3">
      <c r="A3639">
        <v>3637</v>
      </c>
      <c r="B3639">
        <v>3638</v>
      </c>
      <c r="C3639" t="s">
        <v>3717</v>
      </c>
      <c r="D3639">
        <v>2021</v>
      </c>
      <c r="F3639" t="s">
        <v>3718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f t="shared" si="112"/>
        <v>1.6</v>
      </c>
      <c r="M3639">
        <f t="shared" si="113"/>
        <v>1</v>
      </c>
    </row>
    <row r="3640" spans="1:13" x14ac:dyDescent="0.3">
      <c r="A3640">
        <v>3638</v>
      </c>
      <c r="B3640">
        <v>3639</v>
      </c>
      <c r="C3640" t="s">
        <v>3719</v>
      </c>
      <c r="D3640">
        <v>2021</v>
      </c>
      <c r="F3640" t="s">
        <v>3720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f t="shared" si="112"/>
        <v>1.5</v>
      </c>
      <c r="M3640">
        <f t="shared" si="113"/>
        <v>1</v>
      </c>
    </row>
    <row r="3641" spans="1:13" x14ac:dyDescent="0.3">
      <c r="A3641">
        <v>3639</v>
      </c>
      <c r="B3641">
        <v>3640</v>
      </c>
      <c r="C3641" t="s">
        <v>3721</v>
      </c>
      <c r="D3641">
        <v>2017</v>
      </c>
      <c r="F3641" t="s">
        <v>3720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f t="shared" si="112"/>
        <v>1.5</v>
      </c>
      <c r="M3641">
        <f t="shared" si="113"/>
        <v>1</v>
      </c>
    </row>
    <row r="3642" spans="1:13" x14ac:dyDescent="0.3">
      <c r="A3642">
        <v>3640</v>
      </c>
      <c r="B3642">
        <v>3641</v>
      </c>
      <c r="C3642" t="s">
        <v>3722</v>
      </c>
      <c r="D3642">
        <v>2020</v>
      </c>
      <c r="F3642" t="s">
        <v>3720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f t="shared" si="112"/>
        <v>1.5</v>
      </c>
      <c r="M3642">
        <f t="shared" si="113"/>
        <v>1</v>
      </c>
    </row>
    <row r="3643" spans="1:13" x14ac:dyDescent="0.3">
      <c r="A3643">
        <v>3641</v>
      </c>
      <c r="B3643">
        <v>3642</v>
      </c>
      <c r="C3643" t="s">
        <v>3723</v>
      </c>
      <c r="D3643">
        <v>2016</v>
      </c>
      <c r="F3643" t="s">
        <v>3720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f t="shared" si="112"/>
        <v>1.5</v>
      </c>
      <c r="M3643">
        <f t="shared" si="113"/>
        <v>1</v>
      </c>
    </row>
    <row r="3644" spans="1:13" x14ac:dyDescent="0.3">
      <c r="A3644">
        <v>3642</v>
      </c>
      <c r="B3644">
        <v>3643</v>
      </c>
      <c r="C3644" t="s">
        <v>3724</v>
      </c>
      <c r="D3644">
        <v>1984</v>
      </c>
      <c r="F3644" t="s">
        <v>3720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f t="shared" si="112"/>
        <v>1.5</v>
      </c>
      <c r="M3644">
        <f t="shared" si="113"/>
        <v>1</v>
      </c>
    </row>
    <row r="3645" spans="1:13" x14ac:dyDescent="0.3">
      <c r="A3645">
        <v>3643</v>
      </c>
      <c r="B3645">
        <v>3644</v>
      </c>
      <c r="C3645" t="s">
        <v>3725</v>
      </c>
      <c r="D3645">
        <v>2020</v>
      </c>
      <c r="E3645" t="s">
        <v>14</v>
      </c>
      <c r="F3645" t="s">
        <v>3720</v>
      </c>
      <c r="G3645">
        <v>1</v>
      </c>
      <c r="H3645">
        <v>0</v>
      </c>
      <c r="I3645">
        <v>0</v>
      </c>
      <c r="J3645">
        <v>0</v>
      </c>
      <c r="K3645">
        <v>0</v>
      </c>
      <c r="L3645">
        <f t="shared" si="112"/>
        <v>1.5</v>
      </c>
      <c r="M3645">
        <f t="shared" si="113"/>
        <v>1</v>
      </c>
    </row>
    <row r="3646" spans="1:13" x14ac:dyDescent="0.3">
      <c r="A3646">
        <v>3644</v>
      </c>
      <c r="B3646">
        <v>3645</v>
      </c>
      <c r="C3646" t="s">
        <v>3726</v>
      </c>
      <c r="D3646">
        <v>2020</v>
      </c>
      <c r="F3646" t="s">
        <v>3727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f t="shared" si="112"/>
        <v>1.4</v>
      </c>
      <c r="M3646">
        <f t="shared" si="113"/>
        <v>1</v>
      </c>
    </row>
    <row r="3647" spans="1:13" x14ac:dyDescent="0.3">
      <c r="A3647">
        <v>3645</v>
      </c>
      <c r="B3647">
        <v>3646</v>
      </c>
      <c r="C3647" t="s">
        <v>3728</v>
      </c>
      <c r="D3647">
        <v>2018</v>
      </c>
      <c r="F3647" t="s">
        <v>3727</v>
      </c>
      <c r="G3647">
        <v>1</v>
      </c>
      <c r="H3647">
        <v>0</v>
      </c>
      <c r="I3647">
        <v>0</v>
      </c>
      <c r="J3647">
        <v>0</v>
      </c>
      <c r="K3647">
        <v>0</v>
      </c>
      <c r="L3647">
        <f t="shared" si="112"/>
        <v>1.4</v>
      </c>
      <c r="M3647">
        <f t="shared" si="113"/>
        <v>1</v>
      </c>
    </row>
    <row r="3648" spans="1:13" x14ac:dyDescent="0.3">
      <c r="A3648">
        <v>3646</v>
      </c>
      <c r="B3648">
        <v>3647</v>
      </c>
      <c r="C3648" t="s">
        <v>3729</v>
      </c>
      <c r="D3648">
        <v>2018</v>
      </c>
      <c r="F3648" t="s">
        <v>3727</v>
      </c>
      <c r="G3648">
        <v>1</v>
      </c>
      <c r="H3648">
        <v>0</v>
      </c>
      <c r="I3648">
        <v>0</v>
      </c>
      <c r="J3648">
        <v>0</v>
      </c>
      <c r="K3648">
        <v>0</v>
      </c>
      <c r="L3648">
        <f t="shared" si="112"/>
        <v>1.4</v>
      </c>
      <c r="M3648">
        <f t="shared" si="113"/>
        <v>1</v>
      </c>
    </row>
    <row r="3649" spans="1:13" x14ac:dyDescent="0.3">
      <c r="A3649">
        <v>3647</v>
      </c>
      <c r="B3649">
        <v>3648</v>
      </c>
      <c r="C3649" t="s">
        <v>3730</v>
      </c>
      <c r="D3649">
        <v>2017</v>
      </c>
      <c r="F3649" t="s">
        <v>3727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f t="shared" si="112"/>
        <v>1.4</v>
      </c>
      <c r="M3649">
        <f t="shared" si="113"/>
        <v>1</v>
      </c>
    </row>
    <row r="3650" spans="1:13" x14ac:dyDescent="0.3">
      <c r="A3650">
        <v>3648</v>
      </c>
      <c r="B3650">
        <v>3649</v>
      </c>
      <c r="C3650" t="s">
        <v>3731</v>
      </c>
      <c r="D3650">
        <v>2018</v>
      </c>
      <c r="F3650" t="s">
        <v>3732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f t="shared" si="112"/>
        <v>1.3</v>
      </c>
      <c r="M3650">
        <f t="shared" si="113"/>
        <v>1</v>
      </c>
    </row>
    <row r="3651" spans="1:13" x14ac:dyDescent="0.3">
      <c r="A3651">
        <v>3649</v>
      </c>
      <c r="B3651">
        <v>3650</v>
      </c>
      <c r="C3651" t="s">
        <v>3733</v>
      </c>
      <c r="D3651">
        <v>2018</v>
      </c>
      <c r="F3651" t="s">
        <v>3732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f t="shared" ref="L3651:L3714" si="114">IFERROR(VALUE(LEFT(F3651,FIND("/",F3651)-1))/10,"")</f>
        <v>1.3</v>
      </c>
      <c r="M3651">
        <f t="shared" ref="M3651:M3714" si="115">SUM(G3651:J3651)</f>
        <v>1</v>
      </c>
    </row>
    <row r="3652" spans="1:13" x14ac:dyDescent="0.3">
      <c r="A3652">
        <v>3650</v>
      </c>
      <c r="B3652">
        <v>3651</v>
      </c>
      <c r="C3652" t="s">
        <v>3734</v>
      </c>
      <c r="D3652">
        <v>2020</v>
      </c>
      <c r="F3652" t="s">
        <v>3732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f t="shared" si="114"/>
        <v>1.3</v>
      </c>
      <c r="M3652">
        <f t="shared" si="115"/>
        <v>1</v>
      </c>
    </row>
    <row r="3653" spans="1:13" x14ac:dyDescent="0.3">
      <c r="A3653">
        <v>3651</v>
      </c>
      <c r="B3653">
        <v>3652</v>
      </c>
      <c r="C3653" t="s">
        <v>3735</v>
      </c>
      <c r="D3653">
        <v>2009</v>
      </c>
      <c r="F3653" t="s">
        <v>3732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f t="shared" si="114"/>
        <v>1.3</v>
      </c>
      <c r="M3653">
        <f t="shared" si="115"/>
        <v>1</v>
      </c>
    </row>
    <row r="3654" spans="1:13" x14ac:dyDescent="0.3">
      <c r="A3654">
        <v>3652</v>
      </c>
      <c r="B3654">
        <v>3653</v>
      </c>
      <c r="C3654" t="s">
        <v>3736</v>
      </c>
      <c r="D3654">
        <v>2017</v>
      </c>
      <c r="F3654" t="s">
        <v>3732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f t="shared" si="114"/>
        <v>1.3</v>
      </c>
      <c r="M3654">
        <f t="shared" si="115"/>
        <v>1</v>
      </c>
    </row>
    <row r="3655" spans="1:13" x14ac:dyDescent="0.3">
      <c r="A3655">
        <v>3653</v>
      </c>
      <c r="B3655">
        <v>3654</v>
      </c>
      <c r="C3655" t="s">
        <v>3737</v>
      </c>
      <c r="D3655">
        <v>2017</v>
      </c>
      <c r="F3655" t="s">
        <v>3732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f t="shared" si="114"/>
        <v>1.3</v>
      </c>
      <c r="M3655">
        <f t="shared" si="115"/>
        <v>1</v>
      </c>
    </row>
    <row r="3656" spans="1:13" x14ac:dyDescent="0.3">
      <c r="A3656">
        <v>3654</v>
      </c>
      <c r="B3656">
        <v>3655</v>
      </c>
      <c r="C3656" t="s">
        <v>3738</v>
      </c>
      <c r="D3656">
        <v>2016</v>
      </c>
      <c r="F3656" t="s">
        <v>3739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f t="shared" si="114"/>
        <v>1.2</v>
      </c>
      <c r="M3656">
        <f t="shared" si="115"/>
        <v>1</v>
      </c>
    </row>
    <row r="3657" spans="1:13" x14ac:dyDescent="0.3">
      <c r="A3657">
        <v>3655</v>
      </c>
      <c r="B3657">
        <v>3656</v>
      </c>
      <c r="C3657" t="s">
        <v>3740</v>
      </c>
      <c r="D3657">
        <v>2019</v>
      </c>
      <c r="E3657" t="s">
        <v>36</v>
      </c>
      <c r="F3657" t="s">
        <v>3739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f t="shared" si="114"/>
        <v>1.2</v>
      </c>
      <c r="M3657">
        <f t="shared" si="115"/>
        <v>1</v>
      </c>
    </row>
    <row r="3658" spans="1:13" x14ac:dyDescent="0.3">
      <c r="A3658">
        <v>3656</v>
      </c>
      <c r="B3658">
        <v>3657</v>
      </c>
      <c r="C3658" t="s">
        <v>3741</v>
      </c>
      <c r="D3658">
        <v>2018</v>
      </c>
      <c r="F3658" t="s">
        <v>3739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f t="shared" si="114"/>
        <v>1.2</v>
      </c>
      <c r="M3658">
        <f t="shared" si="115"/>
        <v>1</v>
      </c>
    </row>
    <row r="3659" spans="1:13" x14ac:dyDescent="0.3">
      <c r="A3659">
        <v>3657</v>
      </c>
      <c r="B3659">
        <v>3658</v>
      </c>
      <c r="C3659" t="s">
        <v>3742</v>
      </c>
      <c r="D3659">
        <v>2018</v>
      </c>
      <c r="F3659" t="s">
        <v>3739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f t="shared" si="114"/>
        <v>1.2</v>
      </c>
      <c r="M3659">
        <f t="shared" si="115"/>
        <v>1</v>
      </c>
    </row>
    <row r="3660" spans="1:13" x14ac:dyDescent="0.3">
      <c r="A3660">
        <v>3658</v>
      </c>
      <c r="B3660">
        <v>3659</v>
      </c>
      <c r="C3660" t="s">
        <v>3743</v>
      </c>
      <c r="D3660">
        <v>2016</v>
      </c>
      <c r="F3660" t="s">
        <v>3739</v>
      </c>
      <c r="G3660">
        <v>1</v>
      </c>
      <c r="H3660">
        <v>0</v>
      </c>
      <c r="I3660">
        <v>0</v>
      </c>
      <c r="J3660">
        <v>0</v>
      </c>
      <c r="K3660">
        <v>0</v>
      </c>
      <c r="L3660">
        <f t="shared" si="114"/>
        <v>1.2</v>
      </c>
      <c r="M3660">
        <f t="shared" si="115"/>
        <v>1</v>
      </c>
    </row>
    <row r="3661" spans="1:13" x14ac:dyDescent="0.3">
      <c r="A3661">
        <v>3659</v>
      </c>
      <c r="B3661">
        <v>3660</v>
      </c>
      <c r="C3661" t="s">
        <v>3744</v>
      </c>
      <c r="D3661">
        <v>2021</v>
      </c>
      <c r="F3661" t="s">
        <v>3739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f t="shared" si="114"/>
        <v>1.2</v>
      </c>
      <c r="M3661">
        <f t="shared" si="115"/>
        <v>1</v>
      </c>
    </row>
    <row r="3662" spans="1:13" x14ac:dyDescent="0.3">
      <c r="A3662">
        <v>3660</v>
      </c>
      <c r="B3662">
        <v>3661</v>
      </c>
      <c r="C3662" t="s">
        <v>3745</v>
      </c>
      <c r="D3662">
        <v>2020</v>
      </c>
      <c r="F3662" t="s">
        <v>3739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f t="shared" si="114"/>
        <v>1.2</v>
      </c>
      <c r="M3662">
        <f t="shared" si="115"/>
        <v>1</v>
      </c>
    </row>
    <row r="3663" spans="1:13" x14ac:dyDescent="0.3">
      <c r="A3663">
        <v>3661</v>
      </c>
      <c r="B3663">
        <v>3662</v>
      </c>
      <c r="C3663" t="s">
        <v>3746</v>
      </c>
      <c r="D3663">
        <v>2012</v>
      </c>
      <c r="F3663" t="s">
        <v>3739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f t="shared" si="114"/>
        <v>1.2</v>
      </c>
      <c r="M3663">
        <f t="shared" si="115"/>
        <v>1</v>
      </c>
    </row>
    <row r="3664" spans="1:13" x14ac:dyDescent="0.3">
      <c r="A3664">
        <v>3662</v>
      </c>
      <c r="B3664">
        <v>3663</v>
      </c>
      <c r="C3664" t="s">
        <v>3747</v>
      </c>
      <c r="D3664">
        <v>2016</v>
      </c>
      <c r="F3664" t="s">
        <v>3739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f t="shared" si="114"/>
        <v>1.2</v>
      </c>
      <c r="M3664">
        <f t="shared" si="115"/>
        <v>1</v>
      </c>
    </row>
    <row r="3665" spans="1:13" x14ac:dyDescent="0.3">
      <c r="A3665">
        <v>3663</v>
      </c>
      <c r="B3665">
        <v>3664</v>
      </c>
      <c r="C3665" t="s">
        <v>3748</v>
      </c>
      <c r="D3665">
        <v>2017</v>
      </c>
      <c r="F3665" t="s">
        <v>3739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f t="shared" si="114"/>
        <v>1.2</v>
      </c>
      <c r="M3665">
        <f t="shared" si="115"/>
        <v>1</v>
      </c>
    </row>
    <row r="3666" spans="1:13" x14ac:dyDescent="0.3">
      <c r="A3666">
        <v>3664</v>
      </c>
      <c r="B3666">
        <v>3665</v>
      </c>
      <c r="C3666" t="s">
        <v>3749</v>
      </c>
      <c r="D3666">
        <v>2019</v>
      </c>
      <c r="F3666" t="s">
        <v>3739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f t="shared" si="114"/>
        <v>1.2</v>
      </c>
      <c r="M3666">
        <f t="shared" si="115"/>
        <v>1</v>
      </c>
    </row>
    <row r="3667" spans="1:13" x14ac:dyDescent="0.3">
      <c r="A3667">
        <v>3665</v>
      </c>
      <c r="B3667">
        <v>3666</v>
      </c>
      <c r="C3667" t="s">
        <v>3750</v>
      </c>
      <c r="D3667">
        <v>2019</v>
      </c>
      <c r="F3667" t="s">
        <v>3739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f t="shared" si="114"/>
        <v>1.2</v>
      </c>
      <c r="M3667">
        <f t="shared" si="115"/>
        <v>1</v>
      </c>
    </row>
    <row r="3668" spans="1:13" x14ac:dyDescent="0.3">
      <c r="A3668">
        <v>3666</v>
      </c>
      <c r="B3668">
        <v>3667</v>
      </c>
      <c r="C3668" t="s">
        <v>3751</v>
      </c>
      <c r="D3668">
        <v>2017</v>
      </c>
      <c r="F3668" t="s">
        <v>3739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f t="shared" si="114"/>
        <v>1.2</v>
      </c>
      <c r="M3668">
        <f t="shared" si="115"/>
        <v>1</v>
      </c>
    </row>
    <row r="3669" spans="1:13" x14ac:dyDescent="0.3">
      <c r="A3669">
        <v>3667</v>
      </c>
      <c r="B3669">
        <v>3668</v>
      </c>
      <c r="C3669" t="s">
        <v>3752</v>
      </c>
      <c r="D3669">
        <v>1984</v>
      </c>
      <c r="F3669" t="s">
        <v>3739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f t="shared" si="114"/>
        <v>1.2</v>
      </c>
      <c r="M3669">
        <f t="shared" si="115"/>
        <v>1</v>
      </c>
    </row>
    <row r="3670" spans="1:13" x14ac:dyDescent="0.3">
      <c r="A3670">
        <v>3668</v>
      </c>
      <c r="B3670">
        <v>3669</v>
      </c>
      <c r="C3670" t="s">
        <v>3753</v>
      </c>
      <c r="D3670">
        <v>2017</v>
      </c>
      <c r="F3670" t="s">
        <v>3739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f t="shared" si="114"/>
        <v>1.2</v>
      </c>
      <c r="M3670">
        <f t="shared" si="115"/>
        <v>1</v>
      </c>
    </row>
    <row r="3671" spans="1:13" x14ac:dyDescent="0.3">
      <c r="A3671">
        <v>3669</v>
      </c>
      <c r="B3671">
        <v>3670</v>
      </c>
      <c r="C3671" t="s">
        <v>3754</v>
      </c>
      <c r="D3671">
        <v>2020</v>
      </c>
      <c r="F3671" t="s">
        <v>3739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f t="shared" si="114"/>
        <v>1.2</v>
      </c>
      <c r="M3671">
        <f t="shared" si="115"/>
        <v>1</v>
      </c>
    </row>
    <row r="3672" spans="1:13" x14ac:dyDescent="0.3">
      <c r="A3672">
        <v>3670</v>
      </c>
      <c r="B3672">
        <v>3671</v>
      </c>
      <c r="C3672" t="s">
        <v>3755</v>
      </c>
      <c r="D3672">
        <v>2019</v>
      </c>
      <c r="F3672" t="s">
        <v>3739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f t="shared" si="114"/>
        <v>1.2</v>
      </c>
      <c r="M3672">
        <f t="shared" si="115"/>
        <v>1</v>
      </c>
    </row>
    <row r="3673" spans="1:13" x14ac:dyDescent="0.3">
      <c r="A3673">
        <v>3671</v>
      </c>
      <c r="B3673">
        <v>3672</v>
      </c>
      <c r="C3673" t="s">
        <v>3756</v>
      </c>
      <c r="D3673">
        <v>2010</v>
      </c>
      <c r="F3673" t="s">
        <v>3739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f t="shared" si="114"/>
        <v>1.2</v>
      </c>
      <c r="M3673">
        <f t="shared" si="115"/>
        <v>1</v>
      </c>
    </row>
    <row r="3674" spans="1:13" x14ac:dyDescent="0.3">
      <c r="A3674">
        <v>3672</v>
      </c>
      <c r="B3674">
        <v>3673</v>
      </c>
      <c r="C3674" t="s">
        <v>3757</v>
      </c>
      <c r="D3674">
        <v>2020</v>
      </c>
      <c r="F3674" t="s">
        <v>3739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f t="shared" si="114"/>
        <v>1.2</v>
      </c>
      <c r="M3674">
        <f t="shared" si="115"/>
        <v>1</v>
      </c>
    </row>
    <row r="3675" spans="1:13" x14ac:dyDescent="0.3">
      <c r="A3675">
        <v>3673</v>
      </c>
      <c r="B3675">
        <v>3674</v>
      </c>
      <c r="C3675" t="s">
        <v>3758</v>
      </c>
      <c r="D3675">
        <v>2018</v>
      </c>
      <c r="F3675" t="s">
        <v>3739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f t="shared" si="114"/>
        <v>1.2</v>
      </c>
      <c r="M3675">
        <f t="shared" si="115"/>
        <v>1</v>
      </c>
    </row>
    <row r="3676" spans="1:13" x14ac:dyDescent="0.3">
      <c r="A3676">
        <v>3674</v>
      </c>
      <c r="B3676">
        <v>3675</v>
      </c>
      <c r="C3676" t="s">
        <v>3759</v>
      </c>
      <c r="D3676">
        <v>2019</v>
      </c>
      <c r="F3676" t="s">
        <v>3739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f t="shared" si="114"/>
        <v>1.2</v>
      </c>
      <c r="M3676">
        <f t="shared" si="115"/>
        <v>1</v>
      </c>
    </row>
    <row r="3677" spans="1:13" x14ac:dyDescent="0.3">
      <c r="A3677">
        <v>3675</v>
      </c>
      <c r="B3677">
        <v>3676</v>
      </c>
      <c r="C3677" t="s">
        <v>3760</v>
      </c>
      <c r="D3677">
        <v>2000</v>
      </c>
      <c r="F3677" t="s">
        <v>3761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f t="shared" si="114"/>
        <v>1</v>
      </c>
      <c r="M3677">
        <f t="shared" si="115"/>
        <v>1</v>
      </c>
    </row>
    <row r="3678" spans="1:13" x14ac:dyDescent="0.3">
      <c r="A3678">
        <v>3676</v>
      </c>
      <c r="B3678">
        <v>3677</v>
      </c>
      <c r="C3678" t="s">
        <v>3762</v>
      </c>
      <c r="D3678">
        <v>2019</v>
      </c>
      <c r="F3678" t="s">
        <v>3761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f t="shared" si="114"/>
        <v>1</v>
      </c>
      <c r="M3678">
        <f t="shared" si="115"/>
        <v>1</v>
      </c>
    </row>
    <row r="3679" spans="1:13" x14ac:dyDescent="0.3">
      <c r="A3679">
        <v>3677</v>
      </c>
      <c r="B3679">
        <v>3678</v>
      </c>
      <c r="C3679" t="s">
        <v>3763</v>
      </c>
      <c r="D3679">
        <v>2016</v>
      </c>
      <c r="F3679" t="s">
        <v>3761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f t="shared" si="114"/>
        <v>1</v>
      </c>
      <c r="M3679">
        <f t="shared" si="115"/>
        <v>1</v>
      </c>
    </row>
    <row r="3680" spans="1:13" x14ac:dyDescent="0.3">
      <c r="A3680">
        <v>3678</v>
      </c>
      <c r="B3680">
        <v>3679</v>
      </c>
      <c r="C3680" t="s">
        <v>3764</v>
      </c>
      <c r="D3680">
        <v>2018</v>
      </c>
      <c r="F3680" t="s">
        <v>3761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f t="shared" si="114"/>
        <v>1</v>
      </c>
      <c r="M3680">
        <f t="shared" si="115"/>
        <v>1</v>
      </c>
    </row>
    <row r="3681" spans="1:13" x14ac:dyDescent="0.3">
      <c r="A3681">
        <v>3679</v>
      </c>
      <c r="B3681">
        <v>3680</v>
      </c>
      <c r="C3681" t="s">
        <v>3765</v>
      </c>
      <c r="D3681">
        <v>2016</v>
      </c>
      <c r="F3681" t="s">
        <v>3761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f t="shared" si="114"/>
        <v>1</v>
      </c>
      <c r="M3681">
        <f t="shared" si="115"/>
        <v>1</v>
      </c>
    </row>
    <row r="3682" spans="1:13" x14ac:dyDescent="0.3">
      <c r="A3682">
        <v>3680</v>
      </c>
      <c r="B3682">
        <v>3681</v>
      </c>
      <c r="C3682" t="s">
        <v>3766</v>
      </c>
      <c r="D3682">
        <v>2020</v>
      </c>
      <c r="F3682" t="s">
        <v>3761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f t="shared" si="114"/>
        <v>1</v>
      </c>
      <c r="M3682">
        <f t="shared" si="115"/>
        <v>1</v>
      </c>
    </row>
    <row r="3683" spans="1:13" x14ac:dyDescent="0.3">
      <c r="A3683">
        <v>3681</v>
      </c>
      <c r="B3683">
        <v>3682</v>
      </c>
      <c r="C3683" t="s">
        <v>3767</v>
      </c>
      <c r="D3683">
        <v>2017</v>
      </c>
      <c r="F3683" t="s">
        <v>3761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f t="shared" si="114"/>
        <v>1</v>
      </c>
      <c r="M3683">
        <f t="shared" si="115"/>
        <v>1</v>
      </c>
    </row>
    <row r="3684" spans="1:13" x14ac:dyDescent="0.3">
      <c r="A3684">
        <v>3682</v>
      </c>
      <c r="B3684">
        <v>3683</v>
      </c>
      <c r="C3684" t="s">
        <v>3768</v>
      </c>
      <c r="D3684">
        <v>2016</v>
      </c>
      <c r="F3684" t="s">
        <v>3761</v>
      </c>
      <c r="G3684">
        <v>1</v>
      </c>
      <c r="H3684">
        <v>0</v>
      </c>
      <c r="I3684">
        <v>0</v>
      </c>
      <c r="J3684">
        <v>0</v>
      </c>
      <c r="K3684">
        <v>0</v>
      </c>
      <c r="L3684">
        <f t="shared" si="114"/>
        <v>1</v>
      </c>
      <c r="M3684">
        <f t="shared" si="115"/>
        <v>1</v>
      </c>
    </row>
    <row r="3685" spans="1:13" x14ac:dyDescent="0.3">
      <c r="A3685">
        <v>3683</v>
      </c>
      <c r="B3685">
        <v>3684</v>
      </c>
      <c r="C3685" t="s">
        <v>3769</v>
      </c>
      <c r="D3685">
        <v>2016</v>
      </c>
      <c r="F3685" t="s">
        <v>3761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f t="shared" si="114"/>
        <v>1</v>
      </c>
      <c r="M3685">
        <f t="shared" si="115"/>
        <v>1</v>
      </c>
    </row>
    <row r="3686" spans="1:13" x14ac:dyDescent="0.3">
      <c r="A3686">
        <v>3684</v>
      </c>
      <c r="B3686">
        <v>3685</v>
      </c>
      <c r="C3686" t="s">
        <v>3770</v>
      </c>
      <c r="D3686">
        <v>2019</v>
      </c>
      <c r="F3686" t="s">
        <v>3761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f t="shared" si="114"/>
        <v>1</v>
      </c>
      <c r="M3686">
        <f t="shared" si="115"/>
        <v>1</v>
      </c>
    </row>
    <row r="3687" spans="1:13" x14ac:dyDescent="0.3">
      <c r="A3687">
        <v>3685</v>
      </c>
      <c r="B3687">
        <v>3686</v>
      </c>
      <c r="C3687" t="s">
        <v>3771</v>
      </c>
      <c r="D3687">
        <v>1982</v>
      </c>
      <c r="F3687" t="s">
        <v>3761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f t="shared" si="114"/>
        <v>1</v>
      </c>
      <c r="M3687">
        <f t="shared" si="115"/>
        <v>1</v>
      </c>
    </row>
    <row r="3688" spans="1:13" x14ac:dyDescent="0.3">
      <c r="A3688">
        <v>3686</v>
      </c>
      <c r="B3688">
        <v>3687</v>
      </c>
      <c r="C3688" t="s">
        <v>3772</v>
      </c>
      <c r="D3688">
        <v>2019</v>
      </c>
      <c r="F3688" t="s">
        <v>3761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f t="shared" si="114"/>
        <v>1</v>
      </c>
      <c r="M3688">
        <f t="shared" si="115"/>
        <v>1</v>
      </c>
    </row>
    <row r="3689" spans="1:13" x14ac:dyDescent="0.3">
      <c r="A3689">
        <v>3687</v>
      </c>
      <c r="B3689">
        <v>3688</v>
      </c>
      <c r="C3689" t="s">
        <v>3773</v>
      </c>
      <c r="D3689">
        <v>2020</v>
      </c>
      <c r="F3689" t="s">
        <v>3761</v>
      </c>
      <c r="G3689">
        <v>1</v>
      </c>
      <c r="H3689">
        <v>0</v>
      </c>
      <c r="I3689">
        <v>0</v>
      </c>
      <c r="J3689">
        <v>0</v>
      </c>
      <c r="K3689">
        <v>0</v>
      </c>
      <c r="L3689">
        <f t="shared" si="114"/>
        <v>1</v>
      </c>
      <c r="M3689">
        <f t="shared" si="115"/>
        <v>1</v>
      </c>
    </row>
    <row r="3690" spans="1:13" x14ac:dyDescent="0.3">
      <c r="A3690">
        <v>3688</v>
      </c>
      <c r="B3690">
        <v>3689</v>
      </c>
      <c r="C3690" t="s">
        <v>3774</v>
      </c>
      <c r="D3690">
        <v>2019</v>
      </c>
      <c r="G3690">
        <v>1</v>
      </c>
      <c r="H3690">
        <v>0</v>
      </c>
      <c r="I3690">
        <v>0</v>
      </c>
      <c r="J3690">
        <v>0</v>
      </c>
      <c r="K3690">
        <v>0</v>
      </c>
      <c r="L3690" t="str">
        <f t="shared" si="114"/>
        <v/>
      </c>
      <c r="M3690">
        <f t="shared" si="115"/>
        <v>1</v>
      </c>
    </row>
    <row r="3691" spans="1:13" x14ac:dyDescent="0.3">
      <c r="A3691">
        <v>3689</v>
      </c>
      <c r="B3691">
        <v>3690</v>
      </c>
      <c r="C3691" t="s">
        <v>3775</v>
      </c>
      <c r="D3691">
        <v>2020</v>
      </c>
      <c r="G3691">
        <v>1</v>
      </c>
      <c r="H3691">
        <v>0</v>
      </c>
      <c r="I3691">
        <v>0</v>
      </c>
      <c r="J3691">
        <v>0</v>
      </c>
      <c r="K3691">
        <v>0</v>
      </c>
      <c r="L3691" t="str">
        <f t="shared" si="114"/>
        <v/>
      </c>
      <c r="M3691">
        <f t="shared" si="115"/>
        <v>1</v>
      </c>
    </row>
    <row r="3692" spans="1:13" x14ac:dyDescent="0.3">
      <c r="A3692">
        <v>3690</v>
      </c>
      <c r="B3692">
        <v>3691</v>
      </c>
      <c r="C3692" t="s">
        <v>3776</v>
      </c>
      <c r="D3692">
        <v>2020</v>
      </c>
      <c r="G3692">
        <v>1</v>
      </c>
      <c r="H3692">
        <v>0</v>
      </c>
      <c r="I3692">
        <v>0</v>
      </c>
      <c r="J3692">
        <v>0</v>
      </c>
      <c r="K3692">
        <v>0</v>
      </c>
      <c r="L3692" t="str">
        <f t="shared" si="114"/>
        <v/>
      </c>
      <c r="M3692">
        <f t="shared" si="115"/>
        <v>1</v>
      </c>
    </row>
    <row r="3693" spans="1:13" x14ac:dyDescent="0.3">
      <c r="A3693">
        <v>3691</v>
      </c>
      <c r="B3693">
        <v>3692</v>
      </c>
      <c r="C3693" t="s">
        <v>3777</v>
      </c>
      <c r="D3693">
        <v>2019</v>
      </c>
      <c r="G3693">
        <v>1</v>
      </c>
      <c r="H3693">
        <v>0</v>
      </c>
      <c r="I3693">
        <v>0</v>
      </c>
      <c r="J3693">
        <v>0</v>
      </c>
      <c r="K3693">
        <v>0</v>
      </c>
      <c r="L3693" t="str">
        <f t="shared" si="114"/>
        <v/>
      </c>
      <c r="M3693">
        <f t="shared" si="115"/>
        <v>1</v>
      </c>
    </row>
    <row r="3694" spans="1:13" x14ac:dyDescent="0.3">
      <c r="A3694">
        <v>3692</v>
      </c>
      <c r="B3694">
        <v>3693</v>
      </c>
      <c r="C3694" t="s">
        <v>3778</v>
      </c>
      <c r="D3694">
        <v>1996</v>
      </c>
      <c r="G3694">
        <v>1</v>
      </c>
      <c r="H3694">
        <v>0</v>
      </c>
      <c r="I3694">
        <v>0</v>
      </c>
      <c r="J3694">
        <v>0</v>
      </c>
      <c r="K3694">
        <v>0</v>
      </c>
      <c r="L3694" t="str">
        <f t="shared" si="114"/>
        <v/>
      </c>
      <c r="M3694">
        <f t="shared" si="115"/>
        <v>1</v>
      </c>
    </row>
    <row r="3695" spans="1:13" x14ac:dyDescent="0.3">
      <c r="A3695">
        <v>3693</v>
      </c>
      <c r="B3695">
        <v>3694</v>
      </c>
      <c r="C3695" t="s">
        <v>3779</v>
      </c>
      <c r="D3695">
        <v>2017</v>
      </c>
      <c r="G3695">
        <v>1</v>
      </c>
      <c r="H3695">
        <v>0</v>
      </c>
      <c r="I3695">
        <v>0</v>
      </c>
      <c r="J3695">
        <v>0</v>
      </c>
      <c r="K3695">
        <v>0</v>
      </c>
      <c r="L3695" t="str">
        <f t="shared" si="114"/>
        <v/>
      </c>
      <c r="M3695">
        <f t="shared" si="115"/>
        <v>1</v>
      </c>
    </row>
    <row r="3696" spans="1:13" x14ac:dyDescent="0.3">
      <c r="A3696">
        <v>3694</v>
      </c>
      <c r="B3696">
        <v>3695</v>
      </c>
      <c r="C3696" t="s">
        <v>3780</v>
      </c>
      <c r="D3696">
        <v>2018</v>
      </c>
      <c r="G3696">
        <v>1</v>
      </c>
      <c r="H3696">
        <v>0</v>
      </c>
      <c r="I3696">
        <v>0</v>
      </c>
      <c r="J3696">
        <v>0</v>
      </c>
      <c r="K3696">
        <v>0</v>
      </c>
      <c r="L3696" t="str">
        <f t="shared" si="114"/>
        <v/>
      </c>
      <c r="M3696">
        <f t="shared" si="115"/>
        <v>1</v>
      </c>
    </row>
    <row r="3697" spans="1:13" x14ac:dyDescent="0.3">
      <c r="A3697">
        <v>3695</v>
      </c>
      <c r="B3697">
        <v>3696</v>
      </c>
      <c r="C3697" t="s">
        <v>3781</v>
      </c>
      <c r="D3697">
        <v>2008</v>
      </c>
      <c r="E3697" t="s">
        <v>22</v>
      </c>
      <c r="F3697" t="s">
        <v>19</v>
      </c>
      <c r="G3697">
        <v>0</v>
      </c>
      <c r="H3697">
        <v>1</v>
      </c>
      <c r="I3697">
        <v>0</v>
      </c>
      <c r="J3697">
        <v>0</v>
      </c>
      <c r="K3697">
        <v>0</v>
      </c>
      <c r="L3697">
        <f t="shared" si="114"/>
        <v>9.4</v>
      </c>
      <c r="M3697">
        <f t="shared" si="115"/>
        <v>1</v>
      </c>
    </row>
    <row r="3698" spans="1:13" x14ac:dyDescent="0.3">
      <c r="A3698">
        <v>3696</v>
      </c>
      <c r="B3698">
        <v>3697</v>
      </c>
      <c r="C3698" t="s">
        <v>3782</v>
      </c>
      <c r="D3698">
        <v>2018</v>
      </c>
      <c r="E3698" t="s">
        <v>11</v>
      </c>
      <c r="F3698" t="s">
        <v>39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f t="shared" si="114"/>
        <v>9</v>
      </c>
      <c r="M3698">
        <f t="shared" si="115"/>
        <v>1</v>
      </c>
    </row>
    <row r="3699" spans="1:13" x14ac:dyDescent="0.3">
      <c r="A3699">
        <v>3697</v>
      </c>
      <c r="B3699">
        <v>3698</v>
      </c>
      <c r="C3699" t="s">
        <v>3783</v>
      </c>
      <c r="D3699">
        <v>2019</v>
      </c>
      <c r="E3699" t="s">
        <v>11</v>
      </c>
      <c r="F3699" t="s">
        <v>58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f t="shared" si="114"/>
        <v>8.8000000000000007</v>
      </c>
      <c r="M3699">
        <f t="shared" si="115"/>
        <v>1</v>
      </c>
    </row>
    <row r="3700" spans="1:13" x14ac:dyDescent="0.3">
      <c r="A3700">
        <v>3698</v>
      </c>
      <c r="B3700">
        <v>3699</v>
      </c>
      <c r="C3700" t="s">
        <v>3784</v>
      </c>
      <c r="D3700">
        <v>2005</v>
      </c>
      <c r="E3700" t="s">
        <v>22</v>
      </c>
      <c r="F3700" t="s">
        <v>58</v>
      </c>
      <c r="G3700">
        <v>0</v>
      </c>
      <c r="H3700">
        <v>1</v>
      </c>
      <c r="I3700">
        <v>0</v>
      </c>
      <c r="J3700">
        <v>0</v>
      </c>
      <c r="K3700">
        <v>0</v>
      </c>
      <c r="L3700">
        <f t="shared" si="114"/>
        <v>8.8000000000000007</v>
      </c>
      <c r="M3700">
        <f t="shared" si="115"/>
        <v>1</v>
      </c>
    </row>
    <row r="3701" spans="1:13" x14ac:dyDescent="0.3">
      <c r="A3701">
        <v>3699</v>
      </c>
      <c r="B3701">
        <v>3700</v>
      </c>
      <c r="C3701" t="s">
        <v>3785</v>
      </c>
      <c r="D3701">
        <v>2014</v>
      </c>
      <c r="E3701" t="s">
        <v>11</v>
      </c>
      <c r="F3701" t="s">
        <v>65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f t="shared" si="114"/>
        <v>8.6999999999999993</v>
      </c>
      <c r="M3701">
        <f t="shared" si="115"/>
        <v>1</v>
      </c>
    </row>
    <row r="3702" spans="1:13" x14ac:dyDescent="0.3">
      <c r="A3702">
        <v>3700</v>
      </c>
      <c r="B3702">
        <v>3701</v>
      </c>
      <c r="C3702" t="s">
        <v>3786</v>
      </c>
      <c r="D3702">
        <v>2002</v>
      </c>
      <c r="E3702" t="s">
        <v>22</v>
      </c>
      <c r="F3702" t="s">
        <v>65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f t="shared" si="114"/>
        <v>8.6999999999999993</v>
      </c>
      <c r="M3702">
        <f t="shared" si="115"/>
        <v>1</v>
      </c>
    </row>
    <row r="3703" spans="1:13" x14ac:dyDescent="0.3">
      <c r="A3703">
        <v>3701</v>
      </c>
      <c r="B3703">
        <v>3702</v>
      </c>
      <c r="C3703" t="s">
        <v>3787</v>
      </c>
      <c r="D3703">
        <v>1984</v>
      </c>
      <c r="E3703" t="s">
        <v>11</v>
      </c>
      <c r="F3703" t="s">
        <v>65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f t="shared" si="114"/>
        <v>8.6999999999999993</v>
      </c>
      <c r="M3703">
        <f t="shared" si="115"/>
        <v>1</v>
      </c>
    </row>
    <row r="3704" spans="1:13" x14ac:dyDescent="0.3">
      <c r="A3704">
        <v>3702</v>
      </c>
      <c r="B3704">
        <v>3703</v>
      </c>
      <c r="C3704" t="s">
        <v>3788</v>
      </c>
      <c r="D3704">
        <v>2016</v>
      </c>
      <c r="E3704" t="s">
        <v>22</v>
      </c>
      <c r="F3704" t="s">
        <v>80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f t="shared" si="114"/>
        <v>8.6</v>
      </c>
      <c r="M3704">
        <f t="shared" si="115"/>
        <v>1</v>
      </c>
    </row>
    <row r="3705" spans="1:13" x14ac:dyDescent="0.3">
      <c r="A3705">
        <v>3703</v>
      </c>
      <c r="B3705">
        <v>3704</v>
      </c>
      <c r="C3705" t="s">
        <v>3789</v>
      </c>
      <c r="D3705">
        <v>2013</v>
      </c>
      <c r="E3705" t="s">
        <v>28</v>
      </c>
      <c r="F3705" t="s">
        <v>80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f t="shared" si="114"/>
        <v>8.6</v>
      </c>
      <c r="M3705">
        <f t="shared" si="115"/>
        <v>1</v>
      </c>
    </row>
    <row r="3706" spans="1:13" x14ac:dyDescent="0.3">
      <c r="A3706">
        <v>3704</v>
      </c>
      <c r="B3706">
        <v>3705</v>
      </c>
      <c r="C3706" t="s">
        <v>3790</v>
      </c>
      <c r="D3706">
        <v>2018</v>
      </c>
      <c r="E3706" t="s">
        <v>22</v>
      </c>
      <c r="F3706" t="s">
        <v>92</v>
      </c>
      <c r="G3706">
        <v>0</v>
      </c>
      <c r="H3706">
        <v>1</v>
      </c>
      <c r="I3706">
        <v>0</v>
      </c>
      <c r="J3706">
        <v>0</v>
      </c>
      <c r="K3706">
        <v>0</v>
      </c>
      <c r="L3706">
        <f t="shared" si="114"/>
        <v>8.5</v>
      </c>
      <c r="M3706">
        <f t="shared" si="115"/>
        <v>1</v>
      </c>
    </row>
    <row r="3707" spans="1:13" x14ac:dyDescent="0.3">
      <c r="A3707">
        <v>3705</v>
      </c>
      <c r="B3707">
        <v>3706</v>
      </c>
      <c r="C3707" t="s">
        <v>3791</v>
      </c>
      <c r="D3707">
        <v>2001</v>
      </c>
      <c r="E3707" t="s">
        <v>14</v>
      </c>
      <c r="F3707" t="s">
        <v>92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f t="shared" si="114"/>
        <v>8.5</v>
      </c>
      <c r="M3707">
        <f t="shared" si="115"/>
        <v>1</v>
      </c>
    </row>
    <row r="3708" spans="1:13" x14ac:dyDescent="0.3">
      <c r="A3708">
        <v>3706</v>
      </c>
      <c r="B3708">
        <v>3707</v>
      </c>
      <c r="C3708" t="s">
        <v>3792</v>
      </c>
      <c r="D3708">
        <v>2013</v>
      </c>
      <c r="E3708" t="s">
        <v>11</v>
      </c>
      <c r="F3708" t="s">
        <v>92</v>
      </c>
      <c r="G3708">
        <v>0</v>
      </c>
      <c r="H3708">
        <v>1</v>
      </c>
      <c r="I3708">
        <v>0</v>
      </c>
      <c r="J3708">
        <v>0</v>
      </c>
      <c r="K3708">
        <v>0</v>
      </c>
      <c r="L3708">
        <f t="shared" si="114"/>
        <v>8.5</v>
      </c>
      <c r="M3708">
        <f t="shared" si="115"/>
        <v>1</v>
      </c>
    </row>
    <row r="3709" spans="1:13" x14ac:dyDescent="0.3">
      <c r="A3709">
        <v>3707</v>
      </c>
      <c r="B3709">
        <v>3708</v>
      </c>
      <c r="C3709" t="s">
        <v>3793</v>
      </c>
      <c r="D3709">
        <v>2008</v>
      </c>
      <c r="E3709" t="s">
        <v>11</v>
      </c>
      <c r="F3709" t="s">
        <v>92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f t="shared" si="114"/>
        <v>8.5</v>
      </c>
      <c r="M3709">
        <f t="shared" si="115"/>
        <v>1</v>
      </c>
    </row>
    <row r="3710" spans="1:13" x14ac:dyDescent="0.3">
      <c r="A3710">
        <v>3708</v>
      </c>
      <c r="B3710">
        <v>3709</v>
      </c>
      <c r="C3710" t="s">
        <v>3794</v>
      </c>
      <c r="D3710">
        <v>2012</v>
      </c>
      <c r="E3710" t="s">
        <v>22</v>
      </c>
      <c r="F3710" t="s">
        <v>101</v>
      </c>
      <c r="G3710">
        <v>0</v>
      </c>
      <c r="H3710">
        <v>1</v>
      </c>
      <c r="I3710">
        <v>0</v>
      </c>
      <c r="J3710">
        <v>0</v>
      </c>
      <c r="K3710">
        <v>0</v>
      </c>
      <c r="L3710">
        <f t="shared" si="114"/>
        <v>8.4</v>
      </c>
      <c r="M3710">
        <f t="shared" si="115"/>
        <v>1</v>
      </c>
    </row>
    <row r="3711" spans="1:13" x14ac:dyDescent="0.3">
      <c r="A3711">
        <v>3709</v>
      </c>
      <c r="B3711">
        <v>3710</v>
      </c>
      <c r="C3711" t="s">
        <v>3795</v>
      </c>
      <c r="D3711">
        <v>1986</v>
      </c>
      <c r="E3711" t="s">
        <v>11</v>
      </c>
      <c r="F3711" t="s">
        <v>101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f t="shared" si="114"/>
        <v>8.4</v>
      </c>
      <c r="M3711">
        <f t="shared" si="115"/>
        <v>1</v>
      </c>
    </row>
    <row r="3712" spans="1:13" x14ac:dyDescent="0.3">
      <c r="A3712">
        <v>3710</v>
      </c>
      <c r="B3712">
        <v>3711</v>
      </c>
      <c r="C3712" t="s">
        <v>3796</v>
      </c>
      <c r="D3712">
        <v>2011</v>
      </c>
      <c r="E3712" t="s">
        <v>11</v>
      </c>
      <c r="F3712" t="s">
        <v>101</v>
      </c>
      <c r="G3712">
        <v>0</v>
      </c>
      <c r="H3712">
        <v>1</v>
      </c>
      <c r="I3712">
        <v>1</v>
      </c>
      <c r="J3712">
        <v>0</v>
      </c>
      <c r="K3712">
        <v>0</v>
      </c>
      <c r="L3712">
        <f t="shared" si="114"/>
        <v>8.4</v>
      </c>
      <c r="M3712">
        <f t="shared" si="115"/>
        <v>2</v>
      </c>
    </row>
    <row r="3713" spans="1:13" x14ac:dyDescent="0.3">
      <c r="A3713">
        <v>3711</v>
      </c>
      <c r="B3713">
        <v>3712</v>
      </c>
      <c r="C3713" t="s">
        <v>3797</v>
      </c>
      <c r="D3713">
        <v>2003</v>
      </c>
      <c r="E3713" t="s">
        <v>22</v>
      </c>
      <c r="F3713" t="s">
        <v>101</v>
      </c>
      <c r="G3713">
        <v>0</v>
      </c>
      <c r="H3713">
        <v>1</v>
      </c>
      <c r="I3713">
        <v>1</v>
      </c>
      <c r="J3713">
        <v>0</v>
      </c>
      <c r="K3713">
        <v>0</v>
      </c>
      <c r="L3713">
        <f t="shared" si="114"/>
        <v>8.4</v>
      </c>
      <c r="M3713">
        <f t="shared" si="115"/>
        <v>2</v>
      </c>
    </row>
    <row r="3714" spans="1:13" x14ac:dyDescent="0.3">
      <c r="A3714">
        <v>3712</v>
      </c>
      <c r="B3714">
        <v>3713</v>
      </c>
      <c r="C3714" t="s">
        <v>3798</v>
      </c>
      <c r="D3714">
        <v>2020</v>
      </c>
      <c r="E3714" t="s">
        <v>22</v>
      </c>
      <c r="F3714" t="s">
        <v>122</v>
      </c>
      <c r="G3714">
        <v>0</v>
      </c>
      <c r="H3714">
        <v>1</v>
      </c>
      <c r="I3714">
        <v>0</v>
      </c>
      <c r="J3714">
        <v>0</v>
      </c>
      <c r="K3714">
        <v>0</v>
      </c>
      <c r="L3714">
        <f t="shared" si="114"/>
        <v>8.3000000000000007</v>
      </c>
      <c r="M3714">
        <f t="shared" si="115"/>
        <v>1</v>
      </c>
    </row>
    <row r="3715" spans="1:13" x14ac:dyDescent="0.3">
      <c r="A3715">
        <v>3713</v>
      </c>
      <c r="B3715">
        <v>3714</v>
      </c>
      <c r="C3715" t="s">
        <v>3799</v>
      </c>
      <c r="D3715">
        <v>2010</v>
      </c>
      <c r="E3715" t="s">
        <v>11</v>
      </c>
      <c r="F3715" t="s">
        <v>122</v>
      </c>
      <c r="G3715">
        <v>0</v>
      </c>
      <c r="H3715">
        <v>1</v>
      </c>
      <c r="I3715">
        <v>0</v>
      </c>
      <c r="J3715">
        <v>0</v>
      </c>
      <c r="K3715">
        <v>0</v>
      </c>
      <c r="L3715">
        <f t="shared" ref="L3715:L3778" si="116">IFERROR(VALUE(LEFT(F3715,FIND("/",F3715)-1))/10,"")</f>
        <v>8.3000000000000007</v>
      </c>
      <c r="M3715">
        <f t="shared" ref="M3715:M3778" si="117">SUM(G3715:J3715)</f>
        <v>1</v>
      </c>
    </row>
    <row r="3716" spans="1:13" x14ac:dyDescent="0.3">
      <c r="A3716">
        <v>3714</v>
      </c>
      <c r="B3716">
        <v>3715</v>
      </c>
      <c r="C3716" t="s">
        <v>3800</v>
      </c>
      <c r="D3716">
        <v>2009</v>
      </c>
      <c r="E3716" t="s">
        <v>22</v>
      </c>
      <c r="F3716" t="s">
        <v>122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f t="shared" si="116"/>
        <v>8.3000000000000007</v>
      </c>
      <c r="M3716">
        <f t="shared" si="117"/>
        <v>1</v>
      </c>
    </row>
    <row r="3717" spans="1:13" x14ac:dyDescent="0.3">
      <c r="A3717">
        <v>3715</v>
      </c>
      <c r="B3717">
        <v>3716</v>
      </c>
      <c r="C3717" t="s">
        <v>3801</v>
      </c>
      <c r="D3717">
        <v>2002</v>
      </c>
      <c r="E3717" t="s">
        <v>11</v>
      </c>
      <c r="F3717" t="s">
        <v>122</v>
      </c>
      <c r="G3717">
        <v>0</v>
      </c>
      <c r="H3717">
        <v>1</v>
      </c>
      <c r="I3717">
        <v>0</v>
      </c>
      <c r="J3717">
        <v>0</v>
      </c>
      <c r="K3717">
        <v>0</v>
      </c>
      <c r="L3717">
        <f t="shared" si="116"/>
        <v>8.3000000000000007</v>
      </c>
      <c r="M3717">
        <f t="shared" si="117"/>
        <v>1</v>
      </c>
    </row>
    <row r="3718" spans="1:13" x14ac:dyDescent="0.3">
      <c r="A3718">
        <v>3716</v>
      </c>
      <c r="B3718">
        <v>3717</v>
      </c>
      <c r="C3718" t="s">
        <v>3802</v>
      </c>
      <c r="D3718">
        <v>1968</v>
      </c>
      <c r="E3718" t="s">
        <v>22</v>
      </c>
      <c r="F3718" t="s">
        <v>122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f t="shared" si="116"/>
        <v>8.3000000000000007</v>
      </c>
      <c r="M3718">
        <f t="shared" si="117"/>
        <v>1</v>
      </c>
    </row>
    <row r="3719" spans="1:13" x14ac:dyDescent="0.3">
      <c r="A3719">
        <v>3717</v>
      </c>
      <c r="B3719">
        <v>3718</v>
      </c>
      <c r="C3719" t="s">
        <v>3803</v>
      </c>
      <c r="D3719">
        <v>1987</v>
      </c>
      <c r="E3719" t="s">
        <v>11</v>
      </c>
      <c r="F3719" t="s">
        <v>122</v>
      </c>
      <c r="G3719">
        <v>0</v>
      </c>
      <c r="H3719">
        <v>1</v>
      </c>
      <c r="I3719">
        <v>0</v>
      </c>
      <c r="J3719">
        <v>0</v>
      </c>
      <c r="K3719">
        <v>0</v>
      </c>
      <c r="L3719">
        <f t="shared" si="116"/>
        <v>8.3000000000000007</v>
      </c>
      <c r="M3719">
        <f t="shared" si="117"/>
        <v>1</v>
      </c>
    </row>
    <row r="3720" spans="1:13" x14ac:dyDescent="0.3">
      <c r="A3720">
        <v>3718</v>
      </c>
      <c r="B3720">
        <v>3719</v>
      </c>
      <c r="C3720" t="s">
        <v>3804</v>
      </c>
      <c r="D3720">
        <v>2020</v>
      </c>
      <c r="E3720" t="s">
        <v>11</v>
      </c>
      <c r="F3720" t="s">
        <v>122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f t="shared" si="116"/>
        <v>8.3000000000000007</v>
      </c>
      <c r="M3720">
        <f t="shared" si="117"/>
        <v>1</v>
      </c>
    </row>
    <row r="3721" spans="1:13" x14ac:dyDescent="0.3">
      <c r="A3721">
        <v>3719</v>
      </c>
      <c r="B3721">
        <v>3720</v>
      </c>
      <c r="C3721" t="s">
        <v>3805</v>
      </c>
      <c r="D3721">
        <v>2002</v>
      </c>
      <c r="E3721" t="s">
        <v>14</v>
      </c>
      <c r="F3721" t="s">
        <v>140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f t="shared" si="116"/>
        <v>8.1999999999999993</v>
      </c>
      <c r="M3721">
        <f t="shared" si="117"/>
        <v>1</v>
      </c>
    </row>
    <row r="3722" spans="1:13" x14ac:dyDescent="0.3">
      <c r="A3722">
        <v>3720</v>
      </c>
      <c r="B3722">
        <v>3721</v>
      </c>
      <c r="C3722" t="s">
        <v>3806</v>
      </c>
      <c r="D3722">
        <v>2017</v>
      </c>
      <c r="E3722" t="s">
        <v>11</v>
      </c>
      <c r="F3722" t="s">
        <v>140</v>
      </c>
      <c r="G3722">
        <v>0</v>
      </c>
      <c r="H3722">
        <v>1</v>
      </c>
      <c r="I3722">
        <v>0</v>
      </c>
      <c r="J3722">
        <v>0</v>
      </c>
      <c r="K3722">
        <v>0</v>
      </c>
      <c r="L3722">
        <f t="shared" si="116"/>
        <v>8.1999999999999993</v>
      </c>
      <c r="M3722">
        <f t="shared" si="117"/>
        <v>1</v>
      </c>
    </row>
    <row r="3723" spans="1:13" x14ac:dyDescent="0.3">
      <c r="A3723">
        <v>3721</v>
      </c>
      <c r="B3723">
        <v>3722</v>
      </c>
      <c r="C3723" t="s">
        <v>3807</v>
      </c>
      <c r="D3723">
        <v>1999</v>
      </c>
      <c r="E3723" t="s">
        <v>14</v>
      </c>
      <c r="F3723" t="s">
        <v>140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f t="shared" si="116"/>
        <v>8.1999999999999993</v>
      </c>
      <c r="M3723">
        <f t="shared" si="117"/>
        <v>1</v>
      </c>
    </row>
    <row r="3724" spans="1:13" x14ac:dyDescent="0.3">
      <c r="A3724">
        <v>3722</v>
      </c>
      <c r="B3724">
        <v>3723</v>
      </c>
      <c r="C3724" t="s">
        <v>3808</v>
      </c>
      <c r="D3724">
        <v>2011</v>
      </c>
      <c r="E3724" t="s">
        <v>11</v>
      </c>
      <c r="F3724" t="s">
        <v>140</v>
      </c>
      <c r="G3724">
        <v>0</v>
      </c>
      <c r="H3724">
        <v>1</v>
      </c>
      <c r="I3724">
        <v>1</v>
      </c>
      <c r="J3724">
        <v>0</v>
      </c>
      <c r="K3724">
        <v>0</v>
      </c>
      <c r="L3724">
        <f t="shared" si="116"/>
        <v>8.1999999999999993</v>
      </c>
      <c r="M3724">
        <f t="shared" si="117"/>
        <v>2</v>
      </c>
    </row>
    <row r="3725" spans="1:13" x14ac:dyDescent="0.3">
      <c r="A3725">
        <v>3723</v>
      </c>
      <c r="B3725">
        <v>3724</v>
      </c>
      <c r="C3725" t="s">
        <v>3809</v>
      </c>
      <c r="D3725">
        <v>2003</v>
      </c>
      <c r="E3725" t="s">
        <v>36</v>
      </c>
      <c r="F3725" t="s">
        <v>159</v>
      </c>
      <c r="G3725">
        <v>0</v>
      </c>
      <c r="H3725">
        <v>1</v>
      </c>
      <c r="I3725">
        <v>0</v>
      </c>
      <c r="J3725">
        <v>0</v>
      </c>
      <c r="K3725">
        <v>0</v>
      </c>
      <c r="L3725">
        <f t="shared" si="116"/>
        <v>8.1</v>
      </c>
      <c r="M3725">
        <f t="shared" si="117"/>
        <v>1</v>
      </c>
    </row>
    <row r="3726" spans="1:13" x14ac:dyDescent="0.3">
      <c r="A3726">
        <v>3724</v>
      </c>
      <c r="B3726">
        <v>3725</v>
      </c>
      <c r="C3726" t="s">
        <v>3810</v>
      </c>
      <c r="D3726">
        <v>1988</v>
      </c>
      <c r="E3726" t="s">
        <v>14</v>
      </c>
      <c r="F3726" t="s">
        <v>159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f t="shared" si="116"/>
        <v>8.1</v>
      </c>
      <c r="M3726">
        <f t="shared" si="117"/>
        <v>1</v>
      </c>
    </row>
    <row r="3727" spans="1:13" x14ac:dyDescent="0.3">
      <c r="A3727">
        <v>3725</v>
      </c>
      <c r="B3727">
        <v>3726</v>
      </c>
      <c r="C3727" t="s">
        <v>3811</v>
      </c>
      <c r="D3727">
        <v>2016</v>
      </c>
      <c r="E3727" t="s">
        <v>28</v>
      </c>
      <c r="F3727" t="s">
        <v>159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f t="shared" si="116"/>
        <v>8.1</v>
      </c>
      <c r="M3727">
        <f t="shared" si="117"/>
        <v>1</v>
      </c>
    </row>
    <row r="3728" spans="1:13" x14ac:dyDescent="0.3">
      <c r="A3728">
        <v>3726</v>
      </c>
      <c r="B3728">
        <v>3727</v>
      </c>
      <c r="C3728" t="s">
        <v>3812</v>
      </c>
      <c r="D3728">
        <v>2006</v>
      </c>
      <c r="E3728" t="s">
        <v>11</v>
      </c>
      <c r="F3728" t="s">
        <v>159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f t="shared" si="116"/>
        <v>8.1</v>
      </c>
      <c r="M3728">
        <f t="shared" si="117"/>
        <v>1</v>
      </c>
    </row>
    <row r="3729" spans="1:13" x14ac:dyDescent="0.3">
      <c r="A3729">
        <v>3727</v>
      </c>
      <c r="B3729">
        <v>3728</v>
      </c>
      <c r="C3729" t="s">
        <v>3813</v>
      </c>
      <c r="D3729">
        <v>2010</v>
      </c>
      <c r="E3729" t="s">
        <v>11</v>
      </c>
      <c r="F3729" t="s">
        <v>159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f t="shared" si="116"/>
        <v>8.1</v>
      </c>
      <c r="M3729">
        <f t="shared" si="117"/>
        <v>1</v>
      </c>
    </row>
    <row r="3730" spans="1:13" x14ac:dyDescent="0.3">
      <c r="A3730">
        <v>3728</v>
      </c>
      <c r="B3730">
        <v>3729</v>
      </c>
      <c r="C3730" t="s">
        <v>3814</v>
      </c>
      <c r="D3730">
        <v>2011</v>
      </c>
      <c r="E3730" t="s">
        <v>22</v>
      </c>
      <c r="F3730" t="s">
        <v>159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f t="shared" si="116"/>
        <v>8.1</v>
      </c>
      <c r="M3730">
        <f t="shared" si="117"/>
        <v>1</v>
      </c>
    </row>
    <row r="3731" spans="1:13" x14ac:dyDescent="0.3">
      <c r="A3731">
        <v>3729</v>
      </c>
      <c r="B3731">
        <v>3730</v>
      </c>
      <c r="C3731" t="s">
        <v>3815</v>
      </c>
      <c r="D3731">
        <v>1988</v>
      </c>
      <c r="E3731" t="s">
        <v>11</v>
      </c>
      <c r="F3731" t="s">
        <v>159</v>
      </c>
      <c r="G3731">
        <v>0</v>
      </c>
      <c r="H3731">
        <v>1</v>
      </c>
      <c r="I3731">
        <v>0</v>
      </c>
      <c r="J3731">
        <v>0</v>
      </c>
      <c r="K3731">
        <v>0</v>
      </c>
      <c r="L3731">
        <f t="shared" si="116"/>
        <v>8.1</v>
      </c>
      <c r="M3731">
        <f t="shared" si="117"/>
        <v>1</v>
      </c>
    </row>
    <row r="3732" spans="1:13" x14ac:dyDescent="0.3">
      <c r="A3732">
        <v>3730</v>
      </c>
      <c r="B3732">
        <v>3731</v>
      </c>
      <c r="C3732" t="s">
        <v>3816</v>
      </c>
      <c r="D3732">
        <v>2004</v>
      </c>
      <c r="E3732" t="s">
        <v>14</v>
      </c>
      <c r="F3732" t="s">
        <v>159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f t="shared" si="116"/>
        <v>8.1</v>
      </c>
      <c r="M3732">
        <f t="shared" si="117"/>
        <v>1</v>
      </c>
    </row>
    <row r="3733" spans="1:13" x14ac:dyDescent="0.3">
      <c r="A3733">
        <v>3731</v>
      </c>
      <c r="B3733">
        <v>3732</v>
      </c>
      <c r="C3733" t="s">
        <v>3817</v>
      </c>
      <c r="D3733">
        <v>2008</v>
      </c>
      <c r="E3733" t="s">
        <v>11</v>
      </c>
      <c r="F3733" t="s">
        <v>159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f t="shared" si="116"/>
        <v>8.1</v>
      </c>
      <c r="M3733">
        <f t="shared" si="117"/>
        <v>1</v>
      </c>
    </row>
    <row r="3734" spans="1:13" x14ac:dyDescent="0.3">
      <c r="A3734">
        <v>3732</v>
      </c>
      <c r="B3734">
        <v>3733</v>
      </c>
      <c r="C3734" t="s">
        <v>3818</v>
      </c>
      <c r="D3734">
        <v>2016</v>
      </c>
      <c r="E3734" t="s">
        <v>11</v>
      </c>
      <c r="F3734" t="s">
        <v>159</v>
      </c>
      <c r="G3734">
        <v>0</v>
      </c>
      <c r="H3734">
        <v>1</v>
      </c>
      <c r="I3734">
        <v>0</v>
      </c>
      <c r="J3734">
        <v>0</v>
      </c>
      <c r="K3734">
        <v>0</v>
      </c>
      <c r="L3734">
        <f t="shared" si="116"/>
        <v>8.1</v>
      </c>
      <c r="M3734">
        <f t="shared" si="117"/>
        <v>1</v>
      </c>
    </row>
    <row r="3735" spans="1:13" x14ac:dyDescent="0.3">
      <c r="A3735">
        <v>3733</v>
      </c>
      <c r="B3735">
        <v>3734</v>
      </c>
      <c r="C3735" t="s">
        <v>3819</v>
      </c>
      <c r="D3735">
        <v>2016</v>
      </c>
      <c r="E3735" t="s">
        <v>11</v>
      </c>
      <c r="F3735" t="s">
        <v>159</v>
      </c>
      <c r="G3735">
        <v>0</v>
      </c>
      <c r="H3735">
        <v>1</v>
      </c>
      <c r="I3735">
        <v>0</v>
      </c>
      <c r="J3735">
        <v>0</v>
      </c>
      <c r="K3735">
        <v>0</v>
      </c>
      <c r="L3735">
        <f t="shared" si="116"/>
        <v>8.1</v>
      </c>
      <c r="M3735">
        <f t="shared" si="117"/>
        <v>1</v>
      </c>
    </row>
    <row r="3736" spans="1:13" x14ac:dyDescent="0.3">
      <c r="A3736">
        <v>3734</v>
      </c>
      <c r="B3736">
        <v>3735</v>
      </c>
      <c r="C3736" t="s">
        <v>3820</v>
      </c>
      <c r="D3736">
        <v>1987</v>
      </c>
      <c r="E3736" t="s">
        <v>11</v>
      </c>
      <c r="F3736" t="s">
        <v>178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f t="shared" si="116"/>
        <v>8</v>
      </c>
      <c r="M3736">
        <f t="shared" si="117"/>
        <v>1</v>
      </c>
    </row>
    <row r="3737" spans="1:13" x14ac:dyDescent="0.3">
      <c r="A3737">
        <v>3735</v>
      </c>
      <c r="B3737">
        <v>3736</v>
      </c>
      <c r="C3737" t="s">
        <v>3821</v>
      </c>
      <c r="D3737">
        <v>2016</v>
      </c>
      <c r="E3737" t="s">
        <v>22</v>
      </c>
      <c r="F3737" t="s">
        <v>178</v>
      </c>
      <c r="G3737">
        <v>0</v>
      </c>
      <c r="H3737">
        <v>1</v>
      </c>
      <c r="I3737">
        <v>0</v>
      </c>
      <c r="J3737">
        <v>0</v>
      </c>
      <c r="K3737">
        <v>0</v>
      </c>
      <c r="L3737">
        <f t="shared" si="116"/>
        <v>8</v>
      </c>
      <c r="M3737">
        <f t="shared" si="117"/>
        <v>1</v>
      </c>
    </row>
    <row r="3738" spans="1:13" x14ac:dyDescent="0.3">
      <c r="A3738">
        <v>3736</v>
      </c>
      <c r="B3738">
        <v>3737</v>
      </c>
      <c r="C3738" t="s">
        <v>3822</v>
      </c>
      <c r="D3738">
        <v>2012</v>
      </c>
      <c r="E3738" t="s">
        <v>22</v>
      </c>
      <c r="F3738" t="s">
        <v>178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f t="shared" si="116"/>
        <v>8</v>
      </c>
      <c r="M3738">
        <f t="shared" si="117"/>
        <v>1</v>
      </c>
    </row>
    <row r="3739" spans="1:13" x14ac:dyDescent="0.3">
      <c r="A3739">
        <v>3737</v>
      </c>
      <c r="B3739">
        <v>3738</v>
      </c>
      <c r="C3739" t="s">
        <v>3823</v>
      </c>
      <c r="D3739">
        <v>2020</v>
      </c>
      <c r="E3739" t="s">
        <v>11</v>
      </c>
      <c r="F3739" t="s">
        <v>178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f t="shared" si="116"/>
        <v>8</v>
      </c>
      <c r="M3739">
        <f t="shared" si="117"/>
        <v>1</v>
      </c>
    </row>
    <row r="3740" spans="1:13" x14ac:dyDescent="0.3">
      <c r="A3740">
        <v>3738</v>
      </c>
      <c r="B3740">
        <v>3739</v>
      </c>
      <c r="C3740" t="s">
        <v>3824</v>
      </c>
      <c r="D3740">
        <v>2019</v>
      </c>
      <c r="E3740" t="s">
        <v>11</v>
      </c>
      <c r="F3740" t="s">
        <v>178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f t="shared" si="116"/>
        <v>8</v>
      </c>
      <c r="M3740">
        <f t="shared" si="117"/>
        <v>1</v>
      </c>
    </row>
    <row r="3741" spans="1:13" x14ac:dyDescent="0.3">
      <c r="A3741">
        <v>3739</v>
      </c>
      <c r="B3741">
        <v>3740</v>
      </c>
      <c r="C3741" t="s">
        <v>3825</v>
      </c>
      <c r="D3741">
        <v>2013</v>
      </c>
      <c r="E3741" t="s">
        <v>14</v>
      </c>
      <c r="F3741" t="s">
        <v>178</v>
      </c>
      <c r="G3741">
        <v>0</v>
      </c>
      <c r="H3741">
        <v>1</v>
      </c>
      <c r="I3741">
        <v>1</v>
      </c>
      <c r="J3741">
        <v>0</v>
      </c>
      <c r="K3741">
        <v>0</v>
      </c>
      <c r="L3741">
        <f t="shared" si="116"/>
        <v>8</v>
      </c>
      <c r="M3741">
        <f t="shared" si="117"/>
        <v>2</v>
      </c>
    </row>
    <row r="3742" spans="1:13" x14ac:dyDescent="0.3">
      <c r="A3742">
        <v>3740</v>
      </c>
      <c r="B3742">
        <v>3741</v>
      </c>
      <c r="C3742" t="s">
        <v>3826</v>
      </c>
      <c r="D3742">
        <v>1994</v>
      </c>
      <c r="E3742" t="s">
        <v>22</v>
      </c>
      <c r="F3742" t="s">
        <v>178</v>
      </c>
      <c r="G3742">
        <v>0</v>
      </c>
      <c r="H3742">
        <v>1</v>
      </c>
      <c r="I3742">
        <v>0</v>
      </c>
      <c r="J3742">
        <v>0</v>
      </c>
      <c r="K3742">
        <v>0</v>
      </c>
      <c r="L3742">
        <f t="shared" si="116"/>
        <v>8</v>
      </c>
      <c r="M3742">
        <f t="shared" si="117"/>
        <v>1</v>
      </c>
    </row>
    <row r="3743" spans="1:13" x14ac:dyDescent="0.3">
      <c r="A3743">
        <v>3741</v>
      </c>
      <c r="B3743">
        <v>3742</v>
      </c>
      <c r="C3743" t="s">
        <v>3827</v>
      </c>
      <c r="D3743">
        <v>2020</v>
      </c>
      <c r="E3743" t="s">
        <v>11</v>
      </c>
      <c r="F3743" t="s">
        <v>200</v>
      </c>
      <c r="G3743">
        <v>0</v>
      </c>
      <c r="H3743">
        <v>1</v>
      </c>
      <c r="I3743">
        <v>0</v>
      </c>
      <c r="J3743">
        <v>0</v>
      </c>
      <c r="K3743">
        <v>0</v>
      </c>
      <c r="L3743">
        <f t="shared" si="116"/>
        <v>7.9</v>
      </c>
      <c r="M3743">
        <f t="shared" si="117"/>
        <v>1</v>
      </c>
    </row>
    <row r="3744" spans="1:13" x14ac:dyDescent="0.3">
      <c r="A3744">
        <v>3742</v>
      </c>
      <c r="B3744">
        <v>3743</v>
      </c>
      <c r="C3744" t="s">
        <v>3828</v>
      </c>
      <c r="D3744">
        <v>2012</v>
      </c>
      <c r="E3744" t="s">
        <v>11</v>
      </c>
      <c r="F3744" t="s">
        <v>200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f t="shared" si="116"/>
        <v>7.9</v>
      </c>
      <c r="M3744">
        <f t="shared" si="117"/>
        <v>1</v>
      </c>
    </row>
    <row r="3745" spans="1:13" x14ac:dyDescent="0.3">
      <c r="A3745">
        <v>3743</v>
      </c>
      <c r="B3745">
        <v>3744</v>
      </c>
      <c r="C3745" t="s">
        <v>3829</v>
      </c>
      <c r="D3745">
        <v>2010</v>
      </c>
      <c r="E3745" t="s">
        <v>11</v>
      </c>
      <c r="F3745" t="s">
        <v>200</v>
      </c>
      <c r="G3745">
        <v>0</v>
      </c>
      <c r="H3745">
        <v>1</v>
      </c>
      <c r="I3745">
        <v>0</v>
      </c>
      <c r="J3745">
        <v>0</v>
      </c>
      <c r="K3745">
        <v>0</v>
      </c>
      <c r="L3745">
        <f t="shared" si="116"/>
        <v>7.9</v>
      </c>
      <c r="M3745">
        <f t="shared" si="117"/>
        <v>1</v>
      </c>
    </row>
    <row r="3746" spans="1:13" x14ac:dyDescent="0.3">
      <c r="A3746">
        <v>3744</v>
      </c>
      <c r="B3746">
        <v>3745</v>
      </c>
      <c r="C3746" t="s">
        <v>3830</v>
      </c>
      <c r="D3746">
        <v>1994</v>
      </c>
      <c r="E3746" t="s">
        <v>22</v>
      </c>
      <c r="F3746" t="s">
        <v>200</v>
      </c>
      <c r="G3746">
        <v>0</v>
      </c>
      <c r="H3746">
        <v>1</v>
      </c>
      <c r="I3746">
        <v>0</v>
      </c>
      <c r="J3746">
        <v>0</v>
      </c>
      <c r="K3746">
        <v>0</v>
      </c>
      <c r="L3746">
        <f t="shared" si="116"/>
        <v>7.9</v>
      </c>
      <c r="M3746">
        <f t="shared" si="117"/>
        <v>1</v>
      </c>
    </row>
    <row r="3747" spans="1:13" x14ac:dyDescent="0.3">
      <c r="A3747">
        <v>3745</v>
      </c>
      <c r="B3747">
        <v>3746</v>
      </c>
      <c r="C3747" t="s">
        <v>3831</v>
      </c>
      <c r="D3747">
        <v>2020</v>
      </c>
      <c r="F3747" t="s">
        <v>200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f t="shared" si="116"/>
        <v>7.9</v>
      </c>
      <c r="M3747">
        <f t="shared" si="117"/>
        <v>1</v>
      </c>
    </row>
    <row r="3748" spans="1:13" x14ac:dyDescent="0.3">
      <c r="A3748">
        <v>3746</v>
      </c>
      <c r="B3748">
        <v>3747</v>
      </c>
      <c r="C3748" t="s">
        <v>3832</v>
      </c>
      <c r="D3748">
        <v>2019</v>
      </c>
      <c r="E3748" t="s">
        <v>11</v>
      </c>
      <c r="F3748" t="s">
        <v>200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f t="shared" si="116"/>
        <v>7.9</v>
      </c>
      <c r="M3748">
        <f t="shared" si="117"/>
        <v>1</v>
      </c>
    </row>
    <row r="3749" spans="1:13" x14ac:dyDescent="0.3">
      <c r="A3749">
        <v>3747</v>
      </c>
      <c r="B3749">
        <v>3748</v>
      </c>
      <c r="C3749" t="s">
        <v>3833</v>
      </c>
      <c r="D3749">
        <v>2007</v>
      </c>
      <c r="E3749" t="s">
        <v>11</v>
      </c>
      <c r="F3749" t="s">
        <v>200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f t="shared" si="116"/>
        <v>7.9</v>
      </c>
      <c r="M3749">
        <f t="shared" si="117"/>
        <v>1</v>
      </c>
    </row>
    <row r="3750" spans="1:13" x14ac:dyDescent="0.3">
      <c r="A3750">
        <v>3748</v>
      </c>
      <c r="B3750">
        <v>3749</v>
      </c>
      <c r="C3750" t="s">
        <v>3834</v>
      </c>
      <c r="D3750">
        <v>2013</v>
      </c>
      <c r="E3750" t="s">
        <v>14</v>
      </c>
      <c r="F3750" t="s">
        <v>200</v>
      </c>
      <c r="G3750">
        <v>0</v>
      </c>
      <c r="H3750">
        <v>1</v>
      </c>
      <c r="I3750">
        <v>1</v>
      </c>
      <c r="J3750">
        <v>0</v>
      </c>
      <c r="K3750">
        <v>0</v>
      </c>
      <c r="L3750">
        <f t="shared" si="116"/>
        <v>7.9</v>
      </c>
      <c r="M3750">
        <f t="shared" si="117"/>
        <v>2</v>
      </c>
    </row>
    <row r="3751" spans="1:13" x14ac:dyDescent="0.3">
      <c r="A3751">
        <v>3749</v>
      </c>
      <c r="B3751">
        <v>3750</v>
      </c>
      <c r="C3751" t="s">
        <v>3835</v>
      </c>
      <c r="D3751">
        <v>2021</v>
      </c>
      <c r="E3751" t="s">
        <v>11</v>
      </c>
      <c r="F3751" t="s">
        <v>200</v>
      </c>
      <c r="G3751">
        <v>0</v>
      </c>
      <c r="H3751">
        <v>1</v>
      </c>
      <c r="I3751">
        <v>0</v>
      </c>
      <c r="J3751">
        <v>0</v>
      </c>
      <c r="K3751">
        <v>0</v>
      </c>
      <c r="L3751">
        <f t="shared" si="116"/>
        <v>7.9</v>
      </c>
      <c r="M3751">
        <f t="shared" si="117"/>
        <v>1</v>
      </c>
    </row>
    <row r="3752" spans="1:13" x14ac:dyDescent="0.3">
      <c r="A3752">
        <v>3750</v>
      </c>
      <c r="B3752">
        <v>3751</v>
      </c>
      <c r="C3752" t="s">
        <v>3836</v>
      </c>
      <c r="D3752">
        <v>2001</v>
      </c>
      <c r="E3752" t="s">
        <v>11</v>
      </c>
      <c r="F3752" t="s">
        <v>200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f t="shared" si="116"/>
        <v>7.9</v>
      </c>
      <c r="M3752">
        <f t="shared" si="117"/>
        <v>1</v>
      </c>
    </row>
    <row r="3753" spans="1:13" x14ac:dyDescent="0.3">
      <c r="A3753">
        <v>3751</v>
      </c>
      <c r="B3753">
        <v>3752</v>
      </c>
      <c r="C3753" t="s">
        <v>3837</v>
      </c>
      <c r="D3753">
        <v>1996</v>
      </c>
      <c r="E3753" t="s">
        <v>14</v>
      </c>
      <c r="F3753" t="s">
        <v>200</v>
      </c>
      <c r="G3753">
        <v>0</v>
      </c>
      <c r="H3753">
        <v>1</v>
      </c>
      <c r="I3753">
        <v>0</v>
      </c>
      <c r="J3753">
        <v>0</v>
      </c>
      <c r="K3753">
        <v>0</v>
      </c>
      <c r="L3753">
        <f t="shared" si="116"/>
        <v>7.9</v>
      </c>
      <c r="M3753">
        <f t="shared" si="117"/>
        <v>1</v>
      </c>
    </row>
    <row r="3754" spans="1:13" x14ac:dyDescent="0.3">
      <c r="A3754">
        <v>3752</v>
      </c>
      <c r="B3754">
        <v>3753</v>
      </c>
      <c r="C3754" t="s">
        <v>3838</v>
      </c>
      <c r="D3754">
        <v>2007</v>
      </c>
      <c r="E3754" t="s">
        <v>11</v>
      </c>
      <c r="F3754" t="s">
        <v>200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f t="shared" si="116"/>
        <v>7.9</v>
      </c>
      <c r="M3754">
        <f t="shared" si="117"/>
        <v>1</v>
      </c>
    </row>
    <row r="3755" spans="1:13" x14ac:dyDescent="0.3">
      <c r="A3755">
        <v>3753</v>
      </c>
      <c r="B3755">
        <v>3754</v>
      </c>
      <c r="C3755" t="s">
        <v>3839</v>
      </c>
      <c r="D3755">
        <v>2017</v>
      </c>
      <c r="E3755" t="s">
        <v>11</v>
      </c>
      <c r="F3755" t="s">
        <v>226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f t="shared" si="116"/>
        <v>7.8</v>
      </c>
      <c r="M3755">
        <f t="shared" si="117"/>
        <v>1</v>
      </c>
    </row>
    <row r="3756" spans="1:13" x14ac:dyDescent="0.3">
      <c r="A3756">
        <v>3754</v>
      </c>
      <c r="B3756">
        <v>3755</v>
      </c>
      <c r="C3756" t="s">
        <v>3840</v>
      </c>
      <c r="D3756">
        <v>1999</v>
      </c>
      <c r="E3756" t="s">
        <v>14</v>
      </c>
      <c r="F3756" t="s">
        <v>226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f t="shared" si="116"/>
        <v>7.8</v>
      </c>
      <c r="M3756">
        <f t="shared" si="117"/>
        <v>1</v>
      </c>
    </row>
    <row r="3757" spans="1:13" x14ac:dyDescent="0.3">
      <c r="A3757">
        <v>3755</v>
      </c>
      <c r="B3757">
        <v>3756</v>
      </c>
      <c r="C3757" t="s">
        <v>3841</v>
      </c>
      <c r="D3757">
        <v>2012</v>
      </c>
      <c r="E3757" t="s">
        <v>11</v>
      </c>
      <c r="F3757" t="s">
        <v>226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f t="shared" si="116"/>
        <v>7.8</v>
      </c>
      <c r="M3757">
        <f t="shared" si="117"/>
        <v>1</v>
      </c>
    </row>
    <row r="3758" spans="1:13" x14ac:dyDescent="0.3">
      <c r="A3758">
        <v>3756</v>
      </c>
      <c r="B3758">
        <v>3757</v>
      </c>
      <c r="C3758" t="s">
        <v>3842</v>
      </c>
      <c r="D3758">
        <v>2007</v>
      </c>
      <c r="E3758" t="s">
        <v>11</v>
      </c>
      <c r="F3758" t="s">
        <v>226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f t="shared" si="116"/>
        <v>7.8</v>
      </c>
      <c r="M3758">
        <f t="shared" si="117"/>
        <v>1</v>
      </c>
    </row>
    <row r="3759" spans="1:13" x14ac:dyDescent="0.3">
      <c r="A3759">
        <v>3757</v>
      </c>
      <c r="B3759">
        <v>3758</v>
      </c>
      <c r="C3759" t="s">
        <v>3843</v>
      </c>
      <c r="D3759">
        <v>2019</v>
      </c>
      <c r="E3759" t="s">
        <v>11</v>
      </c>
      <c r="F3759" t="s">
        <v>226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f t="shared" si="116"/>
        <v>7.8</v>
      </c>
      <c r="M3759">
        <f t="shared" si="117"/>
        <v>1</v>
      </c>
    </row>
    <row r="3760" spans="1:13" x14ac:dyDescent="0.3">
      <c r="A3760">
        <v>3758</v>
      </c>
      <c r="B3760">
        <v>3759</v>
      </c>
      <c r="C3760" t="s">
        <v>3844</v>
      </c>
      <c r="D3760">
        <v>2011</v>
      </c>
      <c r="E3760" t="s">
        <v>11</v>
      </c>
      <c r="F3760" t="s">
        <v>226</v>
      </c>
      <c r="G3760">
        <v>0</v>
      </c>
      <c r="H3760">
        <v>1</v>
      </c>
      <c r="I3760">
        <v>1</v>
      </c>
      <c r="J3760">
        <v>0</v>
      </c>
      <c r="K3760">
        <v>0</v>
      </c>
      <c r="L3760">
        <f t="shared" si="116"/>
        <v>7.8</v>
      </c>
      <c r="M3760">
        <f t="shared" si="117"/>
        <v>2</v>
      </c>
    </row>
    <row r="3761" spans="1:13" x14ac:dyDescent="0.3">
      <c r="A3761">
        <v>3759</v>
      </c>
      <c r="B3761">
        <v>3760</v>
      </c>
      <c r="C3761" t="s">
        <v>3845</v>
      </c>
      <c r="D3761">
        <v>2016</v>
      </c>
      <c r="E3761" t="s">
        <v>22</v>
      </c>
      <c r="F3761" t="s">
        <v>226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f t="shared" si="116"/>
        <v>7.8</v>
      </c>
      <c r="M3761">
        <f t="shared" si="117"/>
        <v>1</v>
      </c>
    </row>
    <row r="3762" spans="1:13" x14ac:dyDescent="0.3">
      <c r="A3762">
        <v>3760</v>
      </c>
      <c r="B3762">
        <v>3761</v>
      </c>
      <c r="C3762" t="s">
        <v>3846</v>
      </c>
      <c r="D3762">
        <v>2019</v>
      </c>
      <c r="E3762" t="s">
        <v>22</v>
      </c>
      <c r="F3762" t="s">
        <v>226</v>
      </c>
      <c r="G3762">
        <v>0</v>
      </c>
      <c r="H3762">
        <v>1</v>
      </c>
      <c r="I3762">
        <v>0</v>
      </c>
      <c r="J3762">
        <v>0</v>
      </c>
      <c r="K3762">
        <v>0</v>
      </c>
      <c r="L3762">
        <f t="shared" si="116"/>
        <v>7.8</v>
      </c>
      <c r="M3762">
        <f t="shared" si="117"/>
        <v>1</v>
      </c>
    </row>
    <row r="3763" spans="1:13" x14ac:dyDescent="0.3">
      <c r="A3763">
        <v>3761</v>
      </c>
      <c r="B3763">
        <v>3762</v>
      </c>
      <c r="C3763" t="s">
        <v>3847</v>
      </c>
      <c r="D3763">
        <v>2016</v>
      </c>
      <c r="E3763" t="s">
        <v>11</v>
      </c>
      <c r="F3763" t="s">
        <v>251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f t="shared" si="116"/>
        <v>7.7</v>
      </c>
      <c r="M3763">
        <f t="shared" si="117"/>
        <v>1</v>
      </c>
    </row>
    <row r="3764" spans="1:13" x14ac:dyDescent="0.3">
      <c r="A3764">
        <v>3762</v>
      </c>
      <c r="B3764">
        <v>3763</v>
      </c>
      <c r="C3764" t="s">
        <v>3848</v>
      </c>
      <c r="D3764">
        <v>2011</v>
      </c>
      <c r="E3764" t="s">
        <v>11</v>
      </c>
      <c r="F3764" t="s">
        <v>251</v>
      </c>
      <c r="G3764">
        <v>0</v>
      </c>
      <c r="H3764">
        <v>1</v>
      </c>
      <c r="I3764">
        <v>1</v>
      </c>
      <c r="J3764">
        <v>0</v>
      </c>
      <c r="K3764">
        <v>0</v>
      </c>
      <c r="L3764">
        <f t="shared" si="116"/>
        <v>7.7</v>
      </c>
      <c r="M3764">
        <f t="shared" si="117"/>
        <v>2</v>
      </c>
    </row>
    <row r="3765" spans="1:13" x14ac:dyDescent="0.3">
      <c r="A3765">
        <v>3763</v>
      </c>
      <c r="B3765">
        <v>3764</v>
      </c>
      <c r="C3765" t="s">
        <v>3849</v>
      </c>
      <c r="D3765">
        <v>2006</v>
      </c>
      <c r="E3765" t="s">
        <v>11</v>
      </c>
      <c r="F3765" t="s">
        <v>251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f t="shared" si="116"/>
        <v>7.7</v>
      </c>
      <c r="M3765">
        <f t="shared" si="117"/>
        <v>1</v>
      </c>
    </row>
    <row r="3766" spans="1:13" x14ac:dyDescent="0.3">
      <c r="A3766">
        <v>3764</v>
      </c>
      <c r="B3766">
        <v>3765</v>
      </c>
      <c r="C3766" t="s">
        <v>3850</v>
      </c>
      <c r="D3766">
        <v>2015</v>
      </c>
      <c r="E3766" t="s">
        <v>22</v>
      </c>
      <c r="F3766" t="s">
        <v>251</v>
      </c>
      <c r="G3766">
        <v>0</v>
      </c>
      <c r="H3766">
        <v>1</v>
      </c>
      <c r="I3766">
        <v>0</v>
      </c>
      <c r="J3766">
        <v>0</v>
      </c>
      <c r="K3766">
        <v>0</v>
      </c>
      <c r="L3766">
        <f t="shared" si="116"/>
        <v>7.7</v>
      </c>
      <c r="M3766">
        <f t="shared" si="117"/>
        <v>1</v>
      </c>
    </row>
    <row r="3767" spans="1:13" x14ac:dyDescent="0.3">
      <c r="A3767">
        <v>3765</v>
      </c>
      <c r="B3767">
        <v>3766</v>
      </c>
      <c r="C3767" t="s">
        <v>3851</v>
      </c>
      <c r="D3767">
        <v>2018</v>
      </c>
      <c r="F3767" t="s">
        <v>251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f t="shared" si="116"/>
        <v>7.7</v>
      </c>
      <c r="M3767">
        <f t="shared" si="117"/>
        <v>1</v>
      </c>
    </row>
    <row r="3768" spans="1:13" x14ac:dyDescent="0.3">
      <c r="A3768">
        <v>3766</v>
      </c>
      <c r="B3768">
        <v>3767</v>
      </c>
      <c r="C3768" t="s">
        <v>3852</v>
      </c>
      <c r="D3768">
        <v>2014</v>
      </c>
      <c r="E3768" t="s">
        <v>11</v>
      </c>
      <c r="F3768" t="s">
        <v>251</v>
      </c>
      <c r="G3768">
        <v>0</v>
      </c>
      <c r="H3768">
        <v>1</v>
      </c>
      <c r="I3768">
        <v>1</v>
      </c>
      <c r="J3768">
        <v>0</v>
      </c>
      <c r="K3768">
        <v>0</v>
      </c>
      <c r="L3768">
        <f t="shared" si="116"/>
        <v>7.7</v>
      </c>
      <c r="M3768">
        <f t="shared" si="117"/>
        <v>2</v>
      </c>
    </row>
    <row r="3769" spans="1:13" x14ac:dyDescent="0.3">
      <c r="A3769">
        <v>3767</v>
      </c>
      <c r="B3769">
        <v>3768</v>
      </c>
      <c r="C3769" t="s">
        <v>3853</v>
      </c>
      <c r="D3769">
        <v>2017</v>
      </c>
      <c r="E3769" t="s">
        <v>22</v>
      </c>
      <c r="F3769" t="s">
        <v>251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f t="shared" si="116"/>
        <v>7.7</v>
      </c>
      <c r="M3769">
        <f t="shared" si="117"/>
        <v>1</v>
      </c>
    </row>
    <row r="3770" spans="1:13" x14ac:dyDescent="0.3">
      <c r="A3770">
        <v>3768</v>
      </c>
      <c r="B3770">
        <v>3769</v>
      </c>
      <c r="C3770" t="s">
        <v>3854</v>
      </c>
      <c r="D3770">
        <v>1982</v>
      </c>
      <c r="E3770" t="s">
        <v>14</v>
      </c>
      <c r="F3770" t="s">
        <v>251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f t="shared" si="116"/>
        <v>7.7</v>
      </c>
      <c r="M3770">
        <f t="shared" si="117"/>
        <v>1</v>
      </c>
    </row>
    <row r="3771" spans="1:13" x14ac:dyDescent="0.3">
      <c r="A3771">
        <v>3769</v>
      </c>
      <c r="B3771">
        <v>3770</v>
      </c>
      <c r="C3771" t="s">
        <v>3855</v>
      </c>
      <c r="D3771">
        <v>2011</v>
      </c>
      <c r="E3771" t="s">
        <v>14</v>
      </c>
      <c r="F3771" t="s">
        <v>251</v>
      </c>
      <c r="G3771">
        <v>0</v>
      </c>
      <c r="H3771">
        <v>1</v>
      </c>
      <c r="I3771">
        <v>0</v>
      </c>
      <c r="J3771">
        <v>0</v>
      </c>
      <c r="K3771">
        <v>0</v>
      </c>
      <c r="L3771">
        <f t="shared" si="116"/>
        <v>7.7</v>
      </c>
      <c r="M3771">
        <f t="shared" si="117"/>
        <v>1</v>
      </c>
    </row>
    <row r="3772" spans="1:13" x14ac:dyDescent="0.3">
      <c r="A3772">
        <v>3770</v>
      </c>
      <c r="B3772">
        <v>3771</v>
      </c>
      <c r="C3772" t="s">
        <v>3856</v>
      </c>
      <c r="D3772">
        <v>1996</v>
      </c>
      <c r="E3772" t="s">
        <v>22</v>
      </c>
      <c r="F3772" t="s">
        <v>251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f t="shared" si="116"/>
        <v>7.7</v>
      </c>
      <c r="M3772">
        <f t="shared" si="117"/>
        <v>1</v>
      </c>
    </row>
    <row r="3773" spans="1:13" x14ac:dyDescent="0.3">
      <c r="A3773">
        <v>3771</v>
      </c>
      <c r="B3773">
        <v>3772</v>
      </c>
      <c r="C3773" t="s">
        <v>3857</v>
      </c>
      <c r="D3773">
        <v>2008</v>
      </c>
      <c r="E3773" t="s">
        <v>22</v>
      </c>
      <c r="F3773" t="s">
        <v>251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f t="shared" si="116"/>
        <v>7.7</v>
      </c>
      <c r="M3773">
        <f t="shared" si="117"/>
        <v>1</v>
      </c>
    </row>
    <row r="3774" spans="1:13" x14ac:dyDescent="0.3">
      <c r="A3774">
        <v>3772</v>
      </c>
      <c r="B3774">
        <v>3773</v>
      </c>
      <c r="C3774" t="s">
        <v>3858</v>
      </c>
      <c r="D3774">
        <v>2008</v>
      </c>
      <c r="E3774" t="s">
        <v>11</v>
      </c>
      <c r="F3774" t="s">
        <v>251</v>
      </c>
      <c r="G3774">
        <v>0</v>
      </c>
      <c r="H3774">
        <v>1</v>
      </c>
      <c r="I3774">
        <v>1</v>
      </c>
      <c r="J3774">
        <v>0</v>
      </c>
      <c r="K3774">
        <v>0</v>
      </c>
      <c r="L3774">
        <f t="shared" si="116"/>
        <v>7.7</v>
      </c>
      <c r="M3774">
        <f t="shared" si="117"/>
        <v>2</v>
      </c>
    </row>
    <row r="3775" spans="1:13" x14ac:dyDescent="0.3">
      <c r="A3775">
        <v>3773</v>
      </c>
      <c r="B3775">
        <v>3774</v>
      </c>
      <c r="C3775" t="s">
        <v>3859</v>
      </c>
      <c r="D3775">
        <v>2019</v>
      </c>
      <c r="E3775" t="s">
        <v>22</v>
      </c>
      <c r="F3775" t="s">
        <v>251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f t="shared" si="116"/>
        <v>7.7</v>
      </c>
      <c r="M3775">
        <f t="shared" si="117"/>
        <v>1</v>
      </c>
    </row>
    <row r="3776" spans="1:13" x14ac:dyDescent="0.3">
      <c r="A3776">
        <v>3774</v>
      </c>
      <c r="B3776">
        <v>3775</v>
      </c>
      <c r="C3776" t="s">
        <v>3860</v>
      </c>
      <c r="D3776">
        <v>1974</v>
      </c>
      <c r="E3776" t="s">
        <v>14</v>
      </c>
      <c r="F3776" t="s">
        <v>251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f t="shared" si="116"/>
        <v>7.7</v>
      </c>
      <c r="M3776">
        <f t="shared" si="117"/>
        <v>1</v>
      </c>
    </row>
    <row r="3777" spans="1:13" x14ac:dyDescent="0.3">
      <c r="A3777">
        <v>3775</v>
      </c>
      <c r="B3777">
        <v>3776</v>
      </c>
      <c r="C3777" t="s">
        <v>3861</v>
      </c>
      <c r="D3777">
        <v>2006</v>
      </c>
      <c r="E3777" t="s">
        <v>11</v>
      </c>
      <c r="F3777" t="s">
        <v>278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f t="shared" si="116"/>
        <v>7.6</v>
      </c>
      <c r="M3777">
        <f t="shared" si="117"/>
        <v>1</v>
      </c>
    </row>
    <row r="3778" spans="1:13" x14ac:dyDescent="0.3">
      <c r="A3778">
        <v>3776</v>
      </c>
      <c r="B3778">
        <v>3777</v>
      </c>
      <c r="C3778" t="s">
        <v>3862</v>
      </c>
      <c r="D3778">
        <v>1980</v>
      </c>
      <c r="E3778" t="s">
        <v>11</v>
      </c>
      <c r="F3778" t="s">
        <v>278</v>
      </c>
      <c r="G3778">
        <v>0</v>
      </c>
      <c r="H3778">
        <v>1</v>
      </c>
      <c r="I3778">
        <v>0</v>
      </c>
      <c r="J3778">
        <v>0</v>
      </c>
      <c r="K3778">
        <v>0</v>
      </c>
      <c r="L3778">
        <f t="shared" si="116"/>
        <v>7.6</v>
      </c>
      <c r="M3778">
        <f t="shared" si="117"/>
        <v>1</v>
      </c>
    </row>
    <row r="3779" spans="1:13" x14ac:dyDescent="0.3">
      <c r="A3779">
        <v>3777</v>
      </c>
      <c r="B3779">
        <v>3778</v>
      </c>
      <c r="C3779" t="s">
        <v>3863</v>
      </c>
      <c r="D3779">
        <v>2011</v>
      </c>
      <c r="E3779" t="s">
        <v>11</v>
      </c>
      <c r="F3779" t="s">
        <v>278</v>
      </c>
      <c r="G3779">
        <v>0</v>
      </c>
      <c r="H3779">
        <v>1</v>
      </c>
      <c r="I3779">
        <v>0</v>
      </c>
      <c r="J3779">
        <v>0</v>
      </c>
      <c r="K3779">
        <v>0</v>
      </c>
      <c r="L3779">
        <f t="shared" ref="L3779:L3842" si="118">IFERROR(VALUE(LEFT(F3779,FIND("/",F3779)-1))/10,"")</f>
        <v>7.6</v>
      </c>
      <c r="M3779">
        <f t="shared" ref="M3779:M3842" si="119">SUM(G3779:J3779)</f>
        <v>1</v>
      </c>
    </row>
    <row r="3780" spans="1:13" x14ac:dyDescent="0.3">
      <c r="A3780">
        <v>3778</v>
      </c>
      <c r="B3780">
        <v>3779</v>
      </c>
      <c r="C3780" t="s">
        <v>3864</v>
      </c>
      <c r="D3780">
        <v>2018</v>
      </c>
      <c r="E3780" t="s">
        <v>11</v>
      </c>
      <c r="F3780" t="s">
        <v>278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f t="shared" si="118"/>
        <v>7.6</v>
      </c>
      <c r="M3780">
        <f t="shared" si="119"/>
        <v>1</v>
      </c>
    </row>
    <row r="3781" spans="1:13" x14ac:dyDescent="0.3">
      <c r="A3781">
        <v>3779</v>
      </c>
      <c r="B3781">
        <v>3780</v>
      </c>
      <c r="C3781" t="s">
        <v>3865</v>
      </c>
      <c r="D3781">
        <v>2017</v>
      </c>
      <c r="E3781" t="s">
        <v>11</v>
      </c>
      <c r="F3781" t="s">
        <v>278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f t="shared" si="118"/>
        <v>7.6</v>
      </c>
      <c r="M3781">
        <f t="shared" si="119"/>
        <v>1</v>
      </c>
    </row>
    <row r="3782" spans="1:13" x14ac:dyDescent="0.3">
      <c r="A3782">
        <v>3780</v>
      </c>
      <c r="B3782">
        <v>3781</v>
      </c>
      <c r="C3782" t="s">
        <v>3866</v>
      </c>
      <c r="D3782">
        <v>2018</v>
      </c>
      <c r="E3782" t="s">
        <v>11</v>
      </c>
      <c r="F3782" t="s">
        <v>278</v>
      </c>
      <c r="G3782">
        <v>0</v>
      </c>
      <c r="H3782">
        <v>1</v>
      </c>
      <c r="I3782">
        <v>0</v>
      </c>
      <c r="J3782">
        <v>0</v>
      </c>
      <c r="K3782">
        <v>0</v>
      </c>
      <c r="L3782">
        <f t="shared" si="118"/>
        <v>7.6</v>
      </c>
      <c r="M3782">
        <f t="shared" si="119"/>
        <v>1</v>
      </c>
    </row>
    <row r="3783" spans="1:13" x14ac:dyDescent="0.3">
      <c r="A3783">
        <v>3781</v>
      </c>
      <c r="B3783">
        <v>3782</v>
      </c>
      <c r="C3783" t="s">
        <v>3867</v>
      </c>
      <c r="D3783">
        <v>2018</v>
      </c>
      <c r="E3783" t="s">
        <v>14</v>
      </c>
      <c r="F3783" t="s">
        <v>278</v>
      </c>
      <c r="G3783">
        <v>0</v>
      </c>
      <c r="H3783">
        <v>1</v>
      </c>
      <c r="I3783">
        <v>1</v>
      </c>
      <c r="J3783">
        <v>0</v>
      </c>
      <c r="K3783">
        <v>0</v>
      </c>
      <c r="L3783">
        <f t="shared" si="118"/>
        <v>7.6</v>
      </c>
      <c r="M3783">
        <f t="shared" si="119"/>
        <v>2</v>
      </c>
    </row>
    <row r="3784" spans="1:13" x14ac:dyDescent="0.3">
      <c r="A3784">
        <v>3782</v>
      </c>
      <c r="B3784">
        <v>3783</v>
      </c>
      <c r="C3784" t="s">
        <v>3868</v>
      </c>
      <c r="D3784">
        <v>2010</v>
      </c>
      <c r="E3784" t="s">
        <v>11</v>
      </c>
      <c r="F3784" t="s">
        <v>278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f t="shared" si="118"/>
        <v>7.6</v>
      </c>
      <c r="M3784">
        <f t="shared" si="119"/>
        <v>1</v>
      </c>
    </row>
    <row r="3785" spans="1:13" x14ac:dyDescent="0.3">
      <c r="A3785">
        <v>3783</v>
      </c>
      <c r="B3785">
        <v>3784</v>
      </c>
      <c r="C3785" t="s">
        <v>3869</v>
      </c>
      <c r="D3785">
        <v>2006</v>
      </c>
      <c r="E3785" t="s">
        <v>11</v>
      </c>
      <c r="F3785" t="s">
        <v>278</v>
      </c>
      <c r="G3785">
        <v>0</v>
      </c>
      <c r="H3785">
        <v>1</v>
      </c>
      <c r="I3785">
        <v>1</v>
      </c>
      <c r="J3785">
        <v>0</v>
      </c>
      <c r="K3785">
        <v>0</v>
      </c>
      <c r="L3785">
        <f t="shared" si="118"/>
        <v>7.6</v>
      </c>
      <c r="M3785">
        <f t="shared" si="119"/>
        <v>2</v>
      </c>
    </row>
    <row r="3786" spans="1:13" x14ac:dyDescent="0.3">
      <c r="A3786">
        <v>3784</v>
      </c>
      <c r="B3786">
        <v>3785</v>
      </c>
      <c r="C3786" t="s">
        <v>3870</v>
      </c>
      <c r="D3786">
        <v>1999</v>
      </c>
      <c r="E3786" t="s">
        <v>11</v>
      </c>
      <c r="F3786" t="s">
        <v>278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f t="shared" si="118"/>
        <v>7.6</v>
      </c>
      <c r="M3786">
        <f t="shared" si="119"/>
        <v>1</v>
      </c>
    </row>
    <row r="3787" spans="1:13" x14ac:dyDescent="0.3">
      <c r="A3787">
        <v>3785</v>
      </c>
      <c r="B3787">
        <v>3786</v>
      </c>
      <c r="C3787" t="s">
        <v>3871</v>
      </c>
      <c r="D3787">
        <v>2019</v>
      </c>
      <c r="E3787" t="s">
        <v>11</v>
      </c>
      <c r="F3787" t="s">
        <v>278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f t="shared" si="118"/>
        <v>7.6</v>
      </c>
      <c r="M3787">
        <f t="shared" si="119"/>
        <v>1</v>
      </c>
    </row>
    <row r="3788" spans="1:13" x14ac:dyDescent="0.3">
      <c r="A3788">
        <v>3786</v>
      </c>
      <c r="B3788">
        <v>3787</v>
      </c>
      <c r="C3788" t="s">
        <v>3872</v>
      </c>
      <c r="D3788">
        <v>2004</v>
      </c>
      <c r="E3788" t="s">
        <v>11</v>
      </c>
      <c r="F3788" t="s">
        <v>278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f t="shared" si="118"/>
        <v>7.6</v>
      </c>
      <c r="M3788">
        <f t="shared" si="119"/>
        <v>1</v>
      </c>
    </row>
    <row r="3789" spans="1:13" x14ac:dyDescent="0.3">
      <c r="A3789">
        <v>3787</v>
      </c>
      <c r="B3789">
        <v>3788</v>
      </c>
      <c r="C3789" t="s">
        <v>3873</v>
      </c>
      <c r="D3789">
        <v>2007</v>
      </c>
      <c r="E3789" t="s">
        <v>22</v>
      </c>
      <c r="F3789" t="s">
        <v>278</v>
      </c>
      <c r="G3789">
        <v>0</v>
      </c>
      <c r="H3789">
        <v>1</v>
      </c>
      <c r="I3789">
        <v>1</v>
      </c>
      <c r="J3789">
        <v>0</v>
      </c>
      <c r="K3789">
        <v>0</v>
      </c>
      <c r="L3789">
        <f t="shared" si="118"/>
        <v>7.6</v>
      </c>
      <c r="M3789">
        <f t="shared" si="119"/>
        <v>2</v>
      </c>
    </row>
    <row r="3790" spans="1:13" x14ac:dyDescent="0.3">
      <c r="A3790">
        <v>3788</v>
      </c>
      <c r="B3790">
        <v>3789</v>
      </c>
      <c r="C3790" t="s">
        <v>3874</v>
      </c>
      <c r="D3790">
        <v>1996</v>
      </c>
      <c r="E3790" t="s">
        <v>22</v>
      </c>
      <c r="F3790" t="s">
        <v>278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f t="shared" si="118"/>
        <v>7.6</v>
      </c>
      <c r="M3790">
        <f t="shared" si="119"/>
        <v>1</v>
      </c>
    </row>
    <row r="3791" spans="1:13" x14ac:dyDescent="0.3">
      <c r="A3791">
        <v>3789</v>
      </c>
      <c r="B3791">
        <v>3790</v>
      </c>
      <c r="C3791" t="s">
        <v>3875</v>
      </c>
      <c r="D3791">
        <v>2019</v>
      </c>
      <c r="E3791" t="s">
        <v>11</v>
      </c>
      <c r="F3791" t="s">
        <v>278</v>
      </c>
      <c r="G3791">
        <v>0</v>
      </c>
      <c r="H3791">
        <v>1</v>
      </c>
      <c r="I3791">
        <v>0</v>
      </c>
      <c r="J3791">
        <v>0</v>
      </c>
      <c r="K3791">
        <v>0</v>
      </c>
      <c r="L3791">
        <f t="shared" si="118"/>
        <v>7.6</v>
      </c>
      <c r="M3791">
        <f t="shared" si="119"/>
        <v>1</v>
      </c>
    </row>
    <row r="3792" spans="1:13" x14ac:dyDescent="0.3">
      <c r="A3792">
        <v>3790</v>
      </c>
      <c r="B3792">
        <v>3791</v>
      </c>
      <c r="C3792" t="s">
        <v>3876</v>
      </c>
      <c r="D3792">
        <v>2012</v>
      </c>
      <c r="F3792" t="s">
        <v>278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f t="shared" si="118"/>
        <v>7.6</v>
      </c>
      <c r="M3792">
        <f t="shared" si="119"/>
        <v>1</v>
      </c>
    </row>
    <row r="3793" spans="1:13" x14ac:dyDescent="0.3">
      <c r="A3793">
        <v>3791</v>
      </c>
      <c r="B3793">
        <v>3792</v>
      </c>
      <c r="C3793" t="s">
        <v>3877</v>
      </c>
      <c r="D3793">
        <v>2019</v>
      </c>
      <c r="E3793" t="s">
        <v>11</v>
      </c>
      <c r="F3793" t="s">
        <v>315</v>
      </c>
      <c r="G3793">
        <v>0</v>
      </c>
      <c r="H3793">
        <v>1</v>
      </c>
      <c r="I3793">
        <v>0</v>
      </c>
      <c r="J3793">
        <v>0</v>
      </c>
      <c r="K3793">
        <v>0</v>
      </c>
      <c r="L3793">
        <f t="shared" si="118"/>
        <v>7.5</v>
      </c>
      <c r="M3793">
        <f t="shared" si="119"/>
        <v>1</v>
      </c>
    </row>
    <row r="3794" spans="1:13" x14ac:dyDescent="0.3">
      <c r="A3794">
        <v>3792</v>
      </c>
      <c r="B3794">
        <v>3793</v>
      </c>
      <c r="C3794" t="s">
        <v>3878</v>
      </c>
      <c r="D3794">
        <v>1940</v>
      </c>
      <c r="E3794" t="s">
        <v>36</v>
      </c>
      <c r="F3794" t="s">
        <v>315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f t="shared" si="118"/>
        <v>7.5</v>
      </c>
      <c r="M3794">
        <f t="shared" si="119"/>
        <v>1</v>
      </c>
    </row>
    <row r="3795" spans="1:13" x14ac:dyDescent="0.3">
      <c r="A3795">
        <v>3793</v>
      </c>
      <c r="B3795">
        <v>3794</v>
      </c>
      <c r="C3795" t="s">
        <v>3879</v>
      </c>
      <c r="D3795">
        <v>2010</v>
      </c>
      <c r="E3795" t="s">
        <v>22</v>
      </c>
      <c r="F3795" t="s">
        <v>315</v>
      </c>
      <c r="G3795">
        <v>0</v>
      </c>
      <c r="H3795">
        <v>1</v>
      </c>
      <c r="I3795">
        <v>1</v>
      </c>
      <c r="J3795">
        <v>0</v>
      </c>
      <c r="K3795">
        <v>0</v>
      </c>
      <c r="L3795">
        <f t="shared" si="118"/>
        <v>7.5</v>
      </c>
      <c r="M3795">
        <f t="shared" si="119"/>
        <v>2</v>
      </c>
    </row>
    <row r="3796" spans="1:13" x14ac:dyDescent="0.3">
      <c r="A3796">
        <v>3794</v>
      </c>
      <c r="B3796">
        <v>3795</v>
      </c>
      <c r="C3796" t="s">
        <v>3880</v>
      </c>
      <c r="D3796">
        <v>1989</v>
      </c>
      <c r="E3796" t="s">
        <v>11</v>
      </c>
      <c r="F3796" t="s">
        <v>315</v>
      </c>
      <c r="G3796">
        <v>0</v>
      </c>
      <c r="H3796">
        <v>1</v>
      </c>
      <c r="I3796">
        <v>1</v>
      </c>
      <c r="J3796">
        <v>0</v>
      </c>
      <c r="K3796">
        <v>0</v>
      </c>
      <c r="L3796">
        <f t="shared" si="118"/>
        <v>7.5</v>
      </c>
      <c r="M3796">
        <f t="shared" si="119"/>
        <v>2</v>
      </c>
    </row>
    <row r="3797" spans="1:13" x14ac:dyDescent="0.3">
      <c r="A3797">
        <v>3795</v>
      </c>
      <c r="B3797">
        <v>3796</v>
      </c>
      <c r="C3797" t="s">
        <v>3881</v>
      </c>
      <c r="D3797">
        <v>2004</v>
      </c>
      <c r="E3797" t="s">
        <v>36</v>
      </c>
      <c r="F3797" t="s">
        <v>315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f t="shared" si="118"/>
        <v>7.5</v>
      </c>
      <c r="M3797">
        <f t="shared" si="119"/>
        <v>1</v>
      </c>
    </row>
    <row r="3798" spans="1:13" x14ac:dyDescent="0.3">
      <c r="A3798">
        <v>3796</v>
      </c>
      <c r="B3798">
        <v>3797</v>
      </c>
      <c r="C3798" t="s">
        <v>3882</v>
      </c>
      <c r="D3798">
        <v>2010</v>
      </c>
      <c r="E3798" t="s">
        <v>22</v>
      </c>
      <c r="F3798" t="s">
        <v>315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f t="shared" si="118"/>
        <v>7.5</v>
      </c>
      <c r="M3798">
        <f t="shared" si="119"/>
        <v>1</v>
      </c>
    </row>
    <row r="3799" spans="1:13" x14ac:dyDescent="0.3">
      <c r="A3799">
        <v>3797</v>
      </c>
      <c r="B3799">
        <v>3798</v>
      </c>
      <c r="C3799" t="s">
        <v>3883</v>
      </c>
      <c r="D3799">
        <v>2021</v>
      </c>
      <c r="E3799" t="s">
        <v>11</v>
      </c>
      <c r="F3799" t="s">
        <v>315</v>
      </c>
      <c r="G3799">
        <v>0</v>
      </c>
      <c r="H3799">
        <v>1</v>
      </c>
      <c r="I3799">
        <v>0</v>
      </c>
      <c r="J3799">
        <v>0</v>
      </c>
      <c r="K3799">
        <v>0</v>
      </c>
      <c r="L3799">
        <f t="shared" si="118"/>
        <v>7.5</v>
      </c>
      <c r="M3799">
        <f t="shared" si="119"/>
        <v>1</v>
      </c>
    </row>
    <row r="3800" spans="1:13" x14ac:dyDescent="0.3">
      <c r="A3800">
        <v>3798</v>
      </c>
      <c r="B3800">
        <v>3799</v>
      </c>
      <c r="C3800" t="s">
        <v>3884</v>
      </c>
      <c r="D3800">
        <v>2002</v>
      </c>
      <c r="E3800" t="s">
        <v>11</v>
      </c>
      <c r="F3800" t="s">
        <v>315</v>
      </c>
      <c r="G3800">
        <v>0</v>
      </c>
      <c r="H3800">
        <v>1</v>
      </c>
      <c r="I3800">
        <v>0</v>
      </c>
      <c r="J3800">
        <v>0</v>
      </c>
      <c r="K3800">
        <v>0</v>
      </c>
      <c r="L3800">
        <f t="shared" si="118"/>
        <v>7.5</v>
      </c>
      <c r="M3800">
        <f t="shared" si="119"/>
        <v>1</v>
      </c>
    </row>
    <row r="3801" spans="1:13" x14ac:dyDescent="0.3">
      <c r="A3801">
        <v>3799</v>
      </c>
      <c r="B3801">
        <v>3800</v>
      </c>
      <c r="C3801" t="s">
        <v>3885</v>
      </c>
      <c r="D3801">
        <v>2010</v>
      </c>
      <c r="E3801" t="s">
        <v>11</v>
      </c>
      <c r="F3801" t="s">
        <v>315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f t="shared" si="118"/>
        <v>7.5</v>
      </c>
      <c r="M3801">
        <f t="shared" si="119"/>
        <v>1</v>
      </c>
    </row>
    <row r="3802" spans="1:13" x14ac:dyDescent="0.3">
      <c r="A3802">
        <v>3800</v>
      </c>
      <c r="B3802">
        <v>3801</v>
      </c>
      <c r="C3802" t="s">
        <v>3886</v>
      </c>
      <c r="D3802">
        <v>2016</v>
      </c>
      <c r="E3802" t="s">
        <v>11</v>
      </c>
      <c r="F3802" t="s">
        <v>315</v>
      </c>
      <c r="G3802">
        <v>0</v>
      </c>
      <c r="H3802">
        <v>1</v>
      </c>
      <c r="I3802">
        <v>1</v>
      </c>
      <c r="J3802">
        <v>0</v>
      </c>
      <c r="K3802">
        <v>0</v>
      </c>
      <c r="L3802">
        <f t="shared" si="118"/>
        <v>7.5</v>
      </c>
      <c r="M3802">
        <f t="shared" si="119"/>
        <v>2</v>
      </c>
    </row>
    <row r="3803" spans="1:13" x14ac:dyDescent="0.3">
      <c r="A3803">
        <v>3801</v>
      </c>
      <c r="B3803">
        <v>3802</v>
      </c>
      <c r="C3803" t="s">
        <v>3887</v>
      </c>
      <c r="D3803">
        <v>2001</v>
      </c>
      <c r="E3803" t="s">
        <v>11</v>
      </c>
      <c r="F3803" t="s">
        <v>315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f t="shared" si="118"/>
        <v>7.5</v>
      </c>
      <c r="M3803">
        <f t="shared" si="119"/>
        <v>1</v>
      </c>
    </row>
    <row r="3804" spans="1:13" x14ac:dyDescent="0.3">
      <c r="A3804">
        <v>3802</v>
      </c>
      <c r="B3804">
        <v>3803</v>
      </c>
      <c r="C3804" t="s">
        <v>3888</v>
      </c>
      <c r="D3804">
        <v>2015</v>
      </c>
      <c r="E3804" t="s">
        <v>11</v>
      </c>
      <c r="F3804" t="s">
        <v>315</v>
      </c>
      <c r="G3804">
        <v>0</v>
      </c>
      <c r="H3804">
        <v>1</v>
      </c>
      <c r="I3804">
        <v>0</v>
      </c>
      <c r="J3804">
        <v>0</v>
      </c>
      <c r="K3804">
        <v>0</v>
      </c>
      <c r="L3804">
        <f t="shared" si="118"/>
        <v>7.5</v>
      </c>
      <c r="M3804">
        <f t="shared" si="119"/>
        <v>1</v>
      </c>
    </row>
    <row r="3805" spans="1:13" x14ac:dyDescent="0.3">
      <c r="A3805">
        <v>3803</v>
      </c>
      <c r="B3805">
        <v>3804</v>
      </c>
      <c r="C3805" t="s">
        <v>3889</v>
      </c>
      <c r="D3805">
        <v>2019</v>
      </c>
      <c r="E3805" t="s">
        <v>22</v>
      </c>
      <c r="F3805" t="s">
        <v>315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f t="shared" si="118"/>
        <v>7.5</v>
      </c>
      <c r="M3805">
        <f t="shared" si="119"/>
        <v>1</v>
      </c>
    </row>
    <row r="3806" spans="1:13" x14ac:dyDescent="0.3">
      <c r="A3806">
        <v>3804</v>
      </c>
      <c r="B3806">
        <v>3805</v>
      </c>
      <c r="C3806" t="s">
        <v>3890</v>
      </c>
      <c r="D3806">
        <v>2018</v>
      </c>
      <c r="F3806" t="s">
        <v>315</v>
      </c>
      <c r="G3806">
        <v>0</v>
      </c>
      <c r="H3806">
        <v>1</v>
      </c>
      <c r="I3806">
        <v>1</v>
      </c>
      <c r="J3806">
        <v>0</v>
      </c>
      <c r="K3806">
        <v>0</v>
      </c>
      <c r="L3806">
        <f t="shared" si="118"/>
        <v>7.5</v>
      </c>
      <c r="M3806">
        <f t="shared" si="119"/>
        <v>2</v>
      </c>
    </row>
    <row r="3807" spans="1:13" x14ac:dyDescent="0.3">
      <c r="A3807">
        <v>3805</v>
      </c>
      <c r="B3807">
        <v>3806</v>
      </c>
      <c r="C3807" t="s">
        <v>3891</v>
      </c>
      <c r="D3807">
        <v>1999</v>
      </c>
      <c r="E3807" t="s">
        <v>11</v>
      </c>
      <c r="F3807" t="s">
        <v>315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f t="shared" si="118"/>
        <v>7.5</v>
      </c>
      <c r="M3807">
        <f t="shared" si="119"/>
        <v>1</v>
      </c>
    </row>
    <row r="3808" spans="1:13" x14ac:dyDescent="0.3">
      <c r="A3808">
        <v>3806</v>
      </c>
      <c r="B3808">
        <v>3807</v>
      </c>
      <c r="C3808" t="s">
        <v>3892</v>
      </c>
      <c r="D3808">
        <v>2017</v>
      </c>
      <c r="E3808" t="s">
        <v>11</v>
      </c>
      <c r="F3808" t="s">
        <v>315</v>
      </c>
      <c r="G3808">
        <v>0</v>
      </c>
      <c r="H3808">
        <v>1</v>
      </c>
      <c r="I3808">
        <v>1</v>
      </c>
      <c r="J3808">
        <v>0</v>
      </c>
      <c r="K3808">
        <v>0</v>
      </c>
      <c r="L3808">
        <f t="shared" si="118"/>
        <v>7.5</v>
      </c>
      <c r="M3808">
        <f t="shared" si="119"/>
        <v>2</v>
      </c>
    </row>
    <row r="3809" spans="1:13" x14ac:dyDescent="0.3">
      <c r="A3809">
        <v>3807</v>
      </c>
      <c r="B3809">
        <v>3808</v>
      </c>
      <c r="C3809" t="s">
        <v>3893</v>
      </c>
      <c r="D3809">
        <v>1986</v>
      </c>
      <c r="E3809" t="s">
        <v>14</v>
      </c>
      <c r="F3809" t="s">
        <v>354</v>
      </c>
      <c r="G3809">
        <v>0</v>
      </c>
      <c r="H3809">
        <v>1</v>
      </c>
      <c r="I3809">
        <v>0</v>
      </c>
      <c r="J3809">
        <v>0</v>
      </c>
      <c r="K3809">
        <v>0</v>
      </c>
      <c r="L3809">
        <f t="shared" si="118"/>
        <v>7.4</v>
      </c>
      <c r="M3809">
        <f t="shared" si="119"/>
        <v>1</v>
      </c>
    </row>
    <row r="3810" spans="1:13" x14ac:dyDescent="0.3">
      <c r="A3810">
        <v>3808</v>
      </c>
      <c r="B3810">
        <v>3809</v>
      </c>
      <c r="C3810" t="s">
        <v>3894</v>
      </c>
      <c r="D3810">
        <v>2020</v>
      </c>
      <c r="E3810" t="s">
        <v>22</v>
      </c>
      <c r="F3810" t="s">
        <v>354</v>
      </c>
      <c r="G3810">
        <v>0</v>
      </c>
      <c r="H3810">
        <v>1</v>
      </c>
      <c r="I3810">
        <v>0</v>
      </c>
      <c r="J3810">
        <v>0</v>
      </c>
      <c r="K3810">
        <v>0</v>
      </c>
      <c r="L3810">
        <f t="shared" si="118"/>
        <v>7.4</v>
      </c>
      <c r="M3810">
        <f t="shared" si="119"/>
        <v>1</v>
      </c>
    </row>
    <row r="3811" spans="1:13" x14ac:dyDescent="0.3">
      <c r="A3811">
        <v>3809</v>
      </c>
      <c r="B3811">
        <v>3810</v>
      </c>
      <c r="C3811" t="s">
        <v>3895</v>
      </c>
      <c r="D3811">
        <v>2012</v>
      </c>
      <c r="E3811" t="s">
        <v>22</v>
      </c>
      <c r="F3811" t="s">
        <v>354</v>
      </c>
      <c r="G3811">
        <v>0</v>
      </c>
      <c r="H3811">
        <v>1</v>
      </c>
      <c r="I3811">
        <v>1</v>
      </c>
      <c r="J3811">
        <v>0</v>
      </c>
      <c r="K3811">
        <v>0</v>
      </c>
      <c r="L3811">
        <f t="shared" si="118"/>
        <v>7.4</v>
      </c>
      <c r="M3811">
        <f t="shared" si="119"/>
        <v>2</v>
      </c>
    </row>
    <row r="3812" spans="1:13" x14ac:dyDescent="0.3">
      <c r="A3812">
        <v>3810</v>
      </c>
      <c r="B3812">
        <v>3811</v>
      </c>
      <c r="C3812" t="s">
        <v>3896</v>
      </c>
      <c r="D3812">
        <v>2017</v>
      </c>
      <c r="E3812" t="s">
        <v>11</v>
      </c>
      <c r="F3812" t="s">
        <v>354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f t="shared" si="118"/>
        <v>7.4</v>
      </c>
      <c r="M3812">
        <f t="shared" si="119"/>
        <v>1</v>
      </c>
    </row>
    <row r="3813" spans="1:13" x14ac:dyDescent="0.3">
      <c r="A3813">
        <v>3811</v>
      </c>
      <c r="B3813">
        <v>3812</v>
      </c>
      <c r="C3813" t="s">
        <v>3897</v>
      </c>
      <c r="D3813">
        <v>2005</v>
      </c>
      <c r="E3813" t="s">
        <v>11</v>
      </c>
      <c r="F3813" t="s">
        <v>354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f t="shared" si="118"/>
        <v>7.4</v>
      </c>
      <c r="M3813">
        <f t="shared" si="119"/>
        <v>1</v>
      </c>
    </row>
    <row r="3814" spans="1:13" x14ac:dyDescent="0.3">
      <c r="A3814">
        <v>3812</v>
      </c>
      <c r="B3814">
        <v>3813</v>
      </c>
      <c r="C3814" t="s">
        <v>3898</v>
      </c>
      <c r="D3814">
        <v>2019</v>
      </c>
      <c r="F3814" t="s">
        <v>354</v>
      </c>
      <c r="G3814">
        <v>0</v>
      </c>
      <c r="H3814">
        <v>1</v>
      </c>
      <c r="I3814">
        <v>0</v>
      </c>
      <c r="J3814">
        <v>0</v>
      </c>
      <c r="K3814">
        <v>0</v>
      </c>
      <c r="L3814">
        <f t="shared" si="118"/>
        <v>7.4</v>
      </c>
      <c r="M3814">
        <f t="shared" si="119"/>
        <v>1</v>
      </c>
    </row>
    <row r="3815" spans="1:13" x14ac:dyDescent="0.3">
      <c r="A3815">
        <v>3813</v>
      </c>
      <c r="B3815">
        <v>3814</v>
      </c>
      <c r="C3815" t="s">
        <v>3899</v>
      </c>
      <c r="D3815">
        <v>2020</v>
      </c>
      <c r="F3815" t="s">
        <v>354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f t="shared" si="118"/>
        <v>7.4</v>
      </c>
      <c r="M3815">
        <f t="shared" si="119"/>
        <v>1</v>
      </c>
    </row>
    <row r="3816" spans="1:13" x14ac:dyDescent="0.3">
      <c r="A3816">
        <v>3814</v>
      </c>
      <c r="B3816">
        <v>3815</v>
      </c>
      <c r="C3816" t="s">
        <v>3900</v>
      </c>
      <c r="D3816">
        <v>2009</v>
      </c>
      <c r="E3816" t="s">
        <v>22</v>
      </c>
      <c r="F3816" t="s">
        <v>354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f t="shared" si="118"/>
        <v>7.4</v>
      </c>
      <c r="M3816">
        <f t="shared" si="119"/>
        <v>1</v>
      </c>
    </row>
    <row r="3817" spans="1:13" x14ac:dyDescent="0.3">
      <c r="A3817">
        <v>3815</v>
      </c>
      <c r="B3817">
        <v>3816</v>
      </c>
      <c r="C3817" t="s">
        <v>3901</v>
      </c>
      <c r="D3817">
        <v>2003</v>
      </c>
      <c r="E3817" t="s">
        <v>11</v>
      </c>
      <c r="F3817" t="s">
        <v>354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f t="shared" si="118"/>
        <v>7.4</v>
      </c>
      <c r="M3817">
        <f t="shared" si="119"/>
        <v>1</v>
      </c>
    </row>
    <row r="3818" spans="1:13" x14ac:dyDescent="0.3">
      <c r="A3818">
        <v>3816</v>
      </c>
      <c r="B3818">
        <v>3817</v>
      </c>
      <c r="C3818" t="s">
        <v>3902</v>
      </c>
      <c r="D3818">
        <v>2013</v>
      </c>
      <c r="E3818" t="s">
        <v>11</v>
      </c>
      <c r="F3818" t="s">
        <v>354</v>
      </c>
      <c r="G3818">
        <v>0</v>
      </c>
      <c r="H3818">
        <v>1</v>
      </c>
      <c r="I3818">
        <v>0</v>
      </c>
      <c r="J3818">
        <v>0</v>
      </c>
      <c r="K3818">
        <v>0</v>
      </c>
      <c r="L3818">
        <f t="shared" si="118"/>
        <v>7.4</v>
      </c>
      <c r="M3818">
        <f t="shared" si="119"/>
        <v>1</v>
      </c>
    </row>
    <row r="3819" spans="1:13" x14ac:dyDescent="0.3">
      <c r="A3819">
        <v>3817</v>
      </c>
      <c r="B3819">
        <v>3818</v>
      </c>
      <c r="C3819" t="s">
        <v>3903</v>
      </c>
      <c r="D3819">
        <v>2010</v>
      </c>
      <c r="E3819" t="s">
        <v>11</v>
      </c>
      <c r="F3819" t="s">
        <v>354</v>
      </c>
      <c r="G3819">
        <v>0</v>
      </c>
      <c r="H3819">
        <v>1</v>
      </c>
      <c r="I3819">
        <v>0</v>
      </c>
      <c r="J3819">
        <v>0</v>
      </c>
      <c r="K3819">
        <v>0</v>
      </c>
      <c r="L3819">
        <f t="shared" si="118"/>
        <v>7.4</v>
      </c>
      <c r="M3819">
        <f t="shared" si="119"/>
        <v>1</v>
      </c>
    </row>
    <row r="3820" spans="1:13" x14ac:dyDescent="0.3">
      <c r="A3820">
        <v>3818</v>
      </c>
      <c r="B3820">
        <v>3819</v>
      </c>
      <c r="C3820" t="s">
        <v>3904</v>
      </c>
      <c r="D3820">
        <v>2016</v>
      </c>
      <c r="E3820" t="s">
        <v>22</v>
      </c>
      <c r="F3820" t="s">
        <v>354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f t="shared" si="118"/>
        <v>7.4</v>
      </c>
      <c r="M3820">
        <f t="shared" si="119"/>
        <v>1</v>
      </c>
    </row>
    <row r="3821" spans="1:13" x14ac:dyDescent="0.3">
      <c r="A3821">
        <v>3819</v>
      </c>
      <c r="B3821">
        <v>3820</v>
      </c>
      <c r="C3821" t="s">
        <v>3905</v>
      </c>
      <c r="D3821">
        <v>2010</v>
      </c>
      <c r="E3821" t="s">
        <v>11</v>
      </c>
      <c r="F3821" t="s">
        <v>354</v>
      </c>
      <c r="G3821">
        <v>0</v>
      </c>
      <c r="H3821">
        <v>1</v>
      </c>
      <c r="I3821">
        <v>0</v>
      </c>
      <c r="J3821">
        <v>0</v>
      </c>
      <c r="K3821">
        <v>0</v>
      </c>
      <c r="L3821">
        <f t="shared" si="118"/>
        <v>7.4</v>
      </c>
      <c r="M3821">
        <f t="shared" si="119"/>
        <v>1</v>
      </c>
    </row>
    <row r="3822" spans="1:13" x14ac:dyDescent="0.3">
      <c r="A3822">
        <v>3820</v>
      </c>
      <c r="B3822">
        <v>3821</v>
      </c>
      <c r="C3822" t="s">
        <v>3906</v>
      </c>
      <c r="D3822">
        <v>2004</v>
      </c>
      <c r="E3822" t="s">
        <v>11</v>
      </c>
      <c r="F3822" t="s">
        <v>354</v>
      </c>
      <c r="G3822">
        <v>0</v>
      </c>
      <c r="H3822">
        <v>1</v>
      </c>
      <c r="I3822">
        <v>1</v>
      </c>
      <c r="J3822">
        <v>0</v>
      </c>
      <c r="K3822">
        <v>0</v>
      </c>
      <c r="L3822">
        <f t="shared" si="118"/>
        <v>7.4</v>
      </c>
      <c r="M3822">
        <f t="shared" si="119"/>
        <v>2</v>
      </c>
    </row>
    <row r="3823" spans="1:13" x14ac:dyDescent="0.3">
      <c r="A3823">
        <v>3821</v>
      </c>
      <c r="B3823">
        <v>3822</v>
      </c>
      <c r="C3823" t="s">
        <v>3907</v>
      </c>
      <c r="D3823">
        <v>2010</v>
      </c>
      <c r="E3823" t="s">
        <v>11</v>
      </c>
      <c r="F3823" t="s">
        <v>354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f t="shared" si="118"/>
        <v>7.4</v>
      </c>
      <c r="M3823">
        <f t="shared" si="119"/>
        <v>1</v>
      </c>
    </row>
    <row r="3824" spans="1:13" x14ac:dyDescent="0.3">
      <c r="A3824">
        <v>3822</v>
      </c>
      <c r="B3824">
        <v>3823</v>
      </c>
      <c r="C3824" t="s">
        <v>3908</v>
      </c>
      <c r="D3824">
        <v>2010</v>
      </c>
      <c r="E3824" t="s">
        <v>11</v>
      </c>
      <c r="F3824" t="s">
        <v>392</v>
      </c>
      <c r="G3824">
        <v>0</v>
      </c>
      <c r="H3824">
        <v>1</v>
      </c>
      <c r="I3824">
        <v>1</v>
      </c>
      <c r="J3824">
        <v>0</v>
      </c>
      <c r="K3824">
        <v>0</v>
      </c>
      <c r="L3824">
        <f t="shared" si="118"/>
        <v>7.3</v>
      </c>
      <c r="M3824">
        <f t="shared" si="119"/>
        <v>2</v>
      </c>
    </row>
    <row r="3825" spans="1:13" x14ac:dyDescent="0.3">
      <c r="A3825">
        <v>3823</v>
      </c>
      <c r="B3825">
        <v>3824</v>
      </c>
      <c r="C3825" t="s">
        <v>3909</v>
      </c>
      <c r="D3825">
        <v>2020</v>
      </c>
      <c r="E3825" t="s">
        <v>14</v>
      </c>
      <c r="F3825" t="s">
        <v>392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f t="shared" si="118"/>
        <v>7.3</v>
      </c>
      <c r="M3825">
        <f t="shared" si="119"/>
        <v>1</v>
      </c>
    </row>
    <row r="3826" spans="1:13" x14ac:dyDescent="0.3">
      <c r="A3826">
        <v>3824</v>
      </c>
      <c r="B3826">
        <v>3825</v>
      </c>
      <c r="C3826" t="s">
        <v>3910</v>
      </c>
      <c r="D3826">
        <v>2008</v>
      </c>
      <c r="E3826" t="s">
        <v>22</v>
      </c>
      <c r="F3826" t="s">
        <v>392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f t="shared" si="118"/>
        <v>7.3</v>
      </c>
      <c r="M3826">
        <f t="shared" si="119"/>
        <v>1</v>
      </c>
    </row>
    <row r="3827" spans="1:13" x14ac:dyDescent="0.3">
      <c r="A3827">
        <v>3825</v>
      </c>
      <c r="B3827">
        <v>3826</v>
      </c>
      <c r="C3827" t="s">
        <v>3911</v>
      </c>
      <c r="D3827">
        <v>1988</v>
      </c>
      <c r="E3827" t="s">
        <v>22</v>
      </c>
      <c r="F3827" t="s">
        <v>392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f t="shared" si="118"/>
        <v>7.3</v>
      </c>
      <c r="M3827">
        <f t="shared" si="119"/>
        <v>1</v>
      </c>
    </row>
    <row r="3828" spans="1:13" x14ac:dyDescent="0.3">
      <c r="A3828">
        <v>3826</v>
      </c>
      <c r="B3828">
        <v>3827</v>
      </c>
      <c r="C3828" t="s">
        <v>3912</v>
      </c>
      <c r="D3828">
        <v>2012</v>
      </c>
      <c r="E3828" t="s">
        <v>11</v>
      </c>
      <c r="F3828" t="s">
        <v>392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f t="shared" si="118"/>
        <v>7.3</v>
      </c>
      <c r="M3828">
        <f t="shared" si="119"/>
        <v>1</v>
      </c>
    </row>
    <row r="3829" spans="1:13" x14ac:dyDescent="0.3">
      <c r="A3829">
        <v>3827</v>
      </c>
      <c r="B3829">
        <v>3828</v>
      </c>
      <c r="C3829" t="s">
        <v>3913</v>
      </c>
      <c r="D3829">
        <v>2018</v>
      </c>
      <c r="E3829" t="s">
        <v>11</v>
      </c>
      <c r="F3829" t="s">
        <v>392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f t="shared" si="118"/>
        <v>7.3</v>
      </c>
      <c r="M3829">
        <f t="shared" si="119"/>
        <v>1</v>
      </c>
    </row>
    <row r="3830" spans="1:13" x14ac:dyDescent="0.3">
      <c r="A3830">
        <v>3828</v>
      </c>
      <c r="B3830">
        <v>3829</v>
      </c>
      <c r="C3830" t="s">
        <v>3914</v>
      </c>
      <c r="D3830">
        <v>1991</v>
      </c>
      <c r="E3830" t="s">
        <v>14</v>
      </c>
      <c r="F3830" t="s">
        <v>392</v>
      </c>
      <c r="G3830">
        <v>0</v>
      </c>
      <c r="H3830">
        <v>1</v>
      </c>
      <c r="I3830">
        <v>0</v>
      </c>
      <c r="J3830">
        <v>0</v>
      </c>
      <c r="K3830">
        <v>0</v>
      </c>
      <c r="L3830">
        <f t="shared" si="118"/>
        <v>7.3</v>
      </c>
      <c r="M3830">
        <f t="shared" si="119"/>
        <v>1</v>
      </c>
    </row>
    <row r="3831" spans="1:13" x14ac:dyDescent="0.3">
      <c r="A3831">
        <v>3829</v>
      </c>
      <c r="B3831">
        <v>3830</v>
      </c>
      <c r="C3831" t="s">
        <v>3915</v>
      </c>
      <c r="D3831">
        <v>2002</v>
      </c>
      <c r="E3831" t="s">
        <v>11</v>
      </c>
      <c r="F3831" t="s">
        <v>392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f t="shared" si="118"/>
        <v>7.3</v>
      </c>
      <c r="M3831">
        <f t="shared" si="119"/>
        <v>1</v>
      </c>
    </row>
    <row r="3832" spans="1:13" x14ac:dyDescent="0.3">
      <c r="A3832">
        <v>3830</v>
      </c>
      <c r="B3832">
        <v>3831</v>
      </c>
      <c r="C3832" t="s">
        <v>3916</v>
      </c>
      <c r="D3832">
        <v>2018</v>
      </c>
      <c r="E3832" t="s">
        <v>11</v>
      </c>
      <c r="F3832" t="s">
        <v>392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f t="shared" si="118"/>
        <v>7.3</v>
      </c>
      <c r="M3832">
        <f t="shared" si="119"/>
        <v>1</v>
      </c>
    </row>
    <row r="3833" spans="1:13" x14ac:dyDescent="0.3">
      <c r="A3833">
        <v>3831</v>
      </c>
      <c r="B3833">
        <v>3832</v>
      </c>
      <c r="C3833" t="s">
        <v>3917</v>
      </c>
      <c r="D3833">
        <v>1984</v>
      </c>
      <c r="E3833" t="s">
        <v>14</v>
      </c>
      <c r="F3833" t="s">
        <v>392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f t="shared" si="118"/>
        <v>7.3</v>
      </c>
      <c r="M3833">
        <f t="shared" si="119"/>
        <v>1</v>
      </c>
    </row>
    <row r="3834" spans="1:13" x14ac:dyDescent="0.3">
      <c r="A3834">
        <v>3832</v>
      </c>
      <c r="B3834">
        <v>3833</v>
      </c>
      <c r="C3834" t="s">
        <v>3918</v>
      </c>
      <c r="D3834">
        <v>2018</v>
      </c>
      <c r="E3834" t="s">
        <v>11</v>
      </c>
      <c r="F3834" t="s">
        <v>392</v>
      </c>
      <c r="G3834">
        <v>0</v>
      </c>
      <c r="H3834">
        <v>1</v>
      </c>
      <c r="I3834">
        <v>0</v>
      </c>
      <c r="J3834">
        <v>0</v>
      </c>
      <c r="K3834">
        <v>0</v>
      </c>
      <c r="L3834">
        <f t="shared" si="118"/>
        <v>7.3</v>
      </c>
      <c r="M3834">
        <f t="shared" si="119"/>
        <v>1</v>
      </c>
    </row>
    <row r="3835" spans="1:13" x14ac:dyDescent="0.3">
      <c r="A3835">
        <v>3833</v>
      </c>
      <c r="B3835">
        <v>3834</v>
      </c>
      <c r="C3835" t="s">
        <v>3919</v>
      </c>
      <c r="D3835">
        <v>2005</v>
      </c>
      <c r="E3835" t="s">
        <v>11</v>
      </c>
      <c r="F3835" t="s">
        <v>392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f t="shared" si="118"/>
        <v>7.3</v>
      </c>
      <c r="M3835">
        <f t="shared" si="119"/>
        <v>1</v>
      </c>
    </row>
    <row r="3836" spans="1:13" x14ac:dyDescent="0.3">
      <c r="A3836">
        <v>3834</v>
      </c>
      <c r="B3836">
        <v>3835</v>
      </c>
      <c r="C3836" t="s">
        <v>3920</v>
      </c>
      <c r="D3836">
        <v>1993</v>
      </c>
      <c r="E3836" t="s">
        <v>11</v>
      </c>
      <c r="F3836" t="s">
        <v>392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f t="shared" si="118"/>
        <v>7.3</v>
      </c>
      <c r="M3836">
        <f t="shared" si="119"/>
        <v>1</v>
      </c>
    </row>
    <row r="3837" spans="1:13" x14ac:dyDescent="0.3">
      <c r="A3837">
        <v>3835</v>
      </c>
      <c r="B3837">
        <v>3836</v>
      </c>
      <c r="C3837" t="s">
        <v>3921</v>
      </c>
      <c r="D3837">
        <v>2021</v>
      </c>
      <c r="E3837" t="s">
        <v>22</v>
      </c>
      <c r="F3837" t="s">
        <v>392</v>
      </c>
      <c r="G3837">
        <v>0</v>
      </c>
      <c r="H3837">
        <v>1</v>
      </c>
      <c r="I3837">
        <v>0</v>
      </c>
      <c r="J3837">
        <v>0</v>
      </c>
      <c r="K3837">
        <v>0</v>
      </c>
      <c r="L3837">
        <f t="shared" si="118"/>
        <v>7.3</v>
      </c>
      <c r="M3837">
        <f t="shared" si="119"/>
        <v>1</v>
      </c>
    </row>
    <row r="3838" spans="1:13" x14ac:dyDescent="0.3">
      <c r="A3838">
        <v>3836</v>
      </c>
      <c r="B3838">
        <v>3837</v>
      </c>
      <c r="C3838" t="s">
        <v>3922</v>
      </c>
      <c r="D3838">
        <v>2016</v>
      </c>
      <c r="E3838" t="s">
        <v>14</v>
      </c>
      <c r="F3838" t="s">
        <v>392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f t="shared" si="118"/>
        <v>7.3</v>
      </c>
      <c r="M3838">
        <f t="shared" si="119"/>
        <v>1</v>
      </c>
    </row>
    <row r="3839" spans="1:13" x14ac:dyDescent="0.3">
      <c r="A3839">
        <v>3837</v>
      </c>
      <c r="B3839">
        <v>3838</v>
      </c>
      <c r="C3839" t="s">
        <v>3923</v>
      </c>
      <c r="D3839">
        <v>2012</v>
      </c>
      <c r="E3839" t="s">
        <v>22</v>
      </c>
      <c r="F3839" t="s">
        <v>392</v>
      </c>
      <c r="G3839">
        <v>0</v>
      </c>
      <c r="H3839">
        <v>1</v>
      </c>
      <c r="I3839">
        <v>1</v>
      </c>
      <c r="J3839">
        <v>0</v>
      </c>
      <c r="K3839">
        <v>0</v>
      </c>
      <c r="L3839">
        <f t="shared" si="118"/>
        <v>7.3</v>
      </c>
      <c r="M3839">
        <f t="shared" si="119"/>
        <v>2</v>
      </c>
    </row>
    <row r="3840" spans="1:13" x14ac:dyDescent="0.3">
      <c r="A3840">
        <v>3838</v>
      </c>
      <c r="B3840">
        <v>3839</v>
      </c>
      <c r="C3840" t="s">
        <v>3924</v>
      </c>
      <c r="D3840">
        <v>2017</v>
      </c>
      <c r="F3840" t="s">
        <v>392</v>
      </c>
      <c r="G3840">
        <v>0</v>
      </c>
      <c r="H3840">
        <v>1</v>
      </c>
      <c r="I3840">
        <v>0</v>
      </c>
      <c r="J3840">
        <v>0</v>
      </c>
      <c r="K3840">
        <v>0</v>
      </c>
      <c r="L3840">
        <f t="shared" si="118"/>
        <v>7.3</v>
      </c>
      <c r="M3840">
        <f t="shared" si="119"/>
        <v>1</v>
      </c>
    </row>
    <row r="3841" spans="1:13" x14ac:dyDescent="0.3">
      <c r="A3841">
        <v>3839</v>
      </c>
      <c r="B3841">
        <v>3840</v>
      </c>
      <c r="C3841" t="s">
        <v>3925</v>
      </c>
      <c r="D3841">
        <v>1995</v>
      </c>
      <c r="E3841" t="s">
        <v>22</v>
      </c>
      <c r="F3841" t="s">
        <v>392</v>
      </c>
      <c r="G3841">
        <v>0</v>
      </c>
      <c r="H3841">
        <v>1</v>
      </c>
      <c r="I3841">
        <v>0</v>
      </c>
      <c r="J3841">
        <v>0</v>
      </c>
      <c r="K3841">
        <v>0</v>
      </c>
      <c r="L3841">
        <f t="shared" si="118"/>
        <v>7.3</v>
      </c>
      <c r="M3841">
        <f t="shared" si="119"/>
        <v>1</v>
      </c>
    </row>
    <row r="3842" spans="1:13" x14ac:dyDescent="0.3">
      <c r="A3842">
        <v>3840</v>
      </c>
      <c r="B3842">
        <v>3841</v>
      </c>
      <c r="C3842" t="s">
        <v>3926</v>
      </c>
      <c r="D3842">
        <v>2019</v>
      </c>
      <c r="E3842" t="s">
        <v>22</v>
      </c>
      <c r="F3842" t="s">
        <v>392</v>
      </c>
      <c r="G3842">
        <v>0</v>
      </c>
      <c r="H3842">
        <v>1</v>
      </c>
      <c r="I3842">
        <v>0</v>
      </c>
      <c r="J3842">
        <v>0</v>
      </c>
      <c r="K3842">
        <v>0</v>
      </c>
      <c r="L3842">
        <f t="shared" si="118"/>
        <v>7.3</v>
      </c>
      <c r="M3842">
        <f t="shared" si="119"/>
        <v>1</v>
      </c>
    </row>
    <row r="3843" spans="1:13" x14ac:dyDescent="0.3">
      <c r="A3843">
        <v>3841</v>
      </c>
      <c r="B3843">
        <v>3842</v>
      </c>
      <c r="C3843" t="s">
        <v>3927</v>
      </c>
      <c r="D3843">
        <v>1990</v>
      </c>
      <c r="E3843" t="s">
        <v>11</v>
      </c>
      <c r="F3843" t="s">
        <v>392</v>
      </c>
      <c r="G3843">
        <v>0</v>
      </c>
      <c r="H3843">
        <v>1</v>
      </c>
      <c r="I3843">
        <v>0</v>
      </c>
      <c r="J3843">
        <v>0</v>
      </c>
      <c r="K3843">
        <v>0</v>
      </c>
      <c r="L3843">
        <f t="shared" ref="L3843:L3906" si="120">IFERROR(VALUE(LEFT(F3843,FIND("/",F3843)-1))/10,"")</f>
        <v>7.3</v>
      </c>
      <c r="M3843">
        <f t="shared" ref="M3843:M3906" si="121">SUM(G3843:J3843)</f>
        <v>1</v>
      </c>
    </row>
    <row r="3844" spans="1:13" x14ac:dyDescent="0.3">
      <c r="A3844">
        <v>3842</v>
      </c>
      <c r="B3844">
        <v>3843</v>
      </c>
      <c r="C3844" t="s">
        <v>3928</v>
      </c>
      <c r="D3844">
        <v>2019</v>
      </c>
      <c r="E3844" t="s">
        <v>14</v>
      </c>
      <c r="F3844" t="s">
        <v>392</v>
      </c>
      <c r="G3844">
        <v>0</v>
      </c>
      <c r="H3844">
        <v>1</v>
      </c>
      <c r="I3844">
        <v>0</v>
      </c>
      <c r="J3844">
        <v>0</v>
      </c>
      <c r="K3844">
        <v>0</v>
      </c>
      <c r="L3844">
        <f t="shared" si="120"/>
        <v>7.3</v>
      </c>
      <c r="M3844">
        <f t="shared" si="121"/>
        <v>1</v>
      </c>
    </row>
    <row r="3845" spans="1:13" x14ac:dyDescent="0.3">
      <c r="A3845">
        <v>3843</v>
      </c>
      <c r="B3845">
        <v>3844</v>
      </c>
      <c r="C3845" t="s">
        <v>3929</v>
      </c>
      <c r="D3845">
        <v>1992</v>
      </c>
      <c r="E3845" t="s">
        <v>22</v>
      </c>
      <c r="F3845" t="s">
        <v>392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f t="shared" si="120"/>
        <v>7.3</v>
      </c>
      <c r="M3845">
        <f t="shared" si="121"/>
        <v>1</v>
      </c>
    </row>
    <row r="3846" spans="1:13" x14ac:dyDescent="0.3">
      <c r="A3846">
        <v>3844</v>
      </c>
      <c r="B3846">
        <v>3845</v>
      </c>
      <c r="C3846" t="s">
        <v>3930</v>
      </c>
      <c r="D3846">
        <v>2003</v>
      </c>
      <c r="E3846" t="s">
        <v>22</v>
      </c>
      <c r="F3846" t="s">
        <v>440</v>
      </c>
      <c r="G3846">
        <v>0</v>
      </c>
      <c r="H3846">
        <v>1</v>
      </c>
      <c r="I3846">
        <v>0</v>
      </c>
      <c r="J3846">
        <v>0</v>
      </c>
      <c r="K3846">
        <v>0</v>
      </c>
      <c r="L3846">
        <f t="shared" si="120"/>
        <v>7.2</v>
      </c>
      <c r="M3846">
        <f t="shared" si="121"/>
        <v>1</v>
      </c>
    </row>
    <row r="3847" spans="1:13" x14ac:dyDescent="0.3">
      <c r="A3847">
        <v>3845</v>
      </c>
      <c r="B3847">
        <v>3846</v>
      </c>
      <c r="C3847" t="s">
        <v>3931</v>
      </c>
      <c r="D3847">
        <v>2003</v>
      </c>
      <c r="E3847" t="s">
        <v>22</v>
      </c>
      <c r="F3847" t="s">
        <v>440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f t="shared" si="120"/>
        <v>7.2</v>
      </c>
      <c r="M3847">
        <f t="shared" si="121"/>
        <v>1</v>
      </c>
    </row>
    <row r="3848" spans="1:13" x14ac:dyDescent="0.3">
      <c r="A3848">
        <v>3846</v>
      </c>
      <c r="B3848">
        <v>3847</v>
      </c>
      <c r="C3848" t="s">
        <v>3932</v>
      </c>
      <c r="D3848">
        <v>2019</v>
      </c>
      <c r="E3848" t="s">
        <v>11</v>
      </c>
      <c r="F3848" t="s">
        <v>440</v>
      </c>
      <c r="G3848">
        <v>0</v>
      </c>
      <c r="H3848">
        <v>1</v>
      </c>
      <c r="I3848">
        <v>0</v>
      </c>
      <c r="J3848">
        <v>0</v>
      </c>
      <c r="K3848">
        <v>0</v>
      </c>
      <c r="L3848">
        <f t="shared" si="120"/>
        <v>7.2</v>
      </c>
      <c r="M3848">
        <f t="shared" si="121"/>
        <v>1</v>
      </c>
    </row>
    <row r="3849" spans="1:13" x14ac:dyDescent="0.3">
      <c r="A3849">
        <v>3847</v>
      </c>
      <c r="B3849">
        <v>3848</v>
      </c>
      <c r="C3849" t="s">
        <v>3933</v>
      </c>
      <c r="D3849">
        <v>2018</v>
      </c>
      <c r="E3849" t="s">
        <v>11</v>
      </c>
      <c r="F3849" t="s">
        <v>440</v>
      </c>
      <c r="G3849">
        <v>0</v>
      </c>
      <c r="H3849">
        <v>1</v>
      </c>
      <c r="I3849">
        <v>1</v>
      </c>
      <c r="J3849">
        <v>0</v>
      </c>
      <c r="K3849">
        <v>0</v>
      </c>
      <c r="L3849">
        <f t="shared" si="120"/>
        <v>7.2</v>
      </c>
      <c r="M3849">
        <f t="shared" si="121"/>
        <v>2</v>
      </c>
    </row>
    <row r="3850" spans="1:13" x14ac:dyDescent="0.3">
      <c r="A3850">
        <v>3848</v>
      </c>
      <c r="B3850">
        <v>3849</v>
      </c>
      <c r="C3850" t="s">
        <v>3934</v>
      </c>
      <c r="D3850">
        <v>1983</v>
      </c>
      <c r="E3850" t="s">
        <v>11</v>
      </c>
      <c r="F3850" t="s">
        <v>440</v>
      </c>
      <c r="G3850">
        <v>0</v>
      </c>
      <c r="H3850">
        <v>1</v>
      </c>
      <c r="I3850">
        <v>0</v>
      </c>
      <c r="J3850">
        <v>0</v>
      </c>
      <c r="K3850">
        <v>0</v>
      </c>
      <c r="L3850">
        <f t="shared" si="120"/>
        <v>7.2</v>
      </c>
      <c r="M3850">
        <f t="shared" si="121"/>
        <v>1</v>
      </c>
    </row>
    <row r="3851" spans="1:13" x14ac:dyDescent="0.3">
      <c r="A3851">
        <v>3849</v>
      </c>
      <c r="B3851">
        <v>3850</v>
      </c>
      <c r="C3851" t="s">
        <v>3935</v>
      </c>
      <c r="D3851">
        <v>2020</v>
      </c>
      <c r="E3851" t="s">
        <v>14</v>
      </c>
      <c r="F3851" t="s">
        <v>440</v>
      </c>
      <c r="G3851">
        <v>0</v>
      </c>
      <c r="H3851">
        <v>1</v>
      </c>
      <c r="I3851">
        <v>0</v>
      </c>
      <c r="J3851">
        <v>0</v>
      </c>
      <c r="K3851">
        <v>0</v>
      </c>
      <c r="L3851">
        <f t="shared" si="120"/>
        <v>7.2</v>
      </c>
      <c r="M3851">
        <f t="shared" si="121"/>
        <v>1</v>
      </c>
    </row>
    <row r="3852" spans="1:13" x14ac:dyDescent="0.3">
      <c r="A3852">
        <v>3850</v>
      </c>
      <c r="B3852">
        <v>3851</v>
      </c>
      <c r="C3852" t="s">
        <v>3936</v>
      </c>
      <c r="D3852">
        <v>2018</v>
      </c>
      <c r="E3852" t="s">
        <v>11</v>
      </c>
      <c r="F3852" t="s">
        <v>440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f t="shared" si="120"/>
        <v>7.2</v>
      </c>
      <c r="M3852">
        <f t="shared" si="121"/>
        <v>1</v>
      </c>
    </row>
    <row r="3853" spans="1:13" x14ac:dyDescent="0.3">
      <c r="A3853">
        <v>3851</v>
      </c>
      <c r="B3853">
        <v>3852</v>
      </c>
      <c r="C3853" t="s">
        <v>3937</v>
      </c>
      <c r="D3853">
        <v>2005</v>
      </c>
      <c r="E3853" t="s">
        <v>11</v>
      </c>
      <c r="F3853" t="s">
        <v>440</v>
      </c>
      <c r="G3853">
        <v>0</v>
      </c>
      <c r="H3853">
        <v>1</v>
      </c>
      <c r="I3853">
        <v>0</v>
      </c>
      <c r="J3853">
        <v>0</v>
      </c>
      <c r="K3853">
        <v>0</v>
      </c>
      <c r="L3853">
        <f t="shared" si="120"/>
        <v>7.2</v>
      </c>
      <c r="M3853">
        <f t="shared" si="121"/>
        <v>1</v>
      </c>
    </row>
    <row r="3854" spans="1:13" x14ac:dyDescent="0.3">
      <c r="A3854">
        <v>3852</v>
      </c>
      <c r="B3854">
        <v>3853</v>
      </c>
      <c r="C3854" t="s">
        <v>3938</v>
      </c>
      <c r="D3854">
        <v>2014</v>
      </c>
      <c r="E3854" t="s">
        <v>11</v>
      </c>
      <c r="F3854" t="s">
        <v>440</v>
      </c>
      <c r="G3854">
        <v>0</v>
      </c>
      <c r="H3854">
        <v>1</v>
      </c>
      <c r="I3854">
        <v>0</v>
      </c>
      <c r="J3854">
        <v>0</v>
      </c>
      <c r="K3854">
        <v>0</v>
      </c>
      <c r="L3854">
        <f t="shared" si="120"/>
        <v>7.2</v>
      </c>
      <c r="M3854">
        <f t="shared" si="121"/>
        <v>1</v>
      </c>
    </row>
    <row r="3855" spans="1:13" x14ac:dyDescent="0.3">
      <c r="A3855">
        <v>3853</v>
      </c>
      <c r="B3855">
        <v>3854</v>
      </c>
      <c r="C3855" t="s">
        <v>3939</v>
      </c>
      <c r="D3855">
        <v>2011</v>
      </c>
      <c r="E3855" t="s">
        <v>11</v>
      </c>
      <c r="F3855" t="s">
        <v>440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f t="shared" si="120"/>
        <v>7.2</v>
      </c>
      <c r="M3855">
        <f t="shared" si="121"/>
        <v>1</v>
      </c>
    </row>
    <row r="3856" spans="1:13" x14ac:dyDescent="0.3">
      <c r="A3856">
        <v>3854</v>
      </c>
      <c r="B3856">
        <v>3855</v>
      </c>
      <c r="C3856" t="s">
        <v>3940</v>
      </c>
      <c r="D3856">
        <v>2010</v>
      </c>
      <c r="E3856" t="s">
        <v>22</v>
      </c>
      <c r="F3856" t="s">
        <v>440</v>
      </c>
      <c r="G3856">
        <v>0</v>
      </c>
      <c r="H3856">
        <v>1</v>
      </c>
      <c r="I3856">
        <v>0</v>
      </c>
      <c r="J3856">
        <v>0</v>
      </c>
      <c r="K3856">
        <v>0</v>
      </c>
      <c r="L3856">
        <f t="shared" si="120"/>
        <v>7.2</v>
      </c>
      <c r="M3856">
        <f t="shared" si="121"/>
        <v>1</v>
      </c>
    </row>
    <row r="3857" spans="1:13" x14ac:dyDescent="0.3">
      <c r="A3857">
        <v>3855</v>
      </c>
      <c r="B3857">
        <v>3856</v>
      </c>
      <c r="C3857" t="s">
        <v>3941</v>
      </c>
      <c r="D3857">
        <v>2008</v>
      </c>
      <c r="E3857" t="s">
        <v>11</v>
      </c>
      <c r="F3857" t="s">
        <v>440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f t="shared" si="120"/>
        <v>7.2</v>
      </c>
      <c r="M3857">
        <f t="shared" si="121"/>
        <v>1</v>
      </c>
    </row>
    <row r="3858" spans="1:13" x14ac:dyDescent="0.3">
      <c r="A3858">
        <v>3856</v>
      </c>
      <c r="B3858">
        <v>3857</v>
      </c>
      <c r="C3858" t="s">
        <v>3942</v>
      </c>
      <c r="D3858">
        <v>2005</v>
      </c>
      <c r="E3858" t="s">
        <v>22</v>
      </c>
      <c r="F3858" t="s">
        <v>440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f t="shared" si="120"/>
        <v>7.2</v>
      </c>
      <c r="M3858">
        <f t="shared" si="121"/>
        <v>1</v>
      </c>
    </row>
    <row r="3859" spans="1:13" x14ac:dyDescent="0.3">
      <c r="A3859">
        <v>3857</v>
      </c>
      <c r="B3859">
        <v>3858</v>
      </c>
      <c r="C3859" t="s">
        <v>3943</v>
      </c>
      <c r="D3859">
        <v>2017</v>
      </c>
      <c r="E3859" t="s">
        <v>22</v>
      </c>
      <c r="F3859" t="s">
        <v>440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f t="shared" si="120"/>
        <v>7.2</v>
      </c>
      <c r="M3859">
        <f t="shared" si="121"/>
        <v>1</v>
      </c>
    </row>
    <row r="3860" spans="1:13" x14ac:dyDescent="0.3">
      <c r="A3860">
        <v>3858</v>
      </c>
      <c r="B3860">
        <v>3859</v>
      </c>
      <c r="C3860" t="s">
        <v>3944</v>
      </c>
      <c r="D3860">
        <v>2021</v>
      </c>
      <c r="E3860" t="s">
        <v>22</v>
      </c>
      <c r="F3860" t="s">
        <v>440</v>
      </c>
      <c r="G3860">
        <v>0</v>
      </c>
      <c r="H3860">
        <v>1</v>
      </c>
      <c r="I3860">
        <v>0</v>
      </c>
      <c r="J3860">
        <v>0</v>
      </c>
      <c r="K3860">
        <v>0</v>
      </c>
      <c r="L3860">
        <f t="shared" si="120"/>
        <v>7.2</v>
      </c>
      <c r="M3860">
        <f t="shared" si="121"/>
        <v>1</v>
      </c>
    </row>
    <row r="3861" spans="1:13" x14ac:dyDescent="0.3">
      <c r="A3861">
        <v>3859</v>
      </c>
      <c r="B3861">
        <v>3860</v>
      </c>
      <c r="C3861" t="s">
        <v>3945</v>
      </c>
      <c r="D3861">
        <v>2017</v>
      </c>
      <c r="E3861" t="s">
        <v>14</v>
      </c>
      <c r="F3861" t="s">
        <v>440</v>
      </c>
      <c r="G3861">
        <v>0</v>
      </c>
      <c r="H3861">
        <v>1</v>
      </c>
      <c r="I3861">
        <v>0</v>
      </c>
      <c r="J3861">
        <v>0</v>
      </c>
      <c r="K3861">
        <v>0</v>
      </c>
      <c r="L3861">
        <f t="shared" si="120"/>
        <v>7.2</v>
      </c>
      <c r="M3861">
        <f t="shared" si="121"/>
        <v>1</v>
      </c>
    </row>
    <row r="3862" spans="1:13" x14ac:dyDescent="0.3">
      <c r="A3862">
        <v>3860</v>
      </c>
      <c r="B3862">
        <v>3861</v>
      </c>
      <c r="C3862" t="s">
        <v>3946</v>
      </c>
      <c r="D3862">
        <v>2007</v>
      </c>
      <c r="E3862" t="s">
        <v>22</v>
      </c>
      <c r="F3862" t="s">
        <v>440</v>
      </c>
      <c r="G3862">
        <v>0</v>
      </c>
      <c r="H3862">
        <v>1</v>
      </c>
      <c r="I3862">
        <v>1</v>
      </c>
      <c r="J3862">
        <v>0</v>
      </c>
      <c r="K3862">
        <v>0</v>
      </c>
      <c r="L3862">
        <f t="shared" si="120"/>
        <v>7.2</v>
      </c>
      <c r="M3862">
        <f t="shared" si="121"/>
        <v>2</v>
      </c>
    </row>
    <row r="3863" spans="1:13" x14ac:dyDescent="0.3">
      <c r="A3863">
        <v>3861</v>
      </c>
      <c r="B3863">
        <v>3862</v>
      </c>
      <c r="C3863" t="s">
        <v>3947</v>
      </c>
      <c r="D3863">
        <v>1984</v>
      </c>
      <c r="E3863" t="s">
        <v>14</v>
      </c>
      <c r="F3863" t="s">
        <v>440</v>
      </c>
      <c r="G3863">
        <v>0</v>
      </c>
      <c r="H3863">
        <v>1</v>
      </c>
      <c r="I3863">
        <v>0</v>
      </c>
      <c r="J3863">
        <v>0</v>
      </c>
      <c r="K3863">
        <v>0</v>
      </c>
      <c r="L3863">
        <f t="shared" si="120"/>
        <v>7.2</v>
      </c>
      <c r="M3863">
        <f t="shared" si="121"/>
        <v>1</v>
      </c>
    </row>
    <row r="3864" spans="1:13" x14ac:dyDescent="0.3">
      <c r="A3864">
        <v>3862</v>
      </c>
      <c r="B3864">
        <v>3863</v>
      </c>
      <c r="C3864" t="s">
        <v>3948</v>
      </c>
      <c r="D3864">
        <v>1996</v>
      </c>
      <c r="E3864" t="s">
        <v>11</v>
      </c>
      <c r="F3864" t="s">
        <v>440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f t="shared" si="120"/>
        <v>7.2</v>
      </c>
      <c r="M3864">
        <f t="shared" si="121"/>
        <v>1</v>
      </c>
    </row>
    <row r="3865" spans="1:13" x14ac:dyDescent="0.3">
      <c r="A3865">
        <v>3863</v>
      </c>
      <c r="B3865">
        <v>3864</v>
      </c>
      <c r="C3865" t="s">
        <v>3949</v>
      </c>
      <c r="D3865">
        <v>2014</v>
      </c>
      <c r="E3865" t="s">
        <v>11</v>
      </c>
      <c r="F3865" t="s">
        <v>440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f t="shared" si="120"/>
        <v>7.2</v>
      </c>
      <c r="M3865">
        <f t="shared" si="121"/>
        <v>1</v>
      </c>
    </row>
    <row r="3866" spans="1:13" x14ac:dyDescent="0.3">
      <c r="A3866">
        <v>3864</v>
      </c>
      <c r="B3866">
        <v>3865</v>
      </c>
      <c r="C3866" t="s">
        <v>3950</v>
      </c>
      <c r="D3866">
        <v>2016</v>
      </c>
      <c r="E3866" t="s">
        <v>11</v>
      </c>
      <c r="F3866" t="s">
        <v>440</v>
      </c>
      <c r="G3866">
        <v>0</v>
      </c>
      <c r="H3866">
        <v>1</v>
      </c>
      <c r="I3866">
        <v>0</v>
      </c>
      <c r="J3866">
        <v>0</v>
      </c>
      <c r="K3866">
        <v>0</v>
      </c>
      <c r="L3866">
        <f t="shared" si="120"/>
        <v>7.2</v>
      </c>
      <c r="M3866">
        <f t="shared" si="121"/>
        <v>1</v>
      </c>
    </row>
    <row r="3867" spans="1:13" x14ac:dyDescent="0.3">
      <c r="A3867">
        <v>3865</v>
      </c>
      <c r="B3867">
        <v>3866</v>
      </c>
      <c r="C3867" t="s">
        <v>3951</v>
      </c>
      <c r="D3867">
        <v>2009</v>
      </c>
      <c r="E3867" t="s">
        <v>22</v>
      </c>
      <c r="F3867" t="s">
        <v>440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f t="shared" si="120"/>
        <v>7.2</v>
      </c>
      <c r="M3867">
        <f t="shared" si="121"/>
        <v>1</v>
      </c>
    </row>
    <row r="3868" spans="1:13" x14ac:dyDescent="0.3">
      <c r="A3868">
        <v>3866</v>
      </c>
      <c r="B3868">
        <v>3867</v>
      </c>
      <c r="C3868" t="s">
        <v>3952</v>
      </c>
      <c r="D3868">
        <v>2002</v>
      </c>
      <c r="E3868" t="s">
        <v>11</v>
      </c>
      <c r="F3868" t="s">
        <v>440</v>
      </c>
      <c r="G3868">
        <v>0</v>
      </c>
      <c r="H3868">
        <v>1</v>
      </c>
      <c r="I3868">
        <v>0</v>
      </c>
      <c r="J3868">
        <v>0</v>
      </c>
      <c r="K3868">
        <v>0</v>
      </c>
      <c r="L3868">
        <f t="shared" si="120"/>
        <v>7.2</v>
      </c>
      <c r="M3868">
        <f t="shared" si="121"/>
        <v>1</v>
      </c>
    </row>
    <row r="3869" spans="1:13" x14ac:dyDescent="0.3">
      <c r="A3869">
        <v>3867</v>
      </c>
      <c r="B3869">
        <v>3868</v>
      </c>
      <c r="C3869" t="s">
        <v>3953</v>
      </c>
      <c r="D3869">
        <v>2014</v>
      </c>
      <c r="E3869" t="s">
        <v>22</v>
      </c>
      <c r="F3869" t="s">
        <v>493</v>
      </c>
      <c r="G3869">
        <v>0</v>
      </c>
      <c r="H3869">
        <v>1</v>
      </c>
      <c r="I3869">
        <v>0</v>
      </c>
      <c r="J3869">
        <v>0</v>
      </c>
      <c r="K3869">
        <v>0</v>
      </c>
      <c r="L3869">
        <f t="shared" si="120"/>
        <v>7.1</v>
      </c>
      <c r="M3869">
        <f t="shared" si="121"/>
        <v>1</v>
      </c>
    </row>
    <row r="3870" spans="1:13" x14ac:dyDescent="0.3">
      <c r="A3870">
        <v>3868</v>
      </c>
      <c r="B3870">
        <v>3869</v>
      </c>
      <c r="C3870" t="s">
        <v>3954</v>
      </c>
      <c r="D3870">
        <v>2014</v>
      </c>
      <c r="E3870" t="s">
        <v>11</v>
      </c>
      <c r="F3870" t="s">
        <v>493</v>
      </c>
      <c r="G3870">
        <v>0</v>
      </c>
      <c r="H3870">
        <v>1</v>
      </c>
      <c r="I3870">
        <v>0</v>
      </c>
      <c r="J3870">
        <v>0</v>
      </c>
      <c r="K3870">
        <v>0</v>
      </c>
      <c r="L3870">
        <f t="shared" si="120"/>
        <v>7.1</v>
      </c>
      <c r="M3870">
        <f t="shared" si="121"/>
        <v>1</v>
      </c>
    </row>
    <row r="3871" spans="1:13" x14ac:dyDescent="0.3">
      <c r="A3871">
        <v>3869</v>
      </c>
      <c r="B3871">
        <v>3870</v>
      </c>
      <c r="C3871" t="s">
        <v>3955</v>
      </c>
      <c r="D3871">
        <v>2017</v>
      </c>
      <c r="F3871" t="s">
        <v>493</v>
      </c>
      <c r="G3871">
        <v>0</v>
      </c>
      <c r="H3871">
        <v>1</v>
      </c>
      <c r="I3871">
        <v>0</v>
      </c>
      <c r="J3871">
        <v>0</v>
      </c>
      <c r="K3871">
        <v>0</v>
      </c>
      <c r="L3871">
        <f t="shared" si="120"/>
        <v>7.1</v>
      </c>
      <c r="M3871">
        <f t="shared" si="121"/>
        <v>1</v>
      </c>
    </row>
    <row r="3872" spans="1:13" x14ac:dyDescent="0.3">
      <c r="A3872">
        <v>3870</v>
      </c>
      <c r="B3872">
        <v>3871</v>
      </c>
      <c r="C3872" t="s">
        <v>3956</v>
      </c>
      <c r="D3872">
        <v>1994</v>
      </c>
      <c r="E3872" t="s">
        <v>14</v>
      </c>
      <c r="F3872" t="s">
        <v>493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f t="shared" si="120"/>
        <v>7.1</v>
      </c>
      <c r="M3872">
        <f t="shared" si="121"/>
        <v>1</v>
      </c>
    </row>
    <row r="3873" spans="1:13" x14ac:dyDescent="0.3">
      <c r="A3873">
        <v>3871</v>
      </c>
      <c r="B3873">
        <v>3872</v>
      </c>
      <c r="C3873" t="s">
        <v>3957</v>
      </c>
      <c r="D3873">
        <v>2015</v>
      </c>
      <c r="E3873" t="s">
        <v>22</v>
      </c>
      <c r="F3873" t="s">
        <v>493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f t="shared" si="120"/>
        <v>7.1</v>
      </c>
      <c r="M3873">
        <f t="shared" si="121"/>
        <v>1</v>
      </c>
    </row>
    <row r="3874" spans="1:13" x14ac:dyDescent="0.3">
      <c r="A3874">
        <v>3872</v>
      </c>
      <c r="B3874">
        <v>3873</v>
      </c>
      <c r="C3874" t="s">
        <v>3958</v>
      </c>
      <c r="D3874">
        <v>2009</v>
      </c>
      <c r="E3874" t="s">
        <v>11</v>
      </c>
      <c r="F3874" t="s">
        <v>493</v>
      </c>
      <c r="G3874">
        <v>0</v>
      </c>
      <c r="H3874">
        <v>1</v>
      </c>
      <c r="I3874">
        <v>0</v>
      </c>
      <c r="J3874">
        <v>0</v>
      </c>
      <c r="K3874">
        <v>0</v>
      </c>
      <c r="L3874">
        <f t="shared" si="120"/>
        <v>7.1</v>
      </c>
      <c r="M3874">
        <f t="shared" si="121"/>
        <v>1</v>
      </c>
    </row>
    <row r="3875" spans="1:13" x14ac:dyDescent="0.3">
      <c r="A3875">
        <v>3873</v>
      </c>
      <c r="B3875">
        <v>3874</v>
      </c>
      <c r="C3875" t="s">
        <v>3959</v>
      </c>
      <c r="D3875">
        <v>2014</v>
      </c>
      <c r="E3875" t="s">
        <v>22</v>
      </c>
      <c r="F3875" t="s">
        <v>493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f t="shared" si="120"/>
        <v>7.1</v>
      </c>
      <c r="M3875">
        <f t="shared" si="121"/>
        <v>1</v>
      </c>
    </row>
    <row r="3876" spans="1:13" x14ac:dyDescent="0.3">
      <c r="A3876">
        <v>3874</v>
      </c>
      <c r="B3876">
        <v>3875</v>
      </c>
      <c r="C3876" t="s">
        <v>3960</v>
      </c>
      <c r="D3876">
        <v>1983</v>
      </c>
      <c r="E3876" t="s">
        <v>11</v>
      </c>
      <c r="F3876" t="s">
        <v>493</v>
      </c>
      <c r="G3876">
        <v>0</v>
      </c>
      <c r="H3876">
        <v>1</v>
      </c>
      <c r="I3876">
        <v>0</v>
      </c>
      <c r="J3876">
        <v>0</v>
      </c>
      <c r="K3876">
        <v>0</v>
      </c>
      <c r="L3876">
        <f t="shared" si="120"/>
        <v>7.1</v>
      </c>
      <c r="M3876">
        <f t="shared" si="121"/>
        <v>1</v>
      </c>
    </row>
    <row r="3877" spans="1:13" x14ac:dyDescent="0.3">
      <c r="A3877">
        <v>3875</v>
      </c>
      <c r="B3877">
        <v>3876</v>
      </c>
      <c r="C3877" t="s">
        <v>3961</v>
      </c>
      <c r="D3877">
        <v>2018</v>
      </c>
      <c r="E3877" t="s">
        <v>11</v>
      </c>
      <c r="F3877" t="s">
        <v>493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f t="shared" si="120"/>
        <v>7.1</v>
      </c>
      <c r="M3877">
        <f t="shared" si="121"/>
        <v>1</v>
      </c>
    </row>
    <row r="3878" spans="1:13" x14ac:dyDescent="0.3">
      <c r="A3878">
        <v>3876</v>
      </c>
      <c r="B3878">
        <v>3877</v>
      </c>
      <c r="C3878" t="s">
        <v>3962</v>
      </c>
      <c r="D3878">
        <v>2021</v>
      </c>
      <c r="F3878" t="s">
        <v>493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f t="shared" si="120"/>
        <v>7.1</v>
      </c>
      <c r="M3878">
        <f t="shared" si="121"/>
        <v>1</v>
      </c>
    </row>
    <row r="3879" spans="1:13" x14ac:dyDescent="0.3">
      <c r="A3879">
        <v>3877</v>
      </c>
      <c r="B3879">
        <v>3878</v>
      </c>
      <c r="C3879" t="s">
        <v>3963</v>
      </c>
      <c r="D3879">
        <v>2008</v>
      </c>
      <c r="E3879" t="s">
        <v>11</v>
      </c>
      <c r="F3879" t="s">
        <v>493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f t="shared" si="120"/>
        <v>7.1</v>
      </c>
      <c r="M3879">
        <f t="shared" si="121"/>
        <v>1</v>
      </c>
    </row>
    <row r="3880" spans="1:13" x14ac:dyDescent="0.3">
      <c r="A3880">
        <v>3878</v>
      </c>
      <c r="B3880">
        <v>3879</v>
      </c>
      <c r="C3880" t="s">
        <v>3964</v>
      </c>
      <c r="D3880">
        <v>2014</v>
      </c>
      <c r="E3880" t="s">
        <v>11</v>
      </c>
      <c r="F3880" t="s">
        <v>493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f t="shared" si="120"/>
        <v>7.1</v>
      </c>
      <c r="M3880">
        <f t="shared" si="121"/>
        <v>1</v>
      </c>
    </row>
    <row r="3881" spans="1:13" x14ac:dyDescent="0.3">
      <c r="A3881">
        <v>3879</v>
      </c>
      <c r="B3881">
        <v>3880</v>
      </c>
      <c r="C3881" t="s">
        <v>3965</v>
      </c>
      <c r="D3881">
        <v>2018</v>
      </c>
      <c r="E3881" t="s">
        <v>11</v>
      </c>
      <c r="F3881" t="s">
        <v>493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f t="shared" si="120"/>
        <v>7.1</v>
      </c>
      <c r="M3881">
        <f t="shared" si="121"/>
        <v>1</v>
      </c>
    </row>
    <row r="3882" spans="1:13" x14ac:dyDescent="0.3">
      <c r="A3882">
        <v>3880</v>
      </c>
      <c r="B3882">
        <v>3881</v>
      </c>
      <c r="C3882" t="s">
        <v>3966</v>
      </c>
      <c r="D3882">
        <v>1989</v>
      </c>
      <c r="E3882" t="s">
        <v>22</v>
      </c>
      <c r="F3882" t="s">
        <v>493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f t="shared" si="120"/>
        <v>7.1</v>
      </c>
      <c r="M3882">
        <f t="shared" si="121"/>
        <v>1</v>
      </c>
    </row>
    <row r="3883" spans="1:13" x14ac:dyDescent="0.3">
      <c r="A3883">
        <v>3881</v>
      </c>
      <c r="B3883">
        <v>3882</v>
      </c>
      <c r="C3883" t="s">
        <v>3967</v>
      </c>
      <c r="D3883">
        <v>2019</v>
      </c>
      <c r="E3883" t="s">
        <v>11</v>
      </c>
      <c r="F3883" t="s">
        <v>493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f t="shared" si="120"/>
        <v>7.1</v>
      </c>
      <c r="M3883">
        <f t="shared" si="121"/>
        <v>1</v>
      </c>
    </row>
    <row r="3884" spans="1:13" x14ac:dyDescent="0.3">
      <c r="A3884">
        <v>3882</v>
      </c>
      <c r="B3884">
        <v>3883</v>
      </c>
      <c r="C3884" t="s">
        <v>3968</v>
      </c>
      <c r="D3884">
        <v>2002</v>
      </c>
      <c r="E3884" t="s">
        <v>11</v>
      </c>
      <c r="F3884" t="s">
        <v>493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f t="shared" si="120"/>
        <v>7.1</v>
      </c>
      <c r="M3884">
        <f t="shared" si="121"/>
        <v>1</v>
      </c>
    </row>
    <row r="3885" spans="1:13" x14ac:dyDescent="0.3">
      <c r="A3885">
        <v>3883</v>
      </c>
      <c r="B3885">
        <v>3884</v>
      </c>
      <c r="C3885" t="s">
        <v>3969</v>
      </c>
      <c r="D3885">
        <v>2009</v>
      </c>
      <c r="E3885" t="s">
        <v>11</v>
      </c>
      <c r="F3885" t="s">
        <v>493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f t="shared" si="120"/>
        <v>7.1</v>
      </c>
      <c r="M3885">
        <f t="shared" si="121"/>
        <v>1</v>
      </c>
    </row>
    <row r="3886" spans="1:13" x14ac:dyDescent="0.3">
      <c r="A3886">
        <v>3884</v>
      </c>
      <c r="B3886">
        <v>3885</v>
      </c>
      <c r="C3886" t="s">
        <v>3970</v>
      </c>
      <c r="D3886">
        <v>1993</v>
      </c>
      <c r="E3886" t="s">
        <v>11</v>
      </c>
      <c r="F3886" t="s">
        <v>493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f t="shared" si="120"/>
        <v>7.1</v>
      </c>
      <c r="M3886">
        <f t="shared" si="121"/>
        <v>1</v>
      </c>
    </row>
    <row r="3887" spans="1:13" x14ac:dyDescent="0.3">
      <c r="A3887">
        <v>3885</v>
      </c>
      <c r="B3887">
        <v>3886</v>
      </c>
      <c r="C3887" t="s">
        <v>3971</v>
      </c>
      <c r="D3887">
        <v>2019</v>
      </c>
      <c r="E3887" t="s">
        <v>22</v>
      </c>
      <c r="F3887" t="s">
        <v>493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f t="shared" si="120"/>
        <v>7.1</v>
      </c>
      <c r="M3887">
        <f t="shared" si="121"/>
        <v>1</v>
      </c>
    </row>
    <row r="3888" spans="1:13" x14ac:dyDescent="0.3">
      <c r="A3888">
        <v>3886</v>
      </c>
      <c r="B3888">
        <v>3887</v>
      </c>
      <c r="C3888" t="s">
        <v>3972</v>
      </c>
      <c r="D3888">
        <v>1996</v>
      </c>
      <c r="E3888" t="s">
        <v>22</v>
      </c>
      <c r="F3888" t="s">
        <v>493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f t="shared" si="120"/>
        <v>7.1</v>
      </c>
      <c r="M3888">
        <f t="shared" si="121"/>
        <v>1</v>
      </c>
    </row>
    <row r="3889" spans="1:13" x14ac:dyDescent="0.3">
      <c r="A3889">
        <v>3887</v>
      </c>
      <c r="B3889">
        <v>3888</v>
      </c>
      <c r="C3889" t="s">
        <v>3973</v>
      </c>
      <c r="D3889">
        <v>2008</v>
      </c>
      <c r="E3889" t="s">
        <v>11</v>
      </c>
      <c r="F3889" t="s">
        <v>493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f t="shared" si="120"/>
        <v>7.1</v>
      </c>
      <c r="M3889">
        <f t="shared" si="121"/>
        <v>1</v>
      </c>
    </row>
    <row r="3890" spans="1:13" x14ac:dyDescent="0.3">
      <c r="A3890">
        <v>3888</v>
      </c>
      <c r="B3890">
        <v>3889</v>
      </c>
      <c r="C3890">
        <v>1900</v>
      </c>
      <c r="D3890">
        <v>1976</v>
      </c>
      <c r="E3890" t="s">
        <v>11</v>
      </c>
      <c r="F3890" t="s">
        <v>493</v>
      </c>
      <c r="G3890">
        <v>0</v>
      </c>
      <c r="H3890">
        <v>1</v>
      </c>
      <c r="I3890">
        <v>1</v>
      </c>
      <c r="J3890">
        <v>0</v>
      </c>
      <c r="K3890">
        <v>0</v>
      </c>
      <c r="L3890">
        <f t="shared" si="120"/>
        <v>7.1</v>
      </c>
      <c r="M3890">
        <f t="shared" si="121"/>
        <v>2</v>
      </c>
    </row>
    <row r="3891" spans="1:13" x14ac:dyDescent="0.3">
      <c r="A3891">
        <v>3889</v>
      </c>
      <c r="B3891">
        <v>3890</v>
      </c>
      <c r="C3891" t="s">
        <v>3974</v>
      </c>
      <c r="D3891">
        <v>2013</v>
      </c>
      <c r="F3891" t="s">
        <v>493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f t="shared" si="120"/>
        <v>7.1</v>
      </c>
      <c r="M3891">
        <f t="shared" si="121"/>
        <v>1</v>
      </c>
    </row>
    <row r="3892" spans="1:13" x14ac:dyDescent="0.3">
      <c r="A3892">
        <v>3890</v>
      </c>
      <c r="B3892">
        <v>3891</v>
      </c>
      <c r="C3892" t="s">
        <v>3975</v>
      </c>
      <c r="D3892">
        <v>2007</v>
      </c>
      <c r="E3892" t="s">
        <v>11</v>
      </c>
      <c r="F3892" t="s">
        <v>493</v>
      </c>
      <c r="G3892">
        <v>0</v>
      </c>
      <c r="H3892">
        <v>1</v>
      </c>
      <c r="I3892">
        <v>0</v>
      </c>
      <c r="J3892">
        <v>0</v>
      </c>
      <c r="K3892">
        <v>0</v>
      </c>
      <c r="L3892">
        <f t="shared" si="120"/>
        <v>7.1</v>
      </c>
      <c r="M3892">
        <f t="shared" si="121"/>
        <v>1</v>
      </c>
    </row>
    <row r="3893" spans="1:13" x14ac:dyDescent="0.3">
      <c r="A3893">
        <v>3891</v>
      </c>
      <c r="B3893">
        <v>3892</v>
      </c>
      <c r="C3893" t="s">
        <v>3976</v>
      </c>
      <c r="D3893">
        <v>2017</v>
      </c>
      <c r="E3893" t="s">
        <v>11</v>
      </c>
      <c r="F3893" t="s">
        <v>493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f t="shared" si="120"/>
        <v>7.1</v>
      </c>
      <c r="M3893">
        <f t="shared" si="121"/>
        <v>1</v>
      </c>
    </row>
    <row r="3894" spans="1:13" x14ac:dyDescent="0.3">
      <c r="A3894">
        <v>3892</v>
      </c>
      <c r="B3894">
        <v>3893</v>
      </c>
      <c r="C3894" t="s">
        <v>3977</v>
      </c>
      <c r="D3894">
        <v>2013</v>
      </c>
      <c r="E3894" t="s">
        <v>22</v>
      </c>
      <c r="F3894" t="s">
        <v>537</v>
      </c>
      <c r="G3894">
        <v>0</v>
      </c>
      <c r="H3894">
        <v>1</v>
      </c>
      <c r="I3894">
        <v>1</v>
      </c>
      <c r="J3894">
        <v>0</v>
      </c>
      <c r="K3894">
        <v>0</v>
      </c>
      <c r="L3894">
        <f t="shared" si="120"/>
        <v>7</v>
      </c>
      <c r="M3894">
        <f t="shared" si="121"/>
        <v>2</v>
      </c>
    </row>
    <row r="3895" spans="1:13" x14ac:dyDescent="0.3">
      <c r="A3895">
        <v>3893</v>
      </c>
      <c r="B3895">
        <v>3894</v>
      </c>
      <c r="C3895" t="s">
        <v>3978</v>
      </c>
      <c r="D3895">
        <v>2008</v>
      </c>
      <c r="E3895" t="s">
        <v>22</v>
      </c>
      <c r="F3895" t="s">
        <v>537</v>
      </c>
      <c r="G3895">
        <v>0</v>
      </c>
      <c r="H3895">
        <v>1</v>
      </c>
      <c r="I3895">
        <v>0</v>
      </c>
      <c r="J3895">
        <v>0</v>
      </c>
      <c r="K3895">
        <v>0</v>
      </c>
      <c r="L3895">
        <f t="shared" si="120"/>
        <v>7</v>
      </c>
      <c r="M3895">
        <f t="shared" si="121"/>
        <v>1</v>
      </c>
    </row>
    <row r="3896" spans="1:13" x14ac:dyDescent="0.3">
      <c r="A3896">
        <v>3894</v>
      </c>
      <c r="B3896">
        <v>3895</v>
      </c>
      <c r="C3896" t="s">
        <v>3979</v>
      </c>
      <c r="D3896">
        <v>1995</v>
      </c>
      <c r="E3896" t="s">
        <v>11</v>
      </c>
      <c r="F3896" t="s">
        <v>537</v>
      </c>
      <c r="G3896">
        <v>0</v>
      </c>
      <c r="H3896">
        <v>1</v>
      </c>
      <c r="I3896">
        <v>0</v>
      </c>
      <c r="J3896">
        <v>0</v>
      </c>
      <c r="K3896">
        <v>0</v>
      </c>
      <c r="L3896">
        <f t="shared" si="120"/>
        <v>7</v>
      </c>
      <c r="M3896">
        <f t="shared" si="121"/>
        <v>1</v>
      </c>
    </row>
    <row r="3897" spans="1:13" x14ac:dyDescent="0.3">
      <c r="A3897">
        <v>3895</v>
      </c>
      <c r="B3897">
        <v>3896</v>
      </c>
      <c r="C3897" t="s">
        <v>3980</v>
      </c>
      <c r="D3897">
        <v>2020</v>
      </c>
      <c r="E3897" t="s">
        <v>11</v>
      </c>
      <c r="F3897" t="s">
        <v>537</v>
      </c>
      <c r="G3897">
        <v>0</v>
      </c>
      <c r="H3897">
        <v>1</v>
      </c>
      <c r="I3897">
        <v>0</v>
      </c>
      <c r="J3897">
        <v>0</v>
      </c>
      <c r="K3897">
        <v>0</v>
      </c>
      <c r="L3897">
        <f t="shared" si="120"/>
        <v>7</v>
      </c>
      <c r="M3897">
        <f t="shared" si="121"/>
        <v>1</v>
      </c>
    </row>
    <row r="3898" spans="1:13" x14ac:dyDescent="0.3">
      <c r="A3898">
        <v>3896</v>
      </c>
      <c r="B3898">
        <v>3897</v>
      </c>
      <c r="C3898" t="s">
        <v>3981</v>
      </c>
      <c r="D3898">
        <v>2009</v>
      </c>
      <c r="E3898" t="s">
        <v>11</v>
      </c>
      <c r="F3898" t="s">
        <v>537</v>
      </c>
      <c r="G3898">
        <v>0</v>
      </c>
      <c r="H3898">
        <v>1</v>
      </c>
      <c r="I3898">
        <v>0</v>
      </c>
      <c r="J3898">
        <v>0</v>
      </c>
      <c r="K3898">
        <v>0</v>
      </c>
      <c r="L3898">
        <f t="shared" si="120"/>
        <v>7</v>
      </c>
      <c r="M3898">
        <f t="shared" si="121"/>
        <v>1</v>
      </c>
    </row>
    <row r="3899" spans="1:13" x14ac:dyDescent="0.3">
      <c r="A3899">
        <v>3897</v>
      </c>
      <c r="B3899">
        <v>3898</v>
      </c>
      <c r="C3899" t="s">
        <v>3982</v>
      </c>
      <c r="D3899">
        <v>2003</v>
      </c>
      <c r="E3899" t="s">
        <v>14</v>
      </c>
      <c r="F3899" t="s">
        <v>537</v>
      </c>
      <c r="G3899">
        <v>0</v>
      </c>
      <c r="H3899">
        <v>1</v>
      </c>
      <c r="I3899">
        <v>0</v>
      </c>
      <c r="J3899">
        <v>0</v>
      </c>
      <c r="K3899">
        <v>0</v>
      </c>
      <c r="L3899">
        <f t="shared" si="120"/>
        <v>7</v>
      </c>
      <c r="M3899">
        <f t="shared" si="121"/>
        <v>1</v>
      </c>
    </row>
    <row r="3900" spans="1:13" x14ac:dyDescent="0.3">
      <c r="A3900">
        <v>3898</v>
      </c>
      <c r="B3900">
        <v>3899</v>
      </c>
      <c r="C3900" t="s">
        <v>3983</v>
      </c>
      <c r="D3900">
        <v>2011</v>
      </c>
      <c r="E3900" t="s">
        <v>11</v>
      </c>
      <c r="F3900" t="s">
        <v>537</v>
      </c>
      <c r="G3900">
        <v>0</v>
      </c>
      <c r="H3900">
        <v>1</v>
      </c>
      <c r="I3900">
        <v>0</v>
      </c>
      <c r="J3900">
        <v>0</v>
      </c>
      <c r="K3900">
        <v>0</v>
      </c>
      <c r="L3900">
        <f t="shared" si="120"/>
        <v>7</v>
      </c>
      <c r="M3900">
        <f t="shared" si="121"/>
        <v>1</v>
      </c>
    </row>
    <row r="3901" spans="1:13" x14ac:dyDescent="0.3">
      <c r="A3901">
        <v>3899</v>
      </c>
      <c r="B3901">
        <v>3900</v>
      </c>
      <c r="C3901" t="s">
        <v>3984</v>
      </c>
      <c r="D3901">
        <v>2011</v>
      </c>
      <c r="E3901" t="s">
        <v>22</v>
      </c>
      <c r="F3901" t="s">
        <v>537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f t="shared" si="120"/>
        <v>7</v>
      </c>
      <c r="M3901">
        <f t="shared" si="121"/>
        <v>1</v>
      </c>
    </row>
    <row r="3902" spans="1:13" x14ac:dyDescent="0.3">
      <c r="A3902">
        <v>3900</v>
      </c>
      <c r="B3902">
        <v>3901</v>
      </c>
      <c r="C3902" t="s">
        <v>3985</v>
      </c>
      <c r="D3902">
        <v>2010</v>
      </c>
      <c r="E3902" t="s">
        <v>11</v>
      </c>
      <c r="F3902" t="s">
        <v>537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f t="shared" si="120"/>
        <v>7</v>
      </c>
      <c r="M3902">
        <f t="shared" si="121"/>
        <v>1</v>
      </c>
    </row>
    <row r="3903" spans="1:13" x14ac:dyDescent="0.3">
      <c r="A3903">
        <v>3901</v>
      </c>
      <c r="B3903">
        <v>3902</v>
      </c>
      <c r="C3903" t="s">
        <v>3986</v>
      </c>
      <c r="D3903">
        <v>1990</v>
      </c>
      <c r="E3903" t="s">
        <v>22</v>
      </c>
      <c r="F3903" t="s">
        <v>537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f t="shared" si="120"/>
        <v>7</v>
      </c>
      <c r="M3903">
        <f t="shared" si="121"/>
        <v>1</v>
      </c>
    </row>
    <row r="3904" spans="1:13" x14ac:dyDescent="0.3">
      <c r="A3904">
        <v>3902</v>
      </c>
      <c r="B3904">
        <v>3903</v>
      </c>
      <c r="C3904" t="s">
        <v>3987</v>
      </c>
      <c r="D3904">
        <v>1963</v>
      </c>
      <c r="F3904" t="s">
        <v>537</v>
      </c>
      <c r="G3904">
        <v>0</v>
      </c>
      <c r="H3904">
        <v>1</v>
      </c>
      <c r="I3904">
        <v>1</v>
      </c>
      <c r="J3904">
        <v>0</v>
      </c>
      <c r="K3904">
        <v>0</v>
      </c>
      <c r="L3904">
        <f t="shared" si="120"/>
        <v>7</v>
      </c>
      <c r="M3904">
        <f t="shared" si="121"/>
        <v>2</v>
      </c>
    </row>
    <row r="3905" spans="1:13" x14ac:dyDescent="0.3">
      <c r="A3905">
        <v>3903</v>
      </c>
      <c r="B3905">
        <v>3904</v>
      </c>
      <c r="C3905" t="s">
        <v>3988</v>
      </c>
      <c r="D3905">
        <v>2002</v>
      </c>
      <c r="E3905" t="s">
        <v>22</v>
      </c>
      <c r="F3905" t="s">
        <v>537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f t="shared" si="120"/>
        <v>7</v>
      </c>
      <c r="M3905">
        <f t="shared" si="121"/>
        <v>1</v>
      </c>
    </row>
    <row r="3906" spans="1:13" x14ac:dyDescent="0.3">
      <c r="A3906">
        <v>3904</v>
      </c>
      <c r="B3906">
        <v>3905</v>
      </c>
      <c r="C3906" t="s">
        <v>3989</v>
      </c>
      <c r="D3906">
        <v>2013</v>
      </c>
      <c r="E3906" t="s">
        <v>11</v>
      </c>
      <c r="F3906" t="s">
        <v>537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f t="shared" si="120"/>
        <v>7</v>
      </c>
      <c r="M3906">
        <f t="shared" si="121"/>
        <v>1</v>
      </c>
    </row>
    <row r="3907" spans="1:13" x14ac:dyDescent="0.3">
      <c r="A3907">
        <v>3905</v>
      </c>
      <c r="B3907">
        <v>3906</v>
      </c>
      <c r="C3907" t="s">
        <v>3990</v>
      </c>
      <c r="D3907">
        <v>2010</v>
      </c>
      <c r="F3907" t="s">
        <v>537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f t="shared" ref="L3907:L3970" si="122">IFERROR(VALUE(LEFT(F3907,FIND("/",F3907)-1))/10,"")</f>
        <v>7</v>
      </c>
      <c r="M3907">
        <f t="shared" ref="M3907:M3970" si="123">SUM(G3907:J3907)</f>
        <v>1</v>
      </c>
    </row>
    <row r="3908" spans="1:13" x14ac:dyDescent="0.3">
      <c r="A3908">
        <v>3906</v>
      </c>
      <c r="B3908">
        <v>3907</v>
      </c>
      <c r="C3908" t="s">
        <v>3991</v>
      </c>
      <c r="D3908">
        <v>2021</v>
      </c>
      <c r="E3908" t="s">
        <v>11</v>
      </c>
      <c r="F3908" t="s">
        <v>537</v>
      </c>
      <c r="G3908">
        <v>0</v>
      </c>
      <c r="H3908">
        <v>1</v>
      </c>
      <c r="I3908">
        <v>0</v>
      </c>
      <c r="J3908">
        <v>0</v>
      </c>
      <c r="K3908">
        <v>0</v>
      </c>
      <c r="L3908">
        <f t="shared" si="122"/>
        <v>7</v>
      </c>
      <c r="M3908">
        <f t="shared" si="123"/>
        <v>1</v>
      </c>
    </row>
    <row r="3909" spans="1:13" x14ac:dyDescent="0.3">
      <c r="A3909">
        <v>3907</v>
      </c>
      <c r="B3909">
        <v>3908</v>
      </c>
      <c r="C3909" t="s">
        <v>3992</v>
      </c>
      <c r="D3909">
        <v>2019</v>
      </c>
      <c r="F3909" t="s">
        <v>537</v>
      </c>
      <c r="G3909">
        <v>0</v>
      </c>
      <c r="H3909">
        <v>1</v>
      </c>
      <c r="I3909">
        <v>0</v>
      </c>
      <c r="J3909">
        <v>0</v>
      </c>
      <c r="K3909">
        <v>0</v>
      </c>
      <c r="L3909">
        <f t="shared" si="122"/>
        <v>7</v>
      </c>
      <c r="M3909">
        <f t="shared" si="123"/>
        <v>1</v>
      </c>
    </row>
    <row r="3910" spans="1:13" x14ac:dyDescent="0.3">
      <c r="A3910">
        <v>3908</v>
      </c>
      <c r="B3910">
        <v>3909</v>
      </c>
      <c r="C3910" t="s">
        <v>3993</v>
      </c>
      <c r="D3910">
        <v>2009</v>
      </c>
      <c r="E3910" t="s">
        <v>11</v>
      </c>
      <c r="F3910" t="s">
        <v>537</v>
      </c>
      <c r="G3910">
        <v>0</v>
      </c>
      <c r="H3910">
        <v>1</v>
      </c>
      <c r="I3910">
        <v>0</v>
      </c>
      <c r="J3910">
        <v>0</v>
      </c>
      <c r="K3910">
        <v>0</v>
      </c>
      <c r="L3910">
        <f t="shared" si="122"/>
        <v>7</v>
      </c>
      <c r="M3910">
        <f t="shared" si="123"/>
        <v>1</v>
      </c>
    </row>
    <row r="3911" spans="1:13" x14ac:dyDescent="0.3">
      <c r="A3911">
        <v>3909</v>
      </c>
      <c r="B3911">
        <v>3910</v>
      </c>
      <c r="C3911" t="s">
        <v>3994</v>
      </c>
      <c r="D3911">
        <v>1999</v>
      </c>
      <c r="E3911" t="s">
        <v>22</v>
      </c>
      <c r="F3911" t="s">
        <v>537</v>
      </c>
      <c r="G3911">
        <v>0</v>
      </c>
      <c r="H3911">
        <v>1</v>
      </c>
      <c r="I3911">
        <v>0</v>
      </c>
      <c r="J3911">
        <v>0</v>
      </c>
      <c r="K3911">
        <v>0</v>
      </c>
      <c r="L3911">
        <f t="shared" si="122"/>
        <v>7</v>
      </c>
      <c r="M3911">
        <f t="shared" si="123"/>
        <v>1</v>
      </c>
    </row>
    <row r="3912" spans="1:13" x14ac:dyDescent="0.3">
      <c r="A3912">
        <v>3910</v>
      </c>
      <c r="B3912">
        <v>3911</v>
      </c>
      <c r="C3912" t="s">
        <v>3995</v>
      </c>
      <c r="D3912">
        <v>2011</v>
      </c>
      <c r="E3912" t="s">
        <v>11</v>
      </c>
      <c r="F3912" t="s">
        <v>537</v>
      </c>
      <c r="G3912">
        <v>0</v>
      </c>
      <c r="H3912">
        <v>1</v>
      </c>
      <c r="I3912">
        <v>0</v>
      </c>
      <c r="J3912">
        <v>0</v>
      </c>
      <c r="K3912">
        <v>0</v>
      </c>
      <c r="L3912">
        <f t="shared" si="122"/>
        <v>7</v>
      </c>
      <c r="M3912">
        <f t="shared" si="123"/>
        <v>1</v>
      </c>
    </row>
    <row r="3913" spans="1:13" x14ac:dyDescent="0.3">
      <c r="A3913">
        <v>3911</v>
      </c>
      <c r="B3913">
        <v>3912</v>
      </c>
      <c r="C3913" t="s">
        <v>3996</v>
      </c>
      <c r="D3913">
        <v>2000</v>
      </c>
      <c r="E3913" t="s">
        <v>22</v>
      </c>
      <c r="F3913" t="s">
        <v>537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f t="shared" si="122"/>
        <v>7</v>
      </c>
      <c r="M3913">
        <f t="shared" si="123"/>
        <v>1</v>
      </c>
    </row>
    <row r="3914" spans="1:13" x14ac:dyDescent="0.3">
      <c r="A3914">
        <v>3912</v>
      </c>
      <c r="B3914">
        <v>3913</v>
      </c>
      <c r="C3914" t="s">
        <v>3997</v>
      </c>
      <c r="D3914">
        <v>1966</v>
      </c>
      <c r="E3914" t="s">
        <v>36</v>
      </c>
      <c r="F3914" t="s">
        <v>537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f t="shared" si="122"/>
        <v>7</v>
      </c>
      <c r="M3914">
        <f t="shared" si="123"/>
        <v>1</v>
      </c>
    </row>
    <row r="3915" spans="1:13" x14ac:dyDescent="0.3">
      <c r="A3915">
        <v>3913</v>
      </c>
      <c r="B3915">
        <v>3914</v>
      </c>
      <c r="C3915" t="s">
        <v>3998</v>
      </c>
      <c r="D3915">
        <v>2017</v>
      </c>
      <c r="E3915" t="s">
        <v>11</v>
      </c>
      <c r="F3915" t="s">
        <v>537</v>
      </c>
      <c r="G3915">
        <v>0</v>
      </c>
      <c r="H3915">
        <v>1</v>
      </c>
      <c r="I3915">
        <v>0</v>
      </c>
      <c r="J3915">
        <v>0</v>
      </c>
      <c r="K3915">
        <v>0</v>
      </c>
      <c r="L3915">
        <f t="shared" si="122"/>
        <v>7</v>
      </c>
      <c r="M3915">
        <f t="shared" si="123"/>
        <v>1</v>
      </c>
    </row>
    <row r="3916" spans="1:13" x14ac:dyDescent="0.3">
      <c r="A3916">
        <v>3914</v>
      </c>
      <c r="B3916">
        <v>3915</v>
      </c>
      <c r="C3916" t="s">
        <v>3999</v>
      </c>
      <c r="D3916">
        <v>2010</v>
      </c>
      <c r="E3916" t="s">
        <v>22</v>
      </c>
      <c r="F3916" t="s">
        <v>537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f t="shared" si="122"/>
        <v>7</v>
      </c>
      <c r="M3916">
        <f t="shared" si="123"/>
        <v>1</v>
      </c>
    </row>
    <row r="3917" spans="1:13" x14ac:dyDescent="0.3">
      <c r="A3917">
        <v>3915</v>
      </c>
      <c r="B3917">
        <v>3916</v>
      </c>
      <c r="C3917" t="s">
        <v>4000</v>
      </c>
      <c r="D3917">
        <v>2020</v>
      </c>
      <c r="E3917" t="s">
        <v>11</v>
      </c>
      <c r="F3917" t="s">
        <v>537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f t="shared" si="122"/>
        <v>7</v>
      </c>
      <c r="M3917">
        <f t="shared" si="123"/>
        <v>1</v>
      </c>
    </row>
    <row r="3918" spans="1:13" x14ac:dyDescent="0.3">
      <c r="A3918">
        <v>3916</v>
      </c>
      <c r="B3918">
        <v>3917</v>
      </c>
      <c r="C3918" t="s">
        <v>4001</v>
      </c>
      <c r="D3918">
        <v>1993</v>
      </c>
      <c r="E3918" t="s">
        <v>22</v>
      </c>
      <c r="F3918" t="s">
        <v>595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f t="shared" si="122"/>
        <v>6.9</v>
      </c>
      <c r="M3918">
        <f t="shared" si="123"/>
        <v>1</v>
      </c>
    </row>
    <row r="3919" spans="1:13" x14ac:dyDescent="0.3">
      <c r="A3919">
        <v>3917</v>
      </c>
      <c r="B3919">
        <v>3918</v>
      </c>
      <c r="C3919" t="s">
        <v>4002</v>
      </c>
      <c r="D3919">
        <v>2017</v>
      </c>
      <c r="E3919" t="s">
        <v>22</v>
      </c>
      <c r="F3919" t="s">
        <v>595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f t="shared" si="122"/>
        <v>6.9</v>
      </c>
      <c r="M3919">
        <f t="shared" si="123"/>
        <v>1</v>
      </c>
    </row>
    <row r="3920" spans="1:13" x14ac:dyDescent="0.3">
      <c r="A3920">
        <v>3918</v>
      </c>
      <c r="B3920">
        <v>3919</v>
      </c>
      <c r="C3920" t="s">
        <v>4003</v>
      </c>
      <c r="D3920">
        <v>2016</v>
      </c>
      <c r="E3920" t="s">
        <v>22</v>
      </c>
      <c r="F3920" t="s">
        <v>595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f t="shared" si="122"/>
        <v>6.9</v>
      </c>
      <c r="M3920">
        <f t="shared" si="123"/>
        <v>1</v>
      </c>
    </row>
    <row r="3921" spans="1:13" x14ac:dyDescent="0.3">
      <c r="A3921">
        <v>3919</v>
      </c>
      <c r="B3921">
        <v>3920</v>
      </c>
      <c r="C3921" t="s">
        <v>4004</v>
      </c>
      <c r="D3921">
        <v>2008</v>
      </c>
      <c r="E3921" t="s">
        <v>22</v>
      </c>
      <c r="F3921" t="s">
        <v>595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f t="shared" si="122"/>
        <v>6.9</v>
      </c>
      <c r="M3921">
        <f t="shared" si="123"/>
        <v>1</v>
      </c>
    </row>
    <row r="3922" spans="1:13" x14ac:dyDescent="0.3">
      <c r="A3922">
        <v>3920</v>
      </c>
      <c r="B3922">
        <v>3921</v>
      </c>
      <c r="C3922" t="s">
        <v>4005</v>
      </c>
      <c r="D3922">
        <v>2011</v>
      </c>
      <c r="E3922" t="s">
        <v>22</v>
      </c>
      <c r="F3922" t="s">
        <v>595</v>
      </c>
      <c r="G3922">
        <v>0</v>
      </c>
      <c r="H3922">
        <v>1</v>
      </c>
      <c r="I3922">
        <v>0</v>
      </c>
      <c r="J3922">
        <v>0</v>
      </c>
      <c r="K3922">
        <v>0</v>
      </c>
      <c r="L3922">
        <f t="shared" si="122"/>
        <v>6.9</v>
      </c>
      <c r="M3922">
        <f t="shared" si="123"/>
        <v>1</v>
      </c>
    </row>
    <row r="3923" spans="1:13" x14ac:dyDescent="0.3">
      <c r="A3923">
        <v>3921</v>
      </c>
      <c r="B3923">
        <v>3922</v>
      </c>
      <c r="C3923" t="s">
        <v>4006</v>
      </c>
      <c r="D3923">
        <v>1995</v>
      </c>
      <c r="E3923" t="s">
        <v>11</v>
      </c>
      <c r="F3923" t="s">
        <v>595</v>
      </c>
      <c r="G3923">
        <v>0</v>
      </c>
      <c r="H3923">
        <v>1</v>
      </c>
      <c r="I3923">
        <v>0</v>
      </c>
      <c r="J3923">
        <v>0</v>
      </c>
      <c r="K3923">
        <v>0</v>
      </c>
      <c r="L3923">
        <f t="shared" si="122"/>
        <v>6.9</v>
      </c>
      <c r="M3923">
        <f t="shared" si="123"/>
        <v>1</v>
      </c>
    </row>
    <row r="3924" spans="1:13" x14ac:dyDescent="0.3">
      <c r="A3924">
        <v>3922</v>
      </c>
      <c r="B3924">
        <v>3923</v>
      </c>
      <c r="C3924" t="s">
        <v>4007</v>
      </c>
      <c r="D3924">
        <v>1993</v>
      </c>
      <c r="E3924" t="s">
        <v>11</v>
      </c>
      <c r="F3924" t="s">
        <v>595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f t="shared" si="122"/>
        <v>6.9</v>
      </c>
      <c r="M3924">
        <f t="shared" si="123"/>
        <v>1</v>
      </c>
    </row>
    <row r="3925" spans="1:13" x14ac:dyDescent="0.3">
      <c r="A3925">
        <v>3923</v>
      </c>
      <c r="B3925">
        <v>3924</v>
      </c>
      <c r="C3925" t="s">
        <v>4008</v>
      </c>
      <c r="D3925">
        <v>2014</v>
      </c>
      <c r="E3925" t="s">
        <v>11</v>
      </c>
      <c r="F3925" t="s">
        <v>595</v>
      </c>
      <c r="G3925">
        <v>0</v>
      </c>
      <c r="H3925">
        <v>1</v>
      </c>
      <c r="I3925">
        <v>0</v>
      </c>
      <c r="J3925">
        <v>0</v>
      </c>
      <c r="K3925">
        <v>0</v>
      </c>
      <c r="L3925">
        <f t="shared" si="122"/>
        <v>6.9</v>
      </c>
      <c r="M3925">
        <f t="shared" si="123"/>
        <v>1</v>
      </c>
    </row>
    <row r="3926" spans="1:13" x14ac:dyDescent="0.3">
      <c r="A3926">
        <v>3924</v>
      </c>
      <c r="B3926">
        <v>3925</v>
      </c>
      <c r="C3926" t="s">
        <v>4009</v>
      </c>
      <c r="D3926">
        <v>2015</v>
      </c>
      <c r="E3926" t="s">
        <v>22</v>
      </c>
      <c r="F3926" t="s">
        <v>595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f t="shared" si="122"/>
        <v>6.9</v>
      </c>
      <c r="M3926">
        <f t="shared" si="123"/>
        <v>1</v>
      </c>
    </row>
    <row r="3927" spans="1:13" x14ac:dyDescent="0.3">
      <c r="A3927">
        <v>3925</v>
      </c>
      <c r="B3927">
        <v>3926</v>
      </c>
      <c r="C3927" t="s">
        <v>4010</v>
      </c>
      <c r="D3927">
        <v>2014</v>
      </c>
      <c r="E3927" t="s">
        <v>11</v>
      </c>
      <c r="F3927" t="s">
        <v>595</v>
      </c>
      <c r="G3927">
        <v>0</v>
      </c>
      <c r="H3927">
        <v>1</v>
      </c>
      <c r="I3927">
        <v>1</v>
      </c>
      <c r="J3927">
        <v>0</v>
      </c>
      <c r="K3927">
        <v>0</v>
      </c>
      <c r="L3927">
        <f t="shared" si="122"/>
        <v>6.9</v>
      </c>
      <c r="M3927">
        <f t="shared" si="123"/>
        <v>2</v>
      </c>
    </row>
    <row r="3928" spans="1:13" x14ac:dyDescent="0.3">
      <c r="A3928">
        <v>3926</v>
      </c>
      <c r="B3928">
        <v>3927</v>
      </c>
      <c r="C3928" t="s">
        <v>4011</v>
      </c>
      <c r="D3928">
        <v>2016</v>
      </c>
      <c r="F3928" t="s">
        <v>595</v>
      </c>
      <c r="G3928">
        <v>0</v>
      </c>
      <c r="H3928">
        <v>1</v>
      </c>
      <c r="I3928">
        <v>0</v>
      </c>
      <c r="J3928">
        <v>0</v>
      </c>
      <c r="K3928">
        <v>0</v>
      </c>
      <c r="L3928">
        <f t="shared" si="122"/>
        <v>6.9</v>
      </c>
      <c r="M3928">
        <f t="shared" si="123"/>
        <v>1</v>
      </c>
    </row>
    <row r="3929" spans="1:13" x14ac:dyDescent="0.3">
      <c r="A3929">
        <v>3927</v>
      </c>
      <c r="B3929">
        <v>3928</v>
      </c>
      <c r="C3929" t="s">
        <v>4012</v>
      </c>
      <c r="D3929">
        <v>2013</v>
      </c>
      <c r="E3929" t="s">
        <v>11</v>
      </c>
      <c r="F3929" t="s">
        <v>595</v>
      </c>
      <c r="G3929">
        <v>0</v>
      </c>
      <c r="H3929">
        <v>1</v>
      </c>
      <c r="I3929">
        <v>0</v>
      </c>
      <c r="J3929">
        <v>0</v>
      </c>
      <c r="K3929">
        <v>0</v>
      </c>
      <c r="L3929">
        <f t="shared" si="122"/>
        <v>6.9</v>
      </c>
      <c r="M3929">
        <f t="shared" si="123"/>
        <v>1</v>
      </c>
    </row>
    <row r="3930" spans="1:13" x14ac:dyDescent="0.3">
      <c r="A3930">
        <v>3928</v>
      </c>
      <c r="B3930">
        <v>3929</v>
      </c>
      <c r="C3930" t="s">
        <v>4013</v>
      </c>
      <c r="D3930">
        <v>2008</v>
      </c>
      <c r="E3930" t="s">
        <v>22</v>
      </c>
      <c r="F3930" t="s">
        <v>595</v>
      </c>
      <c r="G3930">
        <v>0</v>
      </c>
      <c r="H3930">
        <v>1</v>
      </c>
      <c r="I3930">
        <v>0</v>
      </c>
      <c r="J3930">
        <v>0</v>
      </c>
      <c r="K3930">
        <v>0</v>
      </c>
      <c r="L3930">
        <f t="shared" si="122"/>
        <v>6.9</v>
      </c>
      <c r="M3930">
        <f t="shared" si="123"/>
        <v>1</v>
      </c>
    </row>
    <row r="3931" spans="1:13" x14ac:dyDescent="0.3">
      <c r="A3931">
        <v>3929</v>
      </c>
      <c r="B3931">
        <v>3930</v>
      </c>
      <c r="C3931" t="s">
        <v>4014</v>
      </c>
      <c r="D3931">
        <v>2021</v>
      </c>
      <c r="E3931" t="s">
        <v>11</v>
      </c>
      <c r="F3931" t="s">
        <v>595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f t="shared" si="122"/>
        <v>6.9</v>
      </c>
      <c r="M3931">
        <f t="shared" si="123"/>
        <v>1</v>
      </c>
    </row>
    <row r="3932" spans="1:13" x14ac:dyDescent="0.3">
      <c r="A3932">
        <v>3930</v>
      </c>
      <c r="B3932">
        <v>3931</v>
      </c>
      <c r="C3932" t="s">
        <v>4015</v>
      </c>
      <c r="D3932">
        <v>2020</v>
      </c>
      <c r="E3932" t="s">
        <v>14</v>
      </c>
      <c r="F3932" t="s">
        <v>595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f t="shared" si="122"/>
        <v>6.9</v>
      </c>
      <c r="M3932">
        <f t="shared" si="123"/>
        <v>1</v>
      </c>
    </row>
    <row r="3933" spans="1:13" x14ac:dyDescent="0.3">
      <c r="A3933">
        <v>3931</v>
      </c>
      <c r="B3933">
        <v>3932</v>
      </c>
      <c r="C3933" t="s">
        <v>4016</v>
      </c>
      <c r="D3933">
        <v>2011</v>
      </c>
      <c r="E3933" t="s">
        <v>11</v>
      </c>
      <c r="F3933" t="s">
        <v>595</v>
      </c>
      <c r="G3933">
        <v>0</v>
      </c>
      <c r="H3933">
        <v>1</v>
      </c>
      <c r="I3933">
        <v>0</v>
      </c>
      <c r="J3933">
        <v>0</v>
      </c>
      <c r="K3933">
        <v>0</v>
      </c>
      <c r="L3933">
        <f t="shared" si="122"/>
        <v>6.9</v>
      </c>
      <c r="M3933">
        <f t="shared" si="123"/>
        <v>1</v>
      </c>
    </row>
    <row r="3934" spans="1:13" x14ac:dyDescent="0.3">
      <c r="A3934">
        <v>3932</v>
      </c>
      <c r="B3934">
        <v>3933</v>
      </c>
      <c r="C3934" t="s">
        <v>4017</v>
      </c>
      <c r="D3934">
        <v>2019</v>
      </c>
      <c r="E3934" t="s">
        <v>14</v>
      </c>
      <c r="F3934" t="s">
        <v>595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f t="shared" si="122"/>
        <v>6.9</v>
      </c>
      <c r="M3934">
        <f t="shared" si="123"/>
        <v>1</v>
      </c>
    </row>
    <row r="3935" spans="1:13" x14ac:dyDescent="0.3">
      <c r="A3935">
        <v>3933</v>
      </c>
      <c r="B3935">
        <v>3934</v>
      </c>
      <c r="C3935" t="s">
        <v>4018</v>
      </c>
      <c r="D3935">
        <v>1941</v>
      </c>
      <c r="F3935" t="s">
        <v>595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f t="shared" si="122"/>
        <v>6.9</v>
      </c>
      <c r="M3935">
        <f t="shared" si="123"/>
        <v>1</v>
      </c>
    </row>
    <row r="3936" spans="1:13" x14ac:dyDescent="0.3">
      <c r="A3936">
        <v>3934</v>
      </c>
      <c r="B3936">
        <v>3935</v>
      </c>
      <c r="C3936" t="s">
        <v>4019</v>
      </c>
      <c r="D3936">
        <v>2015</v>
      </c>
      <c r="E3936" t="s">
        <v>11</v>
      </c>
      <c r="F3936" t="s">
        <v>595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f t="shared" si="122"/>
        <v>6.9</v>
      </c>
      <c r="M3936">
        <f t="shared" si="123"/>
        <v>1</v>
      </c>
    </row>
    <row r="3937" spans="1:13" x14ac:dyDescent="0.3">
      <c r="A3937">
        <v>3935</v>
      </c>
      <c r="B3937">
        <v>3936</v>
      </c>
      <c r="C3937" t="s">
        <v>4020</v>
      </c>
      <c r="D3937">
        <v>1998</v>
      </c>
      <c r="E3937" t="s">
        <v>28</v>
      </c>
      <c r="F3937" t="s">
        <v>595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f t="shared" si="122"/>
        <v>6.9</v>
      </c>
      <c r="M3937">
        <f t="shared" si="123"/>
        <v>1</v>
      </c>
    </row>
    <row r="3938" spans="1:13" x14ac:dyDescent="0.3">
      <c r="A3938">
        <v>3936</v>
      </c>
      <c r="B3938">
        <v>3937</v>
      </c>
      <c r="C3938" t="s">
        <v>4021</v>
      </c>
      <c r="D3938">
        <v>2019</v>
      </c>
      <c r="E3938" t="s">
        <v>11</v>
      </c>
      <c r="F3938" t="s">
        <v>644</v>
      </c>
      <c r="G3938">
        <v>0</v>
      </c>
      <c r="H3938">
        <v>1</v>
      </c>
      <c r="I3938">
        <v>0</v>
      </c>
      <c r="J3938">
        <v>0</v>
      </c>
      <c r="K3938">
        <v>0</v>
      </c>
      <c r="L3938">
        <f t="shared" si="122"/>
        <v>6.8</v>
      </c>
      <c r="M3938">
        <f t="shared" si="123"/>
        <v>1</v>
      </c>
    </row>
    <row r="3939" spans="1:13" x14ac:dyDescent="0.3">
      <c r="A3939">
        <v>3937</v>
      </c>
      <c r="B3939">
        <v>3938</v>
      </c>
      <c r="C3939" t="s">
        <v>4022</v>
      </c>
      <c r="D3939">
        <v>2018</v>
      </c>
      <c r="E3939" t="s">
        <v>11</v>
      </c>
      <c r="F3939" t="s">
        <v>644</v>
      </c>
      <c r="G3939">
        <v>0</v>
      </c>
      <c r="H3939">
        <v>1</v>
      </c>
      <c r="I3939">
        <v>0</v>
      </c>
      <c r="J3939">
        <v>0</v>
      </c>
      <c r="K3939">
        <v>0</v>
      </c>
      <c r="L3939">
        <f t="shared" si="122"/>
        <v>6.8</v>
      </c>
      <c r="M3939">
        <f t="shared" si="123"/>
        <v>1</v>
      </c>
    </row>
    <row r="3940" spans="1:13" x14ac:dyDescent="0.3">
      <c r="A3940">
        <v>3938</v>
      </c>
      <c r="B3940">
        <v>3939</v>
      </c>
      <c r="C3940" t="s">
        <v>4023</v>
      </c>
      <c r="D3940">
        <v>2019</v>
      </c>
      <c r="E3940" t="s">
        <v>11</v>
      </c>
      <c r="F3940" t="s">
        <v>644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f t="shared" si="122"/>
        <v>6.8</v>
      </c>
      <c r="M3940">
        <f t="shared" si="123"/>
        <v>1</v>
      </c>
    </row>
    <row r="3941" spans="1:13" x14ac:dyDescent="0.3">
      <c r="A3941">
        <v>3939</v>
      </c>
      <c r="B3941">
        <v>3940</v>
      </c>
      <c r="C3941" t="s">
        <v>4024</v>
      </c>
      <c r="D3941">
        <v>2009</v>
      </c>
      <c r="E3941" t="s">
        <v>22</v>
      </c>
      <c r="F3941" t="s">
        <v>644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f t="shared" si="122"/>
        <v>6.8</v>
      </c>
      <c r="M3941">
        <f t="shared" si="123"/>
        <v>1</v>
      </c>
    </row>
    <row r="3942" spans="1:13" x14ac:dyDescent="0.3">
      <c r="A3942">
        <v>3940</v>
      </c>
      <c r="B3942">
        <v>3941</v>
      </c>
      <c r="C3942" t="s">
        <v>4025</v>
      </c>
      <c r="D3942">
        <v>2020</v>
      </c>
      <c r="F3942" t="s">
        <v>644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f t="shared" si="122"/>
        <v>6.8</v>
      </c>
      <c r="M3942">
        <f t="shared" si="123"/>
        <v>1</v>
      </c>
    </row>
    <row r="3943" spans="1:13" x14ac:dyDescent="0.3">
      <c r="A3943">
        <v>3941</v>
      </c>
      <c r="B3943">
        <v>3942</v>
      </c>
      <c r="C3943" t="s">
        <v>4026</v>
      </c>
      <c r="D3943">
        <v>2014</v>
      </c>
      <c r="E3943" t="s">
        <v>22</v>
      </c>
      <c r="F3943" t="s">
        <v>644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f t="shared" si="122"/>
        <v>6.8</v>
      </c>
      <c r="M3943">
        <f t="shared" si="123"/>
        <v>1</v>
      </c>
    </row>
    <row r="3944" spans="1:13" x14ac:dyDescent="0.3">
      <c r="A3944">
        <v>3942</v>
      </c>
      <c r="B3944">
        <v>3943</v>
      </c>
      <c r="C3944" t="s">
        <v>4027</v>
      </c>
      <c r="D3944">
        <v>2003</v>
      </c>
      <c r="E3944" t="s">
        <v>14</v>
      </c>
      <c r="F3944" t="s">
        <v>644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f t="shared" si="122"/>
        <v>6.8</v>
      </c>
      <c r="M3944">
        <f t="shared" si="123"/>
        <v>1</v>
      </c>
    </row>
    <row r="3945" spans="1:13" x14ac:dyDescent="0.3">
      <c r="A3945">
        <v>3943</v>
      </c>
      <c r="B3945">
        <v>3944</v>
      </c>
      <c r="C3945" t="s">
        <v>4028</v>
      </c>
      <c r="D3945">
        <v>2021</v>
      </c>
      <c r="E3945" t="s">
        <v>22</v>
      </c>
      <c r="F3945" t="s">
        <v>644</v>
      </c>
      <c r="G3945">
        <v>0</v>
      </c>
      <c r="H3945">
        <v>1</v>
      </c>
      <c r="I3945">
        <v>0</v>
      </c>
      <c r="J3945">
        <v>0</v>
      </c>
      <c r="K3945">
        <v>0</v>
      </c>
      <c r="L3945">
        <f t="shared" si="122"/>
        <v>6.8</v>
      </c>
      <c r="M3945">
        <f t="shared" si="123"/>
        <v>1</v>
      </c>
    </row>
    <row r="3946" spans="1:13" x14ac:dyDescent="0.3">
      <c r="A3946">
        <v>3944</v>
      </c>
      <c r="B3946">
        <v>3945</v>
      </c>
      <c r="C3946" t="s">
        <v>4029</v>
      </c>
      <c r="D3946">
        <v>2019</v>
      </c>
      <c r="E3946" t="s">
        <v>14</v>
      </c>
      <c r="F3946" t="s">
        <v>644</v>
      </c>
      <c r="G3946">
        <v>0</v>
      </c>
      <c r="H3946">
        <v>1</v>
      </c>
      <c r="I3946">
        <v>0</v>
      </c>
      <c r="J3946">
        <v>0</v>
      </c>
      <c r="K3946">
        <v>0</v>
      </c>
      <c r="L3946">
        <f t="shared" si="122"/>
        <v>6.8</v>
      </c>
      <c r="M3946">
        <f t="shared" si="123"/>
        <v>1</v>
      </c>
    </row>
    <row r="3947" spans="1:13" x14ac:dyDescent="0.3">
      <c r="A3947">
        <v>3945</v>
      </c>
      <c r="B3947">
        <v>3946</v>
      </c>
      <c r="C3947" t="s">
        <v>4030</v>
      </c>
      <c r="D3947">
        <v>2019</v>
      </c>
      <c r="F3947" t="s">
        <v>644</v>
      </c>
      <c r="G3947">
        <v>0</v>
      </c>
      <c r="H3947">
        <v>1</v>
      </c>
      <c r="I3947">
        <v>0</v>
      </c>
      <c r="J3947">
        <v>0</v>
      </c>
      <c r="K3947">
        <v>0</v>
      </c>
      <c r="L3947">
        <f t="shared" si="122"/>
        <v>6.8</v>
      </c>
      <c r="M3947">
        <f t="shared" si="123"/>
        <v>1</v>
      </c>
    </row>
    <row r="3948" spans="1:13" x14ac:dyDescent="0.3">
      <c r="A3948">
        <v>3946</v>
      </c>
      <c r="B3948">
        <v>3947</v>
      </c>
      <c r="C3948" t="s">
        <v>4031</v>
      </c>
      <c r="D3948">
        <v>2019</v>
      </c>
      <c r="E3948" t="s">
        <v>14</v>
      </c>
      <c r="F3948" t="s">
        <v>644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f t="shared" si="122"/>
        <v>6.8</v>
      </c>
      <c r="M3948">
        <f t="shared" si="123"/>
        <v>1</v>
      </c>
    </row>
    <row r="3949" spans="1:13" x14ac:dyDescent="0.3">
      <c r="A3949">
        <v>3947</v>
      </c>
      <c r="B3949">
        <v>3948</v>
      </c>
      <c r="C3949" t="s">
        <v>4032</v>
      </c>
      <c r="D3949">
        <v>2017</v>
      </c>
      <c r="E3949" t="s">
        <v>11</v>
      </c>
      <c r="F3949" t="s">
        <v>644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f t="shared" si="122"/>
        <v>6.8</v>
      </c>
      <c r="M3949">
        <f t="shared" si="123"/>
        <v>1</v>
      </c>
    </row>
    <row r="3950" spans="1:13" x14ac:dyDescent="0.3">
      <c r="A3950">
        <v>3948</v>
      </c>
      <c r="B3950">
        <v>3949</v>
      </c>
      <c r="C3950" t="s">
        <v>4033</v>
      </c>
      <c r="D3950">
        <v>2009</v>
      </c>
      <c r="E3950" t="s">
        <v>14</v>
      </c>
      <c r="F3950" t="s">
        <v>644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f t="shared" si="122"/>
        <v>6.8</v>
      </c>
      <c r="M3950">
        <f t="shared" si="123"/>
        <v>1</v>
      </c>
    </row>
    <row r="3951" spans="1:13" x14ac:dyDescent="0.3">
      <c r="A3951">
        <v>3949</v>
      </c>
      <c r="B3951">
        <v>3950</v>
      </c>
      <c r="C3951" t="s">
        <v>4034</v>
      </c>
      <c r="D3951">
        <v>2012</v>
      </c>
      <c r="E3951" t="s">
        <v>11</v>
      </c>
      <c r="F3951" t="s">
        <v>644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f t="shared" si="122"/>
        <v>6.8</v>
      </c>
      <c r="M3951">
        <f t="shared" si="123"/>
        <v>1</v>
      </c>
    </row>
    <row r="3952" spans="1:13" x14ac:dyDescent="0.3">
      <c r="A3952">
        <v>3950</v>
      </c>
      <c r="B3952">
        <v>3951</v>
      </c>
      <c r="C3952" t="s">
        <v>4035</v>
      </c>
      <c r="D3952">
        <v>1992</v>
      </c>
      <c r="E3952" t="s">
        <v>11</v>
      </c>
      <c r="F3952" t="s">
        <v>644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f t="shared" si="122"/>
        <v>6.8</v>
      </c>
      <c r="M3952">
        <f t="shared" si="123"/>
        <v>1</v>
      </c>
    </row>
    <row r="3953" spans="1:13" x14ac:dyDescent="0.3">
      <c r="A3953">
        <v>3951</v>
      </c>
      <c r="B3953">
        <v>3952</v>
      </c>
      <c r="C3953" t="s">
        <v>4036</v>
      </c>
      <c r="D3953">
        <v>2019</v>
      </c>
      <c r="E3953" t="s">
        <v>14</v>
      </c>
      <c r="F3953" t="s">
        <v>644</v>
      </c>
      <c r="G3953">
        <v>0</v>
      </c>
      <c r="H3953">
        <v>1</v>
      </c>
      <c r="I3953">
        <v>0</v>
      </c>
      <c r="J3953">
        <v>0</v>
      </c>
      <c r="K3953">
        <v>0</v>
      </c>
      <c r="L3953">
        <f t="shared" si="122"/>
        <v>6.8</v>
      </c>
      <c r="M3953">
        <f t="shared" si="123"/>
        <v>1</v>
      </c>
    </row>
    <row r="3954" spans="1:13" x14ac:dyDescent="0.3">
      <c r="A3954">
        <v>3952</v>
      </c>
      <c r="B3954">
        <v>3953</v>
      </c>
      <c r="C3954" t="s">
        <v>4037</v>
      </c>
      <c r="D3954">
        <v>2009</v>
      </c>
      <c r="E3954" t="s">
        <v>11</v>
      </c>
      <c r="F3954" t="s">
        <v>644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f t="shared" si="122"/>
        <v>6.8</v>
      </c>
      <c r="M3954">
        <f t="shared" si="123"/>
        <v>1</v>
      </c>
    </row>
    <row r="3955" spans="1:13" x14ac:dyDescent="0.3">
      <c r="A3955">
        <v>3953</v>
      </c>
      <c r="B3955">
        <v>3954</v>
      </c>
      <c r="C3955" t="s">
        <v>4038</v>
      </c>
      <c r="D3955">
        <v>2000</v>
      </c>
      <c r="E3955" t="s">
        <v>11</v>
      </c>
      <c r="F3955" t="s">
        <v>644</v>
      </c>
      <c r="G3955">
        <v>0</v>
      </c>
      <c r="H3955">
        <v>1</v>
      </c>
      <c r="I3955">
        <v>0</v>
      </c>
      <c r="J3955">
        <v>0</v>
      </c>
      <c r="K3955">
        <v>0</v>
      </c>
      <c r="L3955">
        <f t="shared" si="122"/>
        <v>6.8</v>
      </c>
      <c r="M3955">
        <f t="shared" si="123"/>
        <v>1</v>
      </c>
    </row>
    <row r="3956" spans="1:13" x14ac:dyDescent="0.3">
      <c r="A3956">
        <v>3954</v>
      </c>
      <c r="B3956">
        <v>3955</v>
      </c>
      <c r="C3956" t="s">
        <v>4039</v>
      </c>
      <c r="D3956">
        <v>2009</v>
      </c>
      <c r="E3956" t="s">
        <v>11</v>
      </c>
      <c r="F3956" t="s">
        <v>644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f t="shared" si="122"/>
        <v>6.8</v>
      </c>
      <c r="M3956">
        <f t="shared" si="123"/>
        <v>1</v>
      </c>
    </row>
    <row r="3957" spans="1:13" x14ac:dyDescent="0.3">
      <c r="A3957">
        <v>3955</v>
      </c>
      <c r="B3957">
        <v>3956</v>
      </c>
      <c r="C3957" t="s">
        <v>4040</v>
      </c>
      <c r="D3957">
        <v>2014</v>
      </c>
      <c r="F3957" t="s">
        <v>687</v>
      </c>
      <c r="G3957">
        <v>0</v>
      </c>
      <c r="H3957">
        <v>1</v>
      </c>
      <c r="I3957">
        <v>0</v>
      </c>
      <c r="J3957">
        <v>0</v>
      </c>
      <c r="K3957">
        <v>0</v>
      </c>
      <c r="L3957">
        <f t="shared" si="122"/>
        <v>6.7</v>
      </c>
      <c r="M3957">
        <f t="shared" si="123"/>
        <v>1</v>
      </c>
    </row>
    <row r="3958" spans="1:13" x14ac:dyDescent="0.3">
      <c r="A3958">
        <v>3956</v>
      </c>
      <c r="B3958">
        <v>3957</v>
      </c>
      <c r="C3958" t="s">
        <v>4041</v>
      </c>
      <c r="D3958">
        <v>2012</v>
      </c>
      <c r="F3958" t="s">
        <v>687</v>
      </c>
      <c r="G3958">
        <v>0</v>
      </c>
      <c r="H3958">
        <v>1</v>
      </c>
      <c r="I3958">
        <v>0</v>
      </c>
      <c r="J3958">
        <v>0</v>
      </c>
      <c r="K3958">
        <v>0</v>
      </c>
      <c r="L3958">
        <f t="shared" si="122"/>
        <v>6.7</v>
      </c>
      <c r="M3958">
        <f t="shared" si="123"/>
        <v>1</v>
      </c>
    </row>
    <row r="3959" spans="1:13" x14ac:dyDescent="0.3">
      <c r="A3959">
        <v>3957</v>
      </c>
      <c r="B3959">
        <v>3958</v>
      </c>
      <c r="C3959" t="s">
        <v>4042</v>
      </c>
      <c r="D3959">
        <v>2000</v>
      </c>
      <c r="E3959" t="s">
        <v>11</v>
      </c>
      <c r="F3959" t="s">
        <v>687</v>
      </c>
      <c r="G3959">
        <v>0</v>
      </c>
      <c r="H3959">
        <v>1</v>
      </c>
      <c r="I3959">
        <v>0</v>
      </c>
      <c r="J3959">
        <v>0</v>
      </c>
      <c r="K3959">
        <v>0</v>
      </c>
      <c r="L3959">
        <f t="shared" si="122"/>
        <v>6.7</v>
      </c>
      <c r="M3959">
        <f t="shared" si="123"/>
        <v>1</v>
      </c>
    </row>
    <row r="3960" spans="1:13" x14ac:dyDescent="0.3">
      <c r="A3960">
        <v>3958</v>
      </c>
      <c r="B3960">
        <v>3959</v>
      </c>
      <c r="C3960" t="s">
        <v>4043</v>
      </c>
      <c r="D3960">
        <v>2010</v>
      </c>
      <c r="E3960" t="s">
        <v>14</v>
      </c>
      <c r="F3960" t="s">
        <v>687</v>
      </c>
      <c r="G3960">
        <v>0</v>
      </c>
      <c r="H3960">
        <v>1</v>
      </c>
      <c r="I3960">
        <v>0</v>
      </c>
      <c r="J3960">
        <v>1</v>
      </c>
      <c r="K3960">
        <v>0</v>
      </c>
      <c r="L3960">
        <f t="shared" si="122"/>
        <v>6.7</v>
      </c>
      <c r="M3960">
        <f t="shared" si="123"/>
        <v>2</v>
      </c>
    </row>
    <row r="3961" spans="1:13" x14ac:dyDescent="0.3">
      <c r="A3961">
        <v>3959</v>
      </c>
      <c r="B3961">
        <v>3960</v>
      </c>
      <c r="C3961" t="s">
        <v>4044</v>
      </c>
      <c r="D3961">
        <v>2020</v>
      </c>
      <c r="E3961" t="s">
        <v>11</v>
      </c>
      <c r="F3961" t="s">
        <v>687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f t="shared" si="122"/>
        <v>6.7</v>
      </c>
      <c r="M3961">
        <f t="shared" si="123"/>
        <v>1</v>
      </c>
    </row>
    <row r="3962" spans="1:13" x14ac:dyDescent="0.3">
      <c r="A3962">
        <v>3960</v>
      </c>
      <c r="B3962">
        <v>3961</v>
      </c>
      <c r="C3962" t="s">
        <v>4045</v>
      </c>
      <c r="D3962">
        <v>1988</v>
      </c>
      <c r="E3962" t="s">
        <v>11</v>
      </c>
      <c r="F3962" t="s">
        <v>687</v>
      </c>
      <c r="G3962">
        <v>0</v>
      </c>
      <c r="H3962">
        <v>1</v>
      </c>
      <c r="I3962">
        <v>1</v>
      </c>
      <c r="J3962">
        <v>0</v>
      </c>
      <c r="K3962">
        <v>0</v>
      </c>
      <c r="L3962">
        <f t="shared" si="122"/>
        <v>6.7</v>
      </c>
      <c r="M3962">
        <f t="shared" si="123"/>
        <v>2</v>
      </c>
    </row>
    <row r="3963" spans="1:13" x14ac:dyDescent="0.3">
      <c r="A3963">
        <v>3961</v>
      </c>
      <c r="B3963">
        <v>3962</v>
      </c>
      <c r="C3963" t="s">
        <v>4046</v>
      </c>
      <c r="D3963">
        <v>2018</v>
      </c>
      <c r="E3963" t="s">
        <v>22</v>
      </c>
      <c r="F3963" t="s">
        <v>687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f t="shared" si="122"/>
        <v>6.7</v>
      </c>
      <c r="M3963">
        <f t="shared" si="123"/>
        <v>1</v>
      </c>
    </row>
    <row r="3964" spans="1:13" x14ac:dyDescent="0.3">
      <c r="A3964">
        <v>3962</v>
      </c>
      <c r="B3964">
        <v>3963</v>
      </c>
      <c r="C3964" t="s">
        <v>4047</v>
      </c>
      <c r="D3964">
        <v>2019</v>
      </c>
      <c r="E3964" t="s">
        <v>11</v>
      </c>
      <c r="F3964" t="s">
        <v>687</v>
      </c>
      <c r="G3964">
        <v>0</v>
      </c>
      <c r="H3964">
        <v>1</v>
      </c>
      <c r="I3964">
        <v>1</v>
      </c>
      <c r="J3964">
        <v>0</v>
      </c>
      <c r="K3964">
        <v>0</v>
      </c>
      <c r="L3964">
        <f t="shared" si="122"/>
        <v>6.7</v>
      </c>
      <c r="M3964">
        <f t="shared" si="123"/>
        <v>2</v>
      </c>
    </row>
    <row r="3965" spans="1:13" x14ac:dyDescent="0.3">
      <c r="A3965">
        <v>3963</v>
      </c>
      <c r="B3965">
        <v>3964</v>
      </c>
      <c r="C3965" t="s">
        <v>4048</v>
      </c>
      <c r="D3965">
        <v>2019</v>
      </c>
      <c r="E3965" t="s">
        <v>22</v>
      </c>
      <c r="F3965" t="s">
        <v>687</v>
      </c>
      <c r="G3965">
        <v>0</v>
      </c>
      <c r="H3965">
        <v>1</v>
      </c>
      <c r="I3965">
        <v>0</v>
      </c>
      <c r="J3965">
        <v>0</v>
      </c>
      <c r="K3965">
        <v>0</v>
      </c>
      <c r="L3965">
        <f t="shared" si="122"/>
        <v>6.7</v>
      </c>
      <c r="M3965">
        <f t="shared" si="123"/>
        <v>1</v>
      </c>
    </row>
    <row r="3966" spans="1:13" x14ac:dyDescent="0.3">
      <c r="A3966">
        <v>3964</v>
      </c>
      <c r="B3966">
        <v>3965</v>
      </c>
      <c r="C3966" t="s">
        <v>4049</v>
      </c>
      <c r="D3966">
        <v>2003</v>
      </c>
      <c r="E3966" t="s">
        <v>22</v>
      </c>
      <c r="F3966" t="s">
        <v>687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f t="shared" si="122"/>
        <v>6.7</v>
      </c>
      <c r="M3966">
        <f t="shared" si="123"/>
        <v>1</v>
      </c>
    </row>
    <row r="3967" spans="1:13" x14ac:dyDescent="0.3">
      <c r="A3967">
        <v>3965</v>
      </c>
      <c r="B3967">
        <v>3966</v>
      </c>
      <c r="C3967" t="s">
        <v>4050</v>
      </c>
      <c r="D3967">
        <v>2017</v>
      </c>
      <c r="F3967" t="s">
        <v>687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f t="shared" si="122"/>
        <v>6.7</v>
      </c>
      <c r="M3967">
        <f t="shared" si="123"/>
        <v>1</v>
      </c>
    </row>
    <row r="3968" spans="1:13" x14ac:dyDescent="0.3">
      <c r="A3968">
        <v>3966</v>
      </c>
      <c r="B3968">
        <v>3967</v>
      </c>
      <c r="C3968" t="s">
        <v>4051</v>
      </c>
      <c r="D3968">
        <v>2018</v>
      </c>
      <c r="F3968" t="s">
        <v>687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f t="shared" si="122"/>
        <v>6.7</v>
      </c>
      <c r="M3968">
        <f t="shared" si="123"/>
        <v>1</v>
      </c>
    </row>
    <row r="3969" spans="1:13" x14ac:dyDescent="0.3">
      <c r="A3969">
        <v>3967</v>
      </c>
      <c r="B3969">
        <v>3968</v>
      </c>
      <c r="C3969" t="s">
        <v>4052</v>
      </c>
      <c r="D3969">
        <v>2020</v>
      </c>
      <c r="E3969" t="s">
        <v>11</v>
      </c>
      <c r="F3969" t="s">
        <v>687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f t="shared" si="122"/>
        <v>6.7</v>
      </c>
      <c r="M3969">
        <f t="shared" si="123"/>
        <v>1</v>
      </c>
    </row>
    <row r="3970" spans="1:13" x14ac:dyDescent="0.3">
      <c r="A3970">
        <v>3968</v>
      </c>
      <c r="B3970">
        <v>3969</v>
      </c>
      <c r="C3970" t="s">
        <v>4053</v>
      </c>
      <c r="D3970">
        <v>2020</v>
      </c>
      <c r="E3970" t="s">
        <v>22</v>
      </c>
      <c r="F3970" t="s">
        <v>687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f t="shared" si="122"/>
        <v>6.7</v>
      </c>
      <c r="M3970">
        <f t="shared" si="123"/>
        <v>1</v>
      </c>
    </row>
    <row r="3971" spans="1:13" x14ac:dyDescent="0.3">
      <c r="A3971">
        <v>3969</v>
      </c>
      <c r="B3971">
        <v>3970</v>
      </c>
      <c r="C3971" t="s">
        <v>4054</v>
      </c>
      <c r="D3971">
        <v>2015</v>
      </c>
      <c r="E3971" t="s">
        <v>11</v>
      </c>
      <c r="F3971" t="s">
        <v>687</v>
      </c>
      <c r="G3971">
        <v>0</v>
      </c>
      <c r="H3971">
        <v>1</v>
      </c>
      <c r="I3971">
        <v>1</v>
      </c>
      <c r="J3971">
        <v>0</v>
      </c>
      <c r="K3971">
        <v>0</v>
      </c>
      <c r="L3971">
        <f t="shared" ref="L3971:L4034" si="124">IFERROR(VALUE(LEFT(F3971,FIND("/",F3971)-1))/10,"")</f>
        <v>6.7</v>
      </c>
      <c r="M3971">
        <f t="shared" ref="M3971:M4034" si="125">SUM(G3971:J3971)</f>
        <v>2</v>
      </c>
    </row>
    <row r="3972" spans="1:13" x14ac:dyDescent="0.3">
      <c r="A3972">
        <v>3970</v>
      </c>
      <c r="B3972">
        <v>3971</v>
      </c>
      <c r="C3972" t="s">
        <v>4055</v>
      </c>
      <c r="D3972">
        <v>2010</v>
      </c>
      <c r="E3972" t="s">
        <v>11</v>
      </c>
      <c r="F3972" t="s">
        <v>687</v>
      </c>
      <c r="G3972">
        <v>0</v>
      </c>
      <c r="H3972">
        <v>1</v>
      </c>
      <c r="I3972">
        <v>0</v>
      </c>
      <c r="J3972">
        <v>0</v>
      </c>
      <c r="K3972">
        <v>0</v>
      </c>
      <c r="L3972">
        <f t="shared" si="124"/>
        <v>6.7</v>
      </c>
      <c r="M3972">
        <f t="shared" si="125"/>
        <v>1</v>
      </c>
    </row>
    <row r="3973" spans="1:13" x14ac:dyDescent="0.3">
      <c r="A3973">
        <v>3971</v>
      </c>
      <c r="B3973">
        <v>3972</v>
      </c>
      <c r="C3973" t="s">
        <v>4056</v>
      </c>
      <c r="D3973">
        <v>2002</v>
      </c>
      <c r="E3973" t="s">
        <v>22</v>
      </c>
      <c r="F3973" t="s">
        <v>687</v>
      </c>
      <c r="G3973">
        <v>0</v>
      </c>
      <c r="H3973">
        <v>1</v>
      </c>
      <c r="I3973">
        <v>0</v>
      </c>
      <c r="J3973">
        <v>0</v>
      </c>
      <c r="K3973">
        <v>0</v>
      </c>
      <c r="L3973">
        <f t="shared" si="124"/>
        <v>6.7</v>
      </c>
      <c r="M3973">
        <f t="shared" si="125"/>
        <v>1</v>
      </c>
    </row>
    <row r="3974" spans="1:13" x14ac:dyDescent="0.3">
      <c r="A3974">
        <v>3972</v>
      </c>
      <c r="B3974">
        <v>3973</v>
      </c>
      <c r="C3974" t="s">
        <v>4057</v>
      </c>
      <c r="D3974">
        <v>2012</v>
      </c>
      <c r="E3974" t="s">
        <v>22</v>
      </c>
      <c r="F3974" t="s">
        <v>687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f t="shared" si="124"/>
        <v>6.7</v>
      </c>
      <c r="M3974">
        <f t="shared" si="125"/>
        <v>1</v>
      </c>
    </row>
    <row r="3975" spans="1:13" x14ac:dyDescent="0.3">
      <c r="A3975">
        <v>3973</v>
      </c>
      <c r="B3975">
        <v>3974</v>
      </c>
      <c r="C3975" t="s">
        <v>4058</v>
      </c>
      <c r="D3975">
        <v>2019</v>
      </c>
      <c r="E3975" t="s">
        <v>22</v>
      </c>
      <c r="F3975" t="s">
        <v>687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f t="shared" si="124"/>
        <v>6.7</v>
      </c>
      <c r="M3975">
        <f t="shared" si="125"/>
        <v>1</v>
      </c>
    </row>
    <row r="3976" spans="1:13" x14ac:dyDescent="0.3">
      <c r="A3976">
        <v>3974</v>
      </c>
      <c r="B3976">
        <v>3975</v>
      </c>
      <c r="C3976" t="s">
        <v>4059</v>
      </c>
      <c r="D3976">
        <v>2017</v>
      </c>
      <c r="E3976" t="s">
        <v>11</v>
      </c>
      <c r="F3976" t="s">
        <v>687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f t="shared" si="124"/>
        <v>6.7</v>
      </c>
      <c r="M3976">
        <f t="shared" si="125"/>
        <v>1</v>
      </c>
    </row>
    <row r="3977" spans="1:13" x14ac:dyDescent="0.3">
      <c r="A3977">
        <v>3975</v>
      </c>
      <c r="B3977">
        <v>3976</v>
      </c>
      <c r="C3977" t="s">
        <v>4060</v>
      </c>
      <c r="D3977">
        <v>2009</v>
      </c>
      <c r="E3977" t="s">
        <v>11</v>
      </c>
      <c r="F3977" t="s">
        <v>687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f t="shared" si="124"/>
        <v>6.7</v>
      </c>
      <c r="M3977">
        <f t="shared" si="125"/>
        <v>1</v>
      </c>
    </row>
    <row r="3978" spans="1:13" x14ac:dyDescent="0.3">
      <c r="A3978">
        <v>3976</v>
      </c>
      <c r="B3978">
        <v>3977</v>
      </c>
      <c r="C3978" t="s">
        <v>4061</v>
      </c>
      <c r="D3978">
        <v>2020</v>
      </c>
      <c r="F3978" t="s">
        <v>687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f t="shared" si="124"/>
        <v>6.7</v>
      </c>
      <c r="M3978">
        <f t="shared" si="125"/>
        <v>1</v>
      </c>
    </row>
    <row r="3979" spans="1:13" x14ac:dyDescent="0.3">
      <c r="A3979">
        <v>3977</v>
      </c>
      <c r="B3979">
        <v>3978</v>
      </c>
      <c r="C3979" t="s">
        <v>4062</v>
      </c>
      <c r="D3979">
        <v>2002</v>
      </c>
      <c r="E3979" t="s">
        <v>22</v>
      </c>
      <c r="F3979" t="s">
        <v>687</v>
      </c>
      <c r="G3979">
        <v>0</v>
      </c>
      <c r="H3979">
        <v>1</v>
      </c>
      <c r="I3979">
        <v>0</v>
      </c>
      <c r="J3979">
        <v>0</v>
      </c>
      <c r="K3979">
        <v>0</v>
      </c>
      <c r="L3979">
        <f t="shared" si="124"/>
        <v>6.7</v>
      </c>
      <c r="M3979">
        <f t="shared" si="125"/>
        <v>1</v>
      </c>
    </row>
    <row r="3980" spans="1:13" x14ac:dyDescent="0.3">
      <c r="A3980">
        <v>3978</v>
      </c>
      <c r="B3980">
        <v>3979</v>
      </c>
      <c r="C3980" t="s">
        <v>4063</v>
      </c>
      <c r="D3980">
        <v>2021</v>
      </c>
      <c r="E3980" t="s">
        <v>11</v>
      </c>
      <c r="F3980" t="s">
        <v>687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f t="shared" si="124"/>
        <v>6.7</v>
      </c>
      <c r="M3980">
        <f t="shared" si="125"/>
        <v>1</v>
      </c>
    </row>
    <row r="3981" spans="1:13" x14ac:dyDescent="0.3">
      <c r="A3981">
        <v>3979</v>
      </c>
      <c r="B3981">
        <v>3980</v>
      </c>
      <c r="C3981" t="s">
        <v>4064</v>
      </c>
      <c r="D3981">
        <v>2013</v>
      </c>
      <c r="F3981" t="s">
        <v>687</v>
      </c>
      <c r="G3981">
        <v>0</v>
      </c>
      <c r="H3981">
        <v>1</v>
      </c>
      <c r="I3981">
        <v>0</v>
      </c>
      <c r="J3981">
        <v>0</v>
      </c>
      <c r="K3981">
        <v>0</v>
      </c>
      <c r="L3981">
        <f t="shared" si="124"/>
        <v>6.7</v>
      </c>
      <c r="M3981">
        <f t="shared" si="125"/>
        <v>1</v>
      </c>
    </row>
    <row r="3982" spans="1:13" x14ac:dyDescent="0.3">
      <c r="A3982">
        <v>3980</v>
      </c>
      <c r="B3982">
        <v>3981</v>
      </c>
      <c r="C3982" t="s">
        <v>4065</v>
      </c>
      <c r="D3982">
        <v>2006</v>
      </c>
      <c r="E3982" t="s">
        <v>22</v>
      </c>
      <c r="F3982" t="s">
        <v>687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f t="shared" si="124"/>
        <v>6.7</v>
      </c>
      <c r="M3982">
        <f t="shared" si="125"/>
        <v>1</v>
      </c>
    </row>
    <row r="3983" spans="1:13" x14ac:dyDescent="0.3">
      <c r="A3983">
        <v>3981</v>
      </c>
      <c r="B3983">
        <v>3982</v>
      </c>
      <c r="C3983" t="s">
        <v>4066</v>
      </c>
      <c r="D3983">
        <v>2016</v>
      </c>
      <c r="E3983" t="s">
        <v>11</v>
      </c>
      <c r="F3983" t="s">
        <v>687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f t="shared" si="124"/>
        <v>6.7</v>
      </c>
      <c r="M3983">
        <f t="shared" si="125"/>
        <v>1</v>
      </c>
    </row>
    <row r="3984" spans="1:13" x14ac:dyDescent="0.3">
      <c r="A3984">
        <v>3982</v>
      </c>
      <c r="B3984">
        <v>3983</v>
      </c>
      <c r="C3984" t="s">
        <v>4067</v>
      </c>
      <c r="D3984">
        <v>2014</v>
      </c>
      <c r="E3984" t="s">
        <v>11</v>
      </c>
      <c r="F3984" t="s">
        <v>687</v>
      </c>
      <c r="G3984">
        <v>0</v>
      </c>
      <c r="H3984">
        <v>1</v>
      </c>
      <c r="I3984">
        <v>1</v>
      </c>
      <c r="J3984">
        <v>0</v>
      </c>
      <c r="K3984">
        <v>0</v>
      </c>
      <c r="L3984">
        <f t="shared" si="124"/>
        <v>6.7</v>
      </c>
      <c r="M3984">
        <f t="shared" si="125"/>
        <v>2</v>
      </c>
    </row>
    <row r="3985" spans="1:13" x14ac:dyDescent="0.3">
      <c r="A3985">
        <v>3983</v>
      </c>
      <c r="B3985">
        <v>3984</v>
      </c>
      <c r="C3985" t="s">
        <v>4068</v>
      </c>
      <c r="D3985">
        <v>2009</v>
      </c>
      <c r="E3985" t="s">
        <v>22</v>
      </c>
      <c r="F3985" t="s">
        <v>687</v>
      </c>
      <c r="G3985">
        <v>0</v>
      </c>
      <c r="H3985">
        <v>1</v>
      </c>
      <c r="I3985">
        <v>0</v>
      </c>
      <c r="J3985">
        <v>0</v>
      </c>
      <c r="K3985">
        <v>0</v>
      </c>
      <c r="L3985">
        <f t="shared" si="124"/>
        <v>6.7</v>
      </c>
      <c r="M3985">
        <f t="shared" si="125"/>
        <v>1</v>
      </c>
    </row>
    <row r="3986" spans="1:13" x14ac:dyDescent="0.3">
      <c r="A3986">
        <v>3984</v>
      </c>
      <c r="B3986">
        <v>3985</v>
      </c>
      <c r="C3986" t="s">
        <v>4069</v>
      </c>
      <c r="D3986">
        <v>2018</v>
      </c>
      <c r="E3986" t="s">
        <v>11</v>
      </c>
      <c r="F3986" t="s">
        <v>758</v>
      </c>
      <c r="G3986">
        <v>0</v>
      </c>
      <c r="H3986">
        <v>1</v>
      </c>
      <c r="I3986">
        <v>0</v>
      </c>
      <c r="J3986">
        <v>0</v>
      </c>
      <c r="K3986">
        <v>0</v>
      </c>
      <c r="L3986">
        <f t="shared" si="124"/>
        <v>6.6</v>
      </c>
      <c r="M3986">
        <f t="shared" si="125"/>
        <v>1</v>
      </c>
    </row>
    <row r="3987" spans="1:13" x14ac:dyDescent="0.3">
      <c r="A3987">
        <v>3985</v>
      </c>
      <c r="B3987">
        <v>3986</v>
      </c>
      <c r="C3987" t="s">
        <v>4070</v>
      </c>
      <c r="D3987">
        <v>1963</v>
      </c>
      <c r="F3987" t="s">
        <v>758</v>
      </c>
      <c r="G3987">
        <v>0</v>
      </c>
      <c r="H3987">
        <v>1</v>
      </c>
      <c r="I3987">
        <v>1</v>
      </c>
      <c r="J3987">
        <v>0</v>
      </c>
      <c r="K3987">
        <v>0</v>
      </c>
      <c r="L3987">
        <f t="shared" si="124"/>
        <v>6.6</v>
      </c>
      <c r="M3987">
        <f t="shared" si="125"/>
        <v>2</v>
      </c>
    </row>
    <row r="3988" spans="1:13" x14ac:dyDescent="0.3">
      <c r="A3988">
        <v>3986</v>
      </c>
      <c r="B3988">
        <v>3987</v>
      </c>
      <c r="C3988" t="s">
        <v>4071</v>
      </c>
      <c r="D3988">
        <v>2020</v>
      </c>
      <c r="E3988" t="s">
        <v>11</v>
      </c>
      <c r="F3988" t="s">
        <v>758</v>
      </c>
      <c r="G3988">
        <v>0</v>
      </c>
      <c r="H3988">
        <v>1</v>
      </c>
      <c r="I3988">
        <v>0</v>
      </c>
      <c r="J3988">
        <v>0</v>
      </c>
      <c r="K3988">
        <v>0</v>
      </c>
      <c r="L3988">
        <f t="shared" si="124"/>
        <v>6.6</v>
      </c>
      <c r="M3988">
        <f t="shared" si="125"/>
        <v>1</v>
      </c>
    </row>
    <row r="3989" spans="1:13" x14ac:dyDescent="0.3">
      <c r="A3989">
        <v>3987</v>
      </c>
      <c r="B3989">
        <v>3988</v>
      </c>
      <c r="C3989" t="s">
        <v>4072</v>
      </c>
      <c r="D3989">
        <v>1993</v>
      </c>
      <c r="E3989" t="s">
        <v>14</v>
      </c>
      <c r="F3989" t="s">
        <v>758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f t="shared" si="124"/>
        <v>6.6</v>
      </c>
      <c r="M3989">
        <f t="shared" si="125"/>
        <v>1</v>
      </c>
    </row>
    <row r="3990" spans="1:13" x14ac:dyDescent="0.3">
      <c r="A3990">
        <v>3988</v>
      </c>
      <c r="B3990">
        <v>3989</v>
      </c>
      <c r="C3990" t="s">
        <v>4073</v>
      </c>
      <c r="D3990">
        <v>2007</v>
      </c>
      <c r="E3990" t="s">
        <v>11</v>
      </c>
      <c r="F3990" t="s">
        <v>758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f t="shared" si="124"/>
        <v>6.6</v>
      </c>
      <c r="M3990">
        <f t="shared" si="125"/>
        <v>1</v>
      </c>
    </row>
    <row r="3991" spans="1:13" x14ac:dyDescent="0.3">
      <c r="A3991">
        <v>3989</v>
      </c>
      <c r="B3991">
        <v>3990</v>
      </c>
      <c r="C3991" t="s">
        <v>4074</v>
      </c>
      <c r="D3991">
        <v>2013</v>
      </c>
      <c r="E3991" t="s">
        <v>22</v>
      </c>
      <c r="F3991" t="s">
        <v>758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f t="shared" si="124"/>
        <v>6.6</v>
      </c>
      <c r="M3991">
        <f t="shared" si="125"/>
        <v>1</v>
      </c>
    </row>
    <row r="3992" spans="1:13" x14ac:dyDescent="0.3">
      <c r="A3992">
        <v>3990</v>
      </c>
      <c r="B3992">
        <v>3991</v>
      </c>
      <c r="C3992" t="s">
        <v>4075</v>
      </c>
      <c r="D3992">
        <v>2015</v>
      </c>
      <c r="E3992" t="s">
        <v>22</v>
      </c>
      <c r="F3992" t="s">
        <v>758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f t="shared" si="124"/>
        <v>6.6</v>
      </c>
      <c r="M3992">
        <f t="shared" si="125"/>
        <v>1</v>
      </c>
    </row>
    <row r="3993" spans="1:13" x14ac:dyDescent="0.3">
      <c r="A3993">
        <v>3991</v>
      </c>
      <c r="B3993">
        <v>3992</v>
      </c>
      <c r="C3993" t="s">
        <v>4076</v>
      </c>
      <c r="D3993">
        <v>2020</v>
      </c>
      <c r="E3993" t="s">
        <v>11</v>
      </c>
      <c r="F3993" t="s">
        <v>758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f t="shared" si="124"/>
        <v>6.6</v>
      </c>
      <c r="M3993">
        <f t="shared" si="125"/>
        <v>1</v>
      </c>
    </row>
    <row r="3994" spans="1:13" x14ac:dyDescent="0.3">
      <c r="A3994">
        <v>3992</v>
      </c>
      <c r="B3994">
        <v>3993</v>
      </c>
      <c r="C3994" t="s">
        <v>4077</v>
      </c>
      <c r="D3994">
        <v>2017</v>
      </c>
      <c r="E3994" t="s">
        <v>11</v>
      </c>
      <c r="F3994" t="s">
        <v>758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f t="shared" si="124"/>
        <v>6.6</v>
      </c>
      <c r="M3994">
        <f t="shared" si="125"/>
        <v>1</v>
      </c>
    </row>
    <row r="3995" spans="1:13" x14ac:dyDescent="0.3">
      <c r="A3995">
        <v>3993</v>
      </c>
      <c r="B3995">
        <v>3994</v>
      </c>
      <c r="C3995" t="s">
        <v>4078</v>
      </c>
      <c r="D3995">
        <v>2020</v>
      </c>
      <c r="E3995" t="s">
        <v>11</v>
      </c>
      <c r="F3995" t="s">
        <v>758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f t="shared" si="124"/>
        <v>6.6</v>
      </c>
      <c r="M3995">
        <f t="shared" si="125"/>
        <v>1</v>
      </c>
    </row>
    <row r="3996" spans="1:13" x14ac:dyDescent="0.3">
      <c r="A3996">
        <v>3994</v>
      </c>
      <c r="B3996">
        <v>3995</v>
      </c>
      <c r="C3996" t="s">
        <v>4079</v>
      </c>
      <c r="D3996">
        <v>2012</v>
      </c>
      <c r="F3996" t="s">
        <v>758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f t="shared" si="124"/>
        <v>6.6</v>
      </c>
      <c r="M3996">
        <f t="shared" si="125"/>
        <v>1</v>
      </c>
    </row>
    <row r="3997" spans="1:13" x14ac:dyDescent="0.3">
      <c r="A3997">
        <v>3995</v>
      </c>
      <c r="B3997">
        <v>3996</v>
      </c>
      <c r="C3997" t="s">
        <v>4080</v>
      </c>
      <c r="D3997">
        <v>1973</v>
      </c>
      <c r="E3997" t="s">
        <v>36</v>
      </c>
      <c r="F3997" t="s">
        <v>758</v>
      </c>
      <c r="G3997">
        <v>0</v>
      </c>
      <c r="H3997">
        <v>1</v>
      </c>
      <c r="I3997">
        <v>0</v>
      </c>
      <c r="J3997">
        <v>0</v>
      </c>
      <c r="K3997">
        <v>0</v>
      </c>
      <c r="L3997">
        <f t="shared" si="124"/>
        <v>6.6</v>
      </c>
      <c r="M3997">
        <f t="shared" si="125"/>
        <v>1</v>
      </c>
    </row>
    <row r="3998" spans="1:13" x14ac:dyDescent="0.3">
      <c r="A3998">
        <v>3996</v>
      </c>
      <c r="B3998">
        <v>3997</v>
      </c>
      <c r="C3998" t="s">
        <v>4081</v>
      </c>
      <c r="D3998">
        <v>2015</v>
      </c>
      <c r="E3998" t="s">
        <v>11</v>
      </c>
      <c r="F3998" t="s">
        <v>758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f t="shared" si="124"/>
        <v>6.6</v>
      </c>
      <c r="M3998">
        <f t="shared" si="125"/>
        <v>1</v>
      </c>
    </row>
    <row r="3999" spans="1:13" x14ac:dyDescent="0.3">
      <c r="A3999">
        <v>3997</v>
      </c>
      <c r="B3999">
        <v>3998</v>
      </c>
      <c r="C3999" t="s">
        <v>4082</v>
      </c>
      <c r="D3999">
        <v>2017</v>
      </c>
      <c r="E3999" t="s">
        <v>22</v>
      </c>
      <c r="F3999" t="s">
        <v>758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f t="shared" si="124"/>
        <v>6.6</v>
      </c>
      <c r="M3999">
        <f t="shared" si="125"/>
        <v>1</v>
      </c>
    </row>
    <row r="4000" spans="1:13" x14ac:dyDescent="0.3">
      <c r="A4000">
        <v>3998</v>
      </c>
      <c r="B4000">
        <v>3999</v>
      </c>
      <c r="C4000" t="s">
        <v>4083</v>
      </c>
      <c r="D4000">
        <v>2010</v>
      </c>
      <c r="E4000" t="s">
        <v>11</v>
      </c>
      <c r="F4000" t="s">
        <v>758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f t="shared" si="124"/>
        <v>6.6</v>
      </c>
      <c r="M4000">
        <f t="shared" si="125"/>
        <v>1</v>
      </c>
    </row>
    <row r="4001" spans="1:13" x14ac:dyDescent="0.3">
      <c r="A4001">
        <v>3999</v>
      </c>
      <c r="B4001">
        <v>4000</v>
      </c>
      <c r="C4001" t="s">
        <v>4084</v>
      </c>
      <c r="D4001">
        <v>1965</v>
      </c>
      <c r="F4001" t="s">
        <v>758</v>
      </c>
      <c r="G4001">
        <v>0</v>
      </c>
      <c r="H4001">
        <v>1</v>
      </c>
      <c r="I4001">
        <v>1</v>
      </c>
      <c r="J4001">
        <v>0</v>
      </c>
      <c r="K4001">
        <v>0</v>
      </c>
      <c r="L4001">
        <f t="shared" si="124"/>
        <v>6.6</v>
      </c>
      <c r="M4001">
        <f t="shared" si="125"/>
        <v>2</v>
      </c>
    </row>
    <row r="4002" spans="1:13" x14ac:dyDescent="0.3">
      <c r="A4002">
        <v>4000</v>
      </c>
      <c r="B4002">
        <v>4001</v>
      </c>
      <c r="C4002" t="s">
        <v>4085</v>
      </c>
      <c r="D4002">
        <v>1984</v>
      </c>
      <c r="E4002" t="s">
        <v>14</v>
      </c>
      <c r="F4002" t="s">
        <v>758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f t="shared" si="124"/>
        <v>6.6</v>
      </c>
      <c r="M4002">
        <f t="shared" si="125"/>
        <v>1</v>
      </c>
    </row>
    <row r="4003" spans="1:13" x14ac:dyDescent="0.3">
      <c r="A4003">
        <v>4001</v>
      </c>
      <c r="B4003">
        <v>4002</v>
      </c>
      <c r="C4003" t="s">
        <v>4086</v>
      </c>
      <c r="D4003">
        <v>2017</v>
      </c>
      <c r="F4003" t="s">
        <v>758</v>
      </c>
      <c r="G4003">
        <v>0</v>
      </c>
      <c r="H4003">
        <v>1</v>
      </c>
      <c r="I4003">
        <v>1</v>
      </c>
      <c r="J4003">
        <v>0</v>
      </c>
      <c r="K4003">
        <v>0</v>
      </c>
      <c r="L4003">
        <f t="shared" si="124"/>
        <v>6.6</v>
      </c>
      <c r="M4003">
        <f t="shared" si="125"/>
        <v>2</v>
      </c>
    </row>
    <row r="4004" spans="1:13" x14ac:dyDescent="0.3">
      <c r="A4004">
        <v>4002</v>
      </c>
      <c r="B4004">
        <v>4003</v>
      </c>
      <c r="C4004" t="s">
        <v>4087</v>
      </c>
      <c r="D4004">
        <v>2018</v>
      </c>
      <c r="E4004" t="s">
        <v>11</v>
      </c>
      <c r="F4004" t="s">
        <v>758</v>
      </c>
      <c r="G4004">
        <v>0</v>
      </c>
      <c r="H4004">
        <v>1</v>
      </c>
      <c r="I4004">
        <v>0</v>
      </c>
      <c r="J4004">
        <v>0</v>
      </c>
      <c r="K4004">
        <v>0</v>
      </c>
      <c r="L4004">
        <f t="shared" si="124"/>
        <v>6.6</v>
      </c>
      <c r="M4004">
        <f t="shared" si="125"/>
        <v>1</v>
      </c>
    </row>
    <row r="4005" spans="1:13" x14ac:dyDescent="0.3">
      <c r="A4005">
        <v>4003</v>
      </c>
      <c r="B4005">
        <v>4004</v>
      </c>
      <c r="C4005" t="s">
        <v>4088</v>
      </c>
      <c r="D4005">
        <v>2017</v>
      </c>
      <c r="E4005" t="s">
        <v>22</v>
      </c>
      <c r="F4005" t="s">
        <v>758</v>
      </c>
      <c r="G4005">
        <v>0</v>
      </c>
      <c r="H4005">
        <v>1</v>
      </c>
      <c r="I4005">
        <v>0</v>
      </c>
      <c r="J4005">
        <v>0</v>
      </c>
      <c r="K4005">
        <v>0</v>
      </c>
      <c r="L4005">
        <f t="shared" si="124"/>
        <v>6.6</v>
      </c>
      <c r="M4005">
        <f t="shared" si="125"/>
        <v>1</v>
      </c>
    </row>
    <row r="4006" spans="1:13" x14ac:dyDescent="0.3">
      <c r="A4006">
        <v>4004</v>
      </c>
      <c r="B4006">
        <v>4005</v>
      </c>
      <c r="C4006" t="s">
        <v>4089</v>
      </c>
      <c r="D4006">
        <v>2019</v>
      </c>
      <c r="E4006" t="s">
        <v>11</v>
      </c>
      <c r="F4006" t="s">
        <v>758</v>
      </c>
      <c r="G4006">
        <v>0</v>
      </c>
      <c r="H4006">
        <v>1</v>
      </c>
      <c r="I4006">
        <v>0</v>
      </c>
      <c r="J4006">
        <v>0</v>
      </c>
      <c r="K4006">
        <v>0</v>
      </c>
      <c r="L4006">
        <f t="shared" si="124"/>
        <v>6.6</v>
      </c>
      <c r="M4006">
        <f t="shared" si="125"/>
        <v>1</v>
      </c>
    </row>
    <row r="4007" spans="1:13" x14ac:dyDescent="0.3">
      <c r="A4007">
        <v>4005</v>
      </c>
      <c r="B4007">
        <v>4006</v>
      </c>
      <c r="C4007" t="s">
        <v>4090</v>
      </c>
      <c r="D4007">
        <v>2019</v>
      </c>
      <c r="E4007" t="s">
        <v>11</v>
      </c>
      <c r="F4007" t="s">
        <v>758</v>
      </c>
      <c r="G4007">
        <v>0</v>
      </c>
      <c r="H4007">
        <v>1</v>
      </c>
      <c r="I4007">
        <v>0</v>
      </c>
      <c r="J4007">
        <v>0</v>
      </c>
      <c r="K4007">
        <v>0</v>
      </c>
      <c r="L4007">
        <f t="shared" si="124"/>
        <v>6.6</v>
      </c>
      <c r="M4007">
        <f t="shared" si="125"/>
        <v>1</v>
      </c>
    </row>
    <row r="4008" spans="1:13" x14ac:dyDescent="0.3">
      <c r="A4008">
        <v>4006</v>
      </c>
      <c r="B4008">
        <v>4007</v>
      </c>
      <c r="C4008" t="s">
        <v>4091</v>
      </c>
      <c r="D4008">
        <v>2015</v>
      </c>
      <c r="E4008" t="s">
        <v>14</v>
      </c>
      <c r="F4008" t="s">
        <v>758</v>
      </c>
      <c r="G4008">
        <v>0</v>
      </c>
      <c r="H4008">
        <v>1</v>
      </c>
      <c r="I4008">
        <v>0</v>
      </c>
      <c r="J4008">
        <v>0</v>
      </c>
      <c r="K4008">
        <v>0</v>
      </c>
      <c r="L4008">
        <f t="shared" si="124"/>
        <v>6.6</v>
      </c>
      <c r="M4008">
        <f t="shared" si="125"/>
        <v>1</v>
      </c>
    </row>
    <row r="4009" spans="1:13" x14ac:dyDescent="0.3">
      <c r="A4009">
        <v>4007</v>
      </c>
      <c r="B4009">
        <v>4008</v>
      </c>
      <c r="C4009" t="s">
        <v>4092</v>
      </c>
      <c r="D4009">
        <v>2018</v>
      </c>
      <c r="E4009" t="s">
        <v>11</v>
      </c>
      <c r="F4009" t="s">
        <v>758</v>
      </c>
      <c r="G4009">
        <v>0</v>
      </c>
      <c r="H4009">
        <v>1</v>
      </c>
      <c r="I4009">
        <v>0</v>
      </c>
      <c r="J4009">
        <v>0</v>
      </c>
      <c r="K4009">
        <v>0</v>
      </c>
      <c r="L4009">
        <f t="shared" si="124"/>
        <v>6.6</v>
      </c>
      <c r="M4009">
        <f t="shared" si="125"/>
        <v>1</v>
      </c>
    </row>
    <row r="4010" spans="1:13" x14ac:dyDescent="0.3">
      <c r="A4010">
        <v>4008</v>
      </c>
      <c r="B4010">
        <v>4009</v>
      </c>
      <c r="C4010" t="s">
        <v>4093</v>
      </c>
      <c r="D4010">
        <v>2018</v>
      </c>
      <c r="F4010" t="s">
        <v>758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f t="shared" si="124"/>
        <v>6.6</v>
      </c>
      <c r="M4010">
        <f t="shared" si="125"/>
        <v>1</v>
      </c>
    </row>
    <row r="4011" spans="1:13" x14ac:dyDescent="0.3">
      <c r="A4011">
        <v>4009</v>
      </c>
      <c r="B4011">
        <v>4010</v>
      </c>
      <c r="C4011" t="s">
        <v>4094</v>
      </c>
      <c r="D4011">
        <v>1972</v>
      </c>
      <c r="E4011" t="s">
        <v>11</v>
      </c>
      <c r="F4011" t="s">
        <v>758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f t="shared" si="124"/>
        <v>6.6</v>
      </c>
      <c r="M4011">
        <f t="shared" si="125"/>
        <v>1</v>
      </c>
    </row>
    <row r="4012" spans="1:13" x14ac:dyDescent="0.3">
      <c r="A4012">
        <v>4010</v>
      </c>
      <c r="B4012">
        <v>4011</v>
      </c>
      <c r="C4012" t="s">
        <v>4095</v>
      </c>
      <c r="D4012">
        <v>2011</v>
      </c>
      <c r="E4012" t="s">
        <v>11</v>
      </c>
      <c r="F4012" t="s">
        <v>758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f t="shared" si="124"/>
        <v>6.6</v>
      </c>
      <c r="M4012">
        <f t="shared" si="125"/>
        <v>1</v>
      </c>
    </row>
    <row r="4013" spans="1:13" x14ac:dyDescent="0.3">
      <c r="A4013">
        <v>4011</v>
      </c>
      <c r="B4013">
        <v>4012</v>
      </c>
      <c r="C4013" t="s">
        <v>4096</v>
      </c>
      <c r="D4013">
        <v>1984</v>
      </c>
      <c r="E4013" t="s">
        <v>11</v>
      </c>
      <c r="F4013" t="s">
        <v>758</v>
      </c>
      <c r="G4013">
        <v>0</v>
      </c>
      <c r="H4013">
        <v>1</v>
      </c>
      <c r="I4013">
        <v>1</v>
      </c>
      <c r="J4013">
        <v>0</v>
      </c>
      <c r="K4013">
        <v>0</v>
      </c>
      <c r="L4013">
        <f t="shared" si="124"/>
        <v>6.6</v>
      </c>
      <c r="M4013">
        <f t="shared" si="125"/>
        <v>2</v>
      </c>
    </row>
    <row r="4014" spans="1:13" x14ac:dyDescent="0.3">
      <c r="A4014">
        <v>4012</v>
      </c>
      <c r="B4014">
        <v>4013</v>
      </c>
      <c r="C4014" t="s">
        <v>4097</v>
      </c>
      <c r="D4014">
        <v>2006</v>
      </c>
      <c r="F4014" t="s">
        <v>758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f t="shared" si="124"/>
        <v>6.6</v>
      </c>
      <c r="M4014">
        <f t="shared" si="125"/>
        <v>1</v>
      </c>
    </row>
    <row r="4015" spans="1:13" x14ac:dyDescent="0.3">
      <c r="A4015">
        <v>4013</v>
      </c>
      <c r="B4015">
        <v>4014</v>
      </c>
      <c r="C4015" t="s">
        <v>4098</v>
      </c>
      <c r="D4015">
        <v>2013</v>
      </c>
      <c r="F4015" t="s">
        <v>758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f t="shared" si="124"/>
        <v>6.6</v>
      </c>
      <c r="M4015">
        <f t="shared" si="125"/>
        <v>1</v>
      </c>
    </row>
    <row r="4016" spans="1:13" x14ac:dyDescent="0.3">
      <c r="A4016">
        <v>4014</v>
      </c>
      <c r="B4016">
        <v>4015</v>
      </c>
      <c r="C4016" t="s">
        <v>4099</v>
      </c>
      <c r="D4016">
        <v>2016</v>
      </c>
      <c r="E4016" t="s">
        <v>11</v>
      </c>
      <c r="F4016" t="s">
        <v>758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f t="shared" si="124"/>
        <v>6.6</v>
      </c>
      <c r="M4016">
        <f t="shared" si="125"/>
        <v>1</v>
      </c>
    </row>
    <row r="4017" spans="1:13" x14ac:dyDescent="0.3">
      <c r="A4017">
        <v>4015</v>
      </c>
      <c r="B4017">
        <v>4016</v>
      </c>
      <c r="C4017" t="s">
        <v>4100</v>
      </c>
      <c r="D4017">
        <v>2009</v>
      </c>
      <c r="E4017" t="s">
        <v>22</v>
      </c>
      <c r="F4017" t="s">
        <v>758</v>
      </c>
      <c r="G4017">
        <v>0</v>
      </c>
      <c r="H4017">
        <v>1</v>
      </c>
      <c r="I4017">
        <v>0</v>
      </c>
      <c r="J4017">
        <v>0</v>
      </c>
      <c r="K4017">
        <v>0</v>
      </c>
      <c r="L4017">
        <f t="shared" si="124"/>
        <v>6.6</v>
      </c>
      <c r="M4017">
        <f t="shared" si="125"/>
        <v>1</v>
      </c>
    </row>
    <row r="4018" spans="1:13" x14ac:dyDescent="0.3">
      <c r="A4018">
        <v>4016</v>
      </c>
      <c r="B4018">
        <v>4017</v>
      </c>
      <c r="C4018" t="s">
        <v>4101</v>
      </c>
      <c r="D4018">
        <v>2018</v>
      </c>
      <c r="E4018" t="s">
        <v>22</v>
      </c>
      <c r="F4018" t="s">
        <v>758</v>
      </c>
      <c r="G4018">
        <v>0</v>
      </c>
      <c r="H4018">
        <v>1</v>
      </c>
      <c r="I4018">
        <v>0</v>
      </c>
      <c r="J4018">
        <v>0</v>
      </c>
      <c r="K4018">
        <v>0</v>
      </c>
      <c r="L4018">
        <f t="shared" si="124"/>
        <v>6.6</v>
      </c>
      <c r="M4018">
        <f t="shared" si="125"/>
        <v>1</v>
      </c>
    </row>
    <row r="4019" spans="1:13" x14ac:dyDescent="0.3">
      <c r="A4019">
        <v>4017</v>
      </c>
      <c r="B4019">
        <v>4018</v>
      </c>
      <c r="C4019" t="s">
        <v>4102</v>
      </c>
      <c r="D4019">
        <v>2018</v>
      </c>
      <c r="E4019" t="s">
        <v>22</v>
      </c>
      <c r="F4019" t="s">
        <v>758</v>
      </c>
      <c r="G4019">
        <v>0</v>
      </c>
      <c r="H4019">
        <v>1</v>
      </c>
      <c r="I4019">
        <v>0</v>
      </c>
      <c r="J4019">
        <v>0</v>
      </c>
      <c r="K4019">
        <v>0</v>
      </c>
      <c r="L4019">
        <f t="shared" si="124"/>
        <v>6.6</v>
      </c>
      <c r="M4019">
        <f t="shared" si="125"/>
        <v>1</v>
      </c>
    </row>
    <row r="4020" spans="1:13" x14ac:dyDescent="0.3">
      <c r="A4020">
        <v>4018</v>
      </c>
      <c r="B4020">
        <v>4019</v>
      </c>
      <c r="C4020" t="s">
        <v>4103</v>
      </c>
      <c r="D4020">
        <v>2010</v>
      </c>
      <c r="E4020" t="s">
        <v>22</v>
      </c>
      <c r="F4020" t="s">
        <v>758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f t="shared" si="124"/>
        <v>6.6</v>
      </c>
      <c r="M4020">
        <f t="shared" si="125"/>
        <v>1</v>
      </c>
    </row>
    <row r="4021" spans="1:13" x14ac:dyDescent="0.3">
      <c r="A4021">
        <v>4019</v>
      </c>
      <c r="B4021">
        <v>4020</v>
      </c>
      <c r="C4021" t="s">
        <v>4104</v>
      </c>
      <c r="D4021">
        <v>2019</v>
      </c>
      <c r="F4021" t="s">
        <v>758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f t="shared" si="124"/>
        <v>6.6</v>
      </c>
      <c r="M4021">
        <f t="shared" si="125"/>
        <v>1</v>
      </c>
    </row>
    <row r="4022" spans="1:13" x14ac:dyDescent="0.3">
      <c r="A4022">
        <v>4020</v>
      </c>
      <c r="B4022">
        <v>4021</v>
      </c>
      <c r="C4022" t="s">
        <v>4105</v>
      </c>
      <c r="D4022">
        <v>2019</v>
      </c>
      <c r="E4022" t="s">
        <v>14</v>
      </c>
      <c r="F4022" t="s">
        <v>814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f t="shared" si="124"/>
        <v>6.5</v>
      </c>
      <c r="M4022">
        <f t="shared" si="125"/>
        <v>1</v>
      </c>
    </row>
    <row r="4023" spans="1:13" x14ac:dyDescent="0.3">
      <c r="A4023">
        <v>4021</v>
      </c>
      <c r="B4023">
        <v>4022</v>
      </c>
      <c r="C4023" t="s">
        <v>4106</v>
      </c>
      <c r="D4023">
        <v>2015</v>
      </c>
      <c r="F4023" t="s">
        <v>814</v>
      </c>
      <c r="G4023">
        <v>0</v>
      </c>
      <c r="H4023">
        <v>1</v>
      </c>
      <c r="I4023">
        <v>0</v>
      </c>
      <c r="J4023">
        <v>0</v>
      </c>
      <c r="K4023">
        <v>0</v>
      </c>
      <c r="L4023">
        <f t="shared" si="124"/>
        <v>6.5</v>
      </c>
      <c r="M4023">
        <f t="shared" si="125"/>
        <v>1</v>
      </c>
    </row>
    <row r="4024" spans="1:13" x14ac:dyDescent="0.3">
      <c r="A4024">
        <v>4022</v>
      </c>
      <c r="B4024">
        <v>4023</v>
      </c>
      <c r="C4024" t="s">
        <v>4107</v>
      </c>
      <c r="D4024">
        <v>2012</v>
      </c>
      <c r="E4024" t="s">
        <v>22</v>
      </c>
      <c r="F4024" t="s">
        <v>814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f t="shared" si="124"/>
        <v>6.5</v>
      </c>
      <c r="M4024">
        <f t="shared" si="125"/>
        <v>1</v>
      </c>
    </row>
    <row r="4025" spans="1:13" x14ac:dyDescent="0.3">
      <c r="A4025">
        <v>4023</v>
      </c>
      <c r="B4025">
        <v>4024</v>
      </c>
      <c r="C4025" t="s">
        <v>4108</v>
      </c>
      <c r="D4025">
        <v>2013</v>
      </c>
      <c r="F4025" t="s">
        <v>814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f t="shared" si="124"/>
        <v>6.5</v>
      </c>
      <c r="M4025">
        <f t="shared" si="125"/>
        <v>1</v>
      </c>
    </row>
    <row r="4026" spans="1:13" x14ac:dyDescent="0.3">
      <c r="A4026">
        <v>4024</v>
      </c>
      <c r="B4026">
        <v>4025</v>
      </c>
      <c r="C4026" t="s">
        <v>4109</v>
      </c>
      <c r="D4026">
        <v>1992</v>
      </c>
      <c r="E4026" t="s">
        <v>11</v>
      </c>
      <c r="F4026" t="s">
        <v>814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f t="shared" si="124"/>
        <v>6.5</v>
      </c>
      <c r="M4026">
        <f t="shared" si="125"/>
        <v>1</v>
      </c>
    </row>
    <row r="4027" spans="1:13" x14ac:dyDescent="0.3">
      <c r="A4027">
        <v>4025</v>
      </c>
      <c r="B4027">
        <v>4026</v>
      </c>
      <c r="C4027" t="s">
        <v>4110</v>
      </c>
      <c r="D4027">
        <v>2020</v>
      </c>
      <c r="E4027" t="s">
        <v>11</v>
      </c>
      <c r="F4027" t="s">
        <v>814</v>
      </c>
      <c r="G4027">
        <v>0</v>
      </c>
      <c r="H4027">
        <v>1</v>
      </c>
      <c r="I4027">
        <v>0</v>
      </c>
      <c r="J4027">
        <v>0</v>
      </c>
      <c r="K4027">
        <v>0</v>
      </c>
      <c r="L4027">
        <f t="shared" si="124"/>
        <v>6.5</v>
      </c>
      <c r="M4027">
        <f t="shared" si="125"/>
        <v>1</v>
      </c>
    </row>
    <row r="4028" spans="1:13" x14ac:dyDescent="0.3">
      <c r="A4028">
        <v>4026</v>
      </c>
      <c r="B4028">
        <v>4027</v>
      </c>
      <c r="C4028" t="s">
        <v>4111</v>
      </c>
      <c r="D4028">
        <v>2015</v>
      </c>
      <c r="E4028" t="s">
        <v>11</v>
      </c>
      <c r="F4028" t="s">
        <v>814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f t="shared" si="124"/>
        <v>6.5</v>
      </c>
      <c r="M4028">
        <f t="shared" si="125"/>
        <v>1</v>
      </c>
    </row>
    <row r="4029" spans="1:13" x14ac:dyDescent="0.3">
      <c r="A4029">
        <v>4027</v>
      </c>
      <c r="B4029">
        <v>4028</v>
      </c>
      <c r="C4029" t="s">
        <v>4112</v>
      </c>
      <c r="D4029">
        <v>2018</v>
      </c>
      <c r="E4029" t="s">
        <v>11</v>
      </c>
      <c r="F4029" t="s">
        <v>814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f t="shared" si="124"/>
        <v>6.5</v>
      </c>
      <c r="M4029">
        <f t="shared" si="125"/>
        <v>1</v>
      </c>
    </row>
    <row r="4030" spans="1:13" x14ac:dyDescent="0.3">
      <c r="A4030">
        <v>4028</v>
      </c>
      <c r="B4030">
        <v>4029</v>
      </c>
      <c r="C4030" t="s">
        <v>4113</v>
      </c>
      <c r="D4030">
        <v>1988</v>
      </c>
      <c r="E4030" t="s">
        <v>22</v>
      </c>
      <c r="F4030" t="s">
        <v>814</v>
      </c>
      <c r="G4030">
        <v>0</v>
      </c>
      <c r="H4030">
        <v>1</v>
      </c>
      <c r="I4030">
        <v>1</v>
      </c>
      <c r="J4030">
        <v>0</v>
      </c>
      <c r="K4030">
        <v>0</v>
      </c>
      <c r="L4030">
        <f t="shared" si="124"/>
        <v>6.5</v>
      </c>
      <c r="M4030">
        <f t="shared" si="125"/>
        <v>2</v>
      </c>
    </row>
    <row r="4031" spans="1:13" x14ac:dyDescent="0.3">
      <c r="A4031">
        <v>4029</v>
      </c>
      <c r="B4031">
        <v>4030</v>
      </c>
      <c r="C4031" t="s">
        <v>4114</v>
      </c>
      <c r="D4031">
        <v>2007</v>
      </c>
      <c r="E4031" t="s">
        <v>11</v>
      </c>
      <c r="F4031" t="s">
        <v>814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f t="shared" si="124"/>
        <v>6.5</v>
      </c>
      <c r="M4031">
        <f t="shared" si="125"/>
        <v>1</v>
      </c>
    </row>
    <row r="4032" spans="1:13" x14ac:dyDescent="0.3">
      <c r="A4032">
        <v>4030</v>
      </c>
      <c r="B4032">
        <v>4031</v>
      </c>
      <c r="C4032" t="s">
        <v>4115</v>
      </c>
      <c r="D4032">
        <v>2012</v>
      </c>
      <c r="F4032" t="s">
        <v>814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f t="shared" si="124"/>
        <v>6.5</v>
      </c>
      <c r="M4032">
        <f t="shared" si="125"/>
        <v>1</v>
      </c>
    </row>
    <row r="4033" spans="1:13" x14ac:dyDescent="0.3">
      <c r="A4033">
        <v>4031</v>
      </c>
      <c r="B4033">
        <v>4032</v>
      </c>
      <c r="C4033" t="s">
        <v>4116</v>
      </c>
      <c r="D4033">
        <v>2019</v>
      </c>
      <c r="F4033" t="s">
        <v>814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f t="shared" si="124"/>
        <v>6.5</v>
      </c>
      <c r="M4033">
        <f t="shared" si="125"/>
        <v>1</v>
      </c>
    </row>
    <row r="4034" spans="1:13" x14ac:dyDescent="0.3">
      <c r="A4034">
        <v>4032</v>
      </c>
      <c r="B4034">
        <v>4033</v>
      </c>
      <c r="C4034" t="s">
        <v>4117</v>
      </c>
      <c r="D4034">
        <v>2010</v>
      </c>
      <c r="E4034" t="s">
        <v>11</v>
      </c>
      <c r="F4034" t="s">
        <v>814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f t="shared" si="124"/>
        <v>6.5</v>
      </c>
      <c r="M4034">
        <f t="shared" si="125"/>
        <v>1</v>
      </c>
    </row>
    <row r="4035" spans="1:13" x14ac:dyDescent="0.3">
      <c r="A4035">
        <v>4033</v>
      </c>
      <c r="B4035">
        <v>4034</v>
      </c>
      <c r="C4035" t="s">
        <v>4118</v>
      </c>
      <c r="D4035">
        <v>2020</v>
      </c>
      <c r="E4035" t="s">
        <v>22</v>
      </c>
      <c r="F4035" t="s">
        <v>814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f t="shared" ref="L4035:L4098" si="126">IFERROR(VALUE(LEFT(F4035,FIND("/",F4035)-1))/10,"")</f>
        <v>6.5</v>
      </c>
      <c r="M4035">
        <f t="shared" ref="M4035:M4098" si="127">SUM(G4035:J4035)</f>
        <v>1</v>
      </c>
    </row>
    <row r="4036" spans="1:13" x14ac:dyDescent="0.3">
      <c r="A4036">
        <v>4034</v>
      </c>
      <c r="B4036">
        <v>4035</v>
      </c>
      <c r="C4036" t="s">
        <v>4119</v>
      </c>
      <c r="D4036">
        <v>2019</v>
      </c>
      <c r="F4036" t="s">
        <v>814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f t="shared" si="126"/>
        <v>6.5</v>
      </c>
      <c r="M4036">
        <f t="shared" si="127"/>
        <v>1</v>
      </c>
    </row>
    <row r="4037" spans="1:13" x14ac:dyDescent="0.3">
      <c r="A4037">
        <v>4035</v>
      </c>
      <c r="B4037">
        <v>4036</v>
      </c>
      <c r="C4037" t="s">
        <v>4120</v>
      </c>
      <c r="D4037">
        <v>2016</v>
      </c>
      <c r="F4037" t="s">
        <v>814</v>
      </c>
      <c r="G4037">
        <v>0</v>
      </c>
      <c r="H4037">
        <v>1</v>
      </c>
      <c r="I4037">
        <v>0</v>
      </c>
      <c r="J4037">
        <v>0</v>
      </c>
      <c r="K4037">
        <v>0</v>
      </c>
      <c r="L4037">
        <f t="shared" si="126"/>
        <v>6.5</v>
      </c>
      <c r="M4037">
        <f t="shared" si="127"/>
        <v>1</v>
      </c>
    </row>
    <row r="4038" spans="1:13" x14ac:dyDescent="0.3">
      <c r="A4038">
        <v>4036</v>
      </c>
      <c r="B4038">
        <v>4037</v>
      </c>
      <c r="C4038" t="s">
        <v>4121</v>
      </c>
      <c r="D4038">
        <v>1997</v>
      </c>
      <c r="E4038" t="s">
        <v>11</v>
      </c>
      <c r="F4038" t="s">
        <v>814</v>
      </c>
      <c r="G4038">
        <v>0</v>
      </c>
      <c r="H4038">
        <v>1</v>
      </c>
      <c r="I4038">
        <v>0</v>
      </c>
      <c r="J4038">
        <v>0</v>
      </c>
      <c r="K4038">
        <v>0</v>
      </c>
      <c r="L4038">
        <f t="shared" si="126"/>
        <v>6.5</v>
      </c>
      <c r="M4038">
        <f t="shared" si="127"/>
        <v>1</v>
      </c>
    </row>
    <row r="4039" spans="1:13" x14ac:dyDescent="0.3">
      <c r="A4039">
        <v>4037</v>
      </c>
      <c r="B4039">
        <v>4038</v>
      </c>
      <c r="C4039" t="s">
        <v>4122</v>
      </c>
      <c r="D4039">
        <v>2004</v>
      </c>
      <c r="E4039" t="s">
        <v>11</v>
      </c>
      <c r="F4039" t="s">
        <v>814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f t="shared" si="126"/>
        <v>6.5</v>
      </c>
      <c r="M4039">
        <f t="shared" si="127"/>
        <v>1</v>
      </c>
    </row>
    <row r="4040" spans="1:13" x14ac:dyDescent="0.3">
      <c r="A4040">
        <v>4038</v>
      </c>
      <c r="B4040">
        <v>4039</v>
      </c>
      <c r="C4040" t="s">
        <v>4123</v>
      </c>
      <c r="D4040">
        <v>2016</v>
      </c>
      <c r="E4040" t="s">
        <v>14</v>
      </c>
      <c r="F4040" t="s">
        <v>814</v>
      </c>
      <c r="G4040">
        <v>0</v>
      </c>
      <c r="H4040">
        <v>1</v>
      </c>
      <c r="I4040">
        <v>0</v>
      </c>
      <c r="J4040">
        <v>0</v>
      </c>
      <c r="K4040">
        <v>0</v>
      </c>
      <c r="L4040">
        <f t="shared" si="126"/>
        <v>6.5</v>
      </c>
      <c r="M4040">
        <f t="shared" si="127"/>
        <v>1</v>
      </c>
    </row>
    <row r="4041" spans="1:13" x14ac:dyDescent="0.3">
      <c r="A4041">
        <v>4039</v>
      </c>
      <c r="B4041">
        <v>4040</v>
      </c>
      <c r="C4041" t="s">
        <v>4124</v>
      </c>
      <c r="D4041">
        <v>1994</v>
      </c>
      <c r="E4041" t="s">
        <v>14</v>
      </c>
      <c r="F4041" t="s">
        <v>814</v>
      </c>
      <c r="G4041">
        <v>0</v>
      </c>
      <c r="H4041">
        <v>1</v>
      </c>
      <c r="I4041">
        <v>0</v>
      </c>
      <c r="J4041">
        <v>0</v>
      </c>
      <c r="K4041">
        <v>0</v>
      </c>
      <c r="L4041">
        <f t="shared" si="126"/>
        <v>6.5</v>
      </c>
      <c r="M4041">
        <f t="shared" si="127"/>
        <v>1</v>
      </c>
    </row>
    <row r="4042" spans="1:13" x14ac:dyDescent="0.3">
      <c r="A4042">
        <v>4040</v>
      </c>
      <c r="B4042">
        <v>4041</v>
      </c>
      <c r="C4042" t="s">
        <v>4125</v>
      </c>
      <c r="D4042">
        <v>2020</v>
      </c>
      <c r="F4042" t="s">
        <v>814</v>
      </c>
      <c r="G4042">
        <v>0</v>
      </c>
      <c r="H4042">
        <v>1</v>
      </c>
      <c r="I4042">
        <v>0</v>
      </c>
      <c r="J4042">
        <v>0</v>
      </c>
      <c r="K4042">
        <v>0</v>
      </c>
      <c r="L4042">
        <f t="shared" si="126"/>
        <v>6.5</v>
      </c>
      <c r="M4042">
        <f t="shared" si="127"/>
        <v>1</v>
      </c>
    </row>
    <row r="4043" spans="1:13" x14ac:dyDescent="0.3">
      <c r="A4043">
        <v>4041</v>
      </c>
      <c r="B4043">
        <v>4042</v>
      </c>
      <c r="C4043" t="s">
        <v>4126</v>
      </c>
      <c r="D4043">
        <v>2015</v>
      </c>
      <c r="F4043" t="s">
        <v>814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f t="shared" si="126"/>
        <v>6.5</v>
      </c>
      <c r="M4043">
        <f t="shared" si="127"/>
        <v>1</v>
      </c>
    </row>
    <row r="4044" spans="1:13" x14ac:dyDescent="0.3">
      <c r="A4044">
        <v>4042</v>
      </c>
      <c r="B4044">
        <v>4043</v>
      </c>
      <c r="C4044" t="s">
        <v>4127</v>
      </c>
      <c r="D4044">
        <v>2021</v>
      </c>
      <c r="E4044" t="s">
        <v>11</v>
      </c>
      <c r="F4044" t="s">
        <v>814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f t="shared" si="126"/>
        <v>6.5</v>
      </c>
      <c r="M4044">
        <f t="shared" si="127"/>
        <v>1</v>
      </c>
    </row>
    <row r="4045" spans="1:13" x14ac:dyDescent="0.3">
      <c r="A4045">
        <v>4043</v>
      </c>
      <c r="B4045">
        <v>4044</v>
      </c>
      <c r="C4045" t="s">
        <v>4128</v>
      </c>
      <c r="D4045">
        <v>2018</v>
      </c>
      <c r="E4045" t="s">
        <v>22</v>
      </c>
      <c r="F4045" t="s">
        <v>814</v>
      </c>
      <c r="G4045">
        <v>0</v>
      </c>
      <c r="H4045">
        <v>1</v>
      </c>
      <c r="I4045">
        <v>0</v>
      </c>
      <c r="J4045">
        <v>0</v>
      </c>
      <c r="K4045">
        <v>0</v>
      </c>
      <c r="L4045">
        <f t="shared" si="126"/>
        <v>6.5</v>
      </c>
      <c r="M4045">
        <f t="shared" si="127"/>
        <v>1</v>
      </c>
    </row>
    <row r="4046" spans="1:13" x14ac:dyDescent="0.3">
      <c r="A4046">
        <v>4044</v>
      </c>
      <c r="B4046">
        <v>4045</v>
      </c>
      <c r="C4046" t="s">
        <v>4129</v>
      </c>
      <c r="D4046">
        <v>2021</v>
      </c>
      <c r="E4046" t="s">
        <v>11</v>
      </c>
      <c r="F4046" t="s">
        <v>814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f t="shared" si="126"/>
        <v>6.5</v>
      </c>
      <c r="M4046">
        <f t="shared" si="127"/>
        <v>1</v>
      </c>
    </row>
    <row r="4047" spans="1:13" x14ac:dyDescent="0.3">
      <c r="A4047">
        <v>4045</v>
      </c>
      <c r="B4047">
        <v>4046</v>
      </c>
      <c r="C4047" t="s">
        <v>4130</v>
      </c>
      <c r="D4047">
        <v>1985</v>
      </c>
      <c r="E4047" t="s">
        <v>22</v>
      </c>
      <c r="F4047" t="s">
        <v>814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f t="shared" si="126"/>
        <v>6.5</v>
      </c>
      <c r="M4047">
        <f t="shared" si="127"/>
        <v>1</v>
      </c>
    </row>
    <row r="4048" spans="1:13" x14ac:dyDescent="0.3">
      <c r="A4048">
        <v>4046</v>
      </c>
      <c r="B4048">
        <v>4047</v>
      </c>
      <c r="C4048" t="s">
        <v>4131</v>
      </c>
      <c r="D4048">
        <v>2017</v>
      </c>
      <c r="E4048" t="s">
        <v>14</v>
      </c>
      <c r="F4048" t="s">
        <v>814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f t="shared" si="126"/>
        <v>6.5</v>
      </c>
      <c r="M4048">
        <f t="shared" si="127"/>
        <v>1</v>
      </c>
    </row>
    <row r="4049" spans="1:13" x14ac:dyDescent="0.3">
      <c r="A4049">
        <v>4047</v>
      </c>
      <c r="B4049">
        <v>4048</v>
      </c>
      <c r="C4049" t="s">
        <v>4132</v>
      </c>
      <c r="D4049">
        <v>2013</v>
      </c>
      <c r="F4049" t="s">
        <v>814</v>
      </c>
      <c r="G4049">
        <v>0</v>
      </c>
      <c r="H4049">
        <v>1</v>
      </c>
      <c r="I4049">
        <v>0</v>
      </c>
      <c r="J4049">
        <v>0</v>
      </c>
      <c r="K4049">
        <v>0</v>
      </c>
      <c r="L4049">
        <f t="shared" si="126"/>
        <v>6.5</v>
      </c>
      <c r="M4049">
        <f t="shared" si="127"/>
        <v>1</v>
      </c>
    </row>
    <row r="4050" spans="1:13" x14ac:dyDescent="0.3">
      <c r="A4050">
        <v>4048</v>
      </c>
      <c r="B4050">
        <v>4049</v>
      </c>
      <c r="C4050" t="s">
        <v>4133</v>
      </c>
      <c r="D4050">
        <v>2019</v>
      </c>
      <c r="E4050" t="s">
        <v>11</v>
      </c>
      <c r="F4050" t="s">
        <v>814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f t="shared" si="126"/>
        <v>6.5</v>
      </c>
      <c r="M4050">
        <f t="shared" si="127"/>
        <v>1</v>
      </c>
    </row>
    <row r="4051" spans="1:13" x14ac:dyDescent="0.3">
      <c r="A4051">
        <v>4049</v>
      </c>
      <c r="B4051">
        <v>4050</v>
      </c>
      <c r="C4051" t="s">
        <v>4134</v>
      </c>
      <c r="D4051">
        <v>2018</v>
      </c>
      <c r="E4051" t="s">
        <v>22</v>
      </c>
      <c r="F4051" t="s">
        <v>814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f t="shared" si="126"/>
        <v>6.5</v>
      </c>
      <c r="M4051">
        <f t="shared" si="127"/>
        <v>1</v>
      </c>
    </row>
    <row r="4052" spans="1:13" x14ac:dyDescent="0.3">
      <c r="A4052">
        <v>4050</v>
      </c>
      <c r="B4052">
        <v>4051</v>
      </c>
      <c r="C4052" t="s">
        <v>4135</v>
      </c>
      <c r="D4052">
        <v>2014</v>
      </c>
      <c r="E4052" t="s">
        <v>14</v>
      </c>
      <c r="F4052" t="s">
        <v>814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f t="shared" si="126"/>
        <v>6.5</v>
      </c>
      <c r="M4052">
        <f t="shared" si="127"/>
        <v>1</v>
      </c>
    </row>
    <row r="4053" spans="1:13" x14ac:dyDescent="0.3">
      <c r="A4053">
        <v>4051</v>
      </c>
      <c r="B4053">
        <v>4052</v>
      </c>
      <c r="C4053" t="s">
        <v>4136</v>
      </c>
      <c r="D4053">
        <v>2017</v>
      </c>
      <c r="F4053" t="s">
        <v>876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f t="shared" si="126"/>
        <v>6.4</v>
      </c>
      <c r="M4053">
        <f t="shared" si="127"/>
        <v>1</v>
      </c>
    </row>
    <row r="4054" spans="1:13" x14ac:dyDescent="0.3">
      <c r="A4054">
        <v>4052</v>
      </c>
      <c r="B4054">
        <v>4053</v>
      </c>
      <c r="C4054" t="s">
        <v>4137</v>
      </c>
      <c r="D4054">
        <v>2020</v>
      </c>
      <c r="E4054" t="s">
        <v>11</v>
      </c>
      <c r="F4054" t="s">
        <v>876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f t="shared" si="126"/>
        <v>6.4</v>
      </c>
      <c r="M4054">
        <f t="shared" si="127"/>
        <v>1</v>
      </c>
    </row>
    <row r="4055" spans="1:13" x14ac:dyDescent="0.3">
      <c r="A4055">
        <v>4053</v>
      </c>
      <c r="B4055">
        <v>4054</v>
      </c>
      <c r="C4055" t="s">
        <v>4138</v>
      </c>
      <c r="D4055">
        <v>2016</v>
      </c>
      <c r="E4055" t="s">
        <v>11</v>
      </c>
      <c r="F4055" t="s">
        <v>876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f t="shared" si="126"/>
        <v>6.4</v>
      </c>
      <c r="M4055">
        <f t="shared" si="127"/>
        <v>1</v>
      </c>
    </row>
    <row r="4056" spans="1:13" x14ac:dyDescent="0.3">
      <c r="A4056">
        <v>4054</v>
      </c>
      <c r="B4056">
        <v>4055</v>
      </c>
      <c r="C4056" t="s">
        <v>4139</v>
      </c>
      <c r="D4056">
        <v>2020</v>
      </c>
      <c r="E4056" t="s">
        <v>11</v>
      </c>
      <c r="F4056" t="s">
        <v>876</v>
      </c>
      <c r="G4056">
        <v>0</v>
      </c>
      <c r="H4056">
        <v>1</v>
      </c>
      <c r="I4056">
        <v>0</v>
      </c>
      <c r="J4056">
        <v>0</v>
      </c>
      <c r="K4056">
        <v>0</v>
      </c>
      <c r="L4056">
        <f t="shared" si="126"/>
        <v>6.4</v>
      </c>
      <c r="M4056">
        <f t="shared" si="127"/>
        <v>1</v>
      </c>
    </row>
    <row r="4057" spans="1:13" x14ac:dyDescent="0.3">
      <c r="A4057">
        <v>4055</v>
      </c>
      <c r="B4057">
        <v>4056</v>
      </c>
      <c r="C4057" t="s">
        <v>4140</v>
      </c>
      <c r="D4057">
        <v>2013</v>
      </c>
      <c r="F4057" t="s">
        <v>876</v>
      </c>
      <c r="G4057">
        <v>0</v>
      </c>
      <c r="H4057">
        <v>1</v>
      </c>
      <c r="I4057">
        <v>0</v>
      </c>
      <c r="J4057">
        <v>0</v>
      </c>
      <c r="K4057">
        <v>0</v>
      </c>
      <c r="L4057">
        <f t="shared" si="126"/>
        <v>6.4</v>
      </c>
      <c r="M4057">
        <f t="shared" si="127"/>
        <v>1</v>
      </c>
    </row>
    <row r="4058" spans="1:13" x14ac:dyDescent="0.3">
      <c r="A4058">
        <v>4056</v>
      </c>
      <c r="B4058">
        <v>4057</v>
      </c>
      <c r="C4058" t="s">
        <v>4141</v>
      </c>
      <c r="D4058">
        <v>2016</v>
      </c>
      <c r="E4058" t="s">
        <v>36</v>
      </c>
      <c r="F4058" t="s">
        <v>876</v>
      </c>
      <c r="G4058">
        <v>0</v>
      </c>
      <c r="H4058">
        <v>1</v>
      </c>
      <c r="I4058">
        <v>0</v>
      </c>
      <c r="J4058">
        <v>0</v>
      </c>
      <c r="K4058">
        <v>0</v>
      </c>
      <c r="L4058">
        <f t="shared" si="126"/>
        <v>6.4</v>
      </c>
      <c r="M4058">
        <f t="shared" si="127"/>
        <v>1</v>
      </c>
    </row>
    <row r="4059" spans="1:13" x14ac:dyDescent="0.3">
      <c r="A4059">
        <v>4057</v>
      </c>
      <c r="B4059">
        <v>4058</v>
      </c>
      <c r="C4059" t="s">
        <v>4142</v>
      </c>
      <c r="D4059">
        <v>2001</v>
      </c>
      <c r="E4059" t="s">
        <v>11</v>
      </c>
      <c r="F4059" t="s">
        <v>876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f t="shared" si="126"/>
        <v>6.4</v>
      </c>
      <c r="M4059">
        <f t="shared" si="127"/>
        <v>1</v>
      </c>
    </row>
    <row r="4060" spans="1:13" x14ac:dyDescent="0.3">
      <c r="A4060">
        <v>4058</v>
      </c>
      <c r="B4060">
        <v>4059</v>
      </c>
      <c r="C4060" t="s">
        <v>4143</v>
      </c>
      <c r="D4060">
        <v>1995</v>
      </c>
      <c r="E4060" t="s">
        <v>14</v>
      </c>
      <c r="F4060" t="s">
        <v>876</v>
      </c>
      <c r="G4060">
        <v>0</v>
      </c>
      <c r="H4060">
        <v>1</v>
      </c>
      <c r="I4060">
        <v>0</v>
      </c>
      <c r="J4060">
        <v>0</v>
      </c>
      <c r="K4060">
        <v>0</v>
      </c>
      <c r="L4060">
        <f t="shared" si="126"/>
        <v>6.4</v>
      </c>
      <c r="M4060">
        <f t="shared" si="127"/>
        <v>1</v>
      </c>
    </row>
    <row r="4061" spans="1:13" x14ac:dyDescent="0.3">
      <c r="A4061">
        <v>4059</v>
      </c>
      <c r="B4061">
        <v>4060</v>
      </c>
      <c r="C4061" t="s">
        <v>4144</v>
      </c>
      <c r="D4061">
        <v>2005</v>
      </c>
      <c r="E4061" t="s">
        <v>11</v>
      </c>
      <c r="F4061" t="s">
        <v>876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f t="shared" si="126"/>
        <v>6.4</v>
      </c>
      <c r="M4061">
        <f t="shared" si="127"/>
        <v>1</v>
      </c>
    </row>
    <row r="4062" spans="1:13" x14ac:dyDescent="0.3">
      <c r="A4062">
        <v>4060</v>
      </c>
      <c r="B4062">
        <v>4061</v>
      </c>
      <c r="C4062" t="s">
        <v>4145</v>
      </c>
      <c r="D4062">
        <v>2018</v>
      </c>
      <c r="E4062" t="s">
        <v>36</v>
      </c>
      <c r="F4062" t="s">
        <v>876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f t="shared" si="126"/>
        <v>6.4</v>
      </c>
      <c r="M4062">
        <f t="shared" si="127"/>
        <v>1</v>
      </c>
    </row>
    <row r="4063" spans="1:13" x14ac:dyDescent="0.3">
      <c r="A4063">
        <v>4061</v>
      </c>
      <c r="B4063">
        <v>4062</v>
      </c>
      <c r="C4063" t="s">
        <v>4146</v>
      </c>
      <c r="D4063">
        <v>2011</v>
      </c>
      <c r="E4063" t="s">
        <v>11</v>
      </c>
      <c r="F4063" t="s">
        <v>876</v>
      </c>
      <c r="G4063">
        <v>0</v>
      </c>
      <c r="H4063">
        <v>1</v>
      </c>
      <c r="I4063">
        <v>1</v>
      </c>
      <c r="J4063">
        <v>0</v>
      </c>
      <c r="K4063">
        <v>0</v>
      </c>
      <c r="L4063">
        <f t="shared" si="126"/>
        <v>6.4</v>
      </c>
      <c r="M4063">
        <f t="shared" si="127"/>
        <v>2</v>
      </c>
    </row>
    <row r="4064" spans="1:13" x14ac:dyDescent="0.3">
      <c r="A4064">
        <v>4062</v>
      </c>
      <c r="B4064">
        <v>4063</v>
      </c>
      <c r="C4064" t="s">
        <v>4147</v>
      </c>
      <c r="D4064">
        <v>2019</v>
      </c>
      <c r="F4064" t="s">
        <v>876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f t="shared" si="126"/>
        <v>6.4</v>
      </c>
      <c r="M4064">
        <f t="shared" si="127"/>
        <v>1</v>
      </c>
    </row>
    <row r="4065" spans="1:13" x14ac:dyDescent="0.3">
      <c r="A4065">
        <v>4063</v>
      </c>
      <c r="B4065">
        <v>4064</v>
      </c>
      <c r="C4065" t="s">
        <v>4148</v>
      </c>
      <c r="D4065">
        <v>2019</v>
      </c>
      <c r="E4065" t="s">
        <v>11</v>
      </c>
      <c r="F4065" t="s">
        <v>876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f t="shared" si="126"/>
        <v>6.4</v>
      </c>
      <c r="M4065">
        <f t="shared" si="127"/>
        <v>1</v>
      </c>
    </row>
    <row r="4066" spans="1:13" x14ac:dyDescent="0.3">
      <c r="A4066">
        <v>4064</v>
      </c>
      <c r="B4066">
        <v>4065</v>
      </c>
      <c r="C4066" t="s">
        <v>4149</v>
      </c>
      <c r="D4066">
        <v>2020</v>
      </c>
      <c r="E4066" t="s">
        <v>14</v>
      </c>
      <c r="F4066" t="s">
        <v>876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f t="shared" si="126"/>
        <v>6.4</v>
      </c>
      <c r="M4066">
        <f t="shared" si="127"/>
        <v>1</v>
      </c>
    </row>
    <row r="4067" spans="1:13" x14ac:dyDescent="0.3">
      <c r="A4067">
        <v>4065</v>
      </c>
      <c r="B4067">
        <v>4066</v>
      </c>
      <c r="C4067" t="s">
        <v>4150</v>
      </c>
      <c r="D4067">
        <v>2008</v>
      </c>
      <c r="E4067" t="s">
        <v>22</v>
      </c>
      <c r="F4067" t="s">
        <v>876</v>
      </c>
      <c r="G4067">
        <v>0</v>
      </c>
      <c r="H4067">
        <v>1</v>
      </c>
      <c r="I4067">
        <v>0</v>
      </c>
      <c r="J4067">
        <v>0</v>
      </c>
      <c r="K4067">
        <v>0</v>
      </c>
      <c r="L4067">
        <f t="shared" si="126"/>
        <v>6.4</v>
      </c>
      <c r="M4067">
        <f t="shared" si="127"/>
        <v>1</v>
      </c>
    </row>
    <row r="4068" spans="1:13" x14ac:dyDescent="0.3">
      <c r="A4068">
        <v>4066</v>
      </c>
      <c r="B4068">
        <v>4067</v>
      </c>
      <c r="C4068" t="s">
        <v>4151</v>
      </c>
      <c r="D4068">
        <v>2002</v>
      </c>
      <c r="E4068" t="s">
        <v>22</v>
      </c>
      <c r="F4068" t="s">
        <v>876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f t="shared" si="126"/>
        <v>6.4</v>
      </c>
      <c r="M4068">
        <f t="shared" si="127"/>
        <v>1</v>
      </c>
    </row>
    <row r="4069" spans="1:13" x14ac:dyDescent="0.3">
      <c r="A4069">
        <v>4067</v>
      </c>
      <c r="B4069">
        <v>4068</v>
      </c>
      <c r="C4069" t="s">
        <v>4152</v>
      </c>
      <c r="D4069">
        <v>2021</v>
      </c>
      <c r="E4069" t="s">
        <v>22</v>
      </c>
      <c r="F4069" t="s">
        <v>876</v>
      </c>
      <c r="G4069">
        <v>0</v>
      </c>
      <c r="H4069">
        <v>1</v>
      </c>
      <c r="I4069">
        <v>0</v>
      </c>
      <c r="J4069">
        <v>0</v>
      </c>
      <c r="K4069">
        <v>0</v>
      </c>
      <c r="L4069">
        <f t="shared" si="126"/>
        <v>6.4</v>
      </c>
      <c r="M4069">
        <f t="shared" si="127"/>
        <v>1</v>
      </c>
    </row>
    <row r="4070" spans="1:13" x14ac:dyDescent="0.3">
      <c r="A4070">
        <v>4068</v>
      </c>
      <c r="B4070">
        <v>4069</v>
      </c>
      <c r="C4070" t="s">
        <v>4153</v>
      </c>
      <c r="D4070">
        <v>2015</v>
      </c>
      <c r="E4070" t="s">
        <v>11</v>
      </c>
      <c r="F4070" t="s">
        <v>876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f t="shared" si="126"/>
        <v>6.4</v>
      </c>
      <c r="M4070">
        <f t="shared" si="127"/>
        <v>1</v>
      </c>
    </row>
    <row r="4071" spans="1:13" x14ac:dyDescent="0.3">
      <c r="A4071">
        <v>4069</v>
      </c>
      <c r="B4071">
        <v>4070</v>
      </c>
      <c r="C4071" t="s">
        <v>4154</v>
      </c>
      <c r="D4071">
        <v>1999</v>
      </c>
      <c r="E4071" t="s">
        <v>11</v>
      </c>
      <c r="F4071" t="s">
        <v>876</v>
      </c>
      <c r="G4071">
        <v>0</v>
      </c>
      <c r="H4071">
        <v>1</v>
      </c>
      <c r="I4071">
        <v>1</v>
      </c>
      <c r="J4071">
        <v>0</v>
      </c>
      <c r="K4071">
        <v>0</v>
      </c>
      <c r="L4071">
        <f t="shared" si="126"/>
        <v>6.4</v>
      </c>
      <c r="M4071">
        <f t="shared" si="127"/>
        <v>2</v>
      </c>
    </row>
    <row r="4072" spans="1:13" x14ac:dyDescent="0.3">
      <c r="A4072">
        <v>4070</v>
      </c>
      <c r="B4072">
        <v>4071</v>
      </c>
      <c r="C4072" t="s">
        <v>4155</v>
      </c>
      <c r="D4072">
        <v>2016</v>
      </c>
      <c r="E4072" t="s">
        <v>22</v>
      </c>
      <c r="F4072" t="s">
        <v>876</v>
      </c>
      <c r="G4072">
        <v>0</v>
      </c>
      <c r="H4072">
        <v>1</v>
      </c>
      <c r="I4072">
        <v>0</v>
      </c>
      <c r="J4072">
        <v>0</v>
      </c>
      <c r="K4072">
        <v>0</v>
      </c>
      <c r="L4072">
        <f t="shared" si="126"/>
        <v>6.4</v>
      </c>
      <c r="M4072">
        <f t="shared" si="127"/>
        <v>1</v>
      </c>
    </row>
    <row r="4073" spans="1:13" x14ac:dyDescent="0.3">
      <c r="A4073">
        <v>4071</v>
      </c>
      <c r="B4073">
        <v>4072</v>
      </c>
      <c r="C4073" t="s">
        <v>4156</v>
      </c>
      <c r="D4073">
        <v>2012</v>
      </c>
      <c r="E4073" t="s">
        <v>14</v>
      </c>
      <c r="F4073" t="s">
        <v>876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f t="shared" si="126"/>
        <v>6.4</v>
      </c>
      <c r="M4073">
        <f t="shared" si="127"/>
        <v>1</v>
      </c>
    </row>
    <row r="4074" spans="1:13" x14ac:dyDescent="0.3">
      <c r="A4074">
        <v>4072</v>
      </c>
      <c r="B4074">
        <v>4073</v>
      </c>
      <c r="C4074" t="s">
        <v>4157</v>
      </c>
      <c r="D4074">
        <v>2003</v>
      </c>
      <c r="E4074" t="s">
        <v>11</v>
      </c>
      <c r="F4074" t="s">
        <v>876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f t="shared" si="126"/>
        <v>6.4</v>
      </c>
      <c r="M4074">
        <f t="shared" si="127"/>
        <v>1</v>
      </c>
    </row>
    <row r="4075" spans="1:13" x14ac:dyDescent="0.3">
      <c r="A4075">
        <v>4073</v>
      </c>
      <c r="B4075">
        <v>4074</v>
      </c>
      <c r="C4075" t="s">
        <v>4158</v>
      </c>
      <c r="D4075">
        <v>2018</v>
      </c>
      <c r="E4075" t="s">
        <v>11</v>
      </c>
      <c r="F4075" t="s">
        <v>876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f t="shared" si="126"/>
        <v>6.4</v>
      </c>
      <c r="M4075">
        <f t="shared" si="127"/>
        <v>1</v>
      </c>
    </row>
    <row r="4076" spans="1:13" x14ac:dyDescent="0.3">
      <c r="A4076">
        <v>4074</v>
      </c>
      <c r="B4076">
        <v>4075</v>
      </c>
      <c r="C4076" t="s">
        <v>4159</v>
      </c>
      <c r="D4076">
        <v>2014</v>
      </c>
      <c r="E4076" t="s">
        <v>11</v>
      </c>
      <c r="F4076" t="s">
        <v>876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f t="shared" si="126"/>
        <v>6.4</v>
      </c>
      <c r="M4076">
        <f t="shared" si="127"/>
        <v>1</v>
      </c>
    </row>
    <row r="4077" spans="1:13" x14ac:dyDescent="0.3">
      <c r="A4077">
        <v>4075</v>
      </c>
      <c r="B4077">
        <v>4076</v>
      </c>
      <c r="C4077" t="s">
        <v>4160</v>
      </c>
      <c r="D4077">
        <v>1993</v>
      </c>
      <c r="E4077" t="s">
        <v>11</v>
      </c>
      <c r="F4077" t="s">
        <v>876</v>
      </c>
      <c r="G4077">
        <v>0</v>
      </c>
      <c r="H4077">
        <v>1</v>
      </c>
      <c r="I4077">
        <v>0</v>
      </c>
      <c r="J4077">
        <v>0</v>
      </c>
      <c r="K4077">
        <v>0</v>
      </c>
      <c r="L4077">
        <f t="shared" si="126"/>
        <v>6.4</v>
      </c>
      <c r="M4077">
        <f t="shared" si="127"/>
        <v>1</v>
      </c>
    </row>
    <row r="4078" spans="1:13" x14ac:dyDescent="0.3">
      <c r="A4078">
        <v>4076</v>
      </c>
      <c r="B4078">
        <v>4077</v>
      </c>
      <c r="C4078" t="s">
        <v>4161</v>
      </c>
      <c r="D4078">
        <v>2017</v>
      </c>
      <c r="E4078" t="s">
        <v>11</v>
      </c>
      <c r="F4078" t="s">
        <v>876</v>
      </c>
      <c r="G4078">
        <v>0</v>
      </c>
      <c r="H4078">
        <v>1</v>
      </c>
      <c r="I4078">
        <v>0</v>
      </c>
      <c r="J4078">
        <v>0</v>
      </c>
      <c r="K4078">
        <v>0</v>
      </c>
      <c r="L4078">
        <f t="shared" si="126"/>
        <v>6.4</v>
      </c>
      <c r="M4078">
        <f t="shared" si="127"/>
        <v>1</v>
      </c>
    </row>
    <row r="4079" spans="1:13" x14ac:dyDescent="0.3">
      <c r="A4079">
        <v>4077</v>
      </c>
      <c r="B4079">
        <v>4078</v>
      </c>
      <c r="C4079" t="s">
        <v>4162</v>
      </c>
      <c r="D4079">
        <v>2021</v>
      </c>
      <c r="E4079" t="s">
        <v>28</v>
      </c>
      <c r="F4079" t="s">
        <v>876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f t="shared" si="126"/>
        <v>6.4</v>
      </c>
      <c r="M4079">
        <f t="shared" si="127"/>
        <v>1</v>
      </c>
    </row>
    <row r="4080" spans="1:13" x14ac:dyDescent="0.3">
      <c r="A4080">
        <v>4078</v>
      </c>
      <c r="B4080">
        <v>4079</v>
      </c>
      <c r="C4080" t="s">
        <v>4163</v>
      </c>
      <c r="D4080">
        <v>2020</v>
      </c>
      <c r="E4080" t="s">
        <v>11</v>
      </c>
      <c r="F4080" t="s">
        <v>876</v>
      </c>
      <c r="G4080">
        <v>0</v>
      </c>
      <c r="H4080">
        <v>1</v>
      </c>
      <c r="I4080">
        <v>0</v>
      </c>
      <c r="J4080">
        <v>0</v>
      </c>
      <c r="K4080">
        <v>0</v>
      </c>
      <c r="L4080">
        <f t="shared" si="126"/>
        <v>6.4</v>
      </c>
      <c r="M4080">
        <f t="shared" si="127"/>
        <v>1</v>
      </c>
    </row>
    <row r="4081" spans="1:13" x14ac:dyDescent="0.3">
      <c r="A4081">
        <v>4079</v>
      </c>
      <c r="B4081">
        <v>4080</v>
      </c>
      <c r="C4081" t="s">
        <v>4164</v>
      </c>
      <c r="D4081">
        <v>2007</v>
      </c>
      <c r="E4081" t="s">
        <v>11</v>
      </c>
      <c r="F4081" t="s">
        <v>876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f t="shared" si="126"/>
        <v>6.4</v>
      </c>
      <c r="M4081">
        <f t="shared" si="127"/>
        <v>1</v>
      </c>
    </row>
    <row r="4082" spans="1:13" x14ac:dyDescent="0.3">
      <c r="A4082">
        <v>4080</v>
      </c>
      <c r="B4082">
        <v>4081</v>
      </c>
      <c r="C4082" t="s">
        <v>4165</v>
      </c>
      <c r="D4082">
        <v>2017</v>
      </c>
      <c r="E4082" t="s">
        <v>11</v>
      </c>
      <c r="F4082" t="s">
        <v>876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f t="shared" si="126"/>
        <v>6.4</v>
      </c>
      <c r="M4082">
        <f t="shared" si="127"/>
        <v>1</v>
      </c>
    </row>
    <row r="4083" spans="1:13" x14ac:dyDescent="0.3">
      <c r="A4083">
        <v>4081</v>
      </c>
      <c r="B4083">
        <v>4082</v>
      </c>
      <c r="C4083" t="s">
        <v>4166</v>
      </c>
      <c r="D4083">
        <v>1997</v>
      </c>
      <c r="E4083" t="s">
        <v>11</v>
      </c>
      <c r="F4083" t="s">
        <v>876</v>
      </c>
      <c r="G4083">
        <v>0</v>
      </c>
      <c r="H4083">
        <v>1</v>
      </c>
      <c r="I4083">
        <v>0</v>
      </c>
      <c r="J4083">
        <v>0</v>
      </c>
      <c r="K4083">
        <v>0</v>
      </c>
      <c r="L4083">
        <f t="shared" si="126"/>
        <v>6.4</v>
      </c>
      <c r="M4083">
        <f t="shared" si="127"/>
        <v>1</v>
      </c>
    </row>
    <row r="4084" spans="1:13" x14ac:dyDescent="0.3">
      <c r="A4084">
        <v>4082</v>
      </c>
      <c r="B4084">
        <v>4083</v>
      </c>
      <c r="C4084" t="s">
        <v>4167</v>
      </c>
      <c r="D4084">
        <v>2018</v>
      </c>
      <c r="E4084" t="s">
        <v>11</v>
      </c>
      <c r="F4084" t="s">
        <v>876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f t="shared" si="126"/>
        <v>6.4</v>
      </c>
      <c r="M4084">
        <f t="shared" si="127"/>
        <v>1</v>
      </c>
    </row>
    <row r="4085" spans="1:13" x14ac:dyDescent="0.3">
      <c r="A4085">
        <v>4083</v>
      </c>
      <c r="B4085">
        <v>4084</v>
      </c>
      <c r="C4085" t="s">
        <v>4168</v>
      </c>
      <c r="D4085">
        <v>2018</v>
      </c>
      <c r="F4085" t="s">
        <v>876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f t="shared" si="126"/>
        <v>6.4</v>
      </c>
      <c r="M4085">
        <f t="shared" si="127"/>
        <v>1</v>
      </c>
    </row>
    <row r="4086" spans="1:13" x14ac:dyDescent="0.3">
      <c r="A4086">
        <v>4084</v>
      </c>
      <c r="B4086">
        <v>4085</v>
      </c>
      <c r="C4086" t="s">
        <v>4169</v>
      </c>
      <c r="D4086">
        <v>2014</v>
      </c>
      <c r="E4086" t="s">
        <v>11</v>
      </c>
      <c r="F4086" t="s">
        <v>876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f t="shared" si="126"/>
        <v>6.4</v>
      </c>
      <c r="M4086">
        <f t="shared" si="127"/>
        <v>1</v>
      </c>
    </row>
    <row r="4087" spans="1:13" x14ac:dyDescent="0.3">
      <c r="A4087">
        <v>4085</v>
      </c>
      <c r="B4087">
        <v>4086</v>
      </c>
      <c r="C4087" t="s">
        <v>4170</v>
      </c>
      <c r="D4087">
        <v>2020</v>
      </c>
      <c r="E4087" t="s">
        <v>28</v>
      </c>
      <c r="F4087" t="s">
        <v>876</v>
      </c>
      <c r="G4087">
        <v>0</v>
      </c>
      <c r="H4087">
        <v>1</v>
      </c>
      <c r="I4087">
        <v>0</v>
      </c>
      <c r="J4087">
        <v>0</v>
      </c>
      <c r="K4087">
        <v>0</v>
      </c>
      <c r="L4087">
        <f t="shared" si="126"/>
        <v>6.4</v>
      </c>
      <c r="M4087">
        <f t="shared" si="127"/>
        <v>1</v>
      </c>
    </row>
    <row r="4088" spans="1:13" x14ac:dyDescent="0.3">
      <c r="A4088">
        <v>4086</v>
      </c>
      <c r="B4088">
        <v>4087</v>
      </c>
      <c r="C4088">
        <v>31</v>
      </c>
      <c r="D4088">
        <v>2016</v>
      </c>
      <c r="E4088" t="s">
        <v>11</v>
      </c>
      <c r="F4088" t="s">
        <v>876</v>
      </c>
      <c r="G4088">
        <v>0</v>
      </c>
      <c r="H4088">
        <v>1</v>
      </c>
      <c r="I4088">
        <v>1</v>
      </c>
      <c r="J4088">
        <v>0</v>
      </c>
      <c r="K4088">
        <v>0</v>
      </c>
      <c r="L4088">
        <f t="shared" si="126"/>
        <v>6.4</v>
      </c>
      <c r="M4088">
        <f t="shared" si="127"/>
        <v>2</v>
      </c>
    </row>
    <row r="4089" spans="1:13" x14ac:dyDescent="0.3">
      <c r="A4089">
        <v>4087</v>
      </c>
      <c r="B4089">
        <v>4088</v>
      </c>
      <c r="C4089" t="s">
        <v>4171</v>
      </c>
      <c r="D4089">
        <v>2017</v>
      </c>
      <c r="E4089" t="s">
        <v>11</v>
      </c>
      <c r="F4089" t="s">
        <v>955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f t="shared" si="126"/>
        <v>6.3</v>
      </c>
      <c r="M4089">
        <f t="shared" si="127"/>
        <v>1</v>
      </c>
    </row>
    <row r="4090" spans="1:13" x14ac:dyDescent="0.3">
      <c r="A4090">
        <v>4088</v>
      </c>
      <c r="B4090">
        <v>4089</v>
      </c>
      <c r="C4090" t="s">
        <v>4172</v>
      </c>
      <c r="D4090">
        <v>2010</v>
      </c>
      <c r="E4090" t="s">
        <v>14</v>
      </c>
      <c r="F4090" t="s">
        <v>955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f t="shared" si="126"/>
        <v>6.3</v>
      </c>
      <c r="M4090">
        <f t="shared" si="127"/>
        <v>1</v>
      </c>
    </row>
    <row r="4091" spans="1:13" x14ac:dyDescent="0.3">
      <c r="A4091">
        <v>4089</v>
      </c>
      <c r="B4091">
        <v>4090</v>
      </c>
      <c r="C4091" t="s">
        <v>4173</v>
      </c>
      <c r="D4091">
        <v>2014</v>
      </c>
      <c r="E4091" t="s">
        <v>22</v>
      </c>
      <c r="F4091" t="s">
        <v>955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f t="shared" si="126"/>
        <v>6.3</v>
      </c>
      <c r="M4091">
        <f t="shared" si="127"/>
        <v>1</v>
      </c>
    </row>
    <row r="4092" spans="1:13" x14ac:dyDescent="0.3">
      <c r="A4092">
        <v>4090</v>
      </c>
      <c r="B4092">
        <v>4091</v>
      </c>
      <c r="C4092" t="s">
        <v>4174</v>
      </c>
      <c r="D4092">
        <v>2019</v>
      </c>
      <c r="E4092" t="s">
        <v>22</v>
      </c>
      <c r="F4092" t="s">
        <v>955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f t="shared" si="126"/>
        <v>6.3</v>
      </c>
      <c r="M4092">
        <f t="shared" si="127"/>
        <v>1</v>
      </c>
    </row>
    <row r="4093" spans="1:13" x14ac:dyDescent="0.3">
      <c r="A4093">
        <v>4091</v>
      </c>
      <c r="B4093">
        <v>4092</v>
      </c>
      <c r="C4093" t="s">
        <v>4175</v>
      </c>
      <c r="D4093">
        <v>1997</v>
      </c>
      <c r="E4093" t="s">
        <v>11</v>
      </c>
      <c r="F4093" t="s">
        <v>955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f t="shared" si="126"/>
        <v>6.3</v>
      </c>
      <c r="M4093">
        <f t="shared" si="127"/>
        <v>1</v>
      </c>
    </row>
    <row r="4094" spans="1:13" x14ac:dyDescent="0.3">
      <c r="A4094">
        <v>4092</v>
      </c>
      <c r="B4094">
        <v>4093</v>
      </c>
      <c r="C4094" t="s">
        <v>4176</v>
      </c>
      <c r="D4094">
        <v>2016</v>
      </c>
      <c r="F4094" t="s">
        <v>955</v>
      </c>
      <c r="G4094">
        <v>0</v>
      </c>
      <c r="H4094">
        <v>1</v>
      </c>
      <c r="I4094">
        <v>0</v>
      </c>
      <c r="J4094">
        <v>0</v>
      </c>
      <c r="K4094">
        <v>0</v>
      </c>
      <c r="L4094">
        <f t="shared" si="126"/>
        <v>6.3</v>
      </c>
      <c r="M4094">
        <f t="shared" si="127"/>
        <v>1</v>
      </c>
    </row>
    <row r="4095" spans="1:13" x14ac:dyDescent="0.3">
      <c r="A4095">
        <v>4093</v>
      </c>
      <c r="B4095">
        <v>4094</v>
      </c>
      <c r="C4095" t="s">
        <v>4177</v>
      </c>
      <c r="D4095">
        <v>2019</v>
      </c>
      <c r="E4095" t="s">
        <v>11</v>
      </c>
      <c r="F4095" t="s">
        <v>955</v>
      </c>
      <c r="G4095">
        <v>0</v>
      </c>
      <c r="H4095">
        <v>1</v>
      </c>
      <c r="I4095">
        <v>0</v>
      </c>
      <c r="J4095">
        <v>0</v>
      </c>
      <c r="K4095">
        <v>0</v>
      </c>
      <c r="L4095">
        <f t="shared" si="126"/>
        <v>6.3</v>
      </c>
      <c r="M4095">
        <f t="shared" si="127"/>
        <v>1</v>
      </c>
    </row>
    <row r="4096" spans="1:13" x14ac:dyDescent="0.3">
      <c r="A4096">
        <v>4094</v>
      </c>
      <c r="B4096">
        <v>4095</v>
      </c>
      <c r="C4096" t="s">
        <v>4178</v>
      </c>
      <c r="D4096">
        <v>1992</v>
      </c>
      <c r="F4096" t="s">
        <v>955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f t="shared" si="126"/>
        <v>6.3</v>
      </c>
      <c r="M4096">
        <f t="shared" si="127"/>
        <v>1</v>
      </c>
    </row>
    <row r="4097" spans="1:13" x14ac:dyDescent="0.3">
      <c r="A4097">
        <v>4095</v>
      </c>
      <c r="B4097">
        <v>4096</v>
      </c>
      <c r="C4097" t="s">
        <v>4179</v>
      </c>
      <c r="D4097">
        <v>2021</v>
      </c>
      <c r="E4097" t="s">
        <v>28</v>
      </c>
      <c r="F4097" t="s">
        <v>955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f t="shared" si="126"/>
        <v>6.3</v>
      </c>
      <c r="M4097">
        <f t="shared" si="127"/>
        <v>1</v>
      </c>
    </row>
    <row r="4098" spans="1:13" x14ac:dyDescent="0.3">
      <c r="A4098">
        <v>4096</v>
      </c>
      <c r="B4098">
        <v>4097</v>
      </c>
      <c r="C4098" t="s">
        <v>4180</v>
      </c>
      <c r="D4098">
        <v>2019</v>
      </c>
      <c r="E4098" t="s">
        <v>11</v>
      </c>
      <c r="F4098" t="s">
        <v>955</v>
      </c>
      <c r="G4098">
        <v>0</v>
      </c>
      <c r="H4098">
        <v>1</v>
      </c>
      <c r="I4098">
        <v>0</v>
      </c>
      <c r="J4098">
        <v>0</v>
      </c>
      <c r="K4098">
        <v>0</v>
      </c>
      <c r="L4098">
        <f t="shared" si="126"/>
        <v>6.3</v>
      </c>
      <c r="M4098">
        <f t="shared" si="127"/>
        <v>1</v>
      </c>
    </row>
    <row r="4099" spans="1:13" x14ac:dyDescent="0.3">
      <c r="A4099">
        <v>4097</v>
      </c>
      <c r="B4099">
        <v>4098</v>
      </c>
      <c r="C4099" t="s">
        <v>4181</v>
      </c>
      <c r="D4099">
        <v>2018</v>
      </c>
      <c r="F4099" t="s">
        <v>955</v>
      </c>
      <c r="G4099">
        <v>0</v>
      </c>
      <c r="H4099">
        <v>1</v>
      </c>
      <c r="I4099">
        <v>0</v>
      </c>
      <c r="J4099">
        <v>0</v>
      </c>
      <c r="K4099">
        <v>0</v>
      </c>
      <c r="L4099">
        <f t="shared" ref="L4099:L4162" si="128">IFERROR(VALUE(LEFT(F4099,FIND("/",F4099)-1))/10,"")</f>
        <v>6.3</v>
      </c>
      <c r="M4099">
        <f t="shared" ref="M4099:M4162" si="129">SUM(G4099:J4099)</f>
        <v>1</v>
      </c>
    </row>
    <row r="4100" spans="1:13" x14ac:dyDescent="0.3">
      <c r="A4100">
        <v>4098</v>
      </c>
      <c r="B4100">
        <v>4099</v>
      </c>
      <c r="C4100" t="s">
        <v>4182</v>
      </c>
      <c r="D4100">
        <v>2017</v>
      </c>
      <c r="E4100" t="s">
        <v>11</v>
      </c>
      <c r="F4100" t="s">
        <v>955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f t="shared" si="128"/>
        <v>6.3</v>
      </c>
      <c r="M4100">
        <f t="shared" si="129"/>
        <v>1</v>
      </c>
    </row>
    <row r="4101" spans="1:13" x14ac:dyDescent="0.3">
      <c r="A4101">
        <v>4099</v>
      </c>
      <c r="B4101">
        <v>4100</v>
      </c>
      <c r="C4101" t="s">
        <v>4183</v>
      </c>
      <c r="D4101">
        <v>2017</v>
      </c>
      <c r="E4101" t="s">
        <v>11</v>
      </c>
      <c r="F4101" t="s">
        <v>955</v>
      </c>
      <c r="G4101">
        <v>0</v>
      </c>
      <c r="H4101">
        <v>1</v>
      </c>
      <c r="I4101">
        <v>1</v>
      </c>
      <c r="J4101">
        <v>0</v>
      </c>
      <c r="K4101">
        <v>0</v>
      </c>
      <c r="L4101">
        <f t="shared" si="128"/>
        <v>6.3</v>
      </c>
      <c r="M4101">
        <f t="shared" si="129"/>
        <v>2</v>
      </c>
    </row>
    <row r="4102" spans="1:13" x14ac:dyDescent="0.3">
      <c r="A4102">
        <v>4100</v>
      </c>
      <c r="B4102">
        <v>4101</v>
      </c>
      <c r="C4102" t="s">
        <v>4184</v>
      </c>
      <c r="D4102">
        <v>2021</v>
      </c>
      <c r="E4102" t="s">
        <v>22</v>
      </c>
      <c r="F4102" t="s">
        <v>955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f t="shared" si="128"/>
        <v>6.3</v>
      </c>
      <c r="M4102">
        <f t="shared" si="129"/>
        <v>1</v>
      </c>
    </row>
    <row r="4103" spans="1:13" x14ac:dyDescent="0.3">
      <c r="A4103">
        <v>4101</v>
      </c>
      <c r="B4103">
        <v>4102</v>
      </c>
      <c r="C4103" t="s">
        <v>4185</v>
      </c>
      <c r="D4103">
        <v>2007</v>
      </c>
      <c r="F4103" t="s">
        <v>955</v>
      </c>
      <c r="G4103">
        <v>0</v>
      </c>
      <c r="H4103">
        <v>1</v>
      </c>
      <c r="I4103">
        <v>0</v>
      </c>
      <c r="J4103">
        <v>0</v>
      </c>
      <c r="K4103">
        <v>0</v>
      </c>
      <c r="L4103">
        <f t="shared" si="128"/>
        <v>6.3</v>
      </c>
      <c r="M4103">
        <f t="shared" si="129"/>
        <v>1</v>
      </c>
    </row>
    <row r="4104" spans="1:13" x14ac:dyDescent="0.3">
      <c r="A4104">
        <v>4102</v>
      </c>
      <c r="B4104">
        <v>4103</v>
      </c>
      <c r="C4104" t="s">
        <v>4186</v>
      </c>
      <c r="D4104">
        <v>2008</v>
      </c>
      <c r="E4104" t="s">
        <v>14</v>
      </c>
      <c r="F4104" t="s">
        <v>955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f t="shared" si="128"/>
        <v>6.3</v>
      </c>
      <c r="M4104">
        <f t="shared" si="129"/>
        <v>1</v>
      </c>
    </row>
    <row r="4105" spans="1:13" x14ac:dyDescent="0.3">
      <c r="A4105">
        <v>4103</v>
      </c>
      <c r="B4105">
        <v>4104</v>
      </c>
      <c r="C4105" t="s">
        <v>4187</v>
      </c>
      <c r="D4105">
        <v>2019</v>
      </c>
      <c r="F4105" t="s">
        <v>955</v>
      </c>
      <c r="G4105">
        <v>0</v>
      </c>
      <c r="H4105">
        <v>1</v>
      </c>
      <c r="I4105">
        <v>0</v>
      </c>
      <c r="J4105">
        <v>0</v>
      </c>
      <c r="K4105">
        <v>0</v>
      </c>
      <c r="L4105">
        <f t="shared" si="128"/>
        <v>6.3</v>
      </c>
      <c r="M4105">
        <f t="shared" si="129"/>
        <v>1</v>
      </c>
    </row>
    <row r="4106" spans="1:13" x14ac:dyDescent="0.3">
      <c r="A4106">
        <v>4104</v>
      </c>
      <c r="B4106">
        <v>4105</v>
      </c>
      <c r="C4106" t="s">
        <v>4188</v>
      </c>
      <c r="D4106">
        <v>2016</v>
      </c>
      <c r="F4106" t="s">
        <v>955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f t="shared" si="128"/>
        <v>6.3</v>
      </c>
      <c r="M4106">
        <f t="shared" si="129"/>
        <v>1</v>
      </c>
    </row>
    <row r="4107" spans="1:13" x14ac:dyDescent="0.3">
      <c r="A4107">
        <v>4105</v>
      </c>
      <c r="B4107">
        <v>4106</v>
      </c>
      <c r="C4107" t="s">
        <v>4189</v>
      </c>
      <c r="D4107">
        <v>1973</v>
      </c>
      <c r="E4107" t="s">
        <v>11</v>
      </c>
      <c r="F4107" t="s">
        <v>955</v>
      </c>
      <c r="G4107">
        <v>0</v>
      </c>
      <c r="H4107">
        <v>1</v>
      </c>
      <c r="I4107">
        <v>0</v>
      </c>
      <c r="J4107">
        <v>0</v>
      </c>
      <c r="K4107">
        <v>0</v>
      </c>
      <c r="L4107">
        <f t="shared" si="128"/>
        <v>6.3</v>
      </c>
      <c r="M4107">
        <f t="shared" si="129"/>
        <v>1</v>
      </c>
    </row>
    <row r="4108" spans="1:13" x14ac:dyDescent="0.3">
      <c r="A4108">
        <v>4106</v>
      </c>
      <c r="B4108">
        <v>4107</v>
      </c>
      <c r="C4108" t="s">
        <v>4190</v>
      </c>
      <c r="D4108">
        <v>2020</v>
      </c>
      <c r="E4108" t="s">
        <v>11</v>
      </c>
      <c r="F4108" t="s">
        <v>955</v>
      </c>
      <c r="G4108">
        <v>0</v>
      </c>
      <c r="H4108">
        <v>1</v>
      </c>
      <c r="I4108">
        <v>0</v>
      </c>
      <c r="J4108">
        <v>0</v>
      </c>
      <c r="K4108">
        <v>0</v>
      </c>
      <c r="L4108">
        <f t="shared" si="128"/>
        <v>6.3</v>
      </c>
      <c r="M4108">
        <f t="shared" si="129"/>
        <v>1</v>
      </c>
    </row>
    <row r="4109" spans="1:13" x14ac:dyDescent="0.3">
      <c r="A4109">
        <v>4107</v>
      </c>
      <c r="B4109">
        <v>4108</v>
      </c>
      <c r="C4109" t="s">
        <v>4191</v>
      </c>
      <c r="D4109">
        <v>2000</v>
      </c>
      <c r="F4109" t="s">
        <v>955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f t="shared" si="128"/>
        <v>6.3</v>
      </c>
      <c r="M4109">
        <f t="shared" si="129"/>
        <v>1</v>
      </c>
    </row>
    <row r="4110" spans="1:13" x14ac:dyDescent="0.3">
      <c r="A4110">
        <v>4108</v>
      </c>
      <c r="B4110">
        <v>4109</v>
      </c>
      <c r="C4110" t="s">
        <v>4192</v>
      </c>
      <c r="D4110">
        <v>2016</v>
      </c>
      <c r="E4110" t="s">
        <v>36</v>
      </c>
      <c r="F4110" t="s">
        <v>955</v>
      </c>
      <c r="G4110">
        <v>0</v>
      </c>
      <c r="H4110">
        <v>1</v>
      </c>
      <c r="I4110">
        <v>1</v>
      </c>
      <c r="J4110">
        <v>0</v>
      </c>
      <c r="K4110">
        <v>0</v>
      </c>
      <c r="L4110">
        <f t="shared" si="128"/>
        <v>6.3</v>
      </c>
      <c r="M4110">
        <f t="shared" si="129"/>
        <v>2</v>
      </c>
    </row>
    <row r="4111" spans="1:13" x14ac:dyDescent="0.3">
      <c r="A4111">
        <v>4109</v>
      </c>
      <c r="B4111">
        <v>4110</v>
      </c>
      <c r="C4111" t="s">
        <v>4193</v>
      </c>
      <c r="D4111">
        <v>2010</v>
      </c>
      <c r="E4111" t="s">
        <v>14</v>
      </c>
      <c r="F4111" t="s">
        <v>955</v>
      </c>
      <c r="G4111">
        <v>0</v>
      </c>
      <c r="H4111">
        <v>1</v>
      </c>
      <c r="I4111">
        <v>1</v>
      </c>
      <c r="J4111">
        <v>0</v>
      </c>
      <c r="K4111">
        <v>0</v>
      </c>
      <c r="L4111">
        <f t="shared" si="128"/>
        <v>6.3</v>
      </c>
      <c r="M4111">
        <f t="shared" si="129"/>
        <v>2</v>
      </c>
    </row>
    <row r="4112" spans="1:13" x14ac:dyDescent="0.3">
      <c r="A4112">
        <v>4110</v>
      </c>
      <c r="B4112">
        <v>4111</v>
      </c>
      <c r="C4112" t="s">
        <v>4194</v>
      </c>
      <c r="D4112">
        <v>2018</v>
      </c>
      <c r="E4112" t="s">
        <v>22</v>
      </c>
      <c r="F4112" t="s">
        <v>955</v>
      </c>
      <c r="G4112">
        <v>0</v>
      </c>
      <c r="H4112">
        <v>1</v>
      </c>
      <c r="I4112">
        <v>0</v>
      </c>
      <c r="J4112">
        <v>0</v>
      </c>
      <c r="K4112">
        <v>0</v>
      </c>
      <c r="L4112">
        <f t="shared" si="128"/>
        <v>6.3</v>
      </c>
      <c r="M4112">
        <f t="shared" si="129"/>
        <v>1</v>
      </c>
    </row>
    <row r="4113" spans="1:13" x14ac:dyDescent="0.3">
      <c r="A4113">
        <v>4111</v>
      </c>
      <c r="B4113">
        <v>4112</v>
      </c>
      <c r="C4113" t="s">
        <v>4195</v>
      </c>
      <c r="D4113">
        <v>2019</v>
      </c>
      <c r="E4113" t="s">
        <v>11</v>
      </c>
      <c r="F4113" t="s">
        <v>955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f t="shared" si="128"/>
        <v>6.3</v>
      </c>
      <c r="M4113">
        <f t="shared" si="129"/>
        <v>1</v>
      </c>
    </row>
    <row r="4114" spans="1:13" x14ac:dyDescent="0.3">
      <c r="A4114">
        <v>4112</v>
      </c>
      <c r="B4114">
        <v>4113</v>
      </c>
      <c r="C4114" t="s">
        <v>4196</v>
      </c>
      <c r="D4114">
        <v>2015</v>
      </c>
      <c r="F4114" t="s">
        <v>955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f t="shared" si="128"/>
        <v>6.3</v>
      </c>
      <c r="M4114">
        <f t="shared" si="129"/>
        <v>1</v>
      </c>
    </row>
    <row r="4115" spans="1:13" x14ac:dyDescent="0.3">
      <c r="A4115">
        <v>4113</v>
      </c>
      <c r="B4115">
        <v>4114</v>
      </c>
      <c r="C4115" t="s">
        <v>4197</v>
      </c>
      <c r="D4115">
        <v>2010</v>
      </c>
      <c r="E4115" t="s">
        <v>28</v>
      </c>
      <c r="F4115" t="s">
        <v>955</v>
      </c>
      <c r="G4115">
        <v>0</v>
      </c>
      <c r="H4115">
        <v>1</v>
      </c>
      <c r="I4115">
        <v>0</v>
      </c>
      <c r="J4115">
        <v>0</v>
      </c>
      <c r="K4115">
        <v>0</v>
      </c>
      <c r="L4115">
        <f t="shared" si="128"/>
        <v>6.3</v>
      </c>
      <c r="M4115">
        <f t="shared" si="129"/>
        <v>1</v>
      </c>
    </row>
    <row r="4116" spans="1:13" x14ac:dyDescent="0.3">
      <c r="A4116">
        <v>4114</v>
      </c>
      <c r="B4116">
        <v>4115</v>
      </c>
      <c r="C4116" t="s">
        <v>4198</v>
      </c>
      <c r="D4116">
        <v>2015</v>
      </c>
      <c r="F4116" t="s">
        <v>955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f t="shared" si="128"/>
        <v>6.3</v>
      </c>
      <c r="M4116">
        <f t="shared" si="129"/>
        <v>1</v>
      </c>
    </row>
    <row r="4117" spans="1:13" x14ac:dyDescent="0.3">
      <c r="A4117">
        <v>4115</v>
      </c>
      <c r="B4117">
        <v>4116</v>
      </c>
      <c r="C4117" t="s">
        <v>4199</v>
      </c>
      <c r="D4117">
        <v>2016</v>
      </c>
      <c r="E4117" t="s">
        <v>22</v>
      </c>
      <c r="F4117" t="s">
        <v>955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f t="shared" si="128"/>
        <v>6.3</v>
      </c>
      <c r="M4117">
        <f t="shared" si="129"/>
        <v>1</v>
      </c>
    </row>
    <row r="4118" spans="1:13" x14ac:dyDescent="0.3">
      <c r="A4118">
        <v>4116</v>
      </c>
      <c r="B4118">
        <v>4117</v>
      </c>
      <c r="C4118" t="s">
        <v>4200</v>
      </c>
      <c r="D4118">
        <v>2017</v>
      </c>
      <c r="E4118" t="s">
        <v>11</v>
      </c>
      <c r="F4118" t="s">
        <v>955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f t="shared" si="128"/>
        <v>6.3</v>
      </c>
      <c r="M4118">
        <f t="shared" si="129"/>
        <v>1</v>
      </c>
    </row>
    <row r="4119" spans="1:13" x14ac:dyDescent="0.3">
      <c r="A4119">
        <v>4117</v>
      </c>
      <c r="B4119">
        <v>4118</v>
      </c>
      <c r="C4119" t="s">
        <v>4201</v>
      </c>
      <c r="D4119">
        <v>1995</v>
      </c>
      <c r="E4119" t="s">
        <v>11</v>
      </c>
      <c r="F4119" t="s">
        <v>955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f t="shared" si="128"/>
        <v>6.3</v>
      </c>
      <c r="M4119">
        <f t="shared" si="129"/>
        <v>1</v>
      </c>
    </row>
    <row r="4120" spans="1:13" x14ac:dyDescent="0.3">
      <c r="A4120">
        <v>4118</v>
      </c>
      <c r="B4120">
        <v>4119</v>
      </c>
      <c r="C4120" t="s">
        <v>4202</v>
      </c>
      <c r="D4120">
        <v>2013</v>
      </c>
      <c r="E4120" t="s">
        <v>11</v>
      </c>
      <c r="F4120" t="s">
        <v>955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f t="shared" si="128"/>
        <v>6.3</v>
      </c>
      <c r="M4120">
        <f t="shared" si="129"/>
        <v>1</v>
      </c>
    </row>
    <row r="4121" spans="1:13" x14ac:dyDescent="0.3">
      <c r="A4121">
        <v>4119</v>
      </c>
      <c r="B4121">
        <v>4120</v>
      </c>
      <c r="C4121" t="s">
        <v>4203</v>
      </c>
      <c r="D4121">
        <v>2020</v>
      </c>
      <c r="E4121" t="s">
        <v>11</v>
      </c>
      <c r="F4121" t="s">
        <v>955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f t="shared" si="128"/>
        <v>6.3</v>
      </c>
      <c r="M4121">
        <f t="shared" si="129"/>
        <v>1</v>
      </c>
    </row>
    <row r="4122" spans="1:13" x14ac:dyDescent="0.3">
      <c r="A4122">
        <v>4120</v>
      </c>
      <c r="B4122">
        <v>4121</v>
      </c>
      <c r="C4122" t="s">
        <v>4204</v>
      </c>
      <c r="D4122">
        <v>2020</v>
      </c>
      <c r="E4122" t="s">
        <v>28</v>
      </c>
      <c r="F4122" t="s">
        <v>955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f t="shared" si="128"/>
        <v>6.3</v>
      </c>
      <c r="M4122">
        <f t="shared" si="129"/>
        <v>1</v>
      </c>
    </row>
    <row r="4123" spans="1:13" x14ac:dyDescent="0.3">
      <c r="A4123">
        <v>4121</v>
      </c>
      <c r="B4123">
        <v>4122</v>
      </c>
      <c r="C4123" t="s">
        <v>4205</v>
      </c>
      <c r="D4123">
        <v>2017</v>
      </c>
      <c r="F4123" t="s">
        <v>955</v>
      </c>
      <c r="G4123">
        <v>0</v>
      </c>
      <c r="H4123">
        <v>1</v>
      </c>
      <c r="I4123">
        <v>0</v>
      </c>
      <c r="J4123">
        <v>0</v>
      </c>
      <c r="K4123">
        <v>0</v>
      </c>
      <c r="L4123">
        <f t="shared" si="128"/>
        <v>6.3</v>
      </c>
      <c r="M4123">
        <f t="shared" si="129"/>
        <v>1</v>
      </c>
    </row>
    <row r="4124" spans="1:13" x14ac:dyDescent="0.3">
      <c r="A4124">
        <v>4122</v>
      </c>
      <c r="B4124">
        <v>4123</v>
      </c>
      <c r="C4124" t="s">
        <v>4206</v>
      </c>
      <c r="D4124">
        <v>2016</v>
      </c>
      <c r="F4124" t="s">
        <v>955</v>
      </c>
      <c r="G4124">
        <v>0</v>
      </c>
      <c r="H4124">
        <v>1</v>
      </c>
      <c r="I4124">
        <v>0</v>
      </c>
      <c r="J4124">
        <v>0</v>
      </c>
      <c r="K4124">
        <v>0</v>
      </c>
      <c r="L4124">
        <f t="shared" si="128"/>
        <v>6.3</v>
      </c>
      <c r="M4124">
        <f t="shared" si="129"/>
        <v>1</v>
      </c>
    </row>
    <row r="4125" spans="1:13" x14ac:dyDescent="0.3">
      <c r="A4125">
        <v>4123</v>
      </c>
      <c r="B4125">
        <v>4124</v>
      </c>
      <c r="C4125" t="s">
        <v>4207</v>
      </c>
      <c r="D4125">
        <v>1992</v>
      </c>
      <c r="E4125" t="s">
        <v>11</v>
      </c>
      <c r="F4125" t="s">
        <v>955</v>
      </c>
      <c r="G4125">
        <v>0</v>
      </c>
      <c r="H4125">
        <v>1</v>
      </c>
      <c r="I4125">
        <v>0</v>
      </c>
      <c r="J4125">
        <v>0</v>
      </c>
      <c r="K4125">
        <v>0</v>
      </c>
      <c r="L4125">
        <f t="shared" si="128"/>
        <v>6.3</v>
      </c>
      <c r="M4125">
        <f t="shared" si="129"/>
        <v>1</v>
      </c>
    </row>
    <row r="4126" spans="1:13" x14ac:dyDescent="0.3">
      <c r="A4126">
        <v>4124</v>
      </c>
      <c r="B4126">
        <v>4125</v>
      </c>
      <c r="C4126" t="s">
        <v>4208</v>
      </c>
      <c r="D4126">
        <v>2010</v>
      </c>
      <c r="E4126" t="s">
        <v>14</v>
      </c>
      <c r="F4126" t="s">
        <v>1038</v>
      </c>
      <c r="G4126">
        <v>0</v>
      </c>
      <c r="H4126">
        <v>1</v>
      </c>
      <c r="I4126">
        <v>0</v>
      </c>
      <c r="J4126">
        <v>0</v>
      </c>
      <c r="K4126">
        <v>0</v>
      </c>
      <c r="L4126">
        <f t="shared" si="128"/>
        <v>6.2</v>
      </c>
      <c r="M4126">
        <f t="shared" si="129"/>
        <v>1</v>
      </c>
    </row>
    <row r="4127" spans="1:13" x14ac:dyDescent="0.3">
      <c r="A4127">
        <v>4125</v>
      </c>
      <c r="B4127">
        <v>4126</v>
      </c>
      <c r="C4127" t="s">
        <v>4209</v>
      </c>
      <c r="D4127">
        <v>2020</v>
      </c>
      <c r="F4127" t="s">
        <v>1038</v>
      </c>
      <c r="G4127">
        <v>0</v>
      </c>
      <c r="H4127">
        <v>1</v>
      </c>
      <c r="I4127">
        <v>0</v>
      </c>
      <c r="J4127">
        <v>0</v>
      </c>
      <c r="K4127">
        <v>0</v>
      </c>
      <c r="L4127">
        <f t="shared" si="128"/>
        <v>6.2</v>
      </c>
      <c r="M4127">
        <f t="shared" si="129"/>
        <v>1</v>
      </c>
    </row>
    <row r="4128" spans="1:13" x14ac:dyDescent="0.3">
      <c r="A4128">
        <v>4126</v>
      </c>
      <c r="B4128">
        <v>4127</v>
      </c>
      <c r="C4128" t="s">
        <v>4210</v>
      </c>
      <c r="D4128">
        <v>2014</v>
      </c>
      <c r="E4128" t="s">
        <v>11</v>
      </c>
      <c r="F4128" t="s">
        <v>1038</v>
      </c>
      <c r="G4128">
        <v>0</v>
      </c>
      <c r="H4128">
        <v>1</v>
      </c>
      <c r="I4128">
        <v>1</v>
      </c>
      <c r="J4128">
        <v>0</v>
      </c>
      <c r="K4128">
        <v>0</v>
      </c>
      <c r="L4128">
        <f t="shared" si="128"/>
        <v>6.2</v>
      </c>
      <c r="M4128">
        <f t="shared" si="129"/>
        <v>2</v>
      </c>
    </row>
    <row r="4129" spans="1:13" x14ac:dyDescent="0.3">
      <c r="A4129">
        <v>4127</v>
      </c>
      <c r="B4129">
        <v>4128</v>
      </c>
      <c r="C4129" t="s">
        <v>4211</v>
      </c>
      <c r="D4129">
        <v>2020</v>
      </c>
      <c r="F4129" t="s">
        <v>1038</v>
      </c>
      <c r="G4129">
        <v>0</v>
      </c>
      <c r="H4129">
        <v>1</v>
      </c>
      <c r="I4129">
        <v>0</v>
      </c>
      <c r="J4129">
        <v>0</v>
      </c>
      <c r="K4129">
        <v>0</v>
      </c>
      <c r="L4129">
        <f t="shared" si="128"/>
        <v>6.2</v>
      </c>
      <c r="M4129">
        <f t="shared" si="129"/>
        <v>1</v>
      </c>
    </row>
    <row r="4130" spans="1:13" x14ac:dyDescent="0.3">
      <c r="A4130">
        <v>4128</v>
      </c>
      <c r="B4130">
        <v>4129</v>
      </c>
      <c r="C4130" t="s">
        <v>4212</v>
      </c>
      <c r="D4130">
        <v>2017</v>
      </c>
      <c r="E4130" t="s">
        <v>11</v>
      </c>
      <c r="F4130" t="s">
        <v>1038</v>
      </c>
      <c r="G4130">
        <v>0</v>
      </c>
      <c r="H4130">
        <v>1</v>
      </c>
      <c r="I4130">
        <v>0</v>
      </c>
      <c r="J4130">
        <v>0</v>
      </c>
      <c r="K4130">
        <v>0</v>
      </c>
      <c r="L4130">
        <f t="shared" si="128"/>
        <v>6.2</v>
      </c>
      <c r="M4130">
        <f t="shared" si="129"/>
        <v>1</v>
      </c>
    </row>
    <row r="4131" spans="1:13" x14ac:dyDescent="0.3">
      <c r="A4131">
        <v>4129</v>
      </c>
      <c r="B4131">
        <v>4130</v>
      </c>
      <c r="C4131" t="s">
        <v>4213</v>
      </c>
      <c r="D4131">
        <v>2019</v>
      </c>
      <c r="E4131" t="s">
        <v>11</v>
      </c>
      <c r="F4131" t="s">
        <v>1038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f t="shared" si="128"/>
        <v>6.2</v>
      </c>
      <c r="M4131">
        <f t="shared" si="129"/>
        <v>1</v>
      </c>
    </row>
    <row r="4132" spans="1:13" x14ac:dyDescent="0.3">
      <c r="A4132">
        <v>4130</v>
      </c>
      <c r="B4132">
        <v>4131</v>
      </c>
      <c r="C4132" t="s">
        <v>4214</v>
      </c>
      <c r="D4132">
        <v>2016</v>
      </c>
      <c r="F4132" t="s">
        <v>1038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f t="shared" si="128"/>
        <v>6.2</v>
      </c>
      <c r="M4132">
        <f t="shared" si="129"/>
        <v>1</v>
      </c>
    </row>
    <row r="4133" spans="1:13" x14ac:dyDescent="0.3">
      <c r="A4133">
        <v>4131</v>
      </c>
      <c r="B4133">
        <v>4132</v>
      </c>
      <c r="C4133" t="s">
        <v>4215</v>
      </c>
      <c r="D4133">
        <v>2019</v>
      </c>
      <c r="E4133" t="s">
        <v>11</v>
      </c>
      <c r="F4133" t="s">
        <v>1038</v>
      </c>
      <c r="G4133">
        <v>0</v>
      </c>
      <c r="H4133">
        <v>1</v>
      </c>
      <c r="I4133">
        <v>0</v>
      </c>
      <c r="J4133">
        <v>1</v>
      </c>
      <c r="K4133">
        <v>0</v>
      </c>
      <c r="L4133">
        <f t="shared" si="128"/>
        <v>6.2</v>
      </c>
      <c r="M4133">
        <f t="shared" si="129"/>
        <v>2</v>
      </c>
    </row>
    <row r="4134" spans="1:13" x14ac:dyDescent="0.3">
      <c r="A4134">
        <v>4132</v>
      </c>
      <c r="B4134">
        <v>4133</v>
      </c>
      <c r="C4134" t="s">
        <v>4216</v>
      </c>
      <c r="D4134">
        <v>1993</v>
      </c>
      <c r="F4134" t="s">
        <v>1038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f t="shared" si="128"/>
        <v>6.2</v>
      </c>
      <c r="M4134">
        <f t="shared" si="129"/>
        <v>1</v>
      </c>
    </row>
    <row r="4135" spans="1:13" x14ac:dyDescent="0.3">
      <c r="A4135">
        <v>4133</v>
      </c>
      <c r="B4135">
        <v>4134</v>
      </c>
      <c r="C4135" t="s">
        <v>4217</v>
      </c>
      <c r="D4135">
        <v>2019</v>
      </c>
      <c r="E4135" t="s">
        <v>11</v>
      </c>
      <c r="F4135" t="s">
        <v>1038</v>
      </c>
      <c r="G4135">
        <v>0</v>
      </c>
      <c r="H4135">
        <v>1</v>
      </c>
      <c r="I4135">
        <v>0</v>
      </c>
      <c r="J4135">
        <v>0</v>
      </c>
      <c r="K4135">
        <v>0</v>
      </c>
      <c r="L4135">
        <f t="shared" si="128"/>
        <v>6.2</v>
      </c>
      <c r="M4135">
        <f t="shared" si="129"/>
        <v>1</v>
      </c>
    </row>
    <row r="4136" spans="1:13" x14ac:dyDescent="0.3">
      <c r="A4136">
        <v>4134</v>
      </c>
      <c r="B4136">
        <v>4135</v>
      </c>
      <c r="C4136">
        <v>2067</v>
      </c>
      <c r="D4136">
        <v>2020</v>
      </c>
      <c r="E4136" t="s">
        <v>28</v>
      </c>
      <c r="F4136" t="s">
        <v>1038</v>
      </c>
      <c r="G4136">
        <v>0</v>
      </c>
      <c r="H4136">
        <v>1</v>
      </c>
      <c r="I4136">
        <v>0</v>
      </c>
      <c r="J4136">
        <v>0</v>
      </c>
      <c r="K4136">
        <v>0</v>
      </c>
      <c r="L4136">
        <f t="shared" si="128"/>
        <v>6.2</v>
      </c>
      <c r="M4136">
        <f t="shared" si="129"/>
        <v>1</v>
      </c>
    </row>
    <row r="4137" spans="1:13" x14ac:dyDescent="0.3">
      <c r="A4137">
        <v>4135</v>
      </c>
      <c r="B4137">
        <v>4136</v>
      </c>
      <c r="C4137" t="s">
        <v>4218</v>
      </c>
      <c r="D4137">
        <v>2019</v>
      </c>
      <c r="F4137" t="s">
        <v>1038</v>
      </c>
      <c r="G4137">
        <v>0</v>
      </c>
      <c r="H4137">
        <v>1</v>
      </c>
      <c r="I4137">
        <v>0</v>
      </c>
      <c r="J4137">
        <v>0</v>
      </c>
      <c r="K4137">
        <v>0</v>
      </c>
      <c r="L4137">
        <f t="shared" si="128"/>
        <v>6.2</v>
      </c>
      <c r="M4137">
        <f t="shared" si="129"/>
        <v>1</v>
      </c>
    </row>
    <row r="4138" spans="1:13" x14ac:dyDescent="0.3">
      <c r="A4138">
        <v>4136</v>
      </c>
      <c r="B4138">
        <v>4137</v>
      </c>
      <c r="C4138" t="s">
        <v>4219</v>
      </c>
      <c r="D4138">
        <v>2017</v>
      </c>
      <c r="E4138" t="s">
        <v>11</v>
      </c>
      <c r="F4138" t="s">
        <v>1038</v>
      </c>
      <c r="G4138">
        <v>0</v>
      </c>
      <c r="H4138">
        <v>1</v>
      </c>
      <c r="I4138">
        <v>0</v>
      </c>
      <c r="J4138">
        <v>0</v>
      </c>
      <c r="K4138">
        <v>0</v>
      </c>
      <c r="L4138">
        <f t="shared" si="128"/>
        <v>6.2</v>
      </c>
      <c r="M4138">
        <f t="shared" si="129"/>
        <v>1</v>
      </c>
    </row>
    <row r="4139" spans="1:13" x14ac:dyDescent="0.3">
      <c r="A4139">
        <v>4137</v>
      </c>
      <c r="B4139">
        <v>4138</v>
      </c>
      <c r="C4139" t="s">
        <v>4220</v>
      </c>
      <c r="D4139">
        <v>2020</v>
      </c>
      <c r="F4139" t="s">
        <v>1038</v>
      </c>
      <c r="G4139">
        <v>0</v>
      </c>
      <c r="H4139">
        <v>1</v>
      </c>
      <c r="I4139">
        <v>0</v>
      </c>
      <c r="J4139">
        <v>0</v>
      </c>
      <c r="K4139">
        <v>0</v>
      </c>
      <c r="L4139">
        <f t="shared" si="128"/>
        <v>6.2</v>
      </c>
      <c r="M4139">
        <f t="shared" si="129"/>
        <v>1</v>
      </c>
    </row>
    <row r="4140" spans="1:13" x14ac:dyDescent="0.3">
      <c r="A4140">
        <v>4138</v>
      </c>
      <c r="B4140">
        <v>4139</v>
      </c>
      <c r="C4140" t="s">
        <v>4221</v>
      </c>
      <c r="D4140">
        <v>2017</v>
      </c>
      <c r="E4140" t="s">
        <v>11</v>
      </c>
      <c r="F4140" t="s">
        <v>1038</v>
      </c>
      <c r="G4140">
        <v>0</v>
      </c>
      <c r="H4140">
        <v>1</v>
      </c>
      <c r="I4140">
        <v>0</v>
      </c>
      <c r="J4140">
        <v>0</v>
      </c>
      <c r="K4140">
        <v>0</v>
      </c>
      <c r="L4140">
        <f t="shared" si="128"/>
        <v>6.2</v>
      </c>
      <c r="M4140">
        <f t="shared" si="129"/>
        <v>1</v>
      </c>
    </row>
    <row r="4141" spans="1:13" x14ac:dyDescent="0.3">
      <c r="A4141">
        <v>4139</v>
      </c>
      <c r="B4141">
        <v>4140</v>
      </c>
      <c r="C4141" t="s">
        <v>4222</v>
      </c>
      <c r="D4141">
        <v>2019</v>
      </c>
      <c r="E4141" t="s">
        <v>11</v>
      </c>
      <c r="F4141" t="s">
        <v>1038</v>
      </c>
      <c r="G4141">
        <v>0</v>
      </c>
      <c r="H4141">
        <v>1</v>
      </c>
      <c r="I4141">
        <v>0</v>
      </c>
      <c r="J4141">
        <v>0</v>
      </c>
      <c r="K4141">
        <v>0</v>
      </c>
      <c r="L4141">
        <f t="shared" si="128"/>
        <v>6.2</v>
      </c>
      <c r="M4141">
        <f t="shared" si="129"/>
        <v>1</v>
      </c>
    </row>
    <row r="4142" spans="1:13" x14ac:dyDescent="0.3">
      <c r="A4142">
        <v>4140</v>
      </c>
      <c r="B4142">
        <v>4141</v>
      </c>
      <c r="C4142" t="s">
        <v>4223</v>
      </c>
      <c r="D4142">
        <v>2018</v>
      </c>
      <c r="E4142" t="s">
        <v>11</v>
      </c>
      <c r="F4142" t="s">
        <v>1038</v>
      </c>
      <c r="G4142">
        <v>0</v>
      </c>
      <c r="H4142">
        <v>1</v>
      </c>
      <c r="I4142">
        <v>0</v>
      </c>
      <c r="J4142">
        <v>0</v>
      </c>
      <c r="K4142">
        <v>0</v>
      </c>
      <c r="L4142">
        <f t="shared" si="128"/>
        <v>6.2</v>
      </c>
      <c r="M4142">
        <f t="shared" si="129"/>
        <v>1</v>
      </c>
    </row>
    <row r="4143" spans="1:13" x14ac:dyDescent="0.3">
      <c r="A4143">
        <v>4141</v>
      </c>
      <c r="B4143">
        <v>4142</v>
      </c>
      <c r="C4143" t="s">
        <v>4224</v>
      </c>
      <c r="D4143">
        <v>2010</v>
      </c>
      <c r="E4143" t="s">
        <v>14</v>
      </c>
      <c r="F4143" t="s">
        <v>1038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f t="shared" si="128"/>
        <v>6.2</v>
      </c>
      <c r="M4143">
        <f t="shared" si="129"/>
        <v>1</v>
      </c>
    </row>
    <row r="4144" spans="1:13" x14ac:dyDescent="0.3">
      <c r="A4144">
        <v>4142</v>
      </c>
      <c r="B4144">
        <v>4143</v>
      </c>
      <c r="C4144" t="s">
        <v>4225</v>
      </c>
      <c r="D4144">
        <v>2020</v>
      </c>
      <c r="E4144" t="s">
        <v>11</v>
      </c>
      <c r="F4144" t="s">
        <v>1038</v>
      </c>
      <c r="G4144">
        <v>0</v>
      </c>
      <c r="H4144">
        <v>1</v>
      </c>
      <c r="I4144">
        <v>0</v>
      </c>
      <c r="J4144">
        <v>0</v>
      </c>
      <c r="K4144">
        <v>0</v>
      </c>
      <c r="L4144">
        <f t="shared" si="128"/>
        <v>6.2</v>
      </c>
      <c r="M4144">
        <f t="shared" si="129"/>
        <v>1</v>
      </c>
    </row>
    <row r="4145" spans="1:13" x14ac:dyDescent="0.3">
      <c r="A4145">
        <v>4143</v>
      </c>
      <c r="B4145">
        <v>4144</v>
      </c>
      <c r="C4145" t="s">
        <v>4226</v>
      </c>
      <c r="D4145">
        <v>2008</v>
      </c>
      <c r="E4145" t="s">
        <v>22</v>
      </c>
      <c r="F4145" t="s">
        <v>1038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f t="shared" si="128"/>
        <v>6.2</v>
      </c>
      <c r="M4145">
        <f t="shared" si="129"/>
        <v>1</v>
      </c>
    </row>
    <row r="4146" spans="1:13" x14ac:dyDescent="0.3">
      <c r="A4146">
        <v>4144</v>
      </c>
      <c r="B4146">
        <v>4145</v>
      </c>
      <c r="C4146" t="s">
        <v>4227</v>
      </c>
      <c r="D4146">
        <v>2021</v>
      </c>
      <c r="E4146" t="s">
        <v>14</v>
      </c>
      <c r="F4146" t="s">
        <v>1038</v>
      </c>
      <c r="G4146">
        <v>0</v>
      </c>
      <c r="H4146">
        <v>1</v>
      </c>
      <c r="I4146">
        <v>0</v>
      </c>
      <c r="J4146">
        <v>0</v>
      </c>
      <c r="K4146">
        <v>0</v>
      </c>
      <c r="L4146">
        <f t="shared" si="128"/>
        <v>6.2</v>
      </c>
      <c r="M4146">
        <f t="shared" si="129"/>
        <v>1</v>
      </c>
    </row>
    <row r="4147" spans="1:13" x14ac:dyDescent="0.3">
      <c r="A4147">
        <v>4145</v>
      </c>
      <c r="B4147">
        <v>4146</v>
      </c>
      <c r="C4147" t="s">
        <v>4228</v>
      </c>
      <c r="D4147">
        <v>2009</v>
      </c>
      <c r="E4147" t="s">
        <v>14</v>
      </c>
      <c r="F4147" t="s">
        <v>1038</v>
      </c>
      <c r="G4147">
        <v>0</v>
      </c>
      <c r="H4147">
        <v>1</v>
      </c>
      <c r="I4147">
        <v>0</v>
      </c>
      <c r="J4147">
        <v>0</v>
      </c>
      <c r="K4147">
        <v>0</v>
      </c>
      <c r="L4147">
        <f t="shared" si="128"/>
        <v>6.2</v>
      </c>
      <c r="M4147">
        <f t="shared" si="129"/>
        <v>1</v>
      </c>
    </row>
    <row r="4148" spans="1:13" x14ac:dyDescent="0.3">
      <c r="A4148">
        <v>4146</v>
      </c>
      <c r="B4148">
        <v>4147</v>
      </c>
      <c r="C4148" t="s">
        <v>4229</v>
      </c>
      <c r="D4148">
        <v>2018</v>
      </c>
      <c r="E4148" t="s">
        <v>11</v>
      </c>
      <c r="F4148" t="s">
        <v>1038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f t="shared" si="128"/>
        <v>6.2</v>
      </c>
      <c r="M4148">
        <f t="shared" si="129"/>
        <v>1</v>
      </c>
    </row>
    <row r="4149" spans="1:13" x14ac:dyDescent="0.3">
      <c r="A4149">
        <v>4147</v>
      </c>
      <c r="B4149">
        <v>4148</v>
      </c>
      <c r="C4149" t="s">
        <v>4230</v>
      </c>
      <c r="D4149">
        <v>2019</v>
      </c>
      <c r="F4149" t="s">
        <v>1038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f t="shared" si="128"/>
        <v>6.2</v>
      </c>
      <c r="M4149">
        <f t="shared" si="129"/>
        <v>1</v>
      </c>
    </row>
    <row r="4150" spans="1:13" x14ac:dyDescent="0.3">
      <c r="A4150">
        <v>4148</v>
      </c>
      <c r="B4150">
        <v>4149</v>
      </c>
      <c r="C4150" t="s">
        <v>4231</v>
      </c>
      <c r="D4150">
        <v>1994</v>
      </c>
      <c r="E4150" t="s">
        <v>22</v>
      </c>
      <c r="F4150" t="s">
        <v>1038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f t="shared" si="128"/>
        <v>6.2</v>
      </c>
      <c r="M4150">
        <f t="shared" si="129"/>
        <v>1</v>
      </c>
    </row>
    <row r="4151" spans="1:13" x14ac:dyDescent="0.3">
      <c r="A4151">
        <v>4149</v>
      </c>
      <c r="B4151">
        <v>4150</v>
      </c>
      <c r="C4151" t="s">
        <v>4232</v>
      </c>
      <c r="D4151">
        <v>2016</v>
      </c>
      <c r="E4151" t="s">
        <v>14</v>
      </c>
      <c r="F4151" t="s">
        <v>1038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f t="shared" si="128"/>
        <v>6.2</v>
      </c>
      <c r="M4151">
        <f t="shared" si="129"/>
        <v>1</v>
      </c>
    </row>
    <row r="4152" spans="1:13" x14ac:dyDescent="0.3">
      <c r="A4152">
        <v>4150</v>
      </c>
      <c r="B4152">
        <v>4151</v>
      </c>
      <c r="C4152" t="s">
        <v>4233</v>
      </c>
      <c r="D4152">
        <v>2003</v>
      </c>
      <c r="E4152" t="s">
        <v>11</v>
      </c>
      <c r="F4152" t="s">
        <v>1038</v>
      </c>
      <c r="G4152">
        <v>0</v>
      </c>
      <c r="H4152">
        <v>1</v>
      </c>
      <c r="I4152">
        <v>0</v>
      </c>
      <c r="J4152">
        <v>0</v>
      </c>
      <c r="K4152">
        <v>0</v>
      </c>
      <c r="L4152">
        <f t="shared" si="128"/>
        <v>6.2</v>
      </c>
      <c r="M4152">
        <f t="shared" si="129"/>
        <v>1</v>
      </c>
    </row>
    <row r="4153" spans="1:13" x14ac:dyDescent="0.3">
      <c r="A4153">
        <v>4151</v>
      </c>
      <c r="B4153">
        <v>4152</v>
      </c>
      <c r="C4153" t="s">
        <v>4234</v>
      </c>
      <c r="D4153">
        <v>1997</v>
      </c>
      <c r="E4153" t="s">
        <v>22</v>
      </c>
      <c r="F4153" t="s">
        <v>1038</v>
      </c>
      <c r="G4153">
        <v>0</v>
      </c>
      <c r="H4153">
        <v>1</v>
      </c>
      <c r="I4153">
        <v>0</v>
      </c>
      <c r="J4153">
        <v>0</v>
      </c>
      <c r="K4153">
        <v>0</v>
      </c>
      <c r="L4153">
        <f t="shared" si="128"/>
        <v>6.2</v>
      </c>
      <c r="M4153">
        <f t="shared" si="129"/>
        <v>1</v>
      </c>
    </row>
    <row r="4154" spans="1:13" x14ac:dyDescent="0.3">
      <c r="A4154">
        <v>4152</v>
      </c>
      <c r="B4154">
        <v>4153</v>
      </c>
      <c r="C4154" t="s">
        <v>4235</v>
      </c>
      <c r="D4154">
        <v>2012</v>
      </c>
      <c r="E4154" t="s">
        <v>22</v>
      </c>
      <c r="F4154" t="s">
        <v>1038</v>
      </c>
      <c r="G4154">
        <v>0</v>
      </c>
      <c r="H4154">
        <v>1</v>
      </c>
      <c r="I4154">
        <v>0</v>
      </c>
      <c r="J4154">
        <v>0</v>
      </c>
      <c r="K4154">
        <v>0</v>
      </c>
      <c r="L4154">
        <f t="shared" si="128"/>
        <v>6.2</v>
      </c>
      <c r="M4154">
        <f t="shared" si="129"/>
        <v>1</v>
      </c>
    </row>
    <row r="4155" spans="1:13" x14ac:dyDescent="0.3">
      <c r="A4155">
        <v>4153</v>
      </c>
      <c r="B4155">
        <v>4154</v>
      </c>
      <c r="C4155" t="s">
        <v>4236</v>
      </c>
      <c r="D4155">
        <v>2021</v>
      </c>
      <c r="E4155" t="s">
        <v>22</v>
      </c>
      <c r="F4155" t="s">
        <v>1038</v>
      </c>
      <c r="G4155">
        <v>0</v>
      </c>
      <c r="H4155">
        <v>1</v>
      </c>
      <c r="I4155">
        <v>0</v>
      </c>
      <c r="J4155">
        <v>0</v>
      </c>
      <c r="K4155">
        <v>0</v>
      </c>
      <c r="L4155">
        <f t="shared" si="128"/>
        <v>6.2</v>
      </c>
      <c r="M4155">
        <f t="shared" si="129"/>
        <v>1</v>
      </c>
    </row>
    <row r="4156" spans="1:13" x14ac:dyDescent="0.3">
      <c r="A4156">
        <v>4154</v>
      </c>
      <c r="B4156">
        <v>4155</v>
      </c>
      <c r="C4156" t="s">
        <v>4237</v>
      </c>
      <c r="D4156">
        <v>2007</v>
      </c>
      <c r="E4156" t="s">
        <v>22</v>
      </c>
      <c r="F4156" t="s">
        <v>1038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f t="shared" si="128"/>
        <v>6.2</v>
      </c>
      <c r="M4156">
        <f t="shared" si="129"/>
        <v>1</v>
      </c>
    </row>
    <row r="4157" spans="1:13" x14ac:dyDescent="0.3">
      <c r="A4157">
        <v>4155</v>
      </c>
      <c r="B4157">
        <v>4156</v>
      </c>
      <c r="C4157" t="s">
        <v>4238</v>
      </c>
      <c r="D4157">
        <v>2019</v>
      </c>
      <c r="E4157" t="s">
        <v>11</v>
      </c>
      <c r="F4157" t="s">
        <v>1105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f t="shared" si="128"/>
        <v>6.1</v>
      </c>
      <c r="M4157">
        <f t="shared" si="129"/>
        <v>1</v>
      </c>
    </row>
    <row r="4158" spans="1:13" x14ac:dyDescent="0.3">
      <c r="A4158">
        <v>4156</v>
      </c>
      <c r="B4158">
        <v>4157</v>
      </c>
      <c r="C4158" t="s">
        <v>4239</v>
      </c>
      <c r="D4158">
        <v>2018</v>
      </c>
      <c r="E4158" t="s">
        <v>11</v>
      </c>
      <c r="F4158" t="s">
        <v>1105</v>
      </c>
      <c r="G4158">
        <v>0</v>
      </c>
      <c r="H4158">
        <v>1</v>
      </c>
      <c r="I4158">
        <v>0</v>
      </c>
      <c r="J4158">
        <v>0</v>
      </c>
      <c r="K4158">
        <v>0</v>
      </c>
      <c r="L4158">
        <f t="shared" si="128"/>
        <v>6.1</v>
      </c>
      <c r="M4158">
        <f t="shared" si="129"/>
        <v>1</v>
      </c>
    </row>
    <row r="4159" spans="1:13" x14ac:dyDescent="0.3">
      <c r="A4159">
        <v>4157</v>
      </c>
      <c r="B4159">
        <v>4158</v>
      </c>
      <c r="C4159" t="s">
        <v>4240</v>
      </c>
      <c r="D4159">
        <v>2018</v>
      </c>
      <c r="E4159" t="s">
        <v>22</v>
      </c>
      <c r="F4159" t="s">
        <v>1105</v>
      </c>
      <c r="G4159">
        <v>0</v>
      </c>
      <c r="H4159">
        <v>1</v>
      </c>
      <c r="I4159">
        <v>0</v>
      </c>
      <c r="J4159">
        <v>0</v>
      </c>
      <c r="K4159">
        <v>0</v>
      </c>
      <c r="L4159">
        <f t="shared" si="128"/>
        <v>6.1</v>
      </c>
      <c r="M4159">
        <f t="shared" si="129"/>
        <v>1</v>
      </c>
    </row>
    <row r="4160" spans="1:13" x14ac:dyDescent="0.3">
      <c r="A4160">
        <v>4158</v>
      </c>
      <c r="B4160">
        <v>4159</v>
      </c>
      <c r="C4160" t="s">
        <v>4241</v>
      </c>
      <c r="D4160">
        <v>2018</v>
      </c>
      <c r="E4160" t="s">
        <v>11</v>
      </c>
      <c r="F4160" t="s">
        <v>1105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f t="shared" si="128"/>
        <v>6.1</v>
      </c>
      <c r="M4160">
        <f t="shared" si="129"/>
        <v>1</v>
      </c>
    </row>
    <row r="4161" spans="1:13" x14ac:dyDescent="0.3">
      <c r="A4161">
        <v>4159</v>
      </c>
      <c r="B4161">
        <v>4160</v>
      </c>
      <c r="C4161" t="s">
        <v>4242</v>
      </c>
      <c r="D4161">
        <v>2005</v>
      </c>
      <c r="E4161" t="s">
        <v>11</v>
      </c>
      <c r="F4161" t="s">
        <v>1105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f t="shared" si="128"/>
        <v>6.1</v>
      </c>
      <c r="M4161">
        <f t="shared" si="129"/>
        <v>1</v>
      </c>
    </row>
    <row r="4162" spans="1:13" x14ac:dyDescent="0.3">
      <c r="A4162">
        <v>4160</v>
      </c>
      <c r="B4162">
        <v>4161</v>
      </c>
      <c r="C4162" t="s">
        <v>4243</v>
      </c>
      <c r="D4162">
        <v>2008</v>
      </c>
      <c r="E4162" t="s">
        <v>22</v>
      </c>
      <c r="F4162" t="s">
        <v>1105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f t="shared" si="128"/>
        <v>6.1</v>
      </c>
      <c r="M4162">
        <f t="shared" si="129"/>
        <v>1</v>
      </c>
    </row>
    <row r="4163" spans="1:13" x14ac:dyDescent="0.3">
      <c r="A4163">
        <v>4161</v>
      </c>
      <c r="B4163">
        <v>4162</v>
      </c>
      <c r="C4163" t="s">
        <v>4244</v>
      </c>
      <c r="D4163">
        <v>2014</v>
      </c>
      <c r="E4163" t="s">
        <v>22</v>
      </c>
      <c r="F4163" t="s">
        <v>1105</v>
      </c>
      <c r="G4163">
        <v>0</v>
      </c>
      <c r="H4163">
        <v>1</v>
      </c>
      <c r="I4163">
        <v>1</v>
      </c>
      <c r="J4163">
        <v>0</v>
      </c>
      <c r="K4163">
        <v>0</v>
      </c>
      <c r="L4163">
        <f t="shared" ref="L4163:L4226" si="130">IFERROR(VALUE(LEFT(F4163,FIND("/",F4163)-1))/10,"")</f>
        <v>6.1</v>
      </c>
      <c r="M4163">
        <f t="shared" ref="M4163:M4226" si="131">SUM(G4163:J4163)</f>
        <v>2</v>
      </c>
    </row>
    <row r="4164" spans="1:13" x14ac:dyDescent="0.3">
      <c r="A4164">
        <v>4162</v>
      </c>
      <c r="B4164">
        <v>4163</v>
      </c>
      <c r="C4164" t="s">
        <v>4245</v>
      </c>
      <c r="D4164">
        <v>2008</v>
      </c>
      <c r="F4164" t="s">
        <v>1105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f t="shared" si="130"/>
        <v>6.1</v>
      </c>
      <c r="M4164">
        <f t="shared" si="131"/>
        <v>1</v>
      </c>
    </row>
    <row r="4165" spans="1:13" x14ac:dyDescent="0.3">
      <c r="A4165">
        <v>4163</v>
      </c>
      <c r="B4165">
        <v>4164</v>
      </c>
      <c r="C4165" t="s">
        <v>4246</v>
      </c>
      <c r="D4165">
        <v>2017</v>
      </c>
      <c r="E4165" t="s">
        <v>28</v>
      </c>
      <c r="F4165" t="s">
        <v>1105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f t="shared" si="130"/>
        <v>6.1</v>
      </c>
      <c r="M4165">
        <f t="shared" si="131"/>
        <v>1</v>
      </c>
    </row>
    <row r="4166" spans="1:13" x14ac:dyDescent="0.3">
      <c r="A4166">
        <v>4164</v>
      </c>
      <c r="B4166">
        <v>4165</v>
      </c>
      <c r="C4166" t="s">
        <v>4247</v>
      </c>
      <c r="D4166">
        <v>2020</v>
      </c>
      <c r="E4166" t="s">
        <v>11</v>
      </c>
      <c r="F4166" t="s">
        <v>1105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f t="shared" si="130"/>
        <v>6.1</v>
      </c>
      <c r="M4166">
        <f t="shared" si="131"/>
        <v>1</v>
      </c>
    </row>
    <row r="4167" spans="1:13" x14ac:dyDescent="0.3">
      <c r="A4167">
        <v>4165</v>
      </c>
      <c r="B4167">
        <v>4166</v>
      </c>
      <c r="C4167" t="s">
        <v>4248</v>
      </c>
      <c r="D4167">
        <v>1994</v>
      </c>
      <c r="E4167" t="s">
        <v>22</v>
      </c>
      <c r="F4167" t="s">
        <v>1105</v>
      </c>
      <c r="G4167">
        <v>0</v>
      </c>
      <c r="H4167">
        <v>1</v>
      </c>
      <c r="I4167">
        <v>0</v>
      </c>
      <c r="J4167">
        <v>0</v>
      </c>
      <c r="K4167">
        <v>0</v>
      </c>
      <c r="L4167">
        <f t="shared" si="130"/>
        <v>6.1</v>
      </c>
      <c r="M4167">
        <f t="shared" si="131"/>
        <v>1</v>
      </c>
    </row>
    <row r="4168" spans="1:13" x14ac:dyDescent="0.3">
      <c r="A4168">
        <v>4166</v>
      </c>
      <c r="B4168">
        <v>4167</v>
      </c>
      <c r="C4168" t="s">
        <v>4249</v>
      </c>
      <c r="D4168">
        <v>2017</v>
      </c>
      <c r="F4168" t="s">
        <v>1105</v>
      </c>
      <c r="G4168">
        <v>0</v>
      </c>
      <c r="H4168">
        <v>1</v>
      </c>
      <c r="I4168">
        <v>1</v>
      </c>
      <c r="J4168">
        <v>0</v>
      </c>
      <c r="K4168">
        <v>0</v>
      </c>
      <c r="L4168">
        <f t="shared" si="130"/>
        <v>6.1</v>
      </c>
      <c r="M4168">
        <f t="shared" si="131"/>
        <v>2</v>
      </c>
    </row>
    <row r="4169" spans="1:13" x14ac:dyDescent="0.3">
      <c r="A4169">
        <v>4167</v>
      </c>
      <c r="B4169">
        <v>4168</v>
      </c>
      <c r="C4169" t="s">
        <v>4250</v>
      </c>
      <c r="D4169">
        <v>2021</v>
      </c>
      <c r="F4169" t="s">
        <v>1105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f t="shared" si="130"/>
        <v>6.1</v>
      </c>
      <c r="M4169">
        <f t="shared" si="131"/>
        <v>1</v>
      </c>
    </row>
    <row r="4170" spans="1:13" x14ac:dyDescent="0.3">
      <c r="A4170">
        <v>4168</v>
      </c>
      <c r="B4170">
        <v>4169</v>
      </c>
      <c r="C4170" t="s">
        <v>4251</v>
      </c>
      <c r="D4170">
        <v>2020</v>
      </c>
      <c r="F4170" t="s">
        <v>1105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f t="shared" si="130"/>
        <v>6.1</v>
      </c>
      <c r="M4170">
        <f t="shared" si="131"/>
        <v>1</v>
      </c>
    </row>
    <row r="4171" spans="1:13" x14ac:dyDescent="0.3">
      <c r="A4171">
        <v>4169</v>
      </c>
      <c r="B4171">
        <v>4170</v>
      </c>
      <c r="C4171" t="s">
        <v>4252</v>
      </c>
      <c r="D4171">
        <v>2020</v>
      </c>
      <c r="F4171" t="s">
        <v>1105</v>
      </c>
      <c r="G4171">
        <v>0</v>
      </c>
      <c r="H4171">
        <v>1</v>
      </c>
      <c r="I4171">
        <v>0</v>
      </c>
      <c r="J4171">
        <v>0</v>
      </c>
      <c r="K4171">
        <v>0</v>
      </c>
      <c r="L4171">
        <f t="shared" si="130"/>
        <v>6.1</v>
      </c>
      <c r="M4171">
        <f t="shared" si="131"/>
        <v>1</v>
      </c>
    </row>
    <row r="4172" spans="1:13" x14ac:dyDescent="0.3">
      <c r="A4172">
        <v>4170</v>
      </c>
      <c r="B4172">
        <v>4171</v>
      </c>
      <c r="C4172" t="s">
        <v>4253</v>
      </c>
      <c r="D4172">
        <v>2021</v>
      </c>
      <c r="E4172" t="s">
        <v>22</v>
      </c>
      <c r="F4172" t="s">
        <v>1105</v>
      </c>
      <c r="G4172">
        <v>0</v>
      </c>
      <c r="H4172">
        <v>1</v>
      </c>
      <c r="I4172">
        <v>0</v>
      </c>
      <c r="J4172">
        <v>0</v>
      </c>
      <c r="K4172">
        <v>0</v>
      </c>
      <c r="L4172">
        <f t="shared" si="130"/>
        <v>6.1</v>
      </c>
      <c r="M4172">
        <f t="shared" si="131"/>
        <v>1</v>
      </c>
    </row>
    <row r="4173" spans="1:13" x14ac:dyDescent="0.3">
      <c r="A4173">
        <v>4171</v>
      </c>
      <c r="B4173">
        <v>4172</v>
      </c>
      <c r="C4173" t="s">
        <v>4254</v>
      </c>
      <c r="D4173">
        <v>2017</v>
      </c>
      <c r="F4173" t="s">
        <v>1105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f t="shared" si="130"/>
        <v>6.1</v>
      </c>
      <c r="M4173">
        <f t="shared" si="131"/>
        <v>1</v>
      </c>
    </row>
    <row r="4174" spans="1:13" x14ac:dyDescent="0.3">
      <c r="A4174">
        <v>4172</v>
      </c>
      <c r="B4174">
        <v>4173</v>
      </c>
      <c r="C4174" t="s">
        <v>4255</v>
      </c>
      <c r="D4174">
        <v>2019</v>
      </c>
      <c r="E4174" t="s">
        <v>11</v>
      </c>
      <c r="F4174" t="s">
        <v>1105</v>
      </c>
      <c r="G4174">
        <v>0</v>
      </c>
      <c r="H4174">
        <v>1</v>
      </c>
      <c r="I4174">
        <v>0</v>
      </c>
      <c r="J4174">
        <v>0</v>
      </c>
      <c r="K4174">
        <v>0</v>
      </c>
      <c r="L4174">
        <f t="shared" si="130"/>
        <v>6.1</v>
      </c>
      <c r="M4174">
        <f t="shared" si="131"/>
        <v>1</v>
      </c>
    </row>
    <row r="4175" spans="1:13" x14ac:dyDescent="0.3">
      <c r="A4175">
        <v>4173</v>
      </c>
      <c r="B4175">
        <v>4174</v>
      </c>
      <c r="C4175" t="s">
        <v>4256</v>
      </c>
      <c r="D4175">
        <v>2018</v>
      </c>
      <c r="E4175" t="s">
        <v>11</v>
      </c>
      <c r="F4175" t="s">
        <v>1105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f t="shared" si="130"/>
        <v>6.1</v>
      </c>
      <c r="M4175">
        <f t="shared" si="131"/>
        <v>1</v>
      </c>
    </row>
    <row r="4176" spans="1:13" x14ac:dyDescent="0.3">
      <c r="A4176">
        <v>4174</v>
      </c>
      <c r="B4176">
        <v>4175</v>
      </c>
      <c r="C4176" t="s">
        <v>4257</v>
      </c>
      <c r="D4176">
        <v>2015</v>
      </c>
      <c r="F4176" t="s">
        <v>1105</v>
      </c>
      <c r="G4176">
        <v>0</v>
      </c>
      <c r="H4176">
        <v>1</v>
      </c>
      <c r="I4176">
        <v>1</v>
      </c>
      <c r="J4176">
        <v>0</v>
      </c>
      <c r="K4176">
        <v>0</v>
      </c>
      <c r="L4176">
        <f t="shared" si="130"/>
        <v>6.1</v>
      </c>
      <c r="M4176">
        <f t="shared" si="131"/>
        <v>2</v>
      </c>
    </row>
    <row r="4177" spans="1:13" x14ac:dyDescent="0.3">
      <c r="A4177">
        <v>4175</v>
      </c>
      <c r="B4177">
        <v>4176</v>
      </c>
      <c r="C4177" t="s">
        <v>4258</v>
      </c>
      <c r="D4177">
        <v>1985</v>
      </c>
      <c r="E4177" t="s">
        <v>14</v>
      </c>
      <c r="F4177" t="s">
        <v>1105</v>
      </c>
      <c r="G4177">
        <v>0</v>
      </c>
      <c r="H4177">
        <v>1</v>
      </c>
      <c r="I4177">
        <v>1</v>
      </c>
      <c r="J4177">
        <v>0</v>
      </c>
      <c r="K4177">
        <v>0</v>
      </c>
      <c r="L4177">
        <f t="shared" si="130"/>
        <v>6.1</v>
      </c>
      <c r="M4177">
        <f t="shared" si="131"/>
        <v>2</v>
      </c>
    </row>
    <row r="4178" spans="1:13" x14ac:dyDescent="0.3">
      <c r="A4178">
        <v>4176</v>
      </c>
      <c r="B4178">
        <v>4177</v>
      </c>
      <c r="C4178" t="s">
        <v>4259</v>
      </c>
      <c r="D4178">
        <v>2011</v>
      </c>
      <c r="E4178" t="s">
        <v>11</v>
      </c>
      <c r="F4178" t="s">
        <v>1105</v>
      </c>
      <c r="G4178">
        <v>0</v>
      </c>
      <c r="H4178">
        <v>1</v>
      </c>
      <c r="I4178">
        <v>1</v>
      </c>
      <c r="J4178">
        <v>0</v>
      </c>
      <c r="K4178">
        <v>0</v>
      </c>
      <c r="L4178">
        <f t="shared" si="130"/>
        <v>6.1</v>
      </c>
      <c r="M4178">
        <f t="shared" si="131"/>
        <v>2</v>
      </c>
    </row>
    <row r="4179" spans="1:13" x14ac:dyDescent="0.3">
      <c r="A4179">
        <v>4177</v>
      </c>
      <c r="B4179">
        <v>4178</v>
      </c>
      <c r="C4179" t="s">
        <v>4260</v>
      </c>
      <c r="D4179">
        <v>1977</v>
      </c>
      <c r="E4179" t="s">
        <v>36</v>
      </c>
      <c r="F4179" t="s">
        <v>1105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f t="shared" si="130"/>
        <v>6.1</v>
      </c>
      <c r="M4179">
        <f t="shared" si="131"/>
        <v>1</v>
      </c>
    </row>
    <row r="4180" spans="1:13" x14ac:dyDescent="0.3">
      <c r="A4180">
        <v>4178</v>
      </c>
      <c r="B4180">
        <v>4179</v>
      </c>
      <c r="C4180" t="s">
        <v>4261</v>
      </c>
      <c r="D4180">
        <v>2019</v>
      </c>
      <c r="E4180" t="s">
        <v>22</v>
      </c>
      <c r="F4180" t="s">
        <v>1105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f t="shared" si="130"/>
        <v>6.1</v>
      </c>
      <c r="M4180">
        <f t="shared" si="131"/>
        <v>1</v>
      </c>
    </row>
    <row r="4181" spans="1:13" x14ac:dyDescent="0.3">
      <c r="A4181">
        <v>4179</v>
      </c>
      <c r="B4181">
        <v>4180</v>
      </c>
      <c r="C4181" t="s">
        <v>4262</v>
      </c>
      <c r="D4181">
        <v>2018</v>
      </c>
      <c r="E4181" t="s">
        <v>22</v>
      </c>
      <c r="F4181" t="s">
        <v>1105</v>
      </c>
      <c r="G4181">
        <v>0</v>
      </c>
      <c r="H4181">
        <v>1</v>
      </c>
      <c r="I4181">
        <v>0</v>
      </c>
      <c r="J4181">
        <v>0</v>
      </c>
      <c r="K4181">
        <v>0</v>
      </c>
      <c r="L4181">
        <f t="shared" si="130"/>
        <v>6.1</v>
      </c>
      <c r="M4181">
        <f t="shared" si="131"/>
        <v>1</v>
      </c>
    </row>
    <row r="4182" spans="1:13" x14ac:dyDescent="0.3">
      <c r="A4182">
        <v>4180</v>
      </c>
      <c r="B4182">
        <v>4181</v>
      </c>
      <c r="C4182" t="s">
        <v>4263</v>
      </c>
      <c r="D4182">
        <v>2016</v>
      </c>
      <c r="E4182" t="s">
        <v>11</v>
      </c>
      <c r="F4182" t="s">
        <v>1105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f t="shared" si="130"/>
        <v>6.1</v>
      </c>
      <c r="M4182">
        <f t="shared" si="131"/>
        <v>1</v>
      </c>
    </row>
    <row r="4183" spans="1:13" x14ac:dyDescent="0.3">
      <c r="A4183">
        <v>4181</v>
      </c>
      <c r="B4183">
        <v>4182</v>
      </c>
      <c r="C4183" t="s">
        <v>4264</v>
      </c>
      <c r="D4183">
        <v>2020</v>
      </c>
      <c r="E4183" t="s">
        <v>22</v>
      </c>
      <c r="F4183" t="s">
        <v>1105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f t="shared" si="130"/>
        <v>6.1</v>
      </c>
      <c r="M4183">
        <f t="shared" si="131"/>
        <v>1</v>
      </c>
    </row>
    <row r="4184" spans="1:13" x14ac:dyDescent="0.3">
      <c r="A4184">
        <v>4182</v>
      </c>
      <c r="B4184">
        <v>4183</v>
      </c>
      <c r="C4184" t="s">
        <v>4265</v>
      </c>
      <c r="D4184">
        <v>2020</v>
      </c>
      <c r="E4184" t="s">
        <v>11</v>
      </c>
      <c r="F4184" t="s">
        <v>1105</v>
      </c>
      <c r="G4184">
        <v>0</v>
      </c>
      <c r="H4184">
        <v>1</v>
      </c>
      <c r="I4184">
        <v>0</v>
      </c>
      <c r="J4184">
        <v>0</v>
      </c>
      <c r="K4184">
        <v>0</v>
      </c>
      <c r="L4184">
        <f t="shared" si="130"/>
        <v>6.1</v>
      </c>
      <c r="M4184">
        <f t="shared" si="131"/>
        <v>1</v>
      </c>
    </row>
    <row r="4185" spans="1:13" x14ac:dyDescent="0.3">
      <c r="A4185">
        <v>4183</v>
      </c>
      <c r="B4185">
        <v>4184</v>
      </c>
      <c r="C4185" t="s">
        <v>4266</v>
      </c>
      <c r="D4185">
        <v>2018</v>
      </c>
      <c r="E4185" t="s">
        <v>11</v>
      </c>
      <c r="F4185" t="s">
        <v>1105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f t="shared" si="130"/>
        <v>6.1</v>
      </c>
      <c r="M4185">
        <f t="shared" si="131"/>
        <v>1</v>
      </c>
    </row>
    <row r="4186" spans="1:13" x14ac:dyDescent="0.3">
      <c r="A4186">
        <v>4184</v>
      </c>
      <c r="B4186">
        <v>4185</v>
      </c>
      <c r="C4186" t="s">
        <v>4267</v>
      </c>
      <c r="D4186">
        <v>2020</v>
      </c>
      <c r="F4186" t="s">
        <v>1180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f t="shared" si="130"/>
        <v>6</v>
      </c>
      <c r="M4186">
        <f t="shared" si="131"/>
        <v>1</v>
      </c>
    </row>
    <row r="4187" spans="1:13" x14ac:dyDescent="0.3">
      <c r="A4187">
        <v>4185</v>
      </c>
      <c r="B4187">
        <v>4186</v>
      </c>
      <c r="C4187" t="s">
        <v>4268</v>
      </c>
      <c r="D4187">
        <v>2018</v>
      </c>
      <c r="E4187" t="s">
        <v>11</v>
      </c>
      <c r="F4187" t="s">
        <v>1180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f t="shared" si="130"/>
        <v>6</v>
      </c>
      <c r="M4187">
        <f t="shared" si="131"/>
        <v>1</v>
      </c>
    </row>
    <row r="4188" spans="1:13" x14ac:dyDescent="0.3">
      <c r="A4188">
        <v>4186</v>
      </c>
      <c r="B4188">
        <v>4187</v>
      </c>
      <c r="C4188" t="s">
        <v>4269</v>
      </c>
      <c r="D4188">
        <v>1923</v>
      </c>
      <c r="F4188" t="s">
        <v>1180</v>
      </c>
      <c r="G4188">
        <v>0</v>
      </c>
      <c r="H4188">
        <v>1</v>
      </c>
      <c r="I4188">
        <v>0</v>
      </c>
      <c r="J4188">
        <v>1</v>
      </c>
      <c r="K4188">
        <v>0</v>
      </c>
      <c r="L4188">
        <f t="shared" si="130"/>
        <v>6</v>
      </c>
      <c r="M4188">
        <f t="shared" si="131"/>
        <v>2</v>
      </c>
    </row>
    <row r="4189" spans="1:13" x14ac:dyDescent="0.3">
      <c r="A4189">
        <v>4187</v>
      </c>
      <c r="B4189">
        <v>4188</v>
      </c>
      <c r="C4189" t="s">
        <v>4270</v>
      </c>
      <c r="D4189">
        <v>2015</v>
      </c>
      <c r="E4189" t="s">
        <v>22</v>
      </c>
      <c r="F4189" t="s">
        <v>1180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f t="shared" si="130"/>
        <v>6</v>
      </c>
      <c r="M4189">
        <f t="shared" si="131"/>
        <v>1</v>
      </c>
    </row>
    <row r="4190" spans="1:13" x14ac:dyDescent="0.3">
      <c r="A4190">
        <v>4188</v>
      </c>
      <c r="B4190">
        <v>4189</v>
      </c>
      <c r="C4190" t="s">
        <v>4271</v>
      </c>
      <c r="D4190">
        <v>2020</v>
      </c>
      <c r="F4190" t="s">
        <v>1180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f t="shared" si="130"/>
        <v>6</v>
      </c>
      <c r="M4190">
        <f t="shared" si="131"/>
        <v>1</v>
      </c>
    </row>
    <row r="4191" spans="1:13" x14ac:dyDescent="0.3">
      <c r="A4191">
        <v>4189</v>
      </c>
      <c r="B4191">
        <v>4190</v>
      </c>
      <c r="C4191" t="s">
        <v>4272</v>
      </c>
      <c r="D4191">
        <v>2010</v>
      </c>
      <c r="E4191" t="s">
        <v>11</v>
      </c>
      <c r="F4191" t="s">
        <v>1180</v>
      </c>
      <c r="G4191">
        <v>0</v>
      </c>
      <c r="H4191">
        <v>1</v>
      </c>
      <c r="I4191">
        <v>0</v>
      </c>
      <c r="J4191">
        <v>0</v>
      </c>
      <c r="K4191">
        <v>0</v>
      </c>
      <c r="L4191">
        <f t="shared" si="130"/>
        <v>6</v>
      </c>
      <c r="M4191">
        <f t="shared" si="131"/>
        <v>1</v>
      </c>
    </row>
    <row r="4192" spans="1:13" x14ac:dyDescent="0.3">
      <c r="A4192">
        <v>4190</v>
      </c>
      <c r="B4192">
        <v>4191</v>
      </c>
      <c r="C4192" t="s">
        <v>4273</v>
      </c>
      <c r="D4192">
        <v>2004</v>
      </c>
      <c r="E4192" t="s">
        <v>22</v>
      </c>
      <c r="F4192" t="s">
        <v>1180</v>
      </c>
      <c r="G4192">
        <v>0</v>
      </c>
      <c r="H4192">
        <v>1</v>
      </c>
      <c r="I4192">
        <v>1</v>
      </c>
      <c r="J4192">
        <v>0</v>
      </c>
      <c r="K4192">
        <v>0</v>
      </c>
      <c r="L4192">
        <f t="shared" si="130"/>
        <v>6</v>
      </c>
      <c r="M4192">
        <f t="shared" si="131"/>
        <v>2</v>
      </c>
    </row>
    <row r="4193" spans="1:13" x14ac:dyDescent="0.3">
      <c r="A4193">
        <v>4191</v>
      </c>
      <c r="B4193">
        <v>4192</v>
      </c>
      <c r="C4193" t="s">
        <v>4274</v>
      </c>
      <c r="D4193">
        <v>2005</v>
      </c>
      <c r="E4193" t="s">
        <v>22</v>
      </c>
      <c r="F4193" t="s">
        <v>1180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f t="shared" si="130"/>
        <v>6</v>
      </c>
      <c r="M4193">
        <f t="shared" si="131"/>
        <v>1</v>
      </c>
    </row>
    <row r="4194" spans="1:13" x14ac:dyDescent="0.3">
      <c r="A4194">
        <v>4192</v>
      </c>
      <c r="B4194">
        <v>4193</v>
      </c>
      <c r="C4194" t="s">
        <v>4275</v>
      </c>
      <c r="D4194">
        <v>2011</v>
      </c>
      <c r="F4194" t="s">
        <v>1180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f t="shared" si="130"/>
        <v>6</v>
      </c>
      <c r="M4194">
        <f t="shared" si="131"/>
        <v>1</v>
      </c>
    </row>
    <row r="4195" spans="1:13" x14ac:dyDescent="0.3">
      <c r="A4195">
        <v>4193</v>
      </c>
      <c r="B4195">
        <v>4194</v>
      </c>
      <c r="C4195" t="s">
        <v>4276</v>
      </c>
      <c r="D4195">
        <v>2015</v>
      </c>
      <c r="F4195" t="s">
        <v>1180</v>
      </c>
      <c r="G4195">
        <v>0</v>
      </c>
      <c r="H4195">
        <v>1</v>
      </c>
      <c r="I4195">
        <v>0</v>
      </c>
      <c r="J4195">
        <v>0</v>
      </c>
      <c r="K4195">
        <v>0</v>
      </c>
      <c r="L4195">
        <f t="shared" si="130"/>
        <v>6</v>
      </c>
      <c r="M4195">
        <f t="shared" si="131"/>
        <v>1</v>
      </c>
    </row>
    <row r="4196" spans="1:13" x14ac:dyDescent="0.3">
      <c r="A4196">
        <v>4194</v>
      </c>
      <c r="B4196">
        <v>4195</v>
      </c>
      <c r="C4196" t="s">
        <v>4277</v>
      </c>
      <c r="D4196">
        <v>2017</v>
      </c>
      <c r="F4196" t="s">
        <v>1180</v>
      </c>
      <c r="G4196">
        <v>0</v>
      </c>
      <c r="H4196">
        <v>1</v>
      </c>
      <c r="I4196">
        <v>1</v>
      </c>
      <c r="J4196">
        <v>0</v>
      </c>
      <c r="K4196">
        <v>0</v>
      </c>
      <c r="L4196">
        <f t="shared" si="130"/>
        <v>6</v>
      </c>
      <c r="M4196">
        <f t="shared" si="131"/>
        <v>2</v>
      </c>
    </row>
    <row r="4197" spans="1:13" x14ac:dyDescent="0.3">
      <c r="A4197">
        <v>4195</v>
      </c>
      <c r="B4197">
        <v>4196</v>
      </c>
      <c r="C4197" t="s">
        <v>4278</v>
      </c>
      <c r="D4197">
        <v>2019</v>
      </c>
      <c r="E4197" t="s">
        <v>11</v>
      </c>
      <c r="F4197" t="s">
        <v>1180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f t="shared" si="130"/>
        <v>6</v>
      </c>
      <c r="M4197">
        <f t="shared" si="131"/>
        <v>1</v>
      </c>
    </row>
    <row r="4198" spans="1:13" x14ac:dyDescent="0.3">
      <c r="A4198">
        <v>4196</v>
      </c>
      <c r="B4198">
        <v>4197</v>
      </c>
      <c r="C4198" t="s">
        <v>4279</v>
      </c>
      <c r="D4198">
        <v>1996</v>
      </c>
      <c r="E4198" t="s">
        <v>11</v>
      </c>
      <c r="F4198" t="s">
        <v>1180</v>
      </c>
      <c r="G4198">
        <v>0</v>
      </c>
      <c r="H4198">
        <v>1</v>
      </c>
      <c r="I4198">
        <v>0</v>
      </c>
      <c r="J4198">
        <v>0</v>
      </c>
      <c r="K4198">
        <v>0</v>
      </c>
      <c r="L4198">
        <f t="shared" si="130"/>
        <v>6</v>
      </c>
      <c r="M4198">
        <f t="shared" si="131"/>
        <v>1</v>
      </c>
    </row>
    <row r="4199" spans="1:13" x14ac:dyDescent="0.3">
      <c r="A4199">
        <v>4197</v>
      </c>
      <c r="B4199">
        <v>4198</v>
      </c>
      <c r="C4199" t="s">
        <v>4280</v>
      </c>
      <c r="D4199">
        <v>2013</v>
      </c>
      <c r="E4199" t="s">
        <v>11</v>
      </c>
      <c r="F4199" t="s">
        <v>1180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f t="shared" si="130"/>
        <v>6</v>
      </c>
      <c r="M4199">
        <f t="shared" si="131"/>
        <v>1</v>
      </c>
    </row>
    <row r="4200" spans="1:13" x14ac:dyDescent="0.3">
      <c r="A4200">
        <v>4198</v>
      </c>
      <c r="B4200">
        <v>4199</v>
      </c>
      <c r="C4200" t="s">
        <v>4281</v>
      </c>
      <c r="D4200">
        <v>2020</v>
      </c>
      <c r="E4200" t="s">
        <v>11</v>
      </c>
      <c r="F4200" t="s">
        <v>1180</v>
      </c>
      <c r="G4200">
        <v>0</v>
      </c>
      <c r="H4200">
        <v>1</v>
      </c>
      <c r="I4200">
        <v>0</v>
      </c>
      <c r="J4200">
        <v>0</v>
      </c>
      <c r="K4200">
        <v>0</v>
      </c>
      <c r="L4200">
        <f t="shared" si="130"/>
        <v>6</v>
      </c>
      <c r="M4200">
        <f t="shared" si="131"/>
        <v>1</v>
      </c>
    </row>
    <row r="4201" spans="1:13" x14ac:dyDescent="0.3">
      <c r="A4201">
        <v>4199</v>
      </c>
      <c r="B4201">
        <v>4200</v>
      </c>
      <c r="C4201" t="s">
        <v>4282</v>
      </c>
      <c r="D4201">
        <v>2020</v>
      </c>
      <c r="E4201" t="s">
        <v>14</v>
      </c>
      <c r="F4201" t="s">
        <v>1180</v>
      </c>
      <c r="G4201">
        <v>0</v>
      </c>
      <c r="H4201">
        <v>1</v>
      </c>
      <c r="I4201">
        <v>0</v>
      </c>
      <c r="J4201">
        <v>0</v>
      </c>
      <c r="K4201">
        <v>0</v>
      </c>
      <c r="L4201">
        <f t="shared" si="130"/>
        <v>6</v>
      </c>
      <c r="M4201">
        <f t="shared" si="131"/>
        <v>1</v>
      </c>
    </row>
    <row r="4202" spans="1:13" x14ac:dyDescent="0.3">
      <c r="A4202">
        <v>4200</v>
      </c>
      <c r="B4202">
        <v>4201</v>
      </c>
      <c r="C4202" t="s">
        <v>4283</v>
      </c>
      <c r="D4202">
        <v>2020</v>
      </c>
      <c r="F4202" t="s">
        <v>1180</v>
      </c>
      <c r="G4202">
        <v>0</v>
      </c>
      <c r="H4202">
        <v>1</v>
      </c>
      <c r="I4202">
        <v>0</v>
      </c>
      <c r="J4202">
        <v>0</v>
      </c>
      <c r="K4202">
        <v>0</v>
      </c>
      <c r="L4202">
        <f t="shared" si="130"/>
        <v>6</v>
      </c>
      <c r="M4202">
        <f t="shared" si="131"/>
        <v>1</v>
      </c>
    </row>
    <row r="4203" spans="1:13" x14ac:dyDescent="0.3">
      <c r="A4203">
        <v>4201</v>
      </c>
      <c r="B4203">
        <v>4202</v>
      </c>
      <c r="C4203" t="s">
        <v>4284</v>
      </c>
      <c r="D4203">
        <v>2019</v>
      </c>
      <c r="E4203" t="s">
        <v>28</v>
      </c>
      <c r="F4203" t="s">
        <v>1180</v>
      </c>
      <c r="G4203">
        <v>0</v>
      </c>
      <c r="H4203">
        <v>1</v>
      </c>
      <c r="I4203">
        <v>0</v>
      </c>
      <c r="J4203">
        <v>0</v>
      </c>
      <c r="K4203">
        <v>0</v>
      </c>
      <c r="L4203">
        <f t="shared" si="130"/>
        <v>6</v>
      </c>
      <c r="M4203">
        <f t="shared" si="131"/>
        <v>1</v>
      </c>
    </row>
    <row r="4204" spans="1:13" x14ac:dyDescent="0.3">
      <c r="A4204">
        <v>4202</v>
      </c>
      <c r="B4204">
        <v>4203</v>
      </c>
      <c r="C4204" t="s">
        <v>4285</v>
      </c>
      <c r="D4204">
        <v>1981</v>
      </c>
      <c r="E4204" t="s">
        <v>14</v>
      </c>
      <c r="F4204" t="s">
        <v>1180</v>
      </c>
      <c r="G4204">
        <v>0</v>
      </c>
      <c r="H4204">
        <v>1</v>
      </c>
      <c r="I4204">
        <v>0</v>
      </c>
      <c r="J4204">
        <v>0</v>
      </c>
      <c r="K4204">
        <v>0</v>
      </c>
      <c r="L4204">
        <f t="shared" si="130"/>
        <v>6</v>
      </c>
      <c r="M4204">
        <f t="shared" si="131"/>
        <v>1</v>
      </c>
    </row>
    <row r="4205" spans="1:13" x14ac:dyDescent="0.3">
      <c r="A4205">
        <v>4203</v>
      </c>
      <c r="B4205">
        <v>4204</v>
      </c>
      <c r="C4205" t="s">
        <v>4286</v>
      </c>
      <c r="D4205">
        <v>2019</v>
      </c>
      <c r="E4205" t="s">
        <v>22</v>
      </c>
      <c r="F4205" t="s">
        <v>1180</v>
      </c>
      <c r="G4205">
        <v>0</v>
      </c>
      <c r="H4205">
        <v>1</v>
      </c>
      <c r="I4205">
        <v>0</v>
      </c>
      <c r="J4205">
        <v>1</v>
      </c>
      <c r="K4205">
        <v>0</v>
      </c>
      <c r="L4205">
        <f t="shared" si="130"/>
        <v>6</v>
      </c>
      <c r="M4205">
        <f t="shared" si="131"/>
        <v>2</v>
      </c>
    </row>
    <row r="4206" spans="1:13" x14ac:dyDescent="0.3">
      <c r="A4206">
        <v>4204</v>
      </c>
      <c r="B4206">
        <v>4205</v>
      </c>
      <c r="C4206" t="s">
        <v>4287</v>
      </c>
      <c r="D4206">
        <v>2019</v>
      </c>
      <c r="E4206" t="s">
        <v>11</v>
      </c>
      <c r="F4206" t="s">
        <v>1180</v>
      </c>
      <c r="G4206">
        <v>0</v>
      </c>
      <c r="H4206">
        <v>1</v>
      </c>
      <c r="I4206">
        <v>0</v>
      </c>
      <c r="J4206">
        <v>0</v>
      </c>
      <c r="K4206">
        <v>0</v>
      </c>
      <c r="L4206">
        <f t="shared" si="130"/>
        <v>6</v>
      </c>
      <c r="M4206">
        <f t="shared" si="131"/>
        <v>1</v>
      </c>
    </row>
    <row r="4207" spans="1:13" x14ac:dyDescent="0.3">
      <c r="A4207">
        <v>4205</v>
      </c>
      <c r="B4207">
        <v>4206</v>
      </c>
      <c r="C4207" t="s">
        <v>4288</v>
      </c>
      <c r="D4207">
        <v>2018</v>
      </c>
      <c r="E4207" t="s">
        <v>14</v>
      </c>
      <c r="F4207" t="s">
        <v>1180</v>
      </c>
      <c r="G4207">
        <v>0</v>
      </c>
      <c r="H4207">
        <v>1</v>
      </c>
      <c r="I4207">
        <v>0</v>
      </c>
      <c r="J4207">
        <v>0</v>
      </c>
      <c r="K4207">
        <v>0</v>
      </c>
      <c r="L4207">
        <f t="shared" si="130"/>
        <v>6</v>
      </c>
      <c r="M4207">
        <f t="shared" si="131"/>
        <v>1</v>
      </c>
    </row>
    <row r="4208" spans="1:13" x14ac:dyDescent="0.3">
      <c r="A4208">
        <v>4206</v>
      </c>
      <c r="B4208">
        <v>4207</v>
      </c>
      <c r="C4208" t="s">
        <v>4289</v>
      </c>
      <c r="D4208">
        <v>2018</v>
      </c>
      <c r="E4208" t="s">
        <v>14</v>
      </c>
      <c r="F4208" t="s">
        <v>1180</v>
      </c>
      <c r="G4208">
        <v>0</v>
      </c>
      <c r="H4208">
        <v>1</v>
      </c>
      <c r="I4208">
        <v>0</v>
      </c>
      <c r="J4208">
        <v>0</v>
      </c>
      <c r="K4208">
        <v>0</v>
      </c>
      <c r="L4208">
        <f t="shared" si="130"/>
        <v>6</v>
      </c>
      <c r="M4208">
        <f t="shared" si="131"/>
        <v>1</v>
      </c>
    </row>
    <row r="4209" spans="1:13" x14ac:dyDescent="0.3">
      <c r="A4209">
        <v>4207</v>
      </c>
      <c r="B4209">
        <v>4208</v>
      </c>
      <c r="C4209" t="s">
        <v>4290</v>
      </c>
      <c r="D4209">
        <v>1969</v>
      </c>
      <c r="E4209" t="s">
        <v>36</v>
      </c>
      <c r="F4209" t="s">
        <v>1180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f t="shared" si="130"/>
        <v>6</v>
      </c>
      <c r="M4209">
        <f t="shared" si="131"/>
        <v>1</v>
      </c>
    </row>
    <row r="4210" spans="1:13" x14ac:dyDescent="0.3">
      <c r="A4210">
        <v>4208</v>
      </c>
      <c r="B4210">
        <v>4209</v>
      </c>
      <c r="C4210" t="s">
        <v>4291</v>
      </c>
      <c r="D4210">
        <v>2017</v>
      </c>
      <c r="E4210" t="s">
        <v>11</v>
      </c>
      <c r="F4210" t="s">
        <v>1180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f t="shared" si="130"/>
        <v>6</v>
      </c>
      <c r="M4210">
        <f t="shared" si="131"/>
        <v>1</v>
      </c>
    </row>
    <row r="4211" spans="1:13" x14ac:dyDescent="0.3">
      <c r="A4211">
        <v>4209</v>
      </c>
      <c r="B4211">
        <v>4210</v>
      </c>
      <c r="C4211" t="s">
        <v>4292</v>
      </c>
      <c r="D4211">
        <v>2016</v>
      </c>
      <c r="F4211" t="s">
        <v>1180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f t="shared" si="130"/>
        <v>6</v>
      </c>
      <c r="M4211">
        <f t="shared" si="131"/>
        <v>1</v>
      </c>
    </row>
    <row r="4212" spans="1:13" x14ac:dyDescent="0.3">
      <c r="A4212">
        <v>4210</v>
      </c>
      <c r="B4212">
        <v>4211</v>
      </c>
      <c r="C4212" t="s">
        <v>4293</v>
      </c>
      <c r="D4212">
        <v>2020</v>
      </c>
      <c r="E4212" t="s">
        <v>22</v>
      </c>
      <c r="F4212" t="s">
        <v>1180</v>
      </c>
      <c r="G4212">
        <v>0</v>
      </c>
      <c r="H4212">
        <v>1</v>
      </c>
      <c r="I4212">
        <v>0</v>
      </c>
      <c r="J4212">
        <v>0</v>
      </c>
      <c r="K4212">
        <v>0</v>
      </c>
      <c r="L4212">
        <f t="shared" si="130"/>
        <v>6</v>
      </c>
      <c r="M4212">
        <f t="shared" si="131"/>
        <v>1</v>
      </c>
    </row>
    <row r="4213" spans="1:13" x14ac:dyDescent="0.3">
      <c r="A4213">
        <v>4211</v>
      </c>
      <c r="B4213">
        <v>4212</v>
      </c>
      <c r="C4213" t="s">
        <v>4294</v>
      </c>
      <c r="D4213">
        <v>1993</v>
      </c>
      <c r="E4213" t="s">
        <v>22</v>
      </c>
      <c r="F4213" t="s">
        <v>1180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f t="shared" si="130"/>
        <v>6</v>
      </c>
      <c r="M4213">
        <f t="shared" si="131"/>
        <v>1</v>
      </c>
    </row>
    <row r="4214" spans="1:13" x14ac:dyDescent="0.3">
      <c r="A4214">
        <v>4212</v>
      </c>
      <c r="B4214">
        <v>4213</v>
      </c>
      <c r="C4214" t="s">
        <v>4295</v>
      </c>
      <c r="D4214">
        <v>1995</v>
      </c>
      <c r="E4214" t="s">
        <v>11</v>
      </c>
      <c r="F4214" t="s">
        <v>1180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f t="shared" si="130"/>
        <v>6</v>
      </c>
      <c r="M4214">
        <f t="shared" si="131"/>
        <v>1</v>
      </c>
    </row>
    <row r="4215" spans="1:13" x14ac:dyDescent="0.3">
      <c r="A4215">
        <v>4213</v>
      </c>
      <c r="B4215">
        <v>4214</v>
      </c>
      <c r="C4215" t="s">
        <v>4296</v>
      </c>
      <c r="D4215">
        <v>2014</v>
      </c>
      <c r="F4215" t="s">
        <v>1180</v>
      </c>
      <c r="G4215">
        <v>0</v>
      </c>
      <c r="H4215">
        <v>1</v>
      </c>
      <c r="I4215">
        <v>1</v>
      </c>
      <c r="J4215">
        <v>0</v>
      </c>
      <c r="K4215">
        <v>0</v>
      </c>
      <c r="L4215">
        <f t="shared" si="130"/>
        <v>6</v>
      </c>
      <c r="M4215">
        <f t="shared" si="131"/>
        <v>2</v>
      </c>
    </row>
    <row r="4216" spans="1:13" x14ac:dyDescent="0.3">
      <c r="A4216">
        <v>4214</v>
      </c>
      <c r="B4216">
        <v>4215</v>
      </c>
      <c r="C4216" t="s">
        <v>4297</v>
      </c>
      <c r="D4216">
        <v>2019</v>
      </c>
      <c r="E4216" t="s">
        <v>11</v>
      </c>
      <c r="F4216" t="s">
        <v>1180</v>
      </c>
      <c r="G4216">
        <v>0</v>
      </c>
      <c r="H4216">
        <v>1</v>
      </c>
      <c r="I4216">
        <v>0</v>
      </c>
      <c r="J4216">
        <v>0</v>
      </c>
      <c r="K4216">
        <v>0</v>
      </c>
      <c r="L4216">
        <f t="shared" si="130"/>
        <v>6</v>
      </c>
      <c r="M4216">
        <f t="shared" si="131"/>
        <v>1</v>
      </c>
    </row>
    <row r="4217" spans="1:13" x14ac:dyDescent="0.3">
      <c r="A4217">
        <v>4215</v>
      </c>
      <c r="B4217">
        <v>4216</v>
      </c>
      <c r="C4217" t="s">
        <v>4298</v>
      </c>
      <c r="D4217">
        <v>2017</v>
      </c>
      <c r="F4217" t="s">
        <v>1278</v>
      </c>
      <c r="G4217">
        <v>0</v>
      </c>
      <c r="H4217">
        <v>1</v>
      </c>
      <c r="I4217">
        <v>0</v>
      </c>
      <c r="J4217">
        <v>0</v>
      </c>
      <c r="K4217">
        <v>0</v>
      </c>
      <c r="L4217">
        <f t="shared" si="130"/>
        <v>5.9</v>
      </c>
      <c r="M4217">
        <f t="shared" si="131"/>
        <v>1</v>
      </c>
    </row>
    <row r="4218" spans="1:13" x14ac:dyDescent="0.3">
      <c r="A4218">
        <v>4216</v>
      </c>
      <c r="B4218">
        <v>4217</v>
      </c>
      <c r="C4218" t="s">
        <v>4299</v>
      </c>
      <c r="D4218">
        <v>2013</v>
      </c>
      <c r="F4218" t="s">
        <v>1278</v>
      </c>
      <c r="G4218">
        <v>0</v>
      </c>
      <c r="H4218">
        <v>1</v>
      </c>
      <c r="I4218">
        <v>0</v>
      </c>
      <c r="J4218">
        <v>0</v>
      </c>
      <c r="K4218">
        <v>0</v>
      </c>
      <c r="L4218">
        <f t="shared" si="130"/>
        <v>5.9</v>
      </c>
      <c r="M4218">
        <f t="shared" si="131"/>
        <v>1</v>
      </c>
    </row>
    <row r="4219" spans="1:13" x14ac:dyDescent="0.3">
      <c r="A4219">
        <v>4217</v>
      </c>
      <c r="B4219">
        <v>4218</v>
      </c>
      <c r="C4219" t="s">
        <v>4300</v>
      </c>
      <c r="D4219">
        <v>2019</v>
      </c>
      <c r="E4219" t="s">
        <v>11</v>
      </c>
      <c r="F4219" t="s">
        <v>1278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f t="shared" si="130"/>
        <v>5.9</v>
      </c>
      <c r="M4219">
        <f t="shared" si="131"/>
        <v>1</v>
      </c>
    </row>
    <row r="4220" spans="1:13" x14ac:dyDescent="0.3">
      <c r="A4220">
        <v>4218</v>
      </c>
      <c r="B4220">
        <v>4219</v>
      </c>
      <c r="C4220" t="s">
        <v>4301</v>
      </c>
      <c r="D4220">
        <v>2020</v>
      </c>
      <c r="F4220" t="s">
        <v>1278</v>
      </c>
      <c r="G4220">
        <v>0</v>
      </c>
      <c r="H4220">
        <v>1</v>
      </c>
      <c r="I4220">
        <v>0</v>
      </c>
      <c r="J4220">
        <v>0</v>
      </c>
      <c r="K4220">
        <v>0</v>
      </c>
      <c r="L4220">
        <f t="shared" si="130"/>
        <v>5.9</v>
      </c>
      <c r="M4220">
        <f t="shared" si="131"/>
        <v>1</v>
      </c>
    </row>
    <row r="4221" spans="1:13" x14ac:dyDescent="0.3">
      <c r="A4221">
        <v>4219</v>
      </c>
      <c r="B4221">
        <v>4220</v>
      </c>
      <c r="C4221" t="s">
        <v>4302</v>
      </c>
      <c r="D4221">
        <v>1950</v>
      </c>
      <c r="F4221" t="s">
        <v>1278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f t="shared" si="130"/>
        <v>5.9</v>
      </c>
      <c r="M4221">
        <f t="shared" si="131"/>
        <v>1</v>
      </c>
    </row>
    <row r="4222" spans="1:13" x14ac:dyDescent="0.3">
      <c r="A4222">
        <v>4220</v>
      </c>
      <c r="B4222">
        <v>4221</v>
      </c>
      <c r="C4222" t="s">
        <v>4303</v>
      </c>
      <c r="D4222">
        <v>2019</v>
      </c>
      <c r="E4222" t="s">
        <v>11</v>
      </c>
      <c r="F4222" t="s">
        <v>1278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f t="shared" si="130"/>
        <v>5.9</v>
      </c>
      <c r="M4222">
        <f t="shared" si="131"/>
        <v>1</v>
      </c>
    </row>
    <row r="4223" spans="1:13" x14ac:dyDescent="0.3">
      <c r="A4223">
        <v>4221</v>
      </c>
      <c r="B4223">
        <v>4222</v>
      </c>
      <c r="C4223" t="s">
        <v>4304</v>
      </c>
      <c r="D4223">
        <v>2017</v>
      </c>
      <c r="E4223" t="s">
        <v>11</v>
      </c>
      <c r="F4223" t="s">
        <v>1278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f t="shared" si="130"/>
        <v>5.9</v>
      </c>
      <c r="M4223">
        <f t="shared" si="131"/>
        <v>1</v>
      </c>
    </row>
    <row r="4224" spans="1:13" x14ac:dyDescent="0.3">
      <c r="A4224">
        <v>4222</v>
      </c>
      <c r="B4224">
        <v>4223</v>
      </c>
      <c r="C4224" t="s">
        <v>4305</v>
      </c>
      <c r="D4224">
        <v>1971</v>
      </c>
      <c r="E4224" t="s">
        <v>11</v>
      </c>
      <c r="F4224" t="s">
        <v>1278</v>
      </c>
      <c r="G4224">
        <v>0</v>
      </c>
      <c r="H4224">
        <v>1</v>
      </c>
      <c r="I4224">
        <v>1</v>
      </c>
      <c r="J4224">
        <v>0</v>
      </c>
      <c r="K4224">
        <v>0</v>
      </c>
      <c r="L4224">
        <f t="shared" si="130"/>
        <v>5.9</v>
      </c>
      <c r="M4224">
        <f t="shared" si="131"/>
        <v>2</v>
      </c>
    </row>
    <row r="4225" spans="1:13" x14ac:dyDescent="0.3">
      <c r="A4225">
        <v>4223</v>
      </c>
      <c r="B4225">
        <v>4224</v>
      </c>
      <c r="C4225" t="s">
        <v>4306</v>
      </c>
      <c r="D4225">
        <v>2020</v>
      </c>
      <c r="E4225" t="s">
        <v>22</v>
      </c>
      <c r="F4225" t="s">
        <v>1278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f t="shared" si="130"/>
        <v>5.9</v>
      </c>
      <c r="M4225">
        <f t="shared" si="131"/>
        <v>1</v>
      </c>
    </row>
    <row r="4226" spans="1:13" x14ac:dyDescent="0.3">
      <c r="A4226">
        <v>4224</v>
      </c>
      <c r="B4226">
        <v>4225</v>
      </c>
      <c r="C4226" t="s">
        <v>4307</v>
      </c>
      <c r="D4226">
        <v>2019</v>
      </c>
      <c r="E4226" t="s">
        <v>11</v>
      </c>
      <c r="F4226" t="s">
        <v>1278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f t="shared" si="130"/>
        <v>5.9</v>
      </c>
      <c r="M4226">
        <f t="shared" si="131"/>
        <v>1</v>
      </c>
    </row>
    <row r="4227" spans="1:13" x14ac:dyDescent="0.3">
      <c r="A4227">
        <v>4225</v>
      </c>
      <c r="B4227">
        <v>4226</v>
      </c>
      <c r="C4227" t="s">
        <v>4308</v>
      </c>
      <c r="D4227">
        <v>2020</v>
      </c>
      <c r="E4227" t="s">
        <v>11</v>
      </c>
      <c r="F4227" t="s">
        <v>1278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f t="shared" ref="L4227:L4290" si="132">IFERROR(VALUE(LEFT(F4227,FIND("/",F4227)-1))/10,"")</f>
        <v>5.9</v>
      </c>
      <c r="M4227">
        <f t="shared" ref="M4227:M4290" si="133">SUM(G4227:J4227)</f>
        <v>1</v>
      </c>
    </row>
    <row r="4228" spans="1:13" x14ac:dyDescent="0.3">
      <c r="A4228">
        <v>4226</v>
      </c>
      <c r="B4228">
        <v>4227</v>
      </c>
      <c r="C4228" t="s">
        <v>4309</v>
      </c>
      <c r="D4228">
        <v>2020</v>
      </c>
      <c r="E4228" t="s">
        <v>14</v>
      </c>
      <c r="F4228" t="s">
        <v>1278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f t="shared" si="132"/>
        <v>5.9</v>
      </c>
      <c r="M4228">
        <f t="shared" si="133"/>
        <v>1</v>
      </c>
    </row>
    <row r="4229" spans="1:13" x14ac:dyDescent="0.3">
      <c r="A4229">
        <v>4227</v>
      </c>
      <c r="B4229">
        <v>4228</v>
      </c>
      <c r="C4229" t="s">
        <v>4310</v>
      </c>
      <c r="D4229">
        <v>1972</v>
      </c>
      <c r="E4229" t="s">
        <v>14</v>
      </c>
      <c r="F4229" t="s">
        <v>1278</v>
      </c>
      <c r="G4229">
        <v>0</v>
      </c>
      <c r="H4229">
        <v>1</v>
      </c>
      <c r="I4229">
        <v>1</v>
      </c>
      <c r="J4229">
        <v>0</v>
      </c>
      <c r="K4229">
        <v>0</v>
      </c>
      <c r="L4229">
        <f t="shared" si="132"/>
        <v>5.9</v>
      </c>
      <c r="M4229">
        <f t="shared" si="133"/>
        <v>2</v>
      </c>
    </row>
    <row r="4230" spans="1:13" x14ac:dyDescent="0.3">
      <c r="A4230">
        <v>4228</v>
      </c>
      <c r="B4230">
        <v>4229</v>
      </c>
      <c r="C4230" t="s">
        <v>4311</v>
      </c>
      <c r="D4230">
        <v>2017</v>
      </c>
      <c r="F4230" t="s">
        <v>1278</v>
      </c>
      <c r="G4230">
        <v>0</v>
      </c>
      <c r="H4230">
        <v>1</v>
      </c>
      <c r="I4230">
        <v>0</v>
      </c>
      <c r="J4230">
        <v>0</v>
      </c>
      <c r="K4230">
        <v>0</v>
      </c>
      <c r="L4230">
        <f t="shared" si="132"/>
        <v>5.9</v>
      </c>
      <c r="M4230">
        <f t="shared" si="133"/>
        <v>1</v>
      </c>
    </row>
    <row r="4231" spans="1:13" x14ac:dyDescent="0.3">
      <c r="A4231">
        <v>4229</v>
      </c>
      <c r="B4231">
        <v>4230</v>
      </c>
      <c r="C4231" t="s">
        <v>4312</v>
      </c>
      <c r="D4231">
        <v>2013</v>
      </c>
      <c r="F4231" t="s">
        <v>1278</v>
      </c>
      <c r="G4231">
        <v>0</v>
      </c>
      <c r="H4231">
        <v>1</v>
      </c>
      <c r="I4231">
        <v>1</v>
      </c>
      <c r="J4231">
        <v>0</v>
      </c>
      <c r="K4231">
        <v>0</v>
      </c>
      <c r="L4231">
        <f t="shared" si="132"/>
        <v>5.9</v>
      </c>
      <c r="M4231">
        <f t="shared" si="133"/>
        <v>2</v>
      </c>
    </row>
    <row r="4232" spans="1:13" x14ac:dyDescent="0.3">
      <c r="A4232">
        <v>4230</v>
      </c>
      <c r="B4232">
        <v>4231</v>
      </c>
      <c r="C4232" t="s">
        <v>4313</v>
      </c>
      <c r="D4232">
        <v>2021</v>
      </c>
      <c r="E4232" t="s">
        <v>11</v>
      </c>
      <c r="F4232" t="s">
        <v>1278</v>
      </c>
      <c r="G4232">
        <v>0</v>
      </c>
      <c r="H4232">
        <v>1</v>
      </c>
      <c r="I4232">
        <v>0</v>
      </c>
      <c r="J4232">
        <v>0</v>
      </c>
      <c r="K4232">
        <v>0</v>
      </c>
      <c r="L4232">
        <f t="shared" si="132"/>
        <v>5.9</v>
      </c>
      <c r="M4232">
        <f t="shared" si="133"/>
        <v>1</v>
      </c>
    </row>
    <row r="4233" spans="1:13" x14ac:dyDescent="0.3">
      <c r="A4233">
        <v>4231</v>
      </c>
      <c r="B4233">
        <v>4232</v>
      </c>
      <c r="C4233" t="s">
        <v>4314</v>
      </c>
      <c r="D4233">
        <v>2017</v>
      </c>
      <c r="E4233" t="s">
        <v>22</v>
      </c>
      <c r="F4233" t="s">
        <v>1278</v>
      </c>
      <c r="G4233">
        <v>0</v>
      </c>
      <c r="H4233">
        <v>1</v>
      </c>
      <c r="I4233">
        <v>0</v>
      </c>
      <c r="J4233">
        <v>0</v>
      </c>
      <c r="K4233">
        <v>0</v>
      </c>
      <c r="L4233">
        <f t="shared" si="132"/>
        <v>5.9</v>
      </c>
      <c r="M4233">
        <f t="shared" si="133"/>
        <v>1</v>
      </c>
    </row>
    <row r="4234" spans="1:13" x14ac:dyDescent="0.3">
      <c r="A4234">
        <v>4232</v>
      </c>
      <c r="B4234">
        <v>4233</v>
      </c>
      <c r="C4234" t="s">
        <v>4315</v>
      </c>
      <c r="D4234">
        <v>2020</v>
      </c>
      <c r="F4234" t="s">
        <v>1278</v>
      </c>
      <c r="G4234">
        <v>0</v>
      </c>
      <c r="H4234">
        <v>1</v>
      </c>
      <c r="I4234">
        <v>1</v>
      </c>
      <c r="J4234">
        <v>0</v>
      </c>
      <c r="K4234">
        <v>0</v>
      </c>
      <c r="L4234">
        <f t="shared" si="132"/>
        <v>5.9</v>
      </c>
      <c r="M4234">
        <f t="shared" si="133"/>
        <v>2</v>
      </c>
    </row>
    <row r="4235" spans="1:13" x14ac:dyDescent="0.3">
      <c r="A4235">
        <v>4233</v>
      </c>
      <c r="B4235">
        <v>4234</v>
      </c>
      <c r="C4235" t="s">
        <v>4316</v>
      </c>
      <c r="D4235">
        <v>2006</v>
      </c>
      <c r="E4235" t="s">
        <v>11</v>
      </c>
      <c r="F4235" t="s">
        <v>1278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f t="shared" si="132"/>
        <v>5.9</v>
      </c>
      <c r="M4235">
        <f t="shared" si="133"/>
        <v>1</v>
      </c>
    </row>
    <row r="4236" spans="1:13" x14ac:dyDescent="0.3">
      <c r="A4236">
        <v>4234</v>
      </c>
      <c r="B4236">
        <v>4235</v>
      </c>
      <c r="C4236" t="s">
        <v>4317</v>
      </c>
      <c r="D4236">
        <v>2016</v>
      </c>
      <c r="E4236" t="s">
        <v>22</v>
      </c>
      <c r="F4236" t="s">
        <v>1278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f t="shared" si="132"/>
        <v>5.9</v>
      </c>
      <c r="M4236">
        <f t="shared" si="133"/>
        <v>1</v>
      </c>
    </row>
    <row r="4237" spans="1:13" x14ac:dyDescent="0.3">
      <c r="A4237">
        <v>4235</v>
      </c>
      <c r="B4237">
        <v>4236</v>
      </c>
      <c r="C4237" t="s">
        <v>4318</v>
      </c>
      <c r="D4237">
        <v>2021</v>
      </c>
      <c r="E4237" t="s">
        <v>11</v>
      </c>
      <c r="F4237" t="s">
        <v>1278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f t="shared" si="132"/>
        <v>5.9</v>
      </c>
      <c r="M4237">
        <f t="shared" si="133"/>
        <v>1</v>
      </c>
    </row>
    <row r="4238" spans="1:13" x14ac:dyDescent="0.3">
      <c r="A4238">
        <v>4236</v>
      </c>
      <c r="B4238">
        <v>4237</v>
      </c>
      <c r="C4238" t="s">
        <v>4319</v>
      </c>
      <c r="D4238">
        <v>2016</v>
      </c>
      <c r="F4238" t="s">
        <v>1278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f t="shared" si="132"/>
        <v>5.9</v>
      </c>
      <c r="M4238">
        <f t="shared" si="133"/>
        <v>1</v>
      </c>
    </row>
    <row r="4239" spans="1:13" x14ac:dyDescent="0.3">
      <c r="A4239">
        <v>4237</v>
      </c>
      <c r="B4239">
        <v>4238</v>
      </c>
      <c r="C4239" t="s">
        <v>4320</v>
      </c>
      <c r="D4239">
        <v>2018</v>
      </c>
      <c r="F4239" t="s">
        <v>1278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f t="shared" si="132"/>
        <v>5.9</v>
      </c>
      <c r="M4239">
        <f t="shared" si="133"/>
        <v>1</v>
      </c>
    </row>
    <row r="4240" spans="1:13" x14ac:dyDescent="0.3">
      <c r="A4240">
        <v>4238</v>
      </c>
      <c r="B4240">
        <v>4239</v>
      </c>
      <c r="C4240" t="s">
        <v>4321</v>
      </c>
      <c r="D4240">
        <v>2020</v>
      </c>
      <c r="E4240" t="s">
        <v>11</v>
      </c>
      <c r="F4240" t="s">
        <v>1278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f t="shared" si="132"/>
        <v>5.9</v>
      </c>
      <c r="M4240">
        <f t="shared" si="133"/>
        <v>1</v>
      </c>
    </row>
    <row r="4241" spans="1:13" x14ac:dyDescent="0.3">
      <c r="A4241">
        <v>4239</v>
      </c>
      <c r="B4241">
        <v>4240</v>
      </c>
      <c r="C4241" t="s">
        <v>4322</v>
      </c>
      <c r="D4241">
        <v>2016</v>
      </c>
      <c r="E4241" t="s">
        <v>28</v>
      </c>
      <c r="F4241" t="s">
        <v>1278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f t="shared" si="132"/>
        <v>5.9</v>
      </c>
      <c r="M4241">
        <f t="shared" si="133"/>
        <v>1</v>
      </c>
    </row>
    <row r="4242" spans="1:13" x14ac:dyDescent="0.3">
      <c r="A4242">
        <v>4240</v>
      </c>
      <c r="B4242">
        <v>4241</v>
      </c>
      <c r="C4242" t="s">
        <v>4323</v>
      </c>
      <c r="D4242">
        <v>2012</v>
      </c>
      <c r="E4242" t="s">
        <v>11</v>
      </c>
      <c r="F4242" t="s">
        <v>1278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f t="shared" si="132"/>
        <v>5.9</v>
      </c>
      <c r="M4242">
        <f t="shared" si="133"/>
        <v>1</v>
      </c>
    </row>
    <row r="4243" spans="1:13" x14ac:dyDescent="0.3">
      <c r="A4243">
        <v>4241</v>
      </c>
      <c r="B4243">
        <v>4242</v>
      </c>
      <c r="C4243" t="s">
        <v>4324</v>
      </c>
      <c r="D4243">
        <v>2006</v>
      </c>
      <c r="E4243" t="s">
        <v>14</v>
      </c>
      <c r="F4243" t="s">
        <v>1278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f t="shared" si="132"/>
        <v>5.9</v>
      </c>
      <c r="M4243">
        <f t="shared" si="133"/>
        <v>1</v>
      </c>
    </row>
    <row r="4244" spans="1:13" x14ac:dyDescent="0.3">
      <c r="A4244">
        <v>4242</v>
      </c>
      <c r="B4244">
        <v>4243</v>
      </c>
      <c r="C4244" t="s">
        <v>4325</v>
      </c>
      <c r="D4244">
        <v>2013</v>
      </c>
      <c r="F4244" t="s">
        <v>1278</v>
      </c>
      <c r="G4244">
        <v>0</v>
      </c>
      <c r="H4244">
        <v>1</v>
      </c>
      <c r="I4244">
        <v>1</v>
      </c>
      <c r="J4244">
        <v>0</v>
      </c>
      <c r="K4244">
        <v>0</v>
      </c>
      <c r="L4244">
        <f t="shared" si="132"/>
        <v>5.9</v>
      </c>
      <c r="M4244">
        <f t="shared" si="133"/>
        <v>2</v>
      </c>
    </row>
    <row r="4245" spans="1:13" x14ac:dyDescent="0.3">
      <c r="A4245">
        <v>4243</v>
      </c>
      <c r="B4245">
        <v>4244</v>
      </c>
      <c r="C4245" t="s">
        <v>4326</v>
      </c>
      <c r="D4245">
        <v>2010</v>
      </c>
      <c r="F4245" t="s">
        <v>1278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f t="shared" si="132"/>
        <v>5.9</v>
      </c>
      <c r="M4245">
        <f t="shared" si="133"/>
        <v>1</v>
      </c>
    </row>
    <row r="4246" spans="1:13" x14ac:dyDescent="0.3">
      <c r="A4246">
        <v>4244</v>
      </c>
      <c r="B4246">
        <v>4245</v>
      </c>
      <c r="C4246" t="s">
        <v>4327</v>
      </c>
      <c r="D4246">
        <v>2012</v>
      </c>
      <c r="F4246" t="s">
        <v>1278</v>
      </c>
      <c r="G4246">
        <v>0</v>
      </c>
      <c r="H4246">
        <v>1</v>
      </c>
      <c r="I4246">
        <v>0</v>
      </c>
      <c r="J4246">
        <v>0</v>
      </c>
      <c r="K4246">
        <v>0</v>
      </c>
      <c r="L4246">
        <f t="shared" si="132"/>
        <v>5.9</v>
      </c>
      <c r="M4246">
        <f t="shared" si="133"/>
        <v>1</v>
      </c>
    </row>
    <row r="4247" spans="1:13" x14ac:dyDescent="0.3">
      <c r="A4247">
        <v>4245</v>
      </c>
      <c r="B4247">
        <v>4246</v>
      </c>
      <c r="C4247" t="s">
        <v>4328</v>
      </c>
      <c r="D4247">
        <v>1990</v>
      </c>
      <c r="E4247" t="s">
        <v>11</v>
      </c>
      <c r="F4247" t="s">
        <v>1278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f t="shared" si="132"/>
        <v>5.9</v>
      </c>
      <c r="M4247">
        <f t="shared" si="133"/>
        <v>1</v>
      </c>
    </row>
    <row r="4248" spans="1:13" x14ac:dyDescent="0.3">
      <c r="A4248">
        <v>4246</v>
      </c>
      <c r="B4248">
        <v>4247</v>
      </c>
      <c r="C4248" t="s">
        <v>4329</v>
      </c>
      <c r="D4248">
        <v>1972</v>
      </c>
      <c r="E4248" t="s">
        <v>36</v>
      </c>
      <c r="F4248" t="s">
        <v>1278</v>
      </c>
      <c r="G4248">
        <v>0</v>
      </c>
      <c r="H4248">
        <v>1</v>
      </c>
      <c r="I4248">
        <v>0</v>
      </c>
      <c r="J4248">
        <v>0</v>
      </c>
      <c r="K4248">
        <v>0</v>
      </c>
      <c r="L4248">
        <f t="shared" si="132"/>
        <v>5.9</v>
      </c>
      <c r="M4248">
        <f t="shared" si="133"/>
        <v>1</v>
      </c>
    </row>
    <row r="4249" spans="1:13" x14ac:dyDescent="0.3">
      <c r="A4249">
        <v>4247</v>
      </c>
      <c r="B4249">
        <v>4248</v>
      </c>
      <c r="C4249" t="s">
        <v>4330</v>
      </c>
      <c r="D4249">
        <v>2017</v>
      </c>
      <c r="F4249" t="s">
        <v>1384</v>
      </c>
      <c r="G4249">
        <v>0</v>
      </c>
      <c r="H4249">
        <v>1</v>
      </c>
      <c r="I4249">
        <v>1</v>
      </c>
      <c r="J4249">
        <v>0</v>
      </c>
      <c r="K4249">
        <v>0</v>
      </c>
      <c r="L4249">
        <f t="shared" si="132"/>
        <v>5.8</v>
      </c>
      <c r="M4249">
        <f t="shared" si="133"/>
        <v>2</v>
      </c>
    </row>
    <row r="4250" spans="1:13" x14ac:dyDescent="0.3">
      <c r="A4250">
        <v>4248</v>
      </c>
      <c r="B4250">
        <v>4249</v>
      </c>
      <c r="C4250" t="s">
        <v>4331</v>
      </c>
      <c r="D4250">
        <v>2020</v>
      </c>
      <c r="E4250" t="s">
        <v>11</v>
      </c>
      <c r="F4250" t="s">
        <v>1384</v>
      </c>
      <c r="G4250">
        <v>0</v>
      </c>
      <c r="H4250">
        <v>1</v>
      </c>
      <c r="I4250">
        <v>0</v>
      </c>
      <c r="J4250">
        <v>0</v>
      </c>
      <c r="K4250">
        <v>0</v>
      </c>
      <c r="L4250">
        <f t="shared" si="132"/>
        <v>5.8</v>
      </c>
      <c r="M4250">
        <f t="shared" si="133"/>
        <v>1</v>
      </c>
    </row>
    <row r="4251" spans="1:13" x14ac:dyDescent="0.3">
      <c r="A4251">
        <v>4249</v>
      </c>
      <c r="B4251">
        <v>4250</v>
      </c>
      <c r="C4251" t="s">
        <v>4332</v>
      </c>
      <c r="D4251">
        <v>2021</v>
      </c>
      <c r="F4251" t="s">
        <v>1384</v>
      </c>
      <c r="G4251">
        <v>0</v>
      </c>
      <c r="H4251">
        <v>1</v>
      </c>
      <c r="I4251">
        <v>0</v>
      </c>
      <c r="J4251">
        <v>0</v>
      </c>
      <c r="K4251">
        <v>0</v>
      </c>
      <c r="L4251">
        <f t="shared" si="132"/>
        <v>5.8</v>
      </c>
      <c r="M4251">
        <f t="shared" si="133"/>
        <v>1</v>
      </c>
    </row>
    <row r="4252" spans="1:13" x14ac:dyDescent="0.3">
      <c r="A4252">
        <v>4250</v>
      </c>
      <c r="B4252">
        <v>4251</v>
      </c>
      <c r="C4252" t="s">
        <v>4333</v>
      </c>
      <c r="D4252">
        <v>2019</v>
      </c>
      <c r="F4252" t="s">
        <v>1384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f t="shared" si="132"/>
        <v>5.8</v>
      </c>
      <c r="M4252">
        <f t="shared" si="133"/>
        <v>1</v>
      </c>
    </row>
    <row r="4253" spans="1:13" x14ac:dyDescent="0.3">
      <c r="A4253">
        <v>4251</v>
      </c>
      <c r="B4253">
        <v>4252</v>
      </c>
      <c r="C4253" t="s">
        <v>4334</v>
      </c>
      <c r="D4253">
        <v>2020</v>
      </c>
      <c r="F4253" t="s">
        <v>1384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f t="shared" si="132"/>
        <v>5.8</v>
      </c>
      <c r="M4253">
        <f t="shared" si="133"/>
        <v>1</v>
      </c>
    </row>
    <row r="4254" spans="1:13" x14ac:dyDescent="0.3">
      <c r="A4254">
        <v>4252</v>
      </c>
      <c r="B4254">
        <v>4253</v>
      </c>
      <c r="C4254" t="s">
        <v>4335</v>
      </c>
      <c r="D4254">
        <v>2018</v>
      </c>
      <c r="F4254" t="s">
        <v>1384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f t="shared" si="132"/>
        <v>5.8</v>
      </c>
      <c r="M4254">
        <f t="shared" si="133"/>
        <v>1</v>
      </c>
    </row>
    <row r="4255" spans="1:13" x14ac:dyDescent="0.3">
      <c r="A4255">
        <v>4253</v>
      </c>
      <c r="B4255">
        <v>4254</v>
      </c>
      <c r="C4255" t="s">
        <v>4336</v>
      </c>
      <c r="D4255">
        <v>2020</v>
      </c>
      <c r="E4255" t="s">
        <v>22</v>
      </c>
      <c r="F4255" t="s">
        <v>1384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f t="shared" si="132"/>
        <v>5.8</v>
      </c>
      <c r="M4255">
        <f t="shared" si="133"/>
        <v>1</v>
      </c>
    </row>
    <row r="4256" spans="1:13" x14ac:dyDescent="0.3">
      <c r="A4256">
        <v>4254</v>
      </c>
      <c r="B4256">
        <v>4255</v>
      </c>
      <c r="C4256" t="s">
        <v>4337</v>
      </c>
      <c r="D4256">
        <v>2019</v>
      </c>
      <c r="F4256" t="s">
        <v>1384</v>
      </c>
      <c r="G4256">
        <v>0</v>
      </c>
      <c r="H4256">
        <v>1</v>
      </c>
      <c r="I4256">
        <v>1</v>
      </c>
      <c r="J4256">
        <v>0</v>
      </c>
      <c r="K4256">
        <v>0</v>
      </c>
      <c r="L4256">
        <f t="shared" si="132"/>
        <v>5.8</v>
      </c>
      <c r="M4256">
        <f t="shared" si="133"/>
        <v>2</v>
      </c>
    </row>
    <row r="4257" spans="1:13" x14ac:dyDescent="0.3">
      <c r="A4257">
        <v>4255</v>
      </c>
      <c r="B4257">
        <v>4256</v>
      </c>
      <c r="C4257" t="s">
        <v>4338</v>
      </c>
      <c r="D4257">
        <v>2011</v>
      </c>
      <c r="E4257" t="s">
        <v>11</v>
      </c>
      <c r="F4257" t="s">
        <v>1384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f t="shared" si="132"/>
        <v>5.8</v>
      </c>
      <c r="M4257">
        <f t="shared" si="133"/>
        <v>1</v>
      </c>
    </row>
    <row r="4258" spans="1:13" x14ac:dyDescent="0.3">
      <c r="A4258">
        <v>4256</v>
      </c>
      <c r="B4258">
        <v>4257</v>
      </c>
      <c r="C4258" t="s">
        <v>4339</v>
      </c>
      <c r="D4258">
        <v>2000</v>
      </c>
      <c r="E4258" t="s">
        <v>11</v>
      </c>
      <c r="F4258" t="s">
        <v>1384</v>
      </c>
      <c r="G4258">
        <v>0</v>
      </c>
      <c r="H4258">
        <v>1</v>
      </c>
      <c r="I4258">
        <v>1</v>
      </c>
      <c r="J4258">
        <v>0</v>
      </c>
      <c r="K4258">
        <v>0</v>
      </c>
      <c r="L4258">
        <f t="shared" si="132"/>
        <v>5.8</v>
      </c>
      <c r="M4258">
        <f t="shared" si="133"/>
        <v>2</v>
      </c>
    </row>
    <row r="4259" spans="1:13" x14ac:dyDescent="0.3">
      <c r="A4259">
        <v>4257</v>
      </c>
      <c r="B4259">
        <v>4258</v>
      </c>
      <c r="C4259" t="s">
        <v>4340</v>
      </c>
      <c r="D4259">
        <v>2016</v>
      </c>
      <c r="E4259" t="s">
        <v>22</v>
      </c>
      <c r="F4259" t="s">
        <v>1384</v>
      </c>
      <c r="G4259">
        <v>0</v>
      </c>
      <c r="H4259">
        <v>1</v>
      </c>
      <c r="I4259">
        <v>0</v>
      </c>
      <c r="J4259">
        <v>0</v>
      </c>
      <c r="K4259">
        <v>0</v>
      </c>
      <c r="L4259">
        <f t="shared" si="132"/>
        <v>5.8</v>
      </c>
      <c r="M4259">
        <f t="shared" si="133"/>
        <v>1</v>
      </c>
    </row>
    <row r="4260" spans="1:13" x14ac:dyDescent="0.3">
      <c r="A4260">
        <v>4258</v>
      </c>
      <c r="B4260">
        <v>4259</v>
      </c>
      <c r="C4260" t="s">
        <v>4341</v>
      </c>
      <c r="D4260">
        <v>2017</v>
      </c>
      <c r="F4260" t="s">
        <v>1384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f t="shared" si="132"/>
        <v>5.8</v>
      </c>
      <c r="M4260">
        <f t="shared" si="133"/>
        <v>1</v>
      </c>
    </row>
    <row r="4261" spans="1:13" x14ac:dyDescent="0.3">
      <c r="A4261">
        <v>4259</v>
      </c>
      <c r="B4261">
        <v>4260</v>
      </c>
      <c r="C4261" t="s">
        <v>4342</v>
      </c>
      <c r="D4261">
        <v>2012</v>
      </c>
      <c r="E4261" t="s">
        <v>22</v>
      </c>
      <c r="F4261" t="s">
        <v>1384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f t="shared" si="132"/>
        <v>5.8</v>
      </c>
      <c r="M4261">
        <f t="shared" si="133"/>
        <v>1</v>
      </c>
    </row>
    <row r="4262" spans="1:13" x14ac:dyDescent="0.3">
      <c r="A4262">
        <v>4260</v>
      </c>
      <c r="B4262">
        <v>4261</v>
      </c>
      <c r="C4262" t="s">
        <v>4343</v>
      </c>
      <c r="D4262">
        <v>2019</v>
      </c>
      <c r="E4262" t="s">
        <v>11</v>
      </c>
      <c r="F4262" t="s">
        <v>1384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f t="shared" si="132"/>
        <v>5.8</v>
      </c>
      <c r="M4262">
        <f t="shared" si="133"/>
        <v>1</v>
      </c>
    </row>
    <row r="4263" spans="1:13" x14ac:dyDescent="0.3">
      <c r="A4263">
        <v>4261</v>
      </c>
      <c r="B4263">
        <v>4262</v>
      </c>
      <c r="C4263" t="s">
        <v>4344</v>
      </c>
      <c r="D4263">
        <v>2019</v>
      </c>
      <c r="F4263" t="s">
        <v>1384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f t="shared" si="132"/>
        <v>5.8</v>
      </c>
      <c r="M4263">
        <f t="shared" si="133"/>
        <v>1</v>
      </c>
    </row>
    <row r="4264" spans="1:13" x14ac:dyDescent="0.3">
      <c r="A4264">
        <v>4262</v>
      </c>
      <c r="B4264">
        <v>4263</v>
      </c>
      <c r="C4264" t="s">
        <v>4345</v>
      </c>
      <c r="D4264">
        <v>2014</v>
      </c>
      <c r="F4264" t="s">
        <v>1384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f t="shared" si="132"/>
        <v>5.8</v>
      </c>
      <c r="M4264">
        <f t="shared" si="133"/>
        <v>1</v>
      </c>
    </row>
    <row r="4265" spans="1:13" x14ac:dyDescent="0.3">
      <c r="A4265">
        <v>4263</v>
      </c>
      <c r="B4265">
        <v>4264</v>
      </c>
      <c r="C4265" t="s">
        <v>4346</v>
      </c>
      <c r="D4265">
        <v>2020</v>
      </c>
      <c r="F4265" t="s">
        <v>1384</v>
      </c>
      <c r="G4265">
        <v>0</v>
      </c>
      <c r="H4265">
        <v>1</v>
      </c>
      <c r="I4265">
        <v>0</v>
      </c>
      <c r="J4265">
        <v>0</v>
      </c>
      <c r="K4265">
        <v>0</v>
      </c>
      <c r="L4265">
        <f t="shared" si="132"/>
        <v>5.8</v>
      </c>
      <c r="M4265">
        <f t="shared" si="133"/>
        <v>1</v>
      </c>
    </row>
    <row r="4266" spans="1:13" x14ac:dyDescent="0.3">
      <c r="A4266">
        <v>4264</v>
      </c>
      <c r="B4266">
        <v>4265</v>
      </c>
      <c r="C4266" t="s">
        <v>4347</v>
      </c>
      <c r="D4266">
        <v>2017</v>
      </c>
      <c r="F4266" t="s">
        <v>1384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f t="shared" si="132"/>
        <v>5.8</v>
      </c>
      <c r="M4266">
        <f t="shared" si="133"/>
        <v>1</v>
      </c>
    </row>
    <row r="4267" spans="1:13" x14ac:dyDescent="0.3">
      <c r="A4267">
        <v>4265</v>
      </c>
      <c r="B4267">
        <v>4266</v>
      </c>
      <c r="C4267" t="s">
        <v>4348</v>
      </c>
      <c r="D4267">
        <v>2018</v>
      </c>
      <c r="E4267" t="s">
        <v>22</v>
      </c>
      <c r="F4267" t="s">
        <v>1384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f t="shared" si="132"/>
        <v>5.8</v>
      </c>
      <c r="M4267">
        <f t="shared" si="133"/>
        <v>1</v>
      </c>
    </row>
    <row r="4268" spans="1:13" x14ac:dyDescent="0.3">
      <c r="A4268">
        <v>4266</v>
      </c>
      <c r="B4268">
        <v>4267</v>
      </c>
      <c r="C4268" t="s">
        <v>4349</v>
      </c>
      <c r="D4268">
        <v>2003</v>
      </c>
      <c r="E4268" t="s">
        <v>11</v>
      </c>
      <c r="F4268" t="s">
        <v>1384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f t="shared" si="132"/>
        <v>5.8</v>
      </c>
      <c r="M4268">
        <f t="shared" si="133"/>
        <v>1</v>
      </c>
    </row>
    <row r="4269" spans="1:13" x14ac:dyDescent="0.3">
      <c r="A4269">
        <v>4267</v>
      </c>
      <c r="B4269">
        <v>4268</v>
      </c>
      <c r="C4269" t="s">
        <v>4350</v>
      </c>
      <c r="D4269">
        <v>2019</v>
      </c>
      <c r="F4269" t="s">
        <v>1384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f t="shared" si="132"/>
        <v>5.8</v>
      </c>
      <c r="M4269">
        <f t="shared" si="133"/>
        <v>1</v>
      </c>
    </row>
    <row r="4270" spans="1:13" x14ac:dyDescent="0.3">
      <c r="A4270">
        <v>4268</v>
      </c>
      <c r="B4270">
        <v>4269</v>
      </c>
      <c r="C4270" t="s">
        <v>4351</v>
      </c>
      <c r="D4270">
        <v>2014</v>
      </c>
      <c r="E4270" t="s">
        <v>22</v>
      </c>
      <c r="F4270" t="s">
        <v>1384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f t="shared" si="132"/>
        <v>5.8</v>
      </c>
      <c r="M4270">
        <f t="shared" si="133"/>
        <v>1</v>
      </c>
    </row>
    <row r="4271" spans="1:13" x14ac:dyDescent="0.3">
      <c r="A4271">
        <v>4269</v>
      </c>
      <c r="B4271">
        <v>4270</v>
      </c>
      <c r="C4271" t="s">
        <v>4352</v>
      </c>
      <c r="D4271">
        <v>2016</v>
      </c>
      <c r="E4271" t="s">
        <v>11</v>
      </c>
      <c r="F4271" t="s">
        <v>1384</v>
      </c>
      <c r="G4271">
        <v>0</v>
      </c>
      <c r="H4271">
        <v>1</v>
      </c>
      <c r="I4271">
        <v>0</v>
      </c>
      <c r="J4271">
        <v>0</v>
      </c>
      <c r="K4271">
        <v>0</v>
      </c>
      <c r="L4271">
        <f t="shared" si="132"/>
        <v>5.8</v>
      </c>
      <c r="M4271">
        <f t="shared" si="133"/>
        <v>1</v>
      </c>
    </row>
    <row r="4272" spans="1:13" x14ac:dyDescent="0.3">
      <c r="A4272">
        <v>4270</v>
      </c>
      <c r="B4272">
        <v>4271</v>
      </c>
      <c r="C4272" t="s">
        <v>4353</v>
      </c>
      <c r="D4272">
        <v>2014</v>
      </c>
      <c r="E4272" t="s">
        <v>11</v>
      </c>
      <c r="F4272" t="s">
        <v>1384</v>
      </c>
      <c r="G4272">
        <v>0</v>
      </c>
      <c r="H4272">
        <v>1</v>
      </c>
      <c r="I4272">
        <v>0</v>
      </c>
      <c r="J4272">
        <v>0</v>
      </c>
      <c r="K4272">
        <v>0</v>
      </c>
      <c r="L4272">
        <f t="shared" si="132"/>
        <v>5.8</v>
      </c>
      <c r="M4272">
        <f t="shared" si="133"/>
        <v>1</v>
      </c>
    </row>
    <row r="4273" spans="1:13" x14ac:dyDescent="0.3">
      <c r="A4273">
        <v>4271</v>
      </c>
      <c r="B4273">
        <v>4272</v>
      </c>
      <c r="C4273" t="s">
        <v>4354</v>
      </c>
      <c r="D4273">
        <v>2014</v>
      </c>
      <c r="E4273" t="s">
        <v>11</v>
      </c>
      <c r="F4273" t="s">
        <v>1384</v>
      </c>
      <c r="G4273">
        <v>0</v>
      </c>
      <c r="H4273">
        <v>1</v>
      </c>
      <c r="I4273">
        <v>1</v>
      </c>
      <c r="J4273">
        <v>0</v>
      </c>
      <c r="K4273">
        <v>0</v>
      </c>
      <c r="L4273">
        <f t="shared" si="132"/>
        <v>5.8</v>
      </c>
      <c r="M4273">
        <f t="shared" si="133"/>
        <v>2</v>
      </c>
    </row>
    <row r="4274" spans="1:13" x14ac:dyDescent="0.3">
      <c r="A4274">
        <v>4272</v>
      </c>
      <c r="B4274">
        <v>4273</v>
      </c>
      <c r="C4274" t="s">
        <v>4355</v>
      </c>
      <c r="D4274">
        <v>2008</v>
      </c>
      <c r="E4274" t="s">
        <v>22</v>
      </c>
      <c r="F4274" t="s">
        <v>1384</v>
      </c>
      <c r="G4274">
        <v>0</v>
      </c>
      <c r="H4274">
        <v>1</v>
      </c>
      <c r="I4274">
        <v>0</v>
      </c>
      <c r="J4274">
        <v>0</v>
      </c>
      <c r="K4274">
        <v>0</v>
      </c>
      <c r="L4274">
        <f t="shared" si="132"/>
        <v>5.8</v>
      </c>
      <c r="M4274">
        <f t="shared" si="133"/>
        <v>1</v>
      </c>
    </row>
    <row r="4275" spans="1:13" x14ac:dyDescent="0.3">
      <c r="A4275">
        <v>4273</v>
      </c>
      <c r="B4275">
        <v>4274</v>
      </c>
      <c r="C4275" t="s">
        <v>4356</v>
      </c>
      <c r="D4275">
        <v>2008</v>
      </c>
      <c r="E4275" t="s">
        <v>11</v>
      </c>
      <c r="F4275" t="s">
        <v>1384</v>
      </c>
      <c r="G4275">
        <v>0</v>
      </c>
      <c r="H4275">
        <v>1</v>
      </c>
      <c r="I4275">
        <v>0</v>
      </c>
      <c r="J4275">
        <v>0</v>
      </c>
      <c r="K4275">
        <v>0</v>
      </c>
      <c r="L4275">
        <f t="shared" si="132"/>
        <v>5.8</v>
      </c>
      <c r="M4275">
        <f t="shared" si="133"/>
        <v>1</v>
      </c>
    </row>
    <row r="4276" spans="1:13" x14ac:dyDescent="0.3">
      <c r="A4276">
        <v>4274</v>
      </c>
      <c r="B4276">
        <v>4275</v>
      </c>
      <c r="C4276" t="s">
        <v>4357</v>
      </c>
      <c r="D4276">
        <v>2020</v>
      </c>
      <c r="E4276" t="s">
        <v>11</v>
      </c>
      <c r="F4276" t="s">
        <v>1384</v>
      </c>
      <c r="G4276">
        <v>0</v>
      </c>
      <c r="H4276">
        <v>1</v>
      </c>
      <c r="I4276">
        <v>0</v>
      </c>
      <c r="J4276">
        <v>0</v>
      </c>
      <c r="K4276">
        <v>0</v>
      </c>
      <c r="L4276">
        <f t="shared" si="132"/>
        <v>5.8</v>
      </c>
      <c r="M4276">
        <f t="shared" si="133"/>
        <v>1</v>
      </c>
    </row>
    <row r="4277" spans="1:13" x14ac:dyDescent="0.3">
      <c r="A4277">
        <v>4275</v>
      </c>
      <c r="B4277">
        <v>4276</v>
      </c>
      <c r="C4277" t="s">
        <v>4358</v>
      </c>
      <c r="D4277">
        <v>2014</v>
      </c>
      <c r="F4277" t="s">
        <v>1384</v>
      </c>
      <c r="G4277">
        <v>0</v>
      </c>
      <c r="H4277">
        <v>1</v>
      </c>
      <c r="I4277">
        <v>0</v>
      </c>
      <c r="J4277">
        <v>0</v>
      </c>
      <c r="K4277">
        <v>0</v>
      </c>
      <c r="L4277">
        <f t="shared" si="132"/>
        <v>5.8</v>
      </c>
      <c r="M4277">
        <f t="shared" si="133"/>
        <v>1</v>
      </c>
    </row>
    <row r="4278" spans="1:13" x14ac:dyDescent="0.3">
      <c r="A4278">
        <v>4276</v>
      </c>
      <c r="B4278">
        <v>4277</v>
      </c>
      <c r="C4278" t="s">
        <v>4359</v>
      </c>
      <c r="D4278">
        <v>2016</v>
      </c>
      <c r="E4278" t="s">
        <v>36</v>
      </c>
      <c r="F4278" t="s">
        <v>1384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f t="shared" si="132"/>
        <v>5.8</v>
      </c>
      <c r="M4278">
        <f t="shared" si="133"/>
        <v>1</v>
      </c>
    </row>
    <row r="4279" spans="1:13" x14ac:dyDescent="0.3">
      <c r="A4279">
        <v>4277</v>
      </c>
      <c r="B4279">
        <v>4278</v>
      </c>
      <c r="C4279" t="s">
        <v>4360</v>
      </c>
      <c r="D4279">
        <v>2020</v>
      </c>
      <c r="E4279" t="s">
        <v>11</v>
      </c>
      <c r="F4279" t="s">
        <v>1384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f t="shared" si="132"/>
        <v>5.8</v>
      </c>
      <c r="M4279">
        <f t="shared" si="133"/>
        <v>1</v>
      </c>
    </row>
    <row r="4280" spans="1:13" x14ac:dyDescent="0.3">
      <c r="A4280">
        <v>4278</v>
      </c>
      <c r="B4280">
        <v>4279</v>
      </c>
      <c r="C4280" t="s">
        <v>4361</v>
      </c>
      <c r="D4280">
        <v>1960</v>
      </c>
      <c r="F4280" t="s">
        <v>1384</v>
      </c>
      <c r="G4280">
        <v>0</v>
      </c>
      <c r="H4280">
        <v>1</v>
      </c>
      <c r="I4280">
        <v>0</v>
      </c>
      <c r="J4280">
        <v>0</v>
      </c>
      <c r="K4280">
        <v>0</v>
      </c>
      <c r="L4280">
        <f t="shared" si="132"/>
        <v>5.8</v>
      </c>
      <c r="M4280">
        <f t="shared" si="133"/>
        <v>1</v>
      </c>
    </row>
    <row r="4281" spans="1:13" x14ac:dyDescent="0.3">
      <c r="A4281">
        <v>4279</v>
      </c>
      <c r="B4281">
        <v>4280</v>
      </c>
      <c r="C4281" t="s">
        <v>4362</v>
      </c>
      <c r="D4281">
        <v>1999</v>
      </c>
      <c r="F4281" t="s">
        <v>1384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f t="shared" si="132"/>
        <v>5.8</v>
      </c>
      <c r="M4281">
        <f t="shared" si="133"/>
        <v>1</v>
      </c>
    </row>
    <row r="4282" spans="1:13" x14ac:dyDescent="0.3">
      <c r="A4282">
        <v>4280</v>
      </c>
      <c r="B4282">
        <v>4281</v>
      </c>
      <c r="C4282" t="s">
        <v>4363</v>
      </c>
      <c r="D4282">
        <v>2015</v>
      </c>
      <c r="E4282" t="s">
        <v>11</v>
      </c>
      <c r="F4282" t="s">
        <v>1384</v>
      </c>
      <c r="G4282">
        <v>0</v>
      </c>
      <c r="H4282">
        <v>1</v>
      </c>
      <c r="I4282">
        <v>0</v>
      </c>
      <c r="J4282">
        <v>0</v>
      </c>
      <c r="K4282">
        <v>0</v>
      </c>
      <c r="L4282">
        <f t="shared" si="132"/>
        <v>5.8</v>
      </c>
      <c r="M4282">
        <f t="shared" si="133"/>
        <v>1</v>
      </c>
    </row>
    <row r="4283" spans="1:13" x14ac:dyDescent="0.3">
      <c r="A4283">
        <v>4281</v>
      </c>
      <c r="B4283">
        <v>4282</v>
      </c>
      <c r="C4283" t="s">
        <v>4364</v>
      </c>
      <c r="D4283">
        <v>2021</v>
      </c>
      <c r="F4283" t="s">
        <v>1384</v>
      </c>
      <c r="G4283">
        <v>0</v>
      </c>
      <c r="H4283">
        <v>1</v>
      </c>
      <c r="I4283">
        <v>0</v>
      </c>
      <c r="J4283">
        <v>0</v>
      </c>
      <c r="K4283">
        <v>0</v>
      </c>
      <c r="L4283">
        <f t="shared" si="132"/>
        <v>5.8</v>
      </c>
      <c r="M4283">
        <f t="shared" si="133"/>
        <v>1</v>
      </c>
    </row>
    <row r="4284" spans="1:13" x14ac:dyDescent="0.3">
      <c r="A4284">
        <v>4282</v>
      </c>
      <c r="B4284">
        <v>4283</v>
      </c>
      <c r="C4284" t="s">
        <v>4365</v>
      </c>
      <c r="D4284">
        <v>2020</v>
      </c>
      <c r="F4284" t="s">
        <v>1384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f t="shared" si="132"/>
        <v>5.8</v>
      </c>
      <c r="M4284">
        <f t="shared" si="133"/>
        <v>1</v>
      </c>
    </row>
    <row r="4285" spans="1:13" x14ac:dyDescent="0.3">
      <c r="A4285">
        <v>4283</v>
      </c>
      <c r="B4285">
        <v>4284</v>
      </c>
      <c r="C4285" t="s">
        <v>4366</v>
      </c>
      <c r="D4285">
        <v>2012</v>
      </c>
      <c r="E4285" t="s">
        <v>22</v>
      </c>
      <c r="F4285" t="s">
        <v>1471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f t="shared" si="132"/>
        <v>5.7</v>
      </c>
      <c r="M4285">
        <f t="shared" si="133"/>
        <v>1</v>
      </c>
    </row>
    <row r="4286" spans="1:13" x14ac:dyDescent="0.3">
      <c r="A4286">
        <v>4284</v>
      </c>
      <c r="B4286">
        <v>4285</v>
      </c>
      <c r="C4286" t="s">
        <v>4367</v>
      </c>
      <c r="D4286">
        <v>2013</v>
      </c>
      <c r="E4286" t="s">
        <v>22</v>
      </c>
      <c r="F4286" t="s">
        <v>1471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f t="shared" si="132"/>
        <v>5.7</v>
      </c>
      <c r="M4286">
        <f t="shared" si="133"/>
        <v>1</v>
      </c>
    </row>
    <row r="4287" spans="1:13" x14ac:dyDescent="0.3">
      <c r="A4287">
        <v>4285</v>
      </c>
      <c r="B4287">
        <v>4286</v>
      </c>
      <c r="C4287" t="s">
        <v>4368</v>
      </c>
      <c r="D4287">
        <v>2015</v>
      </c>
      <c r="E4287" t="s">
        <v>11</v>
      </c>
      <c r="F4287" t="s">
        <v>1471</v>
      </c>
      <c r="G4287">
        <v>0</v>
      </c>
      <c r="H4287">
        <v>1</v>
      </c>
      <c r="I4287">
        <v>0</v>
      </c>
      <c r="J4287">
        <v>0</v>
      </c>
      <c r="K4287">
        <v>0</v>
      </c>
      <c r="L4287">
        <f t="shared" si="132"/>
        <v>5.7</v>
      </c>
      <c r="M4287">
        <f t="shared" si="133"/>
        <v>1</v>
      </c>
    </row>
    <row r="4288" spans="1:13" x14ac:dyDescent="0.3">
      <c r="A4288">
        <v>4286</v>
      </c>
      <c r="B4288">
        <v>4287</v>
      </c>
      <c r="C4288" t="s">
        <v>4369</v>
      </c>
      <c r="D4288">
        <v>2013</v>
      </c>
      <c r="E4288" t="s">
        <v>11</v>
      </c>
      <c r="F4288" t="s">
        <v>1471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f t="shared" si="132"/>
        <v>5.7</v>
      </c>
      <c r="M4288">
        <f t="shared" si="133"/>
        <v>1</v>
      </c>
    </row>
    <row r="4289" spans="1:13" x14ac:dyDescent="0.3">
      <c r="A4289">
        <v>4287</v>
      </c>
      <c r="B4289">
        <v>4288</v>
      </c>
      <c r="C4289" t="s">
        <v>4370</v>
      </c>
      <c r="D4289">
        <v>2012</v>
      </c>
      <c r="E4289" t="s">
        <v>11</v>
      </c>
      <c r="F4289" t="s">
        <v>1471</v>
      </c>
      <c r="G4289">
        <v>0</v>
      </c>
      <c r="H4289">
        <v>1</v>
      </c>
      <c r="I4289">
        <v>0</v>
      </c>
      <c r="J4289">
        <v>0</v>
      </c>
      <c r="K4289">
        <v>0</v>
      </c>
      <c r="L4289">
        <f t="shared" si="132"/>
        <v>5.7</v>
      </c>
      <c r="M4289">
        <f t="shared" si="133"/>
        <v>1</v>
      </c>
    </row>
    <row r="4290" spans="1:13" x14ac:dyDescent="0.3">
      <c r="A4290">
        <v>4288</v>
      </c>
      <c r="B4290">
        <v>4289</v>
      </c>
      <c r="C4290" t="s">
        <v>4371</v>
      </c>
      <c r="D4290">
        <v>2015</v>
      </c>
      <c r="E4290" t="s">
        <v>11</v>
      </c>
      <c r="F4290" t="s">
        <v>1471</v>
      </c>
      <c r="G4290">
        <v>0</v>
      </c>
      <c r="H4290">
        <v>1</v>
      </c>
      <c r="I4290">
        <v>0</v>
      </c>
      <c r="J4290">
        <v>0</v>
      </c>
      <c r="K4290">
        <v>0</v>
      </c>
      <c r="L4290">
        <f t="shared" si="132"/>
        <v>5.7</v>
      </c>
      <c r="M4290">
        <f t="shared" si="133"/>
        <v>1</v>
      </c>
    </row>
    <row r="4291" spans="1:13" x14ac:dyDescent="0.3">
      <c r="A4291">
        <v>4289</v>
      </c>
      <c r="B4291">
        <v>4290</v>
      </c>
      <c r="C4291" t="s">
        <v>4372</v>
      </c>
      <c r="D4291">
        <v>2017</v>
      </c>
      <c r="E4291" t="s">
        <v>11</v>
      </c>
      <c r="F4291" t="s">
        <v>1471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f t="shared" ref="L4291:L4354" si="134">IFERROR(VALUE(LEFT(F4291,FIND("/",F4291)-1))/10,"")</f>
        <v>5.7</v>
      </c>
      <c r="M4291">
        <f t="shared" ref="M4291:M4354" si="135">SUM(G4291:J4291)</f>
        <v>1</v>
      </c>
    </row>
    <row r="4292" spans="1:13" x14ac:dyDescent="0.3">
      <c r="A4292">
        <v>4290</v>
      </c>
      <c r="B4292">
        <v>4291</v>
      </c>
      <c r="C4292" t="s">
        <v>4373</v>
      </c>
      <c r="D4292">
        <v>2015</v>
      </c>
      <c r="E4292" t="s">
        <v>11</v>
      </c>
      <c r="F4292" t="s">
        <v>1471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f t="shared" si="134"/>
        <v>5.7</v>
      </c>
      <c r="M4292">
        <f t="shared" si="135"/>
        <v>1</v>
      </c>
    </row>
    <row r="4293" spans="1:13" x14ac:dyDescent="0.3">
      <c r="A4293">
        <v>4291</v>
      </c>
      <c r="B4293">
        <v>4292</v>
      </c>
      <c r="C4293" t="s">
        <v>4374</v>
      </c>
      <c r="D4293">
        <v>2016</v>
      </c>
      <c r="F4293" t="s">
        <v>1471</v>
      </c>
      <c r="G4293">
        <v>0</v>
      </c>
      <c r="H4293">
        <v>1</v>
      </c>
      <c r="I4293">
        <v>0</v>
      </c>
      <c r="J4293">
        <v>0</v>
      </c>
      <c r="K4293">
        <v>0</v>
      </c>
      <c r="L4293">
        <f t="shared" si="134"/>
        <v>5.7</v>
      </c>
      <c r="M4293">
        <f t="shared" si="135"/>
        <v>1</v>
      </c>
    </row>
    <row r="4294" spans="1:13" x14ac:dyDescent="0.3">
      <c r="A4294">
        <v>4292</v>
      </c>
      <c r="B4294">
        <v>4293</v>
      </c>
      <c r="C4294" t="s">
        <v>4375</v>
      </c>
      <c r="D4294">
        <v>2018</v>
      </c>
      <c r="E4294" t="s">
        <v>11</v>
      </c>
      <c r="F4294" t="s">
        <v>1471</v>
      </c>
      <c r="G4294">
        <v>0</v>
      </c>
      <c r="H4294">
        <v>1</v>
      </c>
      <c r="I4294">
        <v>0</v>
      </c>
      <c r="J4294">
        <v>0</v>
      </c>
      <c r="K4294">
        <v>0</v>
      </c>
      <c r="L4294">
        <f t="shared" si="134"/>
        <v>5.7</v>
      </c>
      <c r="M4294">
        <f t="shared" si="135"/>
        <v>1</v>
      </c>
    </row>
    <row r="4295" spans="1:13" x14ac:dyDescent="0.3">
      <c r="A4295">
        <v>4293</v>
      </c>
      <c r="B4295">
        <v>4294</v>
      </c>
      <c r="C4295" t="s">
        <v>4376</v>
      </c>
      <c r="D4295">
        <v>2016</v>
      </c>
      <c r="E4295" t="s">
        <v>11</v>
      </c>
      <c r="F4295" t="s">
        <v>1471</v>
      </c>
      <c r="G4295">
        <v>0</v>
      </c>
      <c r="H4295">
        <v>1</v>
      </c>
      <c r="I4295">
        <v>1</v>
      </c>
      <c r="J4295">
        <v>0</v>
      </c>
      <c r="K4295">
        <v>0</v>
      </c>
      <c r="L4295">
        <f t="shared" si="134"/>
        <v>5.7</v>
      </c>
      <c r="M4295">
        <f t="shared" si="135"/>
        <v>2</v>
      </c>
    </row>
    <row r="4296" spans="1:13" x14ac:dyDescent="0.3">
      <c r="A4296">
        <v>4294</v>
      </c>
      <c r="B4296">
        <v>4295</v>
      </c>
      <c r="C4296" t="s">
        <v>4377</v>
      </c>
      <c r="D4296">
        <v>2006</v>
      </c>
      <c r="E4296" t="s">
        <v>14</v>
      </c>
      <c r="F4296" t="s">
        <v>1471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f t="shared" si="134"/>
        <v>5.7</v>
      </c>
      <c r="M4296">
        <f t="shared" si="135"/>
        <v>1</v>
      </c>
    </row>
    <row r="4297" spans="1:13" x14ac:dyDescent="0.3">
      <c r="A4297">
        <v>4295</v>
      </c>
      <c r="B4297">
        <v>4296</v>
      </c>
      <c r="C4297" t="s">
        <v>4378</v>
      </c>
      <c r="D4297">
        <v>2020</v>
      </c>
      <c r="E4297" t="s">
        <v>11</v>
      </c>
      <c r="F4297" t="s">
        <v>1471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f t="shared" si="134"/>
        <v>5.7</v>
      </c>
      <c r="M4297">
        <f t="shared" si="135"/>
        <v>1</v>
      </c>
    </row>
    <row r="4298" spans="1:13" x14ac:dyDescent="0.3">
      <c r="A4298">
        <v>4296</v>
      </c>
      <c r="B4298">
        <v>4297</v>
      </c>
      <c r="C4298" t="s">
        <v>4379</v>
      </c>
      <c r="D4298">
        <v>2019</v>
      </c>
      <c r="F4298" t="s">
        <v>1471</v>
      </c>
      <c r="G4298">
        <v>0</v>
      </c>
      <c r="H4298">
        <v>1</v>
      </c>
      <c r="I4298">
        <v>0</v>
      </c>
      <c r="J4298">
        <v>0</v>
      </c>
      <c r="K4298">
        <v>0</v>
      </c>
      <c r="L4298">
        <f t="shared" si="134"/>
        <v>5.7</v>
      </c>
      <c r="M4298">
        <f t="shared" si="135"/>
        <v>1</v>
      </c>
    </row>
    <row r="4299" spans="1:13" x14ac:dyDescent="0.3">
      <c r="A4299">
        <v>4297</v>
      </c>
      <c r="B4299">
        <v>4298</v>
      </c>
      <c r="C4299" t="s">
        <v>4380</v>
      </c>
      <c r="D4299">
        <v>2014</v>
      </c>
      <c r="E4299" t="s">
        <v>22</v>
      </c>
      <c r="F4299" t="s">
        <v>1471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f t="shared" si="134"/>
        <v>5.7</v>
      </c>
      <c r="M4299">
        <f t="shared" si="135"/>
        <v>1</v>
      </c>
    </row>
    <row r="4300" spans="1:13" x14ac:dyDescent="0.3">
      <c r="A4300">
        <v>4298</v>
      </c>
      <c r="B4300">
        <v>4299</v>
      </c>
      <c r="C4300" t="s">
        <v>4381</v>
      </c>
      <c r="D4300">
        <v>1964</v>
      </c>
      <c r="F4300" t="s">
        <v>1471</v>
      </c>
      <c r="G4300">
        <v>0</v>
      </c>
      <c r="H4300">
        <v>1</v>
      </c>
      <c r="I4300">
        <v>1</v>
      </c>
      <c r="J4300">
        <v>0</v>
      </c>
      <c r="K4300">
        <v>0</v>
      </c>
      <c r="L4300">
        <f t="shared" si="134"/>
        <v>5.7</v>
      </c>
      <c r="M4300">
        <f t="shared" si="135"/>
        <v>2</v>
      </c>
    </row>
    <row r="4301" spans="1:13" x14ac:dyDescent="0.3">
      <c r="A4301">
        <v>4299</v>
      </c>
      <c r="B4301">
        <v>4300</v>
      </c>
      <c r="C4301" t="s">
        <v>4382</v>
      </c>
      <c r="D4301">
        <v>2021</v>
      </c>
      <c r="E4301" t="s">
        <v>11</v>
      </c>
      <c r="F4301" t="s">
        <v>1471</v>
      </c>
      <c r="G4301">
        <v>0</v>
      </c>
      <c r="H4301">
        <v>1</v>
      </c>
      <c r="I4301">
        <v>0</v>
      </c>
      <c r="J4301">
        <v>0</v>
      </c>
      <c r="K4301">
        <v>0</v>
      </c>
      <c r="L4301">
        <f t="shared" si="134"/>
        <v>5.7</v>
      </c>
      <c r="M4301">
        <f t="shared" si="135"/>
        <v>1</v>
      </c>
    </row>
    <row r="4302" spans="1:13" x14ac:dyDescent="0.3">
      <c r="A4302">
        <v>4300</v>
      </c>
      <c r="B4302">
        <v>4301</v>
      </c>
      <c r="C4302" t="s">
        <v>4383</v>
      </c>
      <c r="D4302">
        <v>2019</v>
      </c>
      <c r="E4302" t="s">
        <v>28</v>
      </c>
      <c r="F4302" t="s">
        <v>1471</v>
      </c>
      <c r="G4302">
        <v>0</v>
      </c>
      <c r="H4302">
        <v>1</v>
      </c>
      <c r="I4302">
        <v>0</v>
      </c>
      <c r="J4302">
        <v>0</v>
      </c>
      <c r="K4302">
        <v>0</v>
      </c>
      <c r="L4302">
        <f t="shared" si="134"/>
        <v>5.7</v>
      </c>
      <c r="M4302">
        <f t="shared" si="135"/>
        <v>1</v>
      </c>
    </row>
    <row r="4303" spans="1:13" x14ac:dyDescent="0.3">
      <c r="A4303">
        <v>4301</v>
      </c>
      <c r="B4303">
        <v>4302</v>
      </c>
      <c r="C4303" t="s">
        <v>4384</v>
      </c>
      <c r="D4303">
        <v>2017</v>
      </c>
      <c r="E4303" t="s">
        <v>11</v>
      </c>
      <c r="F4303" t="s">
        <v>1471</v>
      </c>
      <c r="G4303">
        <v>0</v>
      </c>
      <c r="H4303">
        <v>1</v>
      </c>
      <c r="I4303">
        <v>0</v>
      </c>
      <c r="J4303">
        <v>0</v>
      </c>
      <c r="K4303">
        <v>0</v>
      </c>
      <c r="L4303">
        <f t="shared" si="134"/>
        <v>5.7</v>
      </c>
      <c r="M4303">
        <f t="shared" si="135"/>
        <v>1</v>
      </c>
    </row>
    <row r="4304" spans="1:13" x14ac:dyDescent="0.3">
      <c r="A4304">
        <v>4302</v>
      </c>
      <c r="B4304">
        <v>4303</v>
      </c>
      <c r="C4304" t="s">
        <v>4385</v>
      </c>
      <c r="D4304">
        <v>2020</v>
      </c>
      <c r="E4304" t="s">
        <v>22</v>
      </c>
      <c r="F4304" t="s">
        <v>1471</v>
      </c>
      <c r="G4304">
        <v>0</v>
      </c>
      <c r="H4304">
        <v>1</v>
      </c>
      <c r="I4304">
        <v>0</v>
      </c>
      <c r="J4304">
        <v>0</v>
      </c>
      <c r="K4304">
        <v>0</v>
      </c>
      <c r="L4304">
        <f t="shared" si="134"/>
        <v>5.7</v>
      </c>
      <c r="M4304">
        <f t="shared" si="135"/>
        <v>1</v>
      </c>
    </row>
    <row r="4305" spans="1:13" x14ac:dyDescent="0.3">
      <c r="A4305">
        <v>4303</v>
      </c>
      <c r="B4305">
        <v>4304</v>
      </c>
      <c r="C4305" t="s">
        <v>4386</v>
      </c>
      <c r="D4305">
        <v>2017</v>
      </c>
      <c r="F4305" t="s">
        <v>1471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f t="shared" si="134"/>
        <v>5.7</v>
      </c>
      <c r="M4305">
        <f t="shared" si="135"/>
        <v>1</v>
      </c>
    </row>
    <row r="4306" spans="1:13" x14ac:dyDescent="0.3">
      <c r="A4306">
        <v>4304</v>
      </c>
      <c r="B4306">
        <v>4305</v>
      </c>
      <c r="C4306" t="s">
        <v>4387</v>
      </c>
      <c r="D4306">
        <v>2015</v>
      </c>
      <c r="F4306" t="s">
        <v>1471</v>
      </c>
      <c r="G4306">
        <v>0</v>
      </c>
      <c r="H4306">
        <v>1</v>
      </c>
      <c r="I4306">
        <v>1</v>
      </c>
      <c r="J4306">
        <v>0</v>
      </c>
      <c r="K4306">
        <v>0</v>
      </c>
      <c r="L4306">
        <f t="shared" si="134"/>
        <v>5.7</v>
      </c>
      <c r="M4306">
        <f t="shared" si="135"/>
        <v>2</v>
      </c>
    </row>
    <row r="4307" spans="1:13" x14ac:dyDescent="0.3">
      <c r="A4307">
        <v>4305</v>
      </c>
      <c r="B4307">
        <v>4306</v>
      </c>
      <c r="C4307" t="s">
        <v>4388</v>
      </c>
      <c r="D4307">
        <v>2018</v>
      </c>
      <c r="F4307" t="s">
        <v>1471</v>
      </c>
      <c r="G4307">
        <v>0</v>
      </c>
      <c r="H4307">
        <v>1</v>
      </c>
      <c r="I4307">
        <v>0</v>
      </c>
      <c r="J4307">
        <v>0</v>
      </c>
      <c r="K4307">
        <v>0</v>
      </c>
      <c r="L4307">
        <f t="shared" si="134"/>
        <v>5.7</v>
      </c>
      <c r="M4307">
        <f t="shared" si="135"/>
        <v>1</v>
      </c>
    </row>
    <row r="4308" spans="1:13" x14ac:dyDescent="0.3">
      <c r="A4308">
        <v>4306</v>
      </c>
      <c r="B4308">
        <v>4307</v>
      </c>
      <c r="C4308" t="s">
        <v>4389</v>
      </c>
      <c r="D4308">
        <v>2009</v>
      </c>
      <c r="E4308" t="s">
        <v>11</v>
      </c>
      <c r="F4308" t="s">
        <v>1471</v>
      </c>
      <c r="G4308">
        <v>0</v>
      </c>
      <c r="H4308">
        <v>1</v>
      </c>
      <c r="I4308">
        <v>0</v>
      </c>
      <c r="J4308">
        <v>0</v>
      </c>
      <c r="K4308">
        <v>0</v>
      </c>
      <c r="L4308">
        <f t="shared" si="134"/>
        <v>5.7</v>
      </c>
      <c r="M4308">
        <f t="shared" si="135"/>
        <v>1</v>
      </c>
    </row>
    <row r="4309" spans="1:13" x14ac:dyDescent="0.3">
      <c r="A4309">
        <v>4307</v>
      </c>
      <c r="B4309">
        <v>4308</v>
      </c>
      <c r="C4309" t="s">
        <v>4390</v>
      </c>
      <c r="D4309">
        <v>2020</v>
      </c>
      <c r="E4309" t="s">
        <v>22</v>
      </c>
      <c r="F4309" t="s">
        <v>1471</v>
      </c>
      <c r="G4309">
        <v>0</v>
      </c>
      <c r="H4309">
        <v>1</v>
      </c>
      <c r="I4309">
        <v>0</v>
      </c>
      <c r="J4309">
        <v>0</v>
      </c>
      <c r="K4309">
        <v>0</v>
      </c>
      <c r="L4309">
        <f t="shared" si="134"/>
        <v>5.7</v>
      </c>
      <c r="M4309">
        <f t="shared" si="135"/>
        <v>1</v>
      </c>
    </row>
    <row r="4310" spans="1:13" x14ac:dyDescent="0.3">
      <c r="A4310">
        <v>4308</v>
      </c>
      <c r="B4310">
        <v>4309</v>
      </c>
      <c r="C4310" t="s">
        <v>4391</v>
      </c>
      <c r="D4310">
        <v>2017</v>
      </c>
      <c r="E4310" t="s">
        <v>11</v>
      </c>
      <c r="F4310" t="s">
        <v>1471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f t="shared" si="134"/>
        <v>5.7</v>
      </c>
      <c r="M4310">
        <f t="shared" si="135"/>
        <v>1</v>
      </c>
    </row>
    <row r="4311" spans="1:13" x14ac:dyDescent="0.3">
      <c r="A4311">
        <v>4309</v>
      </c>
      <c r="B4311">
        <v>4310</v>
      </c>
      <c r="C4311" t="s">
        <v>4392</v>
      </c>
      <c r="D4311">
        <v>2006</v>
      </c>
      <c r="E4311" t="s">
        <v>36</v>
      </c>
      <c r="F4311" t="s">
        <v>1471</v>
      </c>
      <c r="G4311">
        <v>0</v>
      </c>
      <c r="H4311">
        <v>1</v>
      </c>
      <c r="I4311">
        <v>0</v>
      </c>
      <c r="J4311">
        <v>0</v>
      </c>
      <c r="K4311">
        <v>0</v>
      </c>
      <c r="L4311">
        <f t="shared" si="134"/>
        <v>5.7</v>
      </c>
      <c r="M4311">
        <f t="shared" si="135"/>
        <v>1</v>
      </c>
    </row>
    <row r="4312" spans="1:13" x14ac:dyDescent="0.3">
      <c r="A4312">
        <v>4310</v>
      </c>
      <c r="B4312">
        <v>4311</v>
      </c>
      <c r="C4312" t="s">
        <v>4393</v>
      </c>
      <c r="D4312">
        <v>2014</v>
      </c>
      <c r="F4312" t="s">
        <v>1471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f t="shared" si="134"/>
        <v>5.7</v>
      </c>
      <c r="M4312">
        <f t="shared" si="135"/>
        <v>1</v>
      </c>
    </row>
    <row r="4313" spans="1:13" x14ac:dyDescent="0.3">
      <c r="A4313">
        <v>4311</v>
      </c>
      <c r="B4313">
        <v>4312</v>
      </c>
      <c r="C4313" t="s">
        <v>4394</v>
      </c>
      <c r="D4313">
        <v>1999</v>
      </c>
      <c r="F4313" t="s">
        <v>1471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f t="shared" si="134"/>
        <v>5.7</v>
      </c>
      <c r="M4313">
        <f t="shared" si="135"/>
        <v>1</v>
      </c>
    </row>
    <row r="4314" spans="1:13" x14ac:dyDescent="0.3">
      <c r="A4314">
        <v>4312</v>
      </c>
      <c r="B4314">
        <v>4313</v>
      </c>
      <c r="C4314" t="s">
        <v>4395</v>
      </c>
      <c r="D4314">
        <v>2020</v>
      </c>
      <c r="E4314" t="s">
        <v>11</v>
      </c>
      <c r="F4314" t="s">
        <v>1471</v>
      </c>
      <c r="G4314">
        <v>0</v>
      </c>
      <c r="H4314">
        <v>1</v>
      </c>
      <c r="I4314">
        <v>0</v>
      </c>
      <c r="J4314">
        <v>0</v>
      </c>
      <c r="K4314">
        <v>0</v>
      </c>
      <c r="L4314">
        <f t="shared" si="134"/>
        <v>5.7</v>
      </c>
      <c r="M4314">
        <f t="shared" si="135"/>
        <v>1</v>
      </c>
    </row>
    <row r="4315" spans="1:13" x14ac:dyDescent="0.3">
      <c r="A4315">
        <v>4313</v>
      </c>
      <c r="B4315">
        <v>4314</v>
      </c>
      <c r="C4315" t="s">
        <v>4396</v>
      </c>
      <c r="D4315">
        <v>1985</v>
      </c>
      <c r="F4315" t="s">
        <v>1471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f t="shared" si="134"/>
        <v>5.7</v>
      </c>
      <c r="M4315">
        <f t="shared" si="135"/>
        <v>1</v>
      </c>
    </row>
    <row r="4316" spans="1:13" x14ac:dyDescent="0.3">
      <c r="A4316">
        <v>4314</v>
      </c>
      <c r="B4316">
        <v>4315</v>
      </c>
      <c r="C4316" t="s">
        <v>4397</v>
      </c>
      <c r="D4316">
        <v>1995</v>
      </c>
      <c r="E4316" t="s">
        <v>11</v>
      </c>
      <c r="F4316" t="s">
        <v>1471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f t="shared" si="134"/>
        <v>5.7</v>
      </c>
      <c r="M4316">
        <f t="shared" si="135"/>
        <v>1</v>
      </c>
    </row>
    <row r="4317" spans="1:13" x14ac:dyDescent="0.3">
      <c r="A4317">
        <v>4315</v>
      </c>
      <c r="B4317">
        <v>4316</v>
      </c>
      <c r="C4317" t="s">
        <v>4398</v>
      </c>
      <c r="D4317">
        <v>2014</v>
      </c>
      <c r="E4317" t="s">
        <v>28</v>
      </c>
      <c r="F4317" t="s">
        <v>1471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f t="shared" si="134"/>
        <v>5.7</v>
      </c>
      <c r="M4317">
        <f t="shared" si="135"/>
        <v>1</v>
      </c>
    </row>
    <row r="4318" spans="1:13" x14ac:dyDescent="0.3">
      <c r="A4318">
        <v>4316</v>
      </c>
      <c r="B4318">
        <v>4317</v>
      </c>
      <c r="C4318" t="s">
        <v>4399</v>
      </c>
      <c r="D4318">
        <v>2018</v>
      </c>
      <c r="E4318" t="s">
        <v>11</v>
      </c>
      <c r="F4318" t="s">
        <v>1471</v>
      </c>
      <c r="G4318">
        <v>0</v>
      </c>
      <c r="H4318">
        <v>1</v>
      </c>
      <c r="I4318">
        <v>0</v>
      </c>
      <c r="J4318">
        <v>0</v>
      </c>
      <c r="K4318">
        <v>0</v>
      </c>
      <c r="L4318">
        <f t="shared" si="134"/>
        <v>5.7</v>
      </c>
      <c r="M4318">
        <f t="shared" si="135"/>
        <v>1</v>
      </c>
    </row>
    <row r="4319" spans="1:13" x14ac:dyDescent="0.3">
      <c r="A4319">
        <v>4317</v>
      </c>
      <c r="B4319">
        <v>4318</v>
      </c>
      <c r="C4319" t="s">
        <v>4400</v>
      </c>
      <c r="D4319">
        <v>2013</v>
      </c>
      <c r="E4319" t="s">
        <v>11</v>
      </c>
      <c r="F4319" t="s">
        <v>1471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f t="shared" si="134"/>
        <v>5.7</v>
      </c>
      <c r="M4319">
        <f t="shared" si="135"/>
        <v>1</v>
      </c>
    </row>
    <row r="4320" spans="1:13" x14ac:dyDescent="0.3">
      <c r="A4320">
        <v>4318</v>
      </c>
      <c r="B4320">
        <v>4319</v>
      </c>
      <c r="C4320" t="s">
        <v>4401</v>
      </c>
      <c r="D4320">
        <v>2016</v>
      </c>
      <c r="F4320" t="s">
        <v>1574</v>
      </c>
      <c r="G4320">
        <v>0</v>
      </c>
      <c r="H4320">
        <v>1</v>
      </c>
      <c r="I4320">
        <v>0</v>
      </c>
      <c r="J4320">
        <v>0</v>
      </c>
      <c r="K4320">
        <v>0</v>
      </c>
      <c r="L4320">
        <f t="shared" si="134"/>
        <v>5.6</v>
      </c>
      <c r="M4320">
        <f t="shared" si="135"/>
        <v>1</v>
      </c>
    </row>
    <row r="4321" spans="1:13" x14ac:dyDescent="0.3">
      <c r="A4321">
        <v>4319</v>
      </c>
      <c r="B4321">
        <v>4320</v>
      </c>
      <c r="C4321" t="s">
        <v>4402</v>
      </c>
      <c r="D4321">
        <v>2019</v>
      </c>
      <c r="E4321" t="s">
        <v>14</v>
      </c>
      <c r="F4321" t="s">
        <v>1574</v>
      </c>
      <c r="G4321">
        <v>0</v>
      </c>
      <c r="H4321">
        <v>1</v>
      </c>
      <c r="I4321">
        <v>0</v>
      </c>
      <c r="J4321">
        <v>0</v>
      </c>
      <c r="K4321">
        <v>0</v>
      </c>
      <c r="L4321">
        <f t="shared" si="134"/>
        <v>5.6</v>
      </c>
      <c r="M4321">
        <f t="shared" si="135"/>
        <v>1</v>
      </c>
    </row>
    <row r="4322" spans="1:13" x14ac:dyDescent="0.3">
      <c r="A4322">
        <v>4320</v>
      </c>
      <c r="B4322">
        <v>4321</v>
      </c>
      <c r="C4322" t="s">
        <v>4403</v>
      </c>
      <c r="D4322">
        <v>2019</v>
      </c>
      <c r="E4322" t="s">
        <v>36</v>
      </c>
      <c r="F4322" t="s">
        <v>1574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f t="shared" si="134"/>
        <v>5.6</v>
      </c>
      <c r="M4322">
        <f t="shared" si="135"/>
        <v>1</v>
      </c>
    </row>
    <row r="4323" spans="1:13" x14ac:dyDescent="0.3">
      <c r="A4323">
        <v>4321</v>
      </c>
      <c r="B4323">
        <v>4322</v>
      </c>
      <c r="C4323" t="s">
        <v>4404</v>
      </c>
      <c r="D4323">
        <v>2019</v>
      </c>
      <c r="F4323" t="s">
        <v>1574</v>
      </c>
      <c r="G4323">
        <v>0</v>
      </c>
      <c r="H4323">
        <v>1</v>
      </c>
      <c r="I4323">
        <v>0</v>
      </c>
      <c r="J4323">
        <v>0</v>
      </c>
      <c r="K4323">
        <v>0</v>
      </c>
      <c r="L4323">
        <f t="shared" si="134"/>
        <v>5.6</v>
      </c>
      <c r="M4323">
        <f t="shared" si="135"/>
        <v>1</v>
      </c>
    </row>
    <row r="4324" spans="1:13" x14ac:dyDescent="0.3">
      <c r="A4324">
        <v>4322</v>
      </c>
      <c r="B4324">
        <v>4323</v>
      </c>
      <c r="C4324" t="s">
        <v>4405</v>
      </c>
      <c r="D4324">
        <v>2012</v>
      </c>
      <c r="F4324" t="s">
        <v>1574</v>
      </c>
      <c r="G4324">
        <v>0</v>
      </c>
      <c r="H4324">
        <v>1</v>
      </c>
      <c r="I4324">
        <v>0</v>
      </c>
      <c r="J4324">
        <v>0</v>
      </c>
      <c r="K4324">
        <v>0</v>
      </c>
      <c r="L4324">
        <f t="shared" si="134"/>
        <v>5.6</v>
      </c>
      <c r="M4324">
        <f t="shared" si="135"/>
        <v>1</v>
      </c>
    </row>
    <row r="4325" spans="1:13" x14ac:dyDescent="0.3">
      <c r="A4325">
        <v>4323</v>
      </c>
      <c r="B4325">
        <v>4324</v>
      </c>
      <c r="C4325" t="s">
        <v>4406</v>
      </c>
      <c r="D4325">
        <v>2016</v>
      </c>
      <c r="E4325" t="s">
        <v>22</v>
      </c>
      <c r="F4325" t="s">
        <v>1574</v>
      </c>
      <c r="G4325">
        <v>0</v>
      </c>
      <c r="H4325">
        <v>1</v>
      </c>
      <c r="I4325">
        <v>0</v>
      </c>
      <c r="J4325">
        <v>0</v>
      </c>
      <c r="K4325">
        <v>0</v>
      </c>
      <c r="L4325">
        <f t="shared" si="134"/>
        <v>5.6</v>
      </c>
      <c r="M4325">
        <f t="shared" si="135"/>
        <v>1</v>
      </c>
    </row>
    <row r="4326" spans="1:13" x14ac:dyDescent="0.3">
      <c r="A4326">
        <v>4324</v>
      </c>
      <c r="B4326">
        <v>4325</v>
      </c>
      <c r="C4326" t="s">
        <v>4407</v>
      </c>
      <c r="D4326">
        <v>1965</v>
      </c>
      <c r="F4326" t="s">
        <v>1574</v>
      </c>
      <c r="G4326">
        <v>0</v>
      </c>
      <c r="H4326">
        <v>1</v>
      </c>
      <c r="I4326">
        <v>1</v>
      </c>
      <c r="J4326">
        <v>0</v>
      </c>
      <c r="K4326">
        <v>0</v>
      </c>
      <c r="L4326">
        <f t="shared" si="134"/>
        <v>5.6</v>
      </c>
      <c r="M4326">
        <f t="shared" si="135"/>
        <v>2</v>
      </c>
    </row>
    <row r="4327" spans="1:13" x14ac:dyDescent="0.3">
      <c r="A4327">
        <v>4325</v>
      </c>
      <c r="B4327">
        <v>4326</v>
      </c>
      <c r="C4327" t="s">
        <v>4408</v>
      </c>
      <c r="D4327">
        <v>2014</v>
      </c>
      <c r="F4327" t="s">
        <v>1574</v>
      </c>
      <c r="G4327">
        <v>0</v>
      </c>
      <c r="H4327">
        <v>1</v>
      </c>
      <c r="I4327">
        <v>0</v>
      </c>
      <c r="J4327">
        <v>0</v>
      </c>
      <c r="K4327">
        <v>0</v>
      </c>
      <c r="L4327">
        <f t="shared" si="134"/>
        <v>5.6</v>
      </c>
      <c r="M4327">
        <f t="shared" si="135"/>
        <v>1</v>
      </c>
    </row>
    <row r="4328" spans="1:13" x14ac:dyDescent="0.3">
      <c r="A4328">
        <v>4326</v>
      </c>
      <c r="B4328">
        <v>4327</v>
      </c>
      <c r="C4328" t="s">
        <v>4409</v>
      </c>
      <c r="D4328">
        <v>2007</v>
      </c>
      <c r="E4328" t="s">
        <v>14</v>
      </c>
      <c r="F4328" t="s">
        <v>1574</v>
      </c>
      <c r="G4328">
        <v>0</v>
      </c>
      <c r="H4328">
        <v>1</v>
      </c>
      <c r="I4328">
        <v>0</v>
      </c>
      <c r="J4328">
        <v>0</v>
      </c>
      <c r="K4328">
        <v>0</v>
      </c>
      <c r="L4328">
        <f t="shared" si="134"/>
        <v>5.6</v>
      </c>
      <c r="M4328">
        <f t="shared" si="135"/>
        <v>1</v>
      </c>
    </row>
    <row r="4329" spans="1:13" x14ac:dyDescent="0.3">
      <c r="A4329">
        <v>4327</v>
      </c>
      <c r="B4329">
        <v>4328</v>
      </c>
      <c r="C4329" t="s">
        <v>4410</v>
      </c>
      <c r="D4329">
        <v>2019</v>
      </c>
      <c r="F4329" t="s">
        <v>1574</v>
      </c>
      <c r="G4329">
        <v>0</v>
      </c>
      <c r="H4329">
        <v>1</v>
      </c>
      <c r="I4329">
        <v>0</v>
      </c>
      <c r="J4329">
        <v>0</v>
      </c>
      <c r="K4329">
        <v>0</v>
      </c>
      <c r="L4329">
        <f t="shared" si="134"/>
        <v>5.6</v>
      </c>
      <c r="M4329">
        <f t="shared" si="135"/>
        <v>1</v>
      </c>
    </row>
    <row r="4330" spans="1:13" x14ac:dyDescent="0.3">
      <c r="A4330">
        <v>4328</v>
      </c>
      <c r="B4330">
        <v>4329</v>
      </c>
      <c r="C4330" t="s">
        <v>4411</v>
      </c>
      <c r="D4330">
        <v>1974</v>
      </c>
      <c r="E4330" t="s">
        <v>11</v>
      </c>
      <c r="F4330" t="s">
        <v>1574</v>
      </c>
      <c r="G4330">
        <v>0</v>
      </c>
      <c r="H4330">
        <v>1</v>
      </c>
      <c r="I4330">
        <v>0</v>
      </c>
      <c r="J4330">
        <v>0</v>
      </c>
      <c r="K4330">
        <v>0</v>
      </c>
      <c r="L4330">
        <f t="shared" si="134"/>
        <v>5.6</v>
      </c>
      <c r="M4330">
        <f t="shared" si="135"/>
        <v>1</v>
      </c>
    </row>
    <row r="4331" spans="1:13" x14ac:dyDescent="0.3">
      <c r="A4331">
        <v>4329</v>
      </c>
      <c r="B4331">
        <v>4330</v>
      </c>
      <c r="C4331" t="s">
        <v>4412</v>
      </c>
      <c r="D4331">
        <v>2011</v>
      </c>
      <c r="E4331" t="s">
        <v>11</v>
      </c>
      <c r="F4331" t="s">
        <v>1574</v>
      </c>
      <c r="G4331">
        <v>0</v>
      </c>
      <c r="H4331">
        <v>1</v>
      </c>
      <c r="I4331">
        <v>0</v>
      </c>
      <c r="J4331">
        <v>0</v>
      </c>
      <c r="K4331">
        <v>0</v>
      </c>
      <c r="L4331">
        <f t="shared" si="134"/>
        <v>5.6</v>
      </c>
      <c r="M4331">
        <f t="shared" si="135"/>
        <v>1</v>
      </c>
    </row>
    <row r="4332" spans="1:13" x14ac:dyDescent="0.3">
      <c r="A4332">
        <v>4330</v>
      </c>
      <c r="B4332">
        <v>4331</v>
      </c>
      <c r="C4332" t="s">
        <v>4413</v>
      </c>
      <c r="D4332">
        <v>2015</v>
      </c>
      <c r="F4332" t="s">
        <v>1574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f t="shared" si="134"/>
        <v>5.6</v>
      </c>
      <c r="M4332">
        <f t="shared" si="135"/>
        <v>1</v>
      </c>
    </row>
    <row r="4333" spans="1:13" x14ac:dyDescent="0.3">
      <c r="A4333">
        <v>4331</v>
      </c>
      <c r="B4333">
        <v>4332</v>
      </c>
      <c r="C4333" t="s">
        <v>4414</v>
      </c>
      <c r="D4333">
        <v>2000</v>
      </c>
      <c r="E4333" t="s">
        <v>11</v>
      </c>
      <c r="F4333" t="s">
        <v>1574</v>
      </c>
      <c r="G4333">
        <v>0</v>
      </c>
      <c r="H4333">
        <v>1</v>
      </c>
      <c r="I4333">
        <v>0</v>
      </c>
      <c r="J4333">
        <v>0</v>
      </c>
      <c r="K4333">
        <v>0</v>
      </c>
      <c r="L4333">
        <f t="shared" si="134"/>
        <v>5.6</v>
      </c>
      <c r="M4333">
        <f t="shared" si="135"/>
        <v>1</v>
      </c>
    </row>
    <row r="4334" spans="1:13" x14ac:dyDescent="0.3">
      <c r="A4334">
        <v>4332</v>
      </c>
      <c r="B4334">
        <v>4333</v>
      </c>
      <c r="C4334" t="s">
        <v>4415</v>
      </c>
      <c r="D4334">
        <v>2012</v>
      </c>
      <c r="F4334" t="s">
        <v>1574</v>
      </c>
      <c r="G4334">
        <v>0</v>
      </c>
      <c r="H4334">
        <v>1</v>
      </c>
      <c r="I4334">
        <v>0</v>
      </c>
      <c r="J4334">
        <v>0</v>
      </c>
      <c r="K4334">
        <v>0</v>
      </c>
      <c r="L4334">
        <f t="shared" si="134"/>
        <v>5.6</v>
      </c>
      <c r="M4334">
        <f t="shared" si="135"/>
        <v>1</v>
      </c>
    </row>
    <row r="4335" spans="1:13" x14ac:dyDescent="0.3">
      <c r="A4335">
        <v>4333</v>
      </c>
      <c r="B4335">
        <v>4334</v>
      </c>
      <c r="C4335" t="s">
        <v>4416</v>
      </c>
      <c r="D4335">
        <v>2000</v>
      </c>
      <c r="E4335" t="s">
        <v>11</v>
      </c>
      <c r="F4335" t="s">
        <v>1574</v>
      </c>
      <c r="G4335">
        <v>0</v>
      </c>
      <c r="H4335">
        <v>1</v>
      </c>
      <c r="I4335">
        <v>0</v>
      </c>
      <c r="J4335">
        <v>0</v>
      </c>
      <c r="K4335">
        <v>0</v>
      </c>
      <c r="L4335">
        <f t="shared" si="134"/>
        <v>5.6</v>
      </c>
      <c r="M4335">
        <f t="shared" si="135"/>
        <v>1</v>
      </c>
    </row>
    <row r="4336" spans="1:13" x14ac:dyDescent="0.3">
      <c r="A4336">
        <v>4334</v>
      </c>
      <c r="B4336">
        <v>4335</v>
      </c>
      <c r="C4336" t="s">
        <v>4417</v>
      </c>
      <c r="D4336">
        <v>2018</v>
      </c>
      <c r="E4336" t="s">
        <v>11</v>
      </c>
      <c r="F4336" t="s">
        <v>1574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f t="shared" si="134"/>
        <v>5.6</v>
      </c>
      <c r="M4336">
        <f t="shared" si="135"/>
        <v>1</v>
      </c>
    </row>
    <row r="4337" spans="1:13" x14ac:dyDescent="0.3">
      <c r="A4337">
        <v>4335</v>
      </c>
      <c r="B4337">
        <v>4336</v>
      </c>
      <c r="C4337" t="s">
        <v>4418</v>
      </c>
      <c r="D4337">
        <v>2019</v>
      </c>
      <c r="E4337" t="s">
        <v>22</v>
      </c>
      <c r="F4337" t="s">
        <v>1574</v>
      </c>
      <c r="G4337">
        <v>0</v>
      </c>
      <c r="H4337">
        <v>1</v>
      </c>
      <c r="I4337">
        <v>0</v>
      </c>
      <c r="J4337">
        <v>0</v>
      </c>
      <c r="K4337">
        <v>0</v>
      </c>
      <c r="L4337">
        <f t="shared" si="134"/>
        <v>5.6</v>
      </c>
      <c r="M4337">
        <f t="shared" si="135"/>
        <v>1</v>
      </c>
    </row>
    <row r="4338" spans="1:13" x14ac:dyDescent="0.3">
      <c r="A4338">
        <v>4336</v>
      </c>
      <c r="B4338">
        <v>4337</v>
      </c>
      <c r="C4338" t="s">
        <v>4419</v>
      </c>
      <c r="D4338">
        <v>2018</v>
      </c>
      <c r="E4338" t="s">
        <v>11</v>
      </c>
      <c r="F4338" t="s">
        <v>1574</v>
      </c>
      <c r="G4338">
        <v>0</v>
      </c>
      <c r="H4338">
        <v>1</v>
      </c>
      <c r="I4338">
        <v>0</v>
      </c>
      <c r="J4338">
        <v>0</v>
      </c>
      <c r="K4338">
        <v>0</v>
      </c>
      <c r="L4338">
        <f t="shared" si="134"/>
        <v>5.6</v>
      </c>
      <c r="M4338">
        <f t="shared" si="135"/>
        <v>1</v>
      </c>
    </row>
    <row r="4339" spans="1:13" x14ac:dyDescent="0.3">
      <c r="A4339">
        <v>4337</v>
      </c>
      <c r="B4339">
        <v>4338</v>
      </c>
      <c r="C4339" t="s">
        <v>4420</v>
      </c>
      <c r="D4339">
        <v>2016</v>
      </c>
      <c r="F4339" t="s">
        <v>1574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f t="shared" si="134"/>
        <v>5.6</v>
      </c>
      <c r="M4339">
        <f t="shared" si="135"/>
        <v>1</v>
      </c>
    </row>
    <row r="4340" spans="1:13" x14ac:dyDescent="0.3">
      <c r="A4340">
        <v>4338</v>
      </c>
      <c r="B4340">
        <v>4339</v>
      </c>
      <c r="C4340" t="s">
        <v>4421</v>
      </c>
      <c r="D4340">
        <v>2014</v>
      </c>
      <c r="F4340" t="s">
        <v>1574</v>
      </c>
      <c r="G4340">
        <v>0</v>
      </c>
      <c r="H4340">
        <v>1</v>
      </c>
      <c r="I4340">
        <v>1</v>
      </c>
      <c r="J4340">
        <v>0</v>
      </c>
      <c r="K4340">
        <v>0</v>
      </c>
      <c r="L4340">
        <f t="shared" si="134"/>
        <v>5.6</v>
      </c>
      <c r="M4340">
        <f t="shared" si="135"/>
        <v>2</v>
      </c>
    </row>
    <row r="4341" spans="1:13" x14ac:dyDescent="0.3">
      <c r="A4341">
        <v>4339</v>
      </c>
      <c r="B4341">
        <v>4340</v>
      </c>
      <c r="C4341" t="s">
        <v>4422</v>
      </c>
      <c r="D4341">
        <v>2020</v>
      </c>
      <c r="F4341" t="s">
        <v>1574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f t="shared" si="134"/>
        <v>5.6</v>
      </c>
      <c r="M4341">
        <f t="shared" si="135"/>
        <v>1</v>
      </c>
    </row>
    <row r="4342" spans="1:13" x14ac:dyDescent="0.3">
      <c r="A4342">
        <v>4340</v>
      </c>
      <c r="B4342">
        <v>4341</v>
      </c>
      <c r="C4342" t="s">
        <v>4423</v>
      </c>
      <c r="D4342">
        <v>2013</v>
      </c>
      <c r="E4342" t="s">
        <v>22</v>
      </c>
      <c r="F4342" t="s">
        <v>1574</v>
      </c>
      <c r="G4342">
        <v>0</v>
      </c>
      <c r="H4342">
        <v>1</v>
      </c>
      <c r="I4342">
        <v>1</v>
      </c>
      <c r="J4342">
        <v>0</v>
      </c>
      <c r="K4342">
        <v>0</v>
      </c>
      <c r="L4342">
        <f t="shared" si="134"/>
        <v>5.6</v>
      </c>
      <c r="M4342">
        <f t="shared" si="135"/>
        <v>2</v>
      </c>
    </row>
    <row r="4343" spans="1:13" x14ac:dyDescent="0.3">
      <c r="A4343">
        <v>4341</v>
      </c>
      <c r="B4343">
        <v>4342</v>
      </c>
      <c r="C4343" t="s">
        <v>4424</v>
      </c>
      <c r="D4343">
        <v>2020</v>
      </c>
      <c r="E4343" t="s">
        <v>11</v>
      </c>
      <c r="F4343" t="s">
        <v>1574</v>
      </c>
      <c r="G4343">
        <v>0</v>
      </c>
      <c r="H4343">
        <v>1</v>
      </c>
      <c r="I4343">
        <v>0</v>
      </c>
      <c r="J4343">
        <v>0</v>
      </c>
      <c r="K4343">
        <v>0</v>
      </c>
      <c r="L4343">
        <f t="shared" si="134"/>
        <v>5.6</v>
      </c>
      <c r="M4343">
        <f t="shared" si="135"/>
        <v>1</v>
      </c>
    </row>
    <row r="4344" spans="1:13" x14ac:dyDescent="0.3">
      <c r="A4344">
        <v>4342</v>
      </c>
      <c r="B4344">
        <v>4343</v>
      </c>
      <c r="C4344" t="s">
        <v>4425</v>
      </c>
      <c r="D4344">
        <v>2019</v>
      </c>
      <c r="E4344" t="s">
        <v>11</v>
      </c>
      <c r="F4344" t="s">
        <v>1574</v>
      </c>
      <c r="G4344">
        <v>0</v>
      </c>
      <c r="H4344">
        <v>1</v>
      </c>
      <c r="I4344">
        <v>0</v>
      </c>
      <c r="J4344">
        <v>0</v>
      </c>
      <c r="K4344">
        <v>0</v>
      </c>
      <c r="L4344">
        <f t="shared" si="134"/>
        <v>5.6</v>
      </c>
      <c r="M4344">
        <f t="shared" si="135"/>
        <v>1</v>
      </c>
    </row>
    <row r="4345" spans="1:13" x14ac:dyDescent="0.3">
      <c r="A4345">
        <v>4343</v>
      </c>
      <c r="B4345">
        <v>4344</v>
      </c>
      <c r="C4345" t="s">
        <v>4426</v>
      </c>
      <c r="D4345">
        <v>2017</v>
      </c>
      <c r="F4345" t="s">
        <v>1574</v>
      </c>
      <c r="G4345">
        <v>0</v>
      </c>
      <c r="H4345">
        <v>1</v>
      </c>
      <c r="I4345">
        <v>0</v>
      </c>
      <c r="J4345">
        <v>0</v>
      </c>
      <c r="K4345">
        <v>0</v>
      </c>
      <c r="L4345">
        <f t="shared" si="134"/>
        <v>5.6</v>
      </c>
      <c r="M4345">
        <f t="shared" si="135"/>
        <v>1</v>
      </c>
    </row>
    <row r="4346" spans="1:13" x14ac:dyDescent="0.3">
      <c r="A4346">
        <v>4344</v>
      </c>
      <c r="B4346">
        <v>4345</v>
      </c>
      <c r="C4346" t="s">
        <v>4427</v>
      </c>
      <c r="D4346">
        <v>2009</v>
      </c>
      <c r="E4346" t="s">
        <v>11</v>
      </c>
      <c r="F4346" t="s">
        <v>1574</v>
      </c>
      <c r="G4346">
        <v>0</v>
      </c>
      <c r="H4346">
        <v>1</v>
      </c>
      <c r="I4346">
        <v>0</v>
      </c>
      <c r="J4346">
        <v>0</v>
      </c>
      <c r="K4346">
        <v>0</v>
      </c>
      <c r="L4346">
        <f t="shared" si="134"/>
        <v>5.6</v>
      </c>
      <c r="M4346">
        <f t="shared" si="135"/>
        <v>1</v>
      </c>
    </row>
    <row r="4347" spans="1:13" x14ac:dyDescent="0.3">
      <c r="A4347">
        <v>4345</v>
      </c>
      <c r="B4347">
        <v>4346</v>
      </c>
      <c r="C4347" t="s">
        <v>4428</v>
      </c>
      <c r="D4347">
        <v>2016</v>
      </c>
      <c r="F4347" t="s">
        <v>1574</v>
      </c>
      <c r="G4347">
        <v>0</v>
      </c>
      <c r="H4347">
        <v>1</v>
      </c>
      <c r="I4347">
        <v>0</v>
      </c>
      <c r="J4347">
        <v>0</v>
      </c>
      <c r="K4347">
        <v>0</v>
      </c>
      <c r="L4347">
        <f t="shared" si="134"/>
        <v>5.6</v>
      </c>
      <c r="M4347">
        <f t="shared" si="135"/>
        <v>1</v>
      </c>
    </row>
    <row r="4348" spans="1:13" x14ac:dyDescent="0.3">
      <c r="A4348">
        <v>4346</v>
      </c>
      <c r="B4348">
        <v>4347</v>
      </c>
      <c r="C4348" t="s">
        <v>4429</v>
      </c>
      <c r="D4348">
        <v>1997</v>
      </c>
      <c r="E4348" t="s">
        <v>11</v>
      </c>
      <c r="F4348" t="s">
        <v>1574</v>
      </c>
      <c r="G4348">
        <v>0</v>
      </c>
      <c r="H4348">
        <v>1</v>
      </c>
      <c r="I4348">
        <v>0</v>
      </c>
      <c r="J4348">
        <v>0</v>
      </c>
      <c r="K4348">
        <v>0</v>
      </c>
      <c r="L4348">
        <f t="shared" si="134"/>
        <v>5.6</v>
      </c>
      <c r="M4348">
        <f t="shared" si="135"/>
        <v>1</v>
      </c>
    </row>
    <row r="4349" spans="1:13" x14ac:dyDescent="0.3">
      <c r="A4349">
        <v>4347</v>
      </c>
      <c r="B4349">
        <v>4348</v>
      </c>
      <c r="C4349" t="s">
        <v>4430</v>
      </c>
      <c r="D4349">
        <v>1999</v>
      </c>
      <c r="E4349" t="s">
        <v>36</v>
      </c>
      <c r="F4349" t="s">
        <v>1574</v>
      </c>
      <c r="G4349">
        <v>0</v>
      </c>
      <c r="H4349">
        <v>1</v>
      </c>
      <c r="I4349">
        <v>0</v>
      </c>
      <c r="J4349">
        <v>0</v>
      </c>
      <c r="K4349">
        <v>0</v>
      </c>
      <c r="L4349">
        <f t="shared" si="134"/>
        <v>5.6</v>
      </c>
      <c r="M4349">
        <f t="shared" si="135"/>
        <v>1</v>
      </c>
    </row>
    <row r="4350" spans="1:13" x14ac:dyDescent="0.3">
      <c r="A4350">
        <v>4348</v>
      </c>
      <c r="B4350">
        <v>4349</v>
      </c>
      <c r="C4350" t="s">
        <v>4431</v>
      </c>
      <c r="D4350">
        <v>2017</v>
      </c>
      <c r="F4350" t="s">
        <v>1574</v>
      </c>
      <c r="G4350">
        <v>0</v>
      </c>
      <c r="H4350">
        <v>1</v>
      </c>
      <c r="I4350">
        <v>1</v>
      </c>
      <c r="J4350">
        <v>0</v>
      </c>
      <c r="K4350">
        <v>0</v>
      </c>
      <c r="L4350">
        <f t="shared" si="134"/>
        <v>5.6</v>
      </c>
      <c r="M4350">
        <f t="shared" si="135"/>
        <v>2</v>
      </c>
    </row>
    <row r="4351" spans="1:13" x14ac:dyDescent="0.3">
      <c r="A4351">
        <v>4349</v>
      </c>
      <c r="B4351">
        <v>4350</v>
      </c>
      <c r="C4351" t="s">
        <v>4432</v>
      </c>
      <c r="D4351">
        <v>2021</v>
      </c>
      <c r="E4351" t="s">
        <v>11</v>
      </c>
      <c r="F4351" t="s">
        <v>1574</v>
      </c>
      <c r="G4351">
        <v>0</v>
      </c>
      <c r="H4351">
        <v>1</v>
      </c>
      <c r="I4351">
        <v>0</v>
      </c>
      <c r="J4351">
        <v>0</v>
      </c>
      <c r="K4351">
        <v>0</v>
      </c>
      <c r="L4351">
        <f t="shared" si="134"/>
        <v>5.6</v>
      </c>
      <c r="M4351">
        <f t="shared" si="135"/>
        <v>1</v>
      </c>
    </row>
    <row r="4352" spans="1:13" x14ac:dyDescent="0.3">
      <c r="A4352">
        <v>4350</v>
      </c>
      <c r="B4352">
        <v>4351</v>
      </c>
      <c r="C4352" t="s">
        <v>4433</v>
      </c>
      <c r="D4352">
        <v>2011</v>
      </c>
      <c r="F4352" t="s">
        <v>1574</v>
      </c>
      <c r="G4352">
        <v>0</v>
      </c>
      <c r="H4352">
        <v>1</v>
      </c>
      <c r="I4352">
        <v>0</v>
      </c>
      <c r="J4352">
        <v>0</v>
      </c>
      <c r="K4352">
        <v>0</v>
      </c>
      <c r="L4352">
        <f t="shared" si="134"/>
        <v>5.6</v>
      </c>
      <c r="M4352">
        <f t="shared" si="135"/>
        <v>1</v>
      </c>
    </row>
    <row r="4353" spans="1:13" x14ac:dyDescent="0.3">
      <c r="A4353">
        <v>4351</v>
      </c>
      <c r="B4353">
        <v>4352</v>
      </c>
      <c r="C4353" t="s">
        <v>4434</v>
      </c>
      <c r="D4353">
        <v>1988</v>
      </c>
      <c r="E4353" t="s">
        <v>22</v>
      </c>
      <c r="F4353" t="s">
        <v>1574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f t="shared" si="134"/>
        <v>5.6</v>
      </c>
      <c r="M4353">
        <f t="shared" si="135"/>
        <v>1</v>
      </c>
    </row>
    <row r="4354" spans="1:13" x14ac:dyDescent="0.3">
      <c r="A4354">
        <v>4352</v>
      </c>
      <c r="B4354">
        <v>4353</v>
      </c>
      <c r="C4354" t="s">
        <v>4435</v>
      </c>
      <c r="D4354">
        <v>2017</v>
      </c>
      <c r="E4354" t="s">
        <v>11</v>
      </c>
      <c r="F4354" t="s">
        <v>1687</v>
      </c>
      <c r="G4354">
        <v>0</v>
      </c>
      <c r="H4354">
        <v>1</v>
      </c>
      <c r="I4354">
        <v>0</v>
      </c>
      <c r="J4354">
        <v>0</v>
      </c>
      <c r="K4354">
        <v>0</v>
      </c>
      <c r="L4354">
        <f t="shared" si="134"/>
        <v>5.5</v>
      </c>
      <c r="M4354">
        <f t="shared" si="135"/>
        <v>1</v>
      </c>
    </row>
    <row r="4355" spans="1:13" x14ac:dyDescent="0.3">
      <c r="A4355">
        <v>4353</v>
      </c>
      <c r="B4355">
        <v>4354</v>
      </c>
      <c r="C4355" t="s">
        <v>4436</v>
      </c>
      <c r="D4355">
        <v>2019</v>
      </c>
      <c r="F4355" t="s">
        <v>1687</v>
      </c>
      <c r="G4355">
        <v>0</v>
      </c>
      <c r="H4355">
        <v>1</v>
      </c>
      <c r="I4355">
        <v>0</v>
      </c>
      <c r="J4355">
        <v>0</v>
      </c>
      <c r="K4355">
        <v>0</v>
      </c>
      <c r="L4355">
        <f t="shared" ref="L4355:L4418" si="136">IFERROR(VALUE(LEFT(F4355,FIND("/",F4355)-1))/10,"")</f>
        <v>5.5</v>
      </c>
      <c r="M4355">
        <f t="shared" ref="M4355:M4418" si="137">SUM(G4355:J4355)</f>
        <v>1</v>
      </c>
    </row>
    <row r="4356" spans="1:13" x14ac:dyDescent="0.3">
      <c r="A4356">
        <v>4354</v>
      </c>
      <c r="B4356">
        <v>4355</v>
      </c>
      <c r="C4356" t="s">
        <v>4437</v>
      </c>
      <c r="D4356">
        <v>2020</v>
      </c>
      <c r="F4356" t="s">
        <v>1687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f t="shared" si="136"/>
        <v>5.5</v>
      </c>
      <c r="M4356">
        <f t="shared" si="137"/>
        <v>1</v>
      </c>
    </row>
    <row r="4357" spans="1:13" x14ac:dyDescent="0.3">
      <c r="A4357">
        <v>4355</v>
      </c>
      <c r="B4357">
        <v>4356</v>
      </c>
      <c r="C4357" t="s">
        <v>4438</v>
      </c>
      <c r="D4357">
        <v>2018</v>
      </c>
      <c r="E4357" t="s">
        <v>11</v>
      </c>
      <c r="F4357" t="s">
        <v>1687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f t="shared" si="136"/>
        <v>5.5</v>
      </c>
      <c r="M4357">
        <f t="shared" si="137"/>
        <v>1</v>
      </c>
    </row>
    <row r="4358" spans="1:13" x14ac:dyDescent="0.3">
      <c r="A4358">
        <v>4356</v>
      </c>
      <c r="B4358">
        <v>4357</v>
      </c>
      <c r="C4358" t="s">
        <v>4439</v>
      </c>
      <c r="D4358">
        <v>2014</v>
      </c>
      <c r="F4358" t="s">
        <v>1687</v>
      </c>
      <c r="G4358">
        <v>0</v>
      </c>
      <c r="H4358">
        <v>1</v>
      </c>
      <c r="I4358">
        <v>0</v>
      </c>
      <c r="J4358">
        <v>0</v>
      </c>
      <c r="K4358">
        <v>0</v>
      </c>
      <c r="L4358">
        <f t="shared" si="136"/>
        <v>5.5</v>
      </c>
      <c r="M4358">
        <f t="shared" si="137"/>
        <v>1</v>
      </c>
    </row>
    <row r="4359" spans="1:13" x14ac:dyDescent="0.3">
      <c r="A4359">
        <v>4357</v>
      </c>
      <c r="B4359">
        <v>4358</v>
      </c>
      <c r="C4359" t="s">
        <v>4440</v>
      </c>
      <c r="D4359">
        <v>2020</v>
      </c>
      <c r="E4359" t="s">
        <v>11</v>
      </c>
      <c r="F4359" t="s">
        <v>1687</v>
      </c>
      <c r="G4359">
        <v>0</v>
      </c>
      <c r="H4359">
        <v>1</v>
      </c>
      <c r="I4359">
        <v>0</v>
      </c>
      <c r="J4359">
        <v>0</v>
      </c>
      <c r="K4359">
        <v>0</v>
      </c>
      <c r="L4359">
        <f t="shared" si="136"/>
        <v>5.5</v>
      </c>
      <c r="M4359">
        <f t="shared" si="137"/>
        <v>1</v>
      </c>
    </row>
    <row r="4360" spans="1:13" x14ac:dyDescent="0.3">
      <c r="A4360">
        <v>4358</v>
      </c>
      <c r="B4360">
        <v>4359</v>
      </c>
      <c r="C4360" t="s">
        <v>4441</v>
      </c>
      <c r="D4360">
        <v>2019</v>
      </c>
      <c r="F4360" t="s">
        <v>1687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f t="shared" si="136"/>
        <v>5.5</v>
      </c>
      <c r="M4360">
        <f t="shared" si="137"/>
        <v>1</v>
      </c>
    </row>
    <row r="4361" spans="1:13" x14ac:dyDescent="0.3">
      <c r="A4361">
        <v>4359</v>
      </c>
      <c r="B4361">
        <v>4360</v>
      </c>
      <c r="C4361" t="s">
        <v>4442</v>
      </c>
      <c r="D4361">
        <v>2002</v>
      </c>
      <c r="F4361" t="s">
        <v>1687</v>
      </c>
      <c r="G4361">
        <v>0</v>
      </c>
      <c r="H4361">
        <v>1</v>
      </c>
      <c r="I4361">
        <v>0</v>
      </c>
      <c r="J4361">
        <v>0</v>
      </c>
      <c r="K4361">
        <v>0</v>
      </c>
      <c r="L4361">
        <f t="shared" si="136"/>
        <v>5.5</v>
      </c>
      <c r="M4361">
        <f t="shared" si="137"/>
        <v>1</v>
      </c>
    </row>
    <row r="4362" spans="1:13" x14ac:dyDescent="0.3">
      <c r="A4362">
        <v>4360</v>
      </c>
      <c r="B4362">
        <v>4361</v>
      </c>
      <c r="C4362" t="s">
        <v>4443</v>
      </c>
      <c r="D4362">
        <v>2014</v>
      </c>
      <c r="F4362" t="s">
        <v>1687</v>
      </c>
      <c r="G4362">
        <v>0</v>
      </c>
      <c r="H4362">
        <v>1</v>
      </c>
      <c r="I4362">
        <v>0</v>
      </c>
      <c r="J4362">
        <v>0</v>
      </c>
      <c r="K4362">
        <v>0</v>
      </c>
      <c r="L4362">
        <f t="shared" si="136"/>
        <v>5.5</v>
      </c>
      <c r="M4362">
        <f t="shared" si="137"/>
        <v>1</v>
      </c>
    </row>
    <row r="4363" spans="1:13" x14ac:dyDescent="0.3">
      <c r="A4363">
        <v>4361</v>
      </c>
      <c r="B4363">
        <v>4362</v>
      </c>
      <c r="C4363" t="s">
        <v>4444</v>
      </c>
      <c r="D4363">
        <v>2017</v>
      </c>
      <c r="F4363" t="s">
        <v>1687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f t="shared" si="136"/>
        <v>5.5</v>
      </c>
      <c r="M4363">
        <f t="shared" si="137"/>
        <v>1</v>
      </c>
    </row>
    <row r="4364" spans="1:13" x14ac:dyDescent="0.3">
      <c r="A4364">
        <v>4362</v>
      </c>
      <c r="B4364">
        <v>4363</v>
      </c>
      <c r="C4364" t="s">
        <v>4445</v>
      </c>
      <c r="D4364">
        <v>2016</v>
      </c>
      <c r="E4364" t="s">
        <v>22</v>
      </c>
      <c r="F4364" t="s">
        <v>1687</v>
      </c>
      <c r="G4364">
        <v>0</v>
      </c>
      <c r="H4364">
        <v>1</v>
      </c>
      <c r="I4364">
        <v>0</v>
      </c>
      <c r="J4364">
        <v>0</v>
      </c>
      <c r="K4364">
        <v>0</v>
      </c>
      <c r="L4364">
        <f t="shared" si="136"/>
        <v>5.5</v>
      </c>
      <c r="M4364">
        <f t="shared" si="137"/>
        <v>1</v>
      </c>
    </row>
    <row r="4365" spans="1:13" x14ac:dyDescent="0.3">
      <c r="A4365">
        <v>4363</v>
      </c>
      <c r="B4365">
        <v>4364</v>
      </c>
      <c r="C4365" t="s">
        <v>4446</v>
      </c>
      <c r="D4365">
        <v>2019</v>
      </c>
      <c r="E4365" t="s">
        <v>11</v>
      </c>
      <c r="F4365" t="s">
        <v>1687</v>
      </c>
      <c r="G4365">
        <v>0</v>
      </c>
      <c r="H4365">
        <v>1</v>
      </c>
      <c r="I4365">
        <v>0</v>
      </c>
      <c r="J4365">
        <v>0</v>
      </c>
      <c r="K4365">
        <v>0</v>
      </c>
      <c r="L4365">
        <f t="shared" si="136"/>
        <v>5.5</v>
      </c>
      <c r="M4365">
        <f t="shared" si="137"/>
        <v>1</v>
      </c>
    </row>
    <row r="4366" spans="1:13" x14ac:dyDescent="0.3">
      <c r="A4366">
        <v>4364</v>
      </c>
      <c r="B4366">
        <v>4365</v>
      </c>
      <c r="C4366" t="s">
        <v>4447</v>
      </c>
      <c r="D4366">
        <v>2018</v>
      </c>
      <c r="F4366" t="s">
        <v>1687</v>
      </c>
      <c r="G4366">
        <v>0</v>
      </c>
      <c r="H4366">
        <v>1</v>
      </c>
      <c r="I4366">
        <v>0</v>
      </c>
      <c r="J4366">
        <v>0</v>
      </c>
      <c r="K4366">
        <v>0</v>
      </c>
      <c r="L4366">
        <f t="shared" si="136"/>
        <v>5.5</v>
      </c>
      <c r="M4366">
        <f t="shared" si="137"/>
        <v>1</v>
      </c>
    </row>
    <row r="4367" spans="1:13" x14ac:dyDescent="0.3">
      <c r="A4367">
        <v>4365</v>
      </c>
      <c r="B4367">
        <v>4366</v>
      </c>
      <c r="C4367" t="s">
        <v>4448</v>
      </c>
      <c r="D4367">
        <v>2019</v>
      </c>
      <c r="E4367" t="s">
        <v>11</v>
      </c>
      <c r="F4367" t="s">
        <v>1687</v>
      </c>
      <c r="G4367">
        <v>0</v>
      </c>
      <c r="H4367">
        <v>1</v>
      </c>
      <c r="I4367">
        <v>0</v>
      </c>
      <c r="J4367">
        <v>0</v>
      </c>
      <c r="K4367">
        <v>0</v>
      </c>
      <c r="L4367">
        <f t="shared" si="136"/>
        <v>5.5</v>
      </c>
      <c r="M4367">
        <f t="shared" si="137"/>
        <v>1</v>
      </c>
    </row>
    <row r="4368" spans="1:13" x14ac:dyDescent="0.3">
      <c r="A4368">
        <v>4366</v>
      </c>
      <c r="B4368">
        <v>4367</v>
      </c>
      <c r="C4368" t="s">
        <v>4449</v>
      </c>
      <c r="D4368">
        <v>2018</v>
      </c>
      <c r="E4368" t="s">
        <v>14</v>
      </c>
      <c r="F4368" t="s">
        <v>1687</v>
      </c>
      <c r="G4368">
        <v>0</v>
      </c>
      <c r="H4368">
        <v>1</v>
      </c>
      <c r="I4368">
        <v>0</v>
      </c>
      <c r="J4368">
        <v>0</v>
      </c>
      <c r="K4368">
        <v>0</v>
      </c>
      <c r="L4368">
        <f t="shared" si="136"/>
        <v>5.5</v>
      </c>
      <c r="M4368">
        <f t="shared" si="137"/>
        <v>1</v>
      </c>
    </row>
    <row r="4369" spans="1:13" x14ac:dyDescent="0.3">
      <c r="A4369">
        <v>4367</v>
      </c>
      <c r="B4369">
        <v>4368</v>
      </c>
      <c r="C4369" t="s">
        <v>4450</v>
      </c>
      <c r="D4369">
        <v>2020</v>
      </c>
      <c r="E4369" t="s">
        <v>11</v>
      </c>
      <c r="F4369" t="s">
        <v>1687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f t="shared" si="136"/>
        <v>5.5</v>
      </c>
      <c r="M4369">
        <f t="shared" si="137"/>
        <v>1</v>
      </c>
    </row>
    <row r="4370" spans="1:13" x14ac:dyDescent="0.3">
      <c r="A4370">
        <v>4368</v>
      </c>
      <c r="B4370">
        <v>4369</v>
      </c>
      <c r="C4370" t="s">
        <v>4451</v>
      </c>
      <c r="D4370">
        <v>2015</v>
      </c>
      <c r="E4370" t="s">
        <v>14</v>
      </c>
      <c r="F4370" t="s">
        <v>1687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f t="shared" si="136"/>
        <v>5.5</v>
      </c>
      <c r="M4370">
        <f t="shared" si="137"/>
        <v>1</v>
      </c>
    </row>
    <row r="4371" spans="1:13" x14ac:dyDescent="0.3">
      <c r="A4371">
        <v>4369</v>
      </c>
      <c r="B4371">
        <v>4370</v>
      </c>
      <c r="C4371" t="s">
        <v>4452</v>
      </c>
      <c r="D4371">
        <v>2018</v>
      </c>
      <c r="E4371" t="s">
        <v>28</v>
      </c>
      <c r="F4371" t="s">
        <v>1687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f t="shared" si="136"/>
        <v>5.5</v>
      </c>
      <c r="M4371">
        <f t="shared" si="137"/>
        <v>1</v>
      </c>
    </row>
    <row r="4372" spans="1:13" x14ac:dyDescent="0.3">
      <c r="A4372">
        <v>4370</v>
      </c>
      <c r="B4372">
        <v>4371</v>
      </c>
      <c r="C4372" t="s">
        <v>4453</v>
      </c>
      <c r="D4372">
        <v>1963</v>
      </c>
      <c r="E4372" t="s">
        <v>14</v>
      </c>
      <c r="F4372" t="s">
        <v>1687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f t="shared" si="136"/>
        <v>5.5</v>
      </c>
      <c r="M4372">
        <f t="shared" si="137"/>
        <v>1</v>
      </c>
    </row>
    <row r="4373" spans="1:13" x14ac:dyDescent="0.3">
      <c r="A4373">
        <v>4371</v>
      </c>
      <c r="B4373">
        <v>4372</v>
      </c>
      <c r="C4373" t="s">
        <v>4454</v>
      </c>
      <c r="D4373">
        <v>2019</v>
      </c>
      <c r="F4373" t="s">
        <v>1687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f t="shared" si="136"/>
        <v>5.5</v>
      </c>
      <c r="M4373">
        <f t="shared" si="137"/>
        <v>1</v>
      </c>
    </row>
    <row r="4374" spans="1:13" x14ac:dyDescent="0.3">
      <c r="A4374">
        <v>4372</v>
      </c>
      <c r="B4374">
        <v>4373</v>
      </c>
      <c r="C4374" t="s">
        <v>4455</v>
      </c>
      <c r="D4374">
        <v>2019</v>
      </c>
      <c r="F4374" t="s">
        <v>1687</v>
      </c>
      <c r="G4374">
        <v>0</v>
      </c>
      <c r="H4374">
        <v>1</v>
      </c>
      <c r="I4374">
        <v>0</v>
      </c>
      <c r="J4374">
        <v>0</v>
      </c>
      <c r="K4374">
        <v>0</v>
      </c>
      <c r="L4374">
        <f t="shared" si="136"/>
        <v>5.5</v>
      </c>
      <c r="M4374">
        <f t="shared" si="137"/>
        <v>1</v>
      </c>
    </row>
    <row r="4375" spans="1:13" x14ac:dyDescent="0.3">
      <c r="A4375">
        <v>4373</v>
      </c>
      <c r="B4375">
        <v>4374</v>
      </c>
      <c r="C4375" t="s">
        <v>4456</v>
      </c>
      <c r="D4375">
        <v>2016</v>
      </c>
      <c r="E4375" t="s">
        <v>36</v>
      </c>
      <c r="F4375" t="s">
        <v>1687</v>
      </c>
      <c r="G4375">
        <v>0</v>
      </c>
      <c r="H4375">
        <v>1</v>
      </c>
      <c r="I4375">
        <v>1</v>
      </c>
      <c r="J4375">
        <v>0</v>
      </c>
      <c r="K4375">
        <v>0</v>
      </c>
      <c r="L4375">
        <f t="shared" si="136"/>
        <v>5.5</v>
      </c>
      <c r="M4375">
        <f t="shared" si="137"/>
        <v>2</v>
      </c>
    </row>
    <row r="4376" spans="1:13" x14ac:dyDescent="0.3">
      <c r="A4376">
        <v>4374</v>
      </c>
      <c r="B4376">
        <v>4375</v>
      </c>
      <c r="C4376" t="s">
        <v>4457</v>
      </c>
      <c r="D4376">
        <v>2020</v>
      </c>
      <c r="F4376" t="s">
        <v>1687</v>
      </c>
      <c r="G4376">
        <v>0</v>
      </c>
      <c r="H4376">
        <v>1</v>
      </c>
      <c r="I4376">
        <v>0</v>
      </c>
      <c r="J4376">
        <v>0</v>
      </c>
      <c r="K4376">
        <v>0</v>
      </c>
      <c r="L4376">
        <f t="shared" si="136"/>
        <v>5.5</v>
      </c>
      <c r="M4376">
        <f t="shared" si="137"/>
        <v>1</v>
      </c>
    </row>
    <row r="4377" spans="1:13" x14ac:dyDescent="0.3">
      <c r="A4377">
        <v>4375</v>
      </c>
      <c r="B4377">
        <v>4376</v>
      </c>
      <c r="C4377" t="s">
        <v>4458</v>
      </c>
      <c r="D4377">
        <v>2019</v>
      </c>
      <c r="F4377" t="s">
        <v>1687</v>
      </c>
      <c r="G4377">
        <v>0</v>
      </c>
      <c r="H4377">
        <v>1</v>
      </c>
      <c r="I4377">
        <v>0</v>
      </c>
      <c r="J4377">
        <v>0</v>
      </c>
      <c r="K4377">
        <v>0</v>
      </c>
      <c r="L4377">
        <f t="shared" si="136"/>
        <v>5.5</v>
      </c>
      <c r="M4377">
        <f t="shared" si="137"/>
        <v>1</v>
      </c>
    </row>
    <row r="4378" spans="1:13" x14ac:dyDescent="0.3">
      <c r="A4378">
        <v>4376</v>
      </c>
      <c r="B4378">
        <v>4377</v>
      </c>
      <c r="C4378" t="s">
        <v>4459</v>
      </c>
      <c r="D4378">
        <v>2017</v>
      </c>
      <c r="E4378" t="s">
        <v>28</v>
      </c>
      <c r="F4378" t="s">
        <v>1687</v>
      </c>
      <c r="G4378">
        <v>0</v>
      </c>
      <c r="H4378">
        <v>1</v>
      </c>
      <c r="I4378">
        <v>0</v>
      </c>
      <c r="J4378">
        <v>0</v>
      </c>
      <c r="K4378">
        <v>0</v>
      </c>
      <c r="L4378">
        <f t="shared" si="136"/>
        <v>5.5</v>
      </c>
      <c r="M4378">
        <f t="shared" si="137"/>
        <v>1</v>
      </c>
    </row>
    <row r="4379" spans="1:13" x14ac:dyDescent="0.3">
      <c r="A4379">
        <v>4377</v>
      </c>
      <c r="B4379">
        <v>4378</v>
      </c>
      <c r="C4379" t="s">
        <v>4460</v>
      </c>
      <c r="D4379">
        <v>2014</v>
      </c>
      <c r="E4379" t="s">
        <v>28</v>
      </c>
      <c r="F4379" t="s">
        <v>1687</v>
      </c>
      <c r="G4379">
        <v>0</v>
      </c>
      <c r="H4379">
        <v>1</v>
      </c>
      <c r="I4379">
        <v>0</v>
      </c>
      <c r="J4379">
        <v>0</v>
      </c>
      <c r="K4379">
        <v>0</v>
      </c>
      <c r="L4379">
        <f t="shared" si="136"/>
        <v>5.5</v>
      </c>
      <c r="M4379">
        <f t="shared" si="137"/>
        <v>1</v>
      </c>
    </row>
    <row r="4380" spans="1:13" x14ac:dyDescent="0.3">
      <c r="A4380">
        <v>4378</v>
      </c>
      <c r="B4380">
        <v>4379</v>
      </c>
      <c r="C4380" t="s">
        <v>4461</v>
      </c>
      <c r="D4380">
        <v>2010</v>
      </c>
      <c r="E4380" t="s">
        <v>22</v>
      </c>
      <c r="F4380" t="s">
        <v>1687</v>
      </c>
      <c r="G4380">
        <v>0</v>
      </c>
      <c r="H4380">
        <v>1</v>
      </c>
      <c r="I4380">
        <v>0</v>
      </c>
      <c r="J4380">
        <v>0</v>
      </c>
      <c r="K4380">
        <v>0</v>
      </c>
      <c r="L4380">
        <f t="shared" si="136"/>
        <v>5.5</v>
      </c>
      <c r="M4380">
        <f t="shared" si="137"/>
        <v>1</v>
      </c>
    </row>
    <row r="4381" spans="1:13" x14ac:dyDescent="0.3">
      <c r="A4381">
        <v>4379</v>
      </c>
      <c r="B4381">
        <v>4380</v>
      </c>
      <c r="C4381" t="s">
        <v>4462</v>
      </c>
      <c r="D4381">
        <v>2020</v>
      </c>
      <c r="E4381" t="s">
        <v>11</v>
      </c>
      <c r="F4381" t="s">
        <v>1687</v>
      </c>
      <c r="G4381">
        <v>0</v>
      </c>
      <c r="H4381">
        <v>1</v>
      </c>
      <c r="I4381">
        <v>0</v>
      </c>
      <c r="J4381">
        <v>0</v>
      </c>
      <c r="K4381">
        <v>0</v>
      </c>
      <c r="L4381">
        <f t="shared" si="136"/>
        <v>5.5</v>
      </c>
      <c r="M4381">
        <f t="shared" si="137"/>
        <v>1</v>
      </c>
    </row>
    <row r="4382" spans="1:13" x14ac:dyDescent="0.3">
      <c r="A4382">
        <v>4380</v>
      </c>
      <c r="B4382">
        <v>4381</v>
      </c>
      <c r="C4382" t="s">
        <v>4463</v>
      </c>
      <c r="D4382">
        <v>2019</v>
      </c>
      <c r="E4382" t="s">
        <v>11</v>
      </c>
      <c r="F4382" t="s">
        <v>1687</v>
      </c>
      <c r="G4382">
        <v>0</v>
      </c>
      <c r="H4382">
        <v>1</v>
      </c>
      <c r="I4382">
        <v>0</v>
      </c>
      <c r="J4382">
        <v>0</v>
      </c>
      <c r="K4382">
        <v>0</v>
      </c>
      <c r="L4382">
        <f t="shared" si="136"/>
        <v>5.5</v>
      </c>
      <c r="M4382">
        <f t="shared" si="137"/>
        <v>1</v>
      </c>
    </row>
    <row r="4383" spans="1:13" x14ac:dyDescent="0.3">
      <c r="A4383">
        <v>4381</v>
      </c>
      <c r="B4383">
        <v>4382</v>
      </c>
      <c r="C4383" t="s">
        <v>4464</v>
      </c>
      <c r="D4383">
        <v>2020</v>
      </c>
      <c r="E4383" t="s">
        <v>11</v>
      </c>
      <c r="F4383" t="s">
        <v>1687</v>
      </c>
      <c r="G4383">
        <v>0</v>
      </c>
      <c r="H4383">
        <v>1</v>
      </c>
      <c r="I4383">
        <v>0</v>
      </c>
      <c r="J4383">
        <v>0</v>
      </c>
      <c r="K4383">
        <v>0</v>
      </c>
      <c r="L4383">
        <f t="shared" si="136"/>
        <v>5.5</v>
      </c>
      <c r="M4383">
        <f t="shared" si="137"/>
        <v>1</v>
      </c>
    </row>
    <row r="4384" spans="1:13" x14ac:dyDescent="0.3">
      <c r="A4384">
        <v>4382</v>
      </c>
      <c r="B4384">
        <v>4383</v>
      </c>
      <c r="C4384" t="s">
        <v>4465</v>
      </c>
      <c r="D4384">
        <v>2016</v>
      </c>
      <c r="E4384" t="s">
        <v>11</v>
      </c>
      <c r="F4384" t="s">
        <v>1687</v>
      </c>
      <c r="G4384">
        <v>0</v>
      </c>
      <c r="H4384">
        <v>1</v>
      </c>
      <c r="I4384">
        <v>0</v>
      </c>
      <c r="J4384">
        <v>0</v>
      </c>
      <c r="K4384">
        <v>0</v>
      </c>
      <c r="L4384">
        <f t="shared" si="136"/>
        <v>5.5</v>
      </c>
      <c r="M4384">
        <f t="shared" si="137"/>
        <v>1</v>
      </c>
    </row>
    <row r="4385" spans="1:13" x14ac:dyDescent="0.3">
      <c r="A4385">
        <v>4383</v>
      </c>
      <c r="B4385">
        <v>4384</v>
      </c>
      <c r="C4385" t="s">
        <v>4466</v>
      </c>
      <c r="D4385">
        <v>2017</v>
      </c>
      <c r="E4385" t="s">
        <v>11</v>
      </c>
      <c r="F4385" t="s">
        <v>1687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f t="shared" si="136"/>
        <v>5.5</v>
      </c>
      <c r="M4385">
        <f t="shared" si="137"/>
        <v>1</v>
      </c>
    </row>
    <row r="4386" spans="1:13" x14ac:dyDescent="0.3">
      <c r="A4386">
        <v>4384</v>
      </c>
      <c r="B4386">
        <v>4385</v>
      </c>
      <c r="C4386" t="s">
        <v>4467</v>
      </c>
      <c r="D4386">
        <v>1997</v>
      </c>
      <c r="E4386" t="s">
        <v>14</v>
      </c>
      <c r="F4386" t="s">
        <v>1687</v>
      </c>
      <c r="G4386">
        <v>0</v>
      </c>
      <c r="H4386">
        <v>1</v>
      </c>
      <c r="I4386">
        <v>1</v>
      </c>
      <c r="J4386">
        <v>0</v>
      </c>
      <c r="K4386">
        <v>0</v>
      </c>
      <c r="L4386">
        <f t="shared" si="136"/>
        <v>5.5</v>
      </c>
      <c r="M4386">
        <f t="shared" si="137"/>
        <v>2</v>
      </c>
    </row>
    <row r="4387" spans="1:13" x14ac:dyDescent="0.3">
      <c r="A4387">
        <v>4385</v>
      </c>
      <c r="B4387">
        <v>4386</v>
      </c>
      <c r="C4387" t="s">
        <v>4468</v>
      </c>
      <c r="D4387">
        <v>2020</v>
      </c>
      <c r="E4387" t="s">
        <v>11</v>
      </c>
      <c r="F4387" t="s">
        <v>1687</v>
      </c>
      <c r="G4387">
        <v>0</v>
      </c>
      <c r="H4387">
        <v>1</v>
      </c>
      <c r="I4387">
        <v>0</v>
      </c>
      <c r="J4387">
        <v>0</v>
      </c>
      <c r="K4387">
        <v>0</v>
      </c>
      <c r="L4387">
        <f t="shared" si="136"/>
        <v>5.5</v>
      </c>
      <c r="M4387">
        <f t="shared" si="137"/>
        <v>1</v>
      </c>
    </row>
    <row r="4388" spans="1:13" x14ac:dyDescent="0.3">
      <c r="A4388">
        <v>4386</v>
      </c>
      <c r="B4388">
        <v>4387</v>
      </c>
      <c r="C4388" t="s">
        <v>4469</v>
      </c>
      <c r="D4388">
        <v>2005</v>
      </c>
      <c r="E4388" t="s">
        <v>11</v>
      </c>
      <c r="F4388" t="s">
        <v>1687</v>
      </c>
      <c r="G4388">
        <v>0</v>
      </c>
      <c r="H4388">
        <v>1</v>
      </c>
      <c r="I4388">
        <v>0</v>
      </c>
      <c r="J4388">
        <v>0</v>
      </c>
      <c r="K4388">
        <v>0</v>
      </c>
      <c r="L4388">
        <f t="shared" si="136"/>
        <v>5.5</v>
      </c>
      <c r="M4388">
        <f t="shared" si="137"/>
        <v>1</v>
      </c>
    </row>
    <row r="4389" spans="1:13" x14ac:dyDescent="0.3">
      <c r="A4389">
        <v>4387</v>
      </c>
      <c r="B4389">
        <v>4388</v>
      </c>
      <c r="C4389" t="s">
        <v>4470</v>
      </c>
      <c r="D4389">
        <v>2019</v>
      </c>
      <c r="E4389" t="s">
        <v>22</v>
      </c>
      <c r="F4389" t="s">
        <v>1798</v>
      </c>
      <c r="G4389">
        <v>0</v>
      </c>
      <c r="H4389">
        <v>1</v>
      </c>
      <c r="I4389">
        <v>0</v>
      </c>
      <c r="J4389">
        <v>0</v>
      </c>
      <c r="K4389">
        <v>0</v>
      </c>
      <c r="L4389">
        <f t="shared" si="136"/>
        <v>5.4</v>
      </c>
      <c r="M4389">
        <f t="shared" si="137"/>
        <v>1</v>
      </c>
    </row>
    <row r="4390" spans="1:13" x14ac:dyDescent="0.3">
      <c r="A4390">
        <v>4388</v>
      </c>
      <c r="B4390">
        <v>4389</v>
      </c>
      <c r="C4390" t="s">
        <v>4471</v>
      </c>
      <c r="D4390">
        <v>2013</v>
      </c>
      <c r="F4390" t="s">
        <v>1798</v>
      </c>
      <c r="G4390">
        <v>0</v>
      </c>
      <c r="H4390">
        <v>1</v>
      </c>
      <c r="I4390">
        <v>0</v>
      </c>
      <c r="J4390">
        <v>0</v>
      </c>
      <c r="K4390">
        <v>0</v>
      </c>
      <c r="L4390">
        <f t="shared" si="136"/>
        <v>5.4</v>
      </c>
      <c r="M4390">
        <f t="shared" si="137"/>
        <v>1</v>
      </c>
    </row>
    <row r="4391" spans="1:13" x14ac:dyDescent="0.3">
      <c r="A4391">
        <v>4389</v>
      </c>
      <c r="B4391">
        <v>4390</v>
      </c>
      <c r="C4391" t="s">
        <v>4472</v>
      </c>
      <c r="D4391">
        <v>2020</v>
      </c>
      <c r="F4391" t="s">
        <v>1798</v>
      </c>
      <c r="G4391">
        <v>0</v>
      </c>
      <c r="H4391">
        <v>1</v>
      </c>
      <c r="I4391">
        <v>0</v>
      </c>
      <c r="J4391">
        <v>0</v>
      </c>
      <c r="K4391">
        <v>0</v>
      </c>
      <c r="L4391">
        <f t="shared" si="136"/>
        <v>5.4</v>
      </c>
      <c r="M4391">
        <f t="shared" si="137"/>
        <v>1</v>
      </c>
    </row>
    <row r="4392" spans="1:13" x14ac:dyDescent="0.3">
      <c r="A4392">
        <v>4390</v>
      </c>
      <c r="B4392">
        <v>4391</v>
      </c>
      <c r="C4392" t="s">
        <v>4473</v>
      </c>
      <c r="D4392">
        <v>2018</v>
      </c>
      <c r="E4392" t="s">
        <v>22</v>
      </c>
      <c r="F4392" t="s">
        <v>1798</v>
      </c>
      <c r="G4392">
        <v>0</v>
      </c>
      <c r="H4392">
        <v>1</v>
      </c>
      <c r="I4392">
        <v>0</v>
      </c>
      <c r="J4392">
        <v>0</v>
      </c>
      <c r="K4392">
        <v>0</v>
      </c>
      <c r="L4392">
        <f t="shared" si="136"/>
        <v>5.4</v>
      </c>
      <c r="M4392">
        <f t="shared" si="137"/>
        <v>1</v>
      </c>
    </row>
    <row r="4393" spans="1:13" x14ac:dyDescent="0.3">
      <c r="A4393">
        <v>4391</v>
      </c>
      <c r="B4393">
        <v>4392</v>
      </c>
      <c r="C4393" t="s">
        <v>4474</v>
      </c>
      <c r="D4393">
        <v>2016</v>
      </c>
      <c r="F4393" t="s">
        <v>1798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f t="shared" si="136"/>
        <v>5.4</v>
      </c>
      <c r="M4393">
        <f t="shared" si="137"/>
        <v>1</v>
      </c>
    </row>
    <row r="4394" spans="1:13" x14ac:dyDescent="0.3">
      <c r="A4394">
        <v>4392</v>
      </c>
      <c r="B4394">
        <v>4393</v>
      </c>
      <c r="C4394" t="s">
        <v>4475</v>
      </c>
      <c r="D4394">
        <v>2015</v>
      </c>
      <c r="E4394" t="s">
        <v>14</v>
      </c>
      <c r="F4394" t="s">
        <v>1798</v>
      </c>
      <c r="G4394">
        <v>0</v>
      </c>
      <c r="H4394">
        <v>1</v>
      </c>
      <c r="I4394">
        <v>0</v>
      </c>
      <c r="J4394">
        <v>0</v>
      </c>
      <c r="K4394">
        <v>0</v>
      </c>
      <c r="L4394">
        <f t="shared" si="136"/>
        <v>5.4</v>
      </c>
      <c r="M4394">
        <f t="shared" si="137"/>
        <v>1</v>
      </c>
    </row>
    <row r="4395" spans="1:13" x14ac:dyDescent="0.3">
      <c r="A4395">
        <v>4393</v>
      </c>
      <c r="B4395">
        <v>4394</v>
      </c>
      <c r="C4395" t="s">
        <v>4476</v>
      </c>
      <c r="D4395">
        <v>2014</v>
      </c>
      <c r="F4395" t="s">
        <v>1798</v>
      </c>
      <c r="G4395">
        <v>0</v>
      </c>
      <c r="H4395">
        <v>1</v>
      </c>
      <c r="I4395">
        <v>0</v>
      </c>
      <c r="J4395">
        <v>0</v>
      </c>
      <c r="K4395">
        <v>0</v>
      </c>
      <c r="L4395">
        <f t="shared" si="136"/>
        <v>5.4</v>
      </c>
      <c r="M4395">
        <f t="shared" si="137"/>
        <v>1</v>
      </c>
    </row>
    <row r="4396" spans="1:13" x14ac:dyDescent="0.3">
      <c r="A4396">
        <v>4394</v>
      </c>
      <c r="B4396">
        <v>4395</v>
      </c>
      <c r="C4396" t="s">
        <v>4477</v>
      </c>
      <c r="D4396">
        <v>2016</v>
      </c>
      <c r="F4396" t="s">
        <v>1798</v>
      </c>
      <c r="G4396">
        <v>0</v>
      </c>
      <c r="H4396">
        <v>1</v>
      </c>
      <c r="I4396">
        <v>0</v>
      </c>
      <c r="J4396">
        <v>0</v>
      </c>
      <c r="K4396">
        <v>0</v>
      </c>
      <c r="L4396">
        <f t="shared" si="136"/>
        <v>5.4</v>
      </c>
      <c r="M4396">
        <f t="shared" si="137"/>
        <v>1</v>
      </c>
    </row>
    <row r="4397" spans="1:13" x14ac:dyDescent="0.3">
      <c r="A4397">
        <v>4395</v>
      </c>
      <c r="B4397">
        <v>4396</v>
      </c>
      <c r="C4397" t="s">
        <v>4478</v>
      </c>
      <c r="D4397">
        <v>1999</v>
      </c>
      <c r="E4397" t="s">
        <v>11</v>
      </c>
      <c r="F4397" t="s">
        <v>1798</v>
      </c>
      <c r="G4397">
        <v>0</v>
      </c>
      <c r="H4397">
        <v>1</v>
      </c>
      <c r="I4397">
        <v>0</v>
      </c>
      <c r="J4397">
        <v>0</v>
      </c>
      <c r="K4397">
        <v>0</v>
      </c>
      <c r="L4397">
        <f t="shared" si="136"/>
        <v>5.4</v>
      </c>
      <c r="M4397">
        <f t="shared" si="137"/>
        <v>1</v>
      </c>
    </row>
    <row r="4398" spans="1:13" x14ac:dyDescent="0.3">
      <c r="A4398">
        <v>4396</v>
      </c>
      <c r="B4398">
        <v>4397</v>
      </c>
      <c r="C4398" t="s">
        <v>4479</v>
      </c>
      <c r="D4398">
        <v>2013</v>
      </c>
      <c r="E4398" t="s">
        <v>36</v>
      </c>
      <c r="F4398" t="s">
        <v>1798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f t="shared" si="136"/>
        <v>5.4</v>
      </c>
      <c r="M4398">
        <f t="shared" si="137"/>
        <v>1</v>
      </c>
    </row>
    <row r="4399" spans="1:13" x14ac:dyDescent="0.3">
      <c r="A4399">
        <v>4397</v>
      </c>
      <c r="B4399">
        <v>4398</v>
      </c>
      <c r="C4399" t="s">
        <v>4480</v>
      </c>
      <c r="D4399">
        <v>2017</v>
      </c>
      <c r="E4399" t="s">
        <v>11</v>
      </c>
      <c r="F4399" t="s">
        <v>1798</v>
      </c>
      <c r="G4399">
        <v>0</v>
      </c>
      <c r="H4399">
        <v>1</v>
      </c>
      <c r="I4399">
        <v>0</v>
      </c>
      <c r="J4399">
        <v>0</v>
      </c>
      <c r="K4399">
        <v>0</v>
      </c>
      <c r="L4399">
        <f t="shared" si="136"/>
        <v>5.4</v>
      </c>
      <c r="M4399">
        <f t="shared" si="137"/>
        <v>1</v>
      </c>
    </row>
    <row r="4400" spans="1:13" x14ac:dyDescent="0.3">
      <c r="A4400">
        <v>4398</v>
      </c>
      <c r="B4400">
        <v>4399</v>
      </c>
      <c r="C4400" t="s">
        <v>4481</v>
      </c>
      <c r="D4400">
        <v>2017</v>
      </c>
      <c r="E4400" t="s">
        <v>11</v>
      </c>
      <c r="F4400" t="s">
        <v>1798</v>
      </c>
      <c r="G4400">
        <v>0</v>
      </c>
      <c r="H4400">
        <v>1</v>
      </c>
      <c r="I4400">
        <v>0</v>
      </c>
      <c r="J4400">
        <v>0</v>
      </c>
      <c r="K4400">
        <v>0</v>
      </c>
      <c r="L4400">
        <f t="shared" si="136"/>
        <v>5.4</v>
      </c>
      <c r="M4400">
        <f t="shared" si="137"/>
        <v>1</v>
      </c>
    </row>
    <row r="4401" spans="1:13" x14ac:dyDescent="0.3">
      <c r="A4401">
        <v>4399</v>
      </c>
      <c r="B4401">
        <v>4400</v>
      </c>
      <c r="C4401" t="s">
        <v>4482</v>
      </c>
      <c r="D4401">
        <v>2016</v>
      </c>
      <c r="E4401" t="s">
        <v>14</v>
      </c>
      <c r="F4401" t="s">
        <v>1798</v>
      </c>
      <c r="G4401">
        <v>0</v>
      </c>
      <c r="H4401">
        <v>1</v>
      </c>
      <c r="I4401">
        <v>0</v>
      </c>
      <c r="J4401">
        <v>0</v>
      </c>
      <c r="K4401">
        <v>0</v>
      </c>
      <c r="L4401">
        <f t="shared" si="136"/>
        <v>5.4</v>
      </c>
      <c r="M4401">
        <f t="shared" si="137"/>
        <v>1</v>
      </c>
    </row>
    <row r="4402" spans="1:13" x14ac:dyDescent="0.3">
      <c r="A4402">
        <v>4400</v>
      </c>
      <c r="B4402">
        <v>4401</v>
      </c>
      <c r="C4402" t="s">
        <v>4483</v>
      </c>
      <c r="D4402">
        <v>2021</v>
      </c>
      <c r="E4402" t="s">
        <v>11</v>
      </c>
      <c r="F4402" t="s">
        <v>1798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f t="shared" si="136"/>
        <v>5.4</v>
      </c>
      <c r="M4402">
        <f t="shared" si="137"/>
        <v>1</v>
      </c>
    </row>
    <row r="4403" spans="1:13" x14ac:dyDescent="0.3">
      <c r="A4403">
        <v>4401</v>
      </c>
      <c r="B4403">
        <v>4402</v>
      </c>
      <c r="C4403" t="s">
        <v>4484</v>
      </c>
      <c r="D4403">
        <v>2018</v>
      </c>
      <c r="F4403" t="s">
        <v>1798</v>
      </c>
      <c r="G4403">
        <v>0</v>
      </c>
      <c r="H4403">
        <v>1</v>
      </c>
      <c r="I4403">
        <v>0</v>
      </c>
      <c r="J4403">
        <v>0</v>
      </c>
      <c r="K4403">
        <v>0</v>
      </c>
      <c r="L4403">
        <f t="shared" si="136"/>
        <v>5.4</v>
      </c>
      <c r="M4403">
        <f t="shared" si="137"/>
        <v>1</v>
      </c>
    </row>
    <row r="4404" spans="1:13" x14ac:dyDescent="0.3">
      <c r="A4404">
        <v>4402</v>
      </c>
      <c r="B4404">
        <v>4403</v>
      </c>
      <c r="C4404" t="s">
        <v>4485</v>
      </c>
      <c r="D4404">
        <v>2019</v>
      </c>
      <c r="F4404" t="s">
        <v>1798</v>
      </c>
      <c r="G4404">
        <v>0</v>
      </c>
      <c r="H4404">
        <v>1</v>
      </c>
      <c r="I4404">
        <v>0</v>
      </c>
      <c r="J4404">
        <v>0</v>
      </c>
      <c r="K4404">
        <v>0</v>
      </c>
      <c r="L4404">
        <f t="shared" si="136"/>
        <v>5.4</v>
      </c>
      <c r="M4404">
        <f t="shared" si="137"/>
        <v>1</v>
      </c>
    </row>
    <row r="4405" spans="1:13" x14ac:dyDescent="0.3">
      <c r="A4405">
        <v>4403</v>
      </c>
      <c r="B4405">
        <v>4404</v>
      </c>
      <c r="C4405" t="s">
        <v>4486</v>
      </c>
      <c r="D4405">
        <v>2019</v>
      </c>
      <c r="F4405" t="s">
        <v>1798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f t="shared" si="136"/>
        <v>5.4</v>
      </c>
      <c r="M4405">
        <f t="shared" si="137"/>
        <v>1</v>
      </c>
    </row>
    <row r="4406" spans="1:13" x14ac:dyDescent="0.3">
      <c r="A4406">
        <v>4404</v>
      </c>
      <c r="B4406">
        <v>4405</v>
      </c>
      <c r="C4406" t="s">
        <v>4487</v>
      </c>
      <c r="D4406">
        <v>2014</v>
      </c>
      <c r="F4406" t="s">
        <v>1798</v>
      </c>
      <c r="G4406">
        <v>0</v>
      </c>
      <c r="H4406">
        <v>1</v>
      </c>
      <c r="I4406">
        <v>0</v>
      </c>
      <c r="J4406">
        <v>0</v>
      </c>
      <c r="K4406">
        <v>0</v>
      </c>
      <c r="L4406">
        <f t="shared" si="136"/>
        <v>5.4</v>
      </c>
      <c r="M4406">
        <f t="shared" si="137"/>
        <v>1</v>
      </c>
    </row>
    <row r="4407" spans="1:13" x14ac:dyDescent="0.3">
      <c r="A4407">
        <v>4405</v>
      </c>
      <c r="B4407">
        <v>4406</v>
      </c>
      <c r="C4407" t="s">
        <v>4488</v>
      </c>
      <c r="D4407">
        <v>2017</v>
      </c>
      <c r="F4407" t="s">
        <v>1798</v>
      </c>
      <c r="G4407">
        <v>0</v>
      </c>
      <c r="H4407">
        <v>1</v>
      </c>
      <c r="I4407">
        <v>0</v>
      </c>
      <c r="J4407">
        <v>0</v>
      </c>
      <c r="K4407">
        <v>0</v>
      </c>
      <c r="L4407">
        <f t="shared" si="136"/>
        <v>5.4</v>
      </c>
      <c r="M4407">
        <f t="shared" si="137"/>
        <v>1</v>
      </c>
    </row>
    <row r="4408" spans="1:13" x14ac:dyDescent="0.3">
      <c r="A4408">
        <v>4406</v>
      </c>
      <c r="B4408">
        <v>4407</v>
      </c>
      <c r="C4408" t="s">
        <v>4489</v>
      </c>
      <c r="D4408">
        <v>2015</v>
      </c>
      <c r="F4408" t="s">
        <v>1798</v>
      </c>
      <c r="G4408">
        <v>0</v>
      </c>
      <c r="H4408">
        <v>1</v>
      </c>
      <c r="I4408">
        <v>0</v>
      </c>
      <c r="J4408">
        <v>0</v>
      </c>
      <c r="K4408">
        <v>0</v>
      </c>
      <c r="L4408">
        <f t="shared" si="136"/>
        <v>5.4</v>
      </c>
      <c r="M4408">
        <f t="shared" si="137"/>
        <v>1</v>
      </c>
    </row>
    <row r="4409" spans="1:13" x14ac:dyDescent="0.3">
      <c r="A4409">
        <v>4407</v>
      </c>
      <c r="B4409">
        <v>4408</v>
      </c>
      <c r="C4409" t="s">
        <v>4490</v>
      </c>
      <c r="D4409">
        <v>2017</v>
      </c>
      <c r="F4409" t="s">
        <v>1798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f t="shared" si="136"/>
        <v>5.4</v>
      </c>
      <c r="M4409">
        <f t="shared" si="137"/>
        <v>1</v>
      </c>
    </row>
    <row r="4410" spans="1:13" x14ac:dyDescent="0.3">
      <c r="A4410">
        <v>4408</v>
      </c>
      <c r="B4410">
        <v>4409</v>
      </c>
      <c r="C4410" t="s">
        <v>4491</v>
      </c>
      <c r="D4410">
        <v>2017</v>
      </c>
      <c r="E4410" t="s">
        <v>11</v>
      </c>
      <c r="F4410" t="s">
        <v>1798</v>
      </c>
      <c r="G4410">
        <v>0</v>
      </c>
      <c r="H4410">
        <v>1</v>
      </c>
      <c r="I4410">
        <v>0</v>
      </c>
      <c r="J4410">
        <v>0</v>
      </c>
      <c r="K4410">
        <v>0</v>
      </c>
      <c r="L4410">
        <f t="shared" si="136"/>
        <v>5.4</v>
      </c>
      <c r="M4410">
        <f t="shared" si="137"/>
        <v>1</v>
      </c>
    </row>
    <row r="4411" spans="1:13" x14ac:dyDescent="0.3">
      <c r="A4411">
        <v>4409</v>
      </c>
      <c r="B4411">
        <v>4410</v>
      </c>
      <c r="C4411" t="s">
        <v>4492</v>
      </c>
      <c r="D4411">
        <v>2014</v>
      </c>
      <c r="F4411" t="s">
        <v>1798</v>
      </c>
      <c r="G4411">
        <v>0</v>
      </c>
      <c r="H4411">
        <v>1</v>
      </c>
      <c r="I4411">
        <v>0</v>
      </c>
      <c r="J4411">
        <v>0</v>
      </c>
      <c r="K4411">
        <v>0</v>
      </c>
      <c r="L4411">
        <f t="shared" si="136"/>
        <v>5.4</v>
      </c>
      <c r="M4411">
        <f t="shared" si="137"/>
        <v>1</v>
      </c>
    </row>
    <row r="4412" spans="1:13" x14ac:dyDescent="0.3">
      <c r="A4412">
        <v>4410</v>
      </c>
      <c r="B4412">
        <v>4411</v>
      </c>
      <c r="C4412" t="s">
        <v>4493</v>
      </c>
      <c r="D4412">
        <v>2018</v>
      </c>
      <c r="F4412" t="s">
        <v>1798</v>
      </c>
      <c r="G4412">
        <v>0</v>
      </c>
      <c r="H4412">
        <v>1</v>
      </c>
      <c r="I4412">
        <v>0</v>
      </c>
      <c r="J4412">
        <v>0</v>
      </c>
      <c r="K4412">
        <v>0</v>
      </c>
      <c r="L4412">
        <f t="shared" si="136"/>
        <v>5.4</v>
      </c>
      <c r="M4412">
        <f t="shared" si="137"/>
        <v>1</v>
      </c>
    </row>
    <row r="4413" spans="1:13" x14ac:dyDescent="0.3">
      <c r="A4413">
        <v>4411</v>
      </c>
      <c r="B4413">
        <v>4412</v>
      </c>
      <c r="C4413" t="s">
        <v>4494</v>
      </c>
      <c r="D4413">
        <v>2013</v>
      </c>
      <c r="F4413" t="s">
        <v>1798</v>
      </c>
      <c r="G4413">
        <v>0</v>
      </c>
      <c r="H4413">
        <v>1</v>
      </c>
      <c r="I4413">
        <v>1</v>
      </c>
      <c r="J4413">
        <v>0</v>
      </c>
      <c r="K4413">
        <v>0</v>
      </c>
      <c r="L4413">
        <f t="shared" si="136"/>
        <v>5.4</v>
      </c>
      <c r="M4413">
        <f t="shared" si="137"/>
        <v>2</v>
      </c>
    </row>
    <row r="4414" spans="1:13" x14ac:dyDescent="0.3">
      <c r="A4414">
        <v>4412</v>
      </c>
      <c r="B4414">
        <v>4413</v>
      </c>
      <c r="C4414" t="s">
        <v>4495</v>
      </c>
      <c r="D4414">
        <v>2019</v>
      </c>
      <c r="F4414" t="s">
        <v>1798</v>
      </c>
      <c r="G4414">
        <v>0</v>
      </c>
      <c r="H4414">
        <v>1</v>
      </c>
      <c r="I4414">
        <v>0</v>
      </c>
      <c r="J4414">
        <v>0</v>
      </c>
      <c r="K4414">
        <v>0</v>
      </c>
      <c r="L4414">
        <f t="shared" si="136"/>
        <v>5.4</v>
      </c>
      <c r="M4414">
        <f t="shared" si="137"/>
        <v>1</v>
      </c>
    </row>
    <row r="4415" spans="1:13" x14ac:dyDescent="0.3">
      <c r="A4415">
        <v>4413</v>
      </c>
      <c r="B4415">
        <v>4414</v>
      </c>
      <c r="C4415" t="s">
        <v>4496</v>
      </c>
      <c r="D4415">
        <v>2019</v>
      </c>
      <c r="E4415" t="s">
        <v>11</v>
      </c>
      <c r="F4415" t="s">
        <v>1798</v>
      </c>
      <c r="G4415">
        <v>0</v>
      </c>
      <c r="H4415">
        <v>1</v>
      </c>
      <c r="I4415">
        <v>0</v>
      </c>
      <c r="J4415">
        <v>0</v>
      </c>
      <c r="K4415">
        <v>0</v>
      </c>
      <c r="L4415">
        <f t="shared" si="136"/>
        <v>5.4</v>
      </c>
      <c r="M4415">
        <f t="shared" si="137"/>
        <v>1</v>
      </c>
    </row>
    <row r="4416" spans="1:13" x14ac:dyDescent="0.3">
      <c r="A4416">
        <v>4414</v>
      </c>
      <c r="B4416">
        <v>4415</v>
      </c>
      <c r="C4416" t="s">
        <v>4497</v>
      </c>
      <c r="D4416">
        <v>2019</v>
      </c>
      <c r="E4416" t="s">
        <v>11</v>
      </c>
      <c r="F4416" t="s">
        <v>1798</v>
      </c>
      <c r="G4416">
        <v>0</v>
      </c>
      <c r="H4416">
        <v>1</v>
      </c>
      <c r="I4416">
        <v>0</v>
      </c>
      <c r="J4416">
        <v>0</v>
      </c>
      <c r="K4416">
        <v>0</v>
      </c>
      <c r="L4416">
        <f t="shared" si="136"/>
        <v>5.4</v>
      </c>
      <c r="M4416">
        <f t="shared" si="137"/>
        <v>1</v>
      </c>
    </row>
    <row r="4417" spans="1:13" x14ac:dyDescent="0.3">
      <c r="A4417">
        <v>4415</v>
      </c>
      <c r="B4417">
        <v>4416</v>
      </c>
      <c r="C4417" t="s">
        <v>4498</v>
      </c>
      <c r="D4417">
        <v>2019</v>
      </c>
      <c r="F4417" t="s">
        <v>1798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f t="shared" si="136"/>
        <v>5.4</v>
      </c>
      <c r="M4417">
        <f t="shared" si="137"/>
        <v>1</v>
      </c>
    </row>
    <row r="4418" spans="1:13" x14ac:dyDescent="0.3">
      <c r="A4418">
        <v>4416</v>
      </c>
      <c r="B4418">
        <v>4417</v>
      </c>
      <c r="C4418" t="s">
        <v>4499</v>
      </c>
      <c r="D4418">
        <v>2020</v>
      </c>
      <c r="E4418" t="s">
        <v>11</v>
      </c>
      <c r="F4418" t="s">
        <v>1890</v>
      </c>
      <c r="G4418">
        <v>0</v>
      </c>
      <c r="H4418">
        <v>1</v>
      </c>
      <c r="I4418">
        <v>0</v>
      </c>
      <c r="J4418">
        <v>0</v>
      </c>
      <c r="K4418">
        <v>0</v>
      </c>
      <c r="L4418">
        <f t="shared" si="136"/>
        <v>5.3</v>
      </c>
      <c r="M4418">
        <f t="shared" si="137"/>
        <v>1</v>
      </c>
    </row>
    <row r="4419" spans="1:13" x14ac:dyDescent="0.3">
      <c r="A4419">
        <v>4417</v>
      </c>
      <c r="B4419">
        <v>4418</v>
      </c>
      <c r="C4419" t="s">
        <v>4500</v>
      </c>
      <c r="D4419">
        <v>2019</v>
      </c>
      <c r="F4419" t="s">
        <v>1890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f t="shared" ref="L4419:L4482" si="138">IFERROR(VALUE(LEFT(F4419,FIND("/",F4419)-1))/10,"")</f>
        <v>5.3</v>
      </c>
      <c r="M4419">
        <f t="shared" ref="M4419:M4482" si="139">SUM(G4419:J4419)</f>
        <v>1</v>
      </c>
    </row>
    <row r="4420" spans="1:13" x14ac:dyDescent="0.3">
      <c r="A4420">
        <v>4418</v>
      </c>
      <c r="B4420">
        <v>4419</v>
      </c>
      <c r="C4420" t="s">
        <v>4501</v>
      </c>
      <c r="D4420">
        <v>2014</v>
      </c>
      <c r="E4420" t="s">
        <v>14</v>
      </c>
      <c r="F4420" t="s">
        <v>1890</v>
      </c>
      <c r="G4420">
        <v>0</v>
      </c>
      <c r="H4420">
        <v>1</v>
      </c>
      <c r="I4420">
        <v>0</v>
      </c>
      <c r="J4420">
        <v>0</v>
      </c>
      <c r="K4420">
        <v>0</v>
      </c>
      <c r="L4420">
        <f t="shared" si="138"/>
        <v>5.3</v>
      </c>
      <c r="M4420">
        <f t="shared" si="139"/>
        <v>1</v>
      </c>
    </row>
    <row r="4421" spans="1:13" x14ac:dyDescent="0.3">
      <c r="A4421">
        <v>4419</v>
      </c>
      <c r="B4421">
        <v>4420</v>
      </c>
      <c r="C4421" t="s">
        <v>4502</v>
      </c>
      <c r="D4421">
        <v>2019</v>
      </c>
      <c r="E4421" t="s">
        <v>11</v>
      </c>
      <c r="F4421" t="s">
        <v>1890</v>
      </c>
      <c r="G4421">
        <v>0</v>
      </c>
      <c r="H4421">
        <v>1</v>
      </c>
      <c r="I4421">
        <v>0</v>
      </c>
      <c r="J4421">
        <v>0</v>
      </c>
      <c r="K4421">
        <v>0</v>
      </c>
      <c r="L4421">
        <f t="shared" si="138"/>
        <v>5.3</v>
      </c>
      <c r="M4421">
        <f t="shared" si="139"/>
        <v>1</v>
      </c>
    </row>
    <row r="4422" spans="1:13" x14ac:dyDescent="0.3">
      <c r="A4422">
        <v>4420</v>
      </c>
      <c r="B4422">
        <v>4421</v>
      </c>
      <c r="C4422" t="s">
        <v>4503</v>
      </c>
      <c r="D4422">
        <v>2019</v>
      </c>
      <c r="F4422" t="s">
        <v>1890</v>
      </c>
      <c r="G4422">
        <v>0</v>
      </c>
      <c r="H4422">
        <v>1</v>
      </c>
      <c r="I4422">
        <v>0</v>
      </c>
      <c r="J4422">
        <v>0</v>
      </c>
      <c r="K4422">
        <v>0</v>
      </c>
      <c r="L4422">
        <f t="shared" si="138"/>
        <v>5.3</v>
      </c>
      <c r="M4422">
        <f t="shared" si="139"/>
        <v>1</v>
      </c>
    </row>
    <row r="4423" spans="1:13" x14ac:dyDescent="0.3">
      <c r="A4423">
        <v>4421</v>
      </c>
      <c r="B4423">
        <v>4422</v>
      </c>
      <c r="C4423" t="s">
        <v>4504</v>
      </c>
      <c r="D4423">
        <v>2007</v>
      </c>
      <c r="E4423" t="s">
        <v>14</v>
      </c>
      <c r="F4423" t="s">
        <v>1890</v>
      </c>
      <c r="G4423">
        <v>0</v>
      </c>
      <c r="H4423">
        <v>1</v>
      </c>
      <c r="I4423">
        <v>0</v>
      </c>
      <c r="J4423">
        <v>0</v>
      </c>
      <c r="K4423">
        <v>0</v>
      </c>
      <c r="L4423">
        <f t="shared" si="138"/>
        <v>5.3</v>
      </c>
      <c r="M4423">
        <f t="shared" si="139"/>
        <v>1</v>
      </c>
    </row>
    <row r="4424" spans="1:13" x14ac:dyDescent="0.3">
      <c r="A4424">
        <v>4422</v>
      </c>
      <c r="B4424">
        <v>4423</v>
      </c>
      <c r="C4424" t="s">
        <v>4505</v>
      </c>
      <c r="D4424">
        <v>1988</v>
      </c>
      <c r="E4424" t="s">
        <v>11</v>
      </c>
      <c r="F4424" t="s">
        <v>1890</v>
      </c>
      <c r="G4424">
        <v>0</v>
      </c>
      <c r="H4424">
        <v>1</v>
      </c>
      <c r="I4424">
        <v>0</v>
      </c>
      <c r="J4424">
        <v>0</v>
      </c>
      <c r="K4424">
        <v>0</v>
      </c>
      <c r="L4424">
        <f t="shared" si="138"/>
        <v>5.3</v>
      </c>
      <c r="M4424">
        <f t="shared" si="139"/>
        <v>1</v>
      </c>
    </row>
    <row r="4425" spans="1:13" x14ac:dyDescent="0.3">
      <c r="A4425">
        <v>4423</v>
      </c>
      <c r="B4425">
        <v>4424</v>
      </c>
      <c r="C4425" t="s">
        <v>4506</v>
      </c>
      <c r="D4425">
        <v>2016</v>
      </c>
      <c r="F4425" t="s">
        <v>1890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f t="shared" si="138"/>
        <v>5.3</v>
      </c>
      <c r="M4425">
        <f t="shared" si="139"/>
        <v>1</v>
      </c>
    </row>
    <row r="4426" spans="1:13" x14ac:dyDescent="0.3">
      <c r="A4426">
        <v>4424</v>
      </c>
      <c r="B4426">
        <v>4425</v>
      </c>
      <c r="C4426" t="s">
        <v>4507</v>
      </c>
      <c r="D4426">
        <v>2001</v>
      </c>
      <c r="E4426" t="s">
        <v>22</v>
      </c>
      <c r="F4426" t="s">
        <v>1890</v>
      </c>
      <c r="G4426">
        <v>0</v>
      </c>
      <c r="H4426">
        <v>1</v>
      </c>
      <c r="I4426">
        <v>0</v>
      </c>
      <c r="J4426">
        <v>0</v>
      </c>
      <c r="K4426">
        <v>0</v>
      </c>
      <c r="L4426">
        <f t="shared" si="138"/>
        <v>5.3</v>
      </c>
      <c r="M4426">
        <f t="shared" si="139"/>
        <v>1</v>
      </c>
    </row>
    <row r="4427" spans="1:13" x14ac:dyDescent="0.3">
      <c r="A4427">
        <v>4425</v>
      </c>
      <c r="B4427">
        <v>4426</v>
      </c>
      <c r="C4427" t="s">
        <v>4508</v>
      </c>
      <c r="D4427">
        <v>2019</v>
      </c>
      <c r="E4427" t="s">
        <v>11</v>
      </c>
      <c r="F4427" t="s">
        <v>1890</v>
      </c>
      <c r="G4427">
        <v>0</v>
      </c>
      <c r="H4427">
        <v>1</v>
      </c>
      <c r="I4427">
        <v>0</v>
      </c>
      <c r="J4427">
        <v>0</v>
      </c>
      <c r="K4427">
        <v>0</v>
      </c>
      <c r="L4427">
        <f t="shared" si="138"/>
        <v>5.3</v>
      </c>
      <c r="M4427">
        <f t="shared" si="139"/>
        <v>1</v>
      </c>
    </row>
    <row r="4428" spans="1:13" x14ac:dyDescent="0.3">
      <c r="A4428">
        <v>4426</v>
      </c>
      <c r="B4428">
        <v>4427</v>
      </c>
      <c r="C4428" t="s">
        <v>4509</v>
      </c>
      <c r="D4428">
        <v>2019</v>
      </c>
      <c r="F4428" t="s">
        <v>1890</v>
      </c>
      <c r="G4428">
        <v>0</v>
      </c>
      <c r="H4428">
        <v>1</v>
      </c>
      <c r="I4428">
        <v>0</v>
      </c>
      <c r="J4428">
        <v>0</v>
      </c>
      <c r="K4428">
        <v>0</v>
      </c>
      <c r="L4428">
        <f t="shared" si="138"/>
        <v>5.3</v>
      </c>
      <c r="M4428">
        <f t="shared" si="139"/>
        <v>1</v>
      </c>
    </row>
    <row r="4429" spans="1:13" x14ac:dyDescent="0.3">
      <c r="A4429">
        <v>4427</v>
      </c>
      <c r="B4429">
        <v>4428</v>
      </c>
      <c r="C4429" t="s">
        <v>4510</v>
      </c>
      <c r="D4429">
        <v>2018</v>
      </c>
      <c r="E4429" t="s">
        <v>22</v>
      </c>
      <c r="F4429" t="s">
        <v>1890</v>
      </c>
      <c r="G4429">
        <v>0</v>
      </c>
      <c r="H4429">
        <v>1</v>
      </c>
      <c r="I4429">
        <v>0</v>
      </c>
      <c r="J4429">
        <v>0</v>
      </c>
      <c r="K4429">
        <v>0</v>
      </c>
      <c r="L4429">
        <f t="shared" si="138"/>
        <v>5.3</v>
      </c>
      <c r="M4429">
        <f t="shared" si="139"/>
        <v>1</v>
      </c>
    </row>
    <row r="4430" spans="1:13" x14ac:dyDescent="0.3">
      <c r="A4430">
        <v>4428</v>
      </c>
      <c r="B4430">
        <v>4429</v>
      </c>
      <c r="C4430" t="s">
        <v>4511</v>
      </c>
      <c r="D4430">
        <v>2020</v>
      </c>
      <c r="F4430" t="s">
        <v>1890</v>
      </c>
      <c r="G4430">
        <v>0</v>
      </c>
      <c r="H4430">
        <v>1</v>
      </c>
      <c r="I4430">
        <v>0</v>
      </c>
      <c r="J4430">
        <v>0</v>
      </c>
      <c r="K4430">
        <v>0</v>
      </c>
      <c r="L4430">
        <f t="shared" si="138"/>
        <v>5.3</v>
      </c>
      <c r="M4430">
        <f t="shared" si="139"/>
        <v>1</v>
      </c>
    </row>
    <row r="4431" spans="1:13" x14ac:dyDescent="0.3">
      <c r="A4431">
        <v>4429</v>
      </c>
      <c r="B4431">
        <v>4430</v>
      </c>
      <c r="C4431" t="s">
        <v>4512</v>
      </c>
      <c r="D4431">
        <v>2019</v>
      </c>
      <c r="F4431" t="s">
        <v>1890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f t="shared" si="138"/>
        <v>5.3</v>
      </c>
      <c r="M4431">
        <f t="shared" si="139"/>
        <v>1</v>
      </c>
    </row>
    <row r="4432" spans="1:13" x14ac:dyDescent="0.3">
      <c r="A4432">
        <v>4430</v>
      </c>
      <c r="B4432">
        <v>4431</v>
      </c>
      <c r="C4432" t="s">
        <v>4513</v>
      </c>
      <c r="D4432">
        <v>2020</v>
      </c>
      <c r="E4432" t="s">
        <v>11</v>
      </c>
      <c r="F4432" t="s">
        <v>1890</v>
      </c>
      <c r="G4432">
        <v>0</v>
      </c>
      <c r="H4432">
        <v>1</v>
      </c>
      <c r="I4432">
        <v>0</v>
      </c>
      <c r="J4432">
        <v>0</v>
      </c>
      <c r="K4432">
        <v>0</v>
      </c>
      <c r="L4432">
        <f t="shared" si="138"/>
        <v>5.3</v>
      </c>
      <c r="M4432">
        <f t="shared" si="139"/>
        <v>1</v>
      </c>
    </row>
    <row r="4433" spans="1:13" x14ac:dyDescent="0.3">
      <c r="A4433">
        <v>4431</v>
      </c>
      <c r="B4433">
        <v>4432</v>
      </c>
      <c r="C4433" t="s">
        <v>4514</v>
      </c>
      <c r="D4433">
        <v>2020</v>
      </c>
      <c r="E4433" t="s">
        <v>11</v>
      </c>
      <c r="F4433" t="s">
        <v>1890</v>
      </c>
      <c r="G4433">
        <v>0</v>
      </c>
      <c r="H4433">
        <v>1</v>
      </c>
      <c r="I4433">
        <v>0</v>
      </c>
      <c r="J4433">
        <v>0</v>
      </c>
      <c r="K4433">
        <v>0</v>
      </c>
      <c r="L4433">
        <f t="shared" si="138"/>
        <v>5.3</v>
      </c>
      <c r="M4433">
        <f t="shared" si="139"/>
        <v>1</v>
      </c>
    </row>
    <row r="4434" spans="1:13" x14ac:dyDescent="0.3">
      <c r="A4434">
        <v>4432</v>
      </c>
      <c r="B4434">
        <v>4433</v>
      </c>
      <c r="C4434" t="s">
        <v>4515</v>
      </c>
      <c r="D4434">
        <v>2020</v>
      </c>
      <c r="F4434" t="s">
        <v>1890</v>
      </c>
      <c r="G4434">
        <v>0</v>
      </c>
      <c r="H4434">
        <v>1</v>
      </c>
      <c r="I4434">
        <v>0</v>
      </c>
      <c r="J4434">
        <v>0</v>
      </c>
      <c r="K4434">
        <v>0</v>
      </c>
      <c r="L4434">
        <f t="shared" si="138"/>
        <v>5.3</v>
      </c>
      <c r="M4434">
        <f t="shared" si="139"/>
        <v>1</v>
      </c>
    </row>
    <row r="4435" spans="1:13" x14ac:dyDescent="0.3">
      <c r="A4435">
        <v>4433</v>
      </c>
      <c r="B4435">
        <v>4434</v>
      </c>
      <c r="C4435" t="s">
        <v>4516</v>
      </c>
      <c r="D4435">
        <v>2018</v>
      </c>
      <c r="F4435" t="s">
        <v>1890</v>
      </c>
      <c r="G4435">
        <v>0</v>
      </c>
      <c r="H4435">
        <v>1</v>
      </c>
      <c r="I4435">
        <v>0</v>
      </c>
      <c r="J4435">
        <v>0</v>
      </c>
      <c r="K4435">
        <v>0</v>
      </c>
      <c r="L4435">
        <f t="shared" si="138"/>
        <v>5.3</v>
      </c>
      <c r="M4435">
        <f t="shared" si="139"/>
        <v>1</v>
      </c>
    </row>
    <row r="4436" spans="1:13" x14ac:dyDescent="0.3">
      <c r="A4436">
        <v>4434</v>
      </c>
      <c r="B4436">
        <v>4435</v>
      </c>
      <c r="C4436" t="s">
        <v>4517</v>
      </c>
      <c r="D4436">
        <v>2017</v>
      </c>
      <c r="E4436" t="s">
        <v>22</v>
      </c>
      <c r="F4436" t="s">
        <v>1890</v>
      </c>
      <c r="G4436">
        <v>0</v>
      </c>
      <c r="H4436">
        <v>1</v>
      </c>
      <c r="I4436">
        <v>0</v>
      </c>
      <c r="J4436">
        <v>0</v>
      </c>
      <c r="K4436">
        <v>0</v>
      </c>
      <c r="L4436">
        <f t="shared" si="138"/>
        <v>5.3</v>
      </c>
      <c r="M4436">
        <f t="shared" si="139"/>
        <v>1</v>
      </c>
    </row>
    <row r="4437" spans="1:13" x14ac:dyDescent="0.3">
      <c r="A4437">
        <v>4435</v>
      </c>
      <c r="B4437">
        <v>4436</v>
      </c>
      <c r="C4437" t="s">
        <v>4518</v>
      </c>
      <c r="D4437">
        <v>2011</v>
      </c>
      <c r="E4437" t="s">
        <v>11</v>
      </c>
      <c r="F4437" t="s">
        <v>1890</v>
      </c>
      <c r="G4437">
        <v>0</v>
      </c>
      <c r="H4437">
        <v>1</v>
      </c>
      <c r="I4437">
        <v>0</v>
      </c>
      <c r="J4437">
        <v>0</v>
      </c>
      <c r="K4437">
        <v>0</v>
      </c>
      <c r="L4437">
        <f t="shared" si="138"/>
        <v>5.3</v>
      </c>
      <c r="M4437">
        <f t="shared" si="139"/>
        <v>1</v>
      </c>
    </row>
    <row r="4438" spans="1:13" x14ac:dyDescent="0.3">
      <c r="A4438">
        <v>4436</v>
      </c>
      <c r="B4438">
        <v>4437</v>
      </c>
      <c r="C4438" t="s">
        <v>4519</v>
      </c>
      <c r="D4438">
        <v>2020</v>
      </c>
      <c r="F4438" t="s">
        <v>1890</v>
      </c>
      <c r="G4438">
        <v>0</v>
      </c>
      <c r="H4438">
        <v>1</v>
      </c>
      <c r="I4438">
        <v>0</v>
      </c>
      <c r="J4438">
        <v>0</v>
      </c>
      <c r="K4438">
        <v>0</v>
      </c>
      <c r="L4438">
        <f t="shared" si="138"/>
        <v>5.3</v>
      </c>
      <c r="M4438">
        <f t="shared" si="139"/>
        <v>1</v>
      </c>
    </row>
    <row r="4439" spans="1:13" x14ac:dyDescent="0.3">
      <c r="A4439">
        <v>4437</v>
      </c>
      <c r="B4439">
        <v>4438</v>
      </c>
      <c r="C4439" t="s">
        <v>4520</v>
      </c>
      <c r="D4439">
        <v>2021</v>
      </c>
      <c r="E4439" t="s">
        <v>11</v>
      </c>
      <c r="F4439" t="s">
        <v>1890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f t="shared" si="138"/>
        <v>5.3</v>
      </c>
      <c r="M4439">
        <f t="shared" si="139"/>
        <v>1</v>
      </c>
    </row>
    <row r="4440" spans="1:13" x14ac:dyDescent="0.3">
      <c r="A4440">
        <v>4438</v>
      </c>
      <c r="B4440">
        <v>4439</v>
      </c>
      <c r="C4440" t="s">
        <v>4521</v>
      </c>
      <c r="D4440">
        <v>2019</v>
      </c>
      <c r="F4440" t="s">
        <v>1890</v>
      </c>
      <c r="G4440">
        <v>0</v>
      </c>
      <c r="H4440">
        <v>1</v>
      </c>
      <c r="I4440">
        <v>0</v>
      </c>
      <c r="J4440">
        <v>0</v>
      </c>
      <c r="K4440">
        <v>0</v>
      </c>
      <c r="L4440">
        <f t="shared" si="138"/>
        <v>5.3</v>
      </c>
      <c r="M4440">
        <f t="shared" si="139"/>
        <v>1</v>
      </c>
    </row>
    <row r="4441" spans="1:13" x14ac:dyDescent="0.3">
      <c r="A4441">
        <v>4439</v>
      </c>
      <c r="B4441">
        <v>4440</v>
      </c>
      <c r="C4441" t="s">
        <v>4522</v>
      </c>
      <c r="D4441">
        <v>2018</v>
      </c>
      <c r="F4441" t="s">
        <v>1890</v>
      </c>
      <c r="G4441">
        <v>0</v>
      </c>
      <c r="H4441">
        <v>1</v>
      </c>
      <c r="I4441">
        <v>0</v>
      </c>
      <c r="J4441">
        <v>0</v>
      </c>
      <c r="K4441">
        <v>0</v>
      </c>
      <c r="L4441">
        <f t="shared" si="138"/>
        <v>5.3</v>
      </c>
      <c r="M4441">
        <f t="shared" si="139"/>
        <v>1</v>
      </c>
    </row>
    <row r="4442" spans="1:13" x14ac:dyDescent="0.3">
      <c r="A4442">
        <v>4440</v>
      </c>
      <c r="B4442">
        <v>4441</v>
      </c>
      <c r="C4442" t="s">
        <v>4523</v>
      </c>
      <c r="D4442">
        <v>2017</v>
      </c>
      <c r="F4442" t="s">
        <v>1890</v>
      </c>
      <c r="G4442">
        <v>0</v>
      </c>
      <c r="H4442">
        <v>1</v>
      </c>
      <c r="I4442">
        <v>0</v>
      </c>
      <c r="J4442">
        <v>0</v>
      </c>
      <c r="K4442">
        <v>0</v>
      </c>
      <c r="L4442">
        <f t="shared" si="138"/>
        <v>5.3</v>
      </c>
      <c r="M4442">
        <f t="shared" si="139"/>
        <v>1</v>
      </c>
    </row>
    <row r="4443" spans="1:13" x14ac:dyDescent="0.3">
      <c r="A4443">
        <v>4441</v>
      </c>
      <c r="B4443">
        <v>4442</v>
      </c>
      <c r="C4443" t="s">
        <v>4524</v>
      </c>
      <c r="D4443">
        <v>2020</v>
      </c>
      <c r="F4443" t="s">
        <v>1890</v>
      </c>
      <c r="G4443">
        <v>0</v>
      </c>
      <c r="H4443">
        <v>1</v>
      </c>
      <c r="I4443">
        <v>0</v>
      </c>
      <c r="J4443">
        <v>0</v>
      </c>
      <c r="K4443">
        <v>0</v>
      </c>
      <c r="L4443">
        <f t="shared" si="138"/>
        <v>5.3</v>
      </c>
      <c r="M4443">
        <f t="shared" si="139"/>
        <v>1</v>
      </c>
    </row>
    <row r="4444" spans="1:13" x14ac:dyDescent="0.3">
      <c r="A4444">
        <v>4442</v>
      </c>
      <c r="B4444">
        <v>4443</v>
      </c>
      <c r="C4444" t="s">
        <v>4525</v>
      </c>
      <c r="D4444">
        <v>2016</v>
      </c>
      <c r="E4444" t="s">
        <v>11</v>
      </c>
      <c r="F4444" t="s">
        <v>1890</v>
      </c>
      <c r="G4444">
        <v>0</v>
      </c>
      <c r="H4444">
        <v>1</v>
      </c>
      <c r="I4444">
        <v>1</v>
      </c>
      <c r="J4444">
        <v>0</v>
      </c>
      <c r="K4444">
        <v>0</v>
      </c>
      <c r="L4444">
        <f t="shared" si="138"/>
        <v>5.3</v>
      </c>
      <c r="M4444">
        <f t="shared" si="139"/>
        <v>2</v>
      </c>
    </row>
    <row r="4445" spans="1:13" x14ac:dyDescent="0.3">
      <c r="A4445">
        <v>4443</v>
      </c>
      <c r="B4445">
        <v>4444</v>
      </c>
      <c r="C4445" t="s">
        <v>4526</v>
      </c>
      <c r="D4445">
        <v>2017</v>
      </c>
      <c r="E4445" t="s">
        <v>11</v>
      </c>
      <c r="F4445" t="s">
        <v>1890</v>
      </c>
      <c r="G4445">
        <v>0</v>
      </c>
      <c r="H4445">
        <v>1</v>
      </c>
      <c r="I4445">
        <v>0</v>
      </c>
      <c r="J4445">
        <v>0</v>
      </c>
      <c r="K4445">
        <v>0</v>
      </c>
      <c r="L4445">
        <f t="shared" si="138"/>
        <v>5.3</v>
      </c>
      <c r="M4445">
        <f t="shared" si="139"/>
        <v>1</v>
      </c>
    </row>
    <row r="4446" spans="1:13" x14ac:dyDescent="0.3">
      <c r="A4446">
        <v>4444</v>
      </c>
      <c r="B4446">
        <v>4445</v>
      </c>
      <c r="C4446" t="s">
        <v>4527</v>
      </c>
      <c r="D4446">
        <v>2012</v>
      </c>
      <c r="F4446" t="s">
        <v>1890</v>
      </c>
      <c r="G4446">
        <v>0</v>
      </c>
      <c r="H4446">
        <v>1</v>
      </c>
      <c r="I4446">
        <v>0</v>
      </c>
      <c r="J4446">
        <v>0</v>
      </c>
      <c r="K4446">
        <v>0</v>
      </c>
      <c r="L4446">
        <f t="shared" si="138"/>
        <v>5.3</v>
      </c>
      <c r="M4446">
        <f t="shared" si="139"/>
        <v>1</v>
      </c>
    </row>
    <row r="4447" spans="1:13" x14ac:dyDescent="0.3">
      <c r="A4447">
        <v>4445</v>
      </c>
      <c r="B4447">
        <v>4446</v>
      </c>
      <c r="C4447" t="s">
        <v>4528</v>
      </c>
      <c r="D4447">
        <v>2019</v>
      </c>
      <c r="E4447" t="s">
        <v>11</v>
      </c>
      <c r="F4447" t="s">
        <v>1890</v>
      </c>
      <c r="G4447">
        <v>0</v>
      </c>
      <c r="H4447">
        <v>1</v>
      </c>
      <c r="I4447">
        <v>0</v>
      </c>
      <c r="J4447">
        <v>0</v>
      </c>
      <c r="K4447">
        <v>0</v>
      </c>
      <c r="L4447">
        <f t="shared" si="138"/>
        <v>5.3</v>
      </c>
      <c r="M4447">
        <f t="shared" si="139"/>
        <v>1</v>
      </c>
    </row>
    <row r="4448" spans="1:13" x14ac:dyDescent="0.3">
      <c r="A4448">
        <v>4446</v>
      </c>
      <c r="B4448">
        <v>4447</v>
      </c>
      <c r="C4448" t="s">
        <v>4529</v>
      </c>
      <c r="D4448">
        <v>2010</v>
      </c>
      <c r="F4448" t="s">
        <v>1985</v>
      </c>
      <c r="G4448">
        <v>0</v>
      </c>
      <c r="H4448">
        <v>1</v>
      </c>
      <c r="I4448">
        <v>0</v>
      </c>
      <c r="J4448">
        <v>0</v>
      </c>
      <c r="K4448">
        <v>0</v>
      </c>
      <c r="L4448">
        <f t="shared" si="138"/>
        <v>5.2</v>
      </c>
      <c r="M4448">
        <f t="shared" si="139"/>
        <v>1</v>
      </c>
    </row>
    <row r="4449" spans="1:13" x14ac:dyDescent="0.3">
      <c r="A4449">
        <v>4447</v>
      </c>
      <c r="B4449">
        <v>4448</v>
      </c>
      <c r="C4449" t="s">
        <v>4530</v>
      </c>
      <c r="D4449">
        <v>2016</v>
      </c>
      <c r="F4449" t="s">
        <v>1985</v>
      </c>
      <c r="G4449">
        <v>0</v>
      </c>
      <c r="H4449">
        <v>1</v>
      </c>
      <c r="I4449">
        <v>0</v>
      </c>
      <c r="J4449">
        <v>0</v>
      </c>
      <c r="K4449">
        <v>0</v>
      </c>
      <c r="L4449">
        <f t="shared" si="138"/>
        <v>5.2</v>
      </c>
      <c r="M4449">
        <f t="shared" si="139"/>
        <v>1</v>
      </c>
    </row>
    <row r="4450" spans="1:13" x14ac:dyDescent="0.3">
      <c r="A4450">
        <v>4448</v>
      </c>
      <c r="B4450">
        <v>4449</v>
      </c>
      <c r="C4450" t="s">
        <v>4531</v>
      </c>
      <c r="D4450">
        <v>2020</v>
      </c>
      <c r="F4450" t="s">
        <v>1985</v>
      </c>
      <c r="G4450">
        <v>0</v>
      </c>
      <c r="H4450">
        <v>1</v>
      </c>
      <c r="I4450">
        <v>0</v>
      </c>
      <c r="J4450">
        <v>0</v>
      </c>
      <c r="K4450">
        <v>0</v>
      </c>
      <c r="L4450">
        <f t="shared" si="138"/>
        <v>5.2</v>
      </c>
      <c r="M4450">
        <f t="shared" si="139"/>
        <v>1</v>
      </c>
    </row>
    <row r="4451" spans="1:13" x14ac:dyDescent="0.3">
      <c r="A4451">
        <v>4449</v>
      </c>
      <c r="B4451">
        <v>4450</v>
      </c>
      <c r="C4451" t="s">
        <v>4532</v>
      </c>
      <c r="D4451">
        <v>2012</v>
      </c>
      <c r="E4451" t="s">
        <v>14</v>
      </c>
      <c r="F4451" t="s">
        <v>1985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f t="shared" si="138"/>
        <v>5.2</v>
      </c>
      <c r="M4451">
        <f t="shared" si="139"/>
        <v>1</v>
      </c>
    </row>
    <row r="4452" spans="1:13" x14ac:dyDescent="0.3">
      <c r="A4452">
        <v>4450</v>
      </c>
      <c r="B4452">
        <v>4451</v>
      </c>
      <c r="C4452" t="s">
        <v>4533</v>
      </c>
      <c r="D4452">
        <v>2015</v>
      </c>
      <c r="F4452" t="s">
        <v>1985</v>
      </c>
      <c r="G4452">
        <v>0</v>
      </c>
      <c r="H4452">
        <v>1</v>
      </c>
      <c r="I4452">
        <v>0</v>
      </c>
      <c r="J4452">
        <v>0</v>
      </c>
      <c r="K4452">
        <v>0</v>
      </c>
      <c r="L4452">
        <f t="shared" si="138"/>
        <v>5.2</v>
      </c>
      <c r="M4452">
        <f t="shared" si="139"/>
        <v>1</v>
      </c>
    </row>
    <row r="4453" spans="1:13" x14ac:dyDescent="0.3">
      <c r="A4453">
        <v>4451</v>
      </c>
      <c r="B4453">
        <v>4452</v>
      </c>
      <c r="C4453" t="s">
        <v>4534</v>
      </c>
      <c r="D4453">
        <v>2020</v>
      </c>
      <c r="F4453" t="s">
        <v>1985</v>
      </c>
      <c r="G4453">
        <v>0</v>
      </c>
      <c r="H4453">
        <v>1</v>
      </c>
      <c r="I4453">
        <v>0</v>
      </c>
      <c r="J4453">
        <v>0</v>
      </c>
      <c r="K4453">
        <v>0</v>
      </c>
      <c r="L4453">
        <f t="shared" si="138"/>
        <v>5.2</v>
      </c>
      <c r="M4453">
        <f t="shared" si="139"/>
        <v>1</v>
      </c>
    </row>
    <row r="4454" spans="1:13" x14ac:dyDescent="0.3">
      <c r="A4454">
        <v>4452</v>
      </c>
      <c r="B4454">
        <v>4453</v>
      </c>
      <c r="C4454" t="s">
        <v>4535</v>
      </c>
      <c r="D4454">
        <v>2016</v>
      </c>
      <c r="F4454" t="s">
        <v>1985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f t="shared" si="138"/>
        <v>5.2</v>
      </c>
      <c r="M4454">
        <f t="shared" si="139"/>
        <v>1</v>
      </c>
    </row>
    <row r="4455" spans="1:13" x14ac:dyDescent="0.3">
      <c r="A4455">
        <v>4453</v>
      </c>
      <c r="B4455">
        <v>4454</v>
      </c>
      <c r="C4455" t="s">
        <v>4536</v>
      </c>
      <c r="D4455">
        <v>2018</v>
      </c>
      <c r="E4455" t="s">
        <v>14</v>
      </c>
      <c r="F4455" t="s">
        <v>1985</v>
      </c>
      <c r="G4455">
        <v>0</v>
      </c>
      <c r="H4455">
        <v>1</v>
      </c>
      <c r="I4455">
        <v>0</v>
      </c>
      <c r="J4455">
        <v>0</v>
      </c>
      <c r="K4455">
        <v>0</v>
      </c>
      <c r="L4455">
        <f t="shared" si="138"/>
        <v>5.2</v>
      </c>
      <c r="M4455">
        <f t="shared" si="139"/>
        <v>1</v>
      </c>
    </row>
    <row r="4456" spans="1:13" x14ac:dyDescent="0.3">
      <c r="A4456">
        <v>4454</v>
      </c>
      <c r="B4456">
        <v>4455</v>
      </c>
      <c r="C4456" t="s">
        <v>4537</v>
      </c>
      <c r="D4456">
        <v>2020</v>
      </c>
      <c r="F4456" t="s">
        <v>1985</v>
      </c>
      <c r="G4456">
        <v>0</v>
      </c>
      <c r="H4456">
        <v>1</v>
      </c>
      <c r="I4456">
        <v>0</v>
      </c>
      <c r="J4456">
        <v>0</v>
      </c>
      <c r="K4456">
        <v>0</v>
      </c>
      <c r="L4456">
        <f t="shared" si="138"/>
        <v>5.2</v>
      </c>
      <c r="M4456">
        <f t="shared" si="139"/>
        <v>1</v>
      </c>
    </row>
    <row r="4457" spans="1:13" x14ac:dyDescent="0.3">
      <c r="A4457">
        <v>4455</v>
      </c>
      <c r="B4457">
        <v>4456</v>
      </c>
      <c r="C4457" t="s">
        <v>4538</v>
      </c>
      <c r="D4457">
        <v>2019</v>
      </c>
      <c r="F4457" t="s">
        <v>1985</v>
      </c>
      <c r="G4457">
        <v>0</v>
      </c>
      <c r="H4457">
        <v>1</v>
      </c>
      <c r="I4457">
        <v>0</v>
      </c>
      <c r="J4457">
        <v>0</v>
      </c>
      <c r="K4457">
        <v>0</v>
      </c>
      <c r="L4457">
        <f t="shared" si="138"/>
        <v>5.2</v>
      </c>
      <c r="M4457">
        <f t="shared" si="139"/>
        <v>1</v>
      </c>
    </row>
    <row r="4458" spans="1:13" x14ac:dyDescent="0.3">
      <c r="A4458">
        <v>4456</v>
      </c>
      <c r="B4458">
        <v>4457</v>
      </c>
      <c r="C4458" t="s">
        <v>4539</v>
      </c>
      <c r="D4458">
        <v>2019</v>
      </c>
      <c r="F4458" t="s">
        <v>1985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f t="shared" si="138"/>
        <v>5.2</v>
      </c>
      <c r="M4458">
        <f t="shared" si="139"/>
        <v>1</v>
      </c>
    </row>
    <row r="4459" spans="1:13" x14ac:dyDescent="0.3">
      <c r="A4459">
        <v>4457</v>
      </c>
      <c r="B4459">
        <v>4458</v>
      </c>
      <c r="C4459" t="s">
        <v>4540</v>
      </c>
      <c r="D4459">
        <v>2019</v>
      </c>
      <c r="F4459" t="s">
        <v>1985</v>
      </c>
      <c r="G4459">
        <v>0</v>
      </c>
      <c r="H4459">
        <v>1</v>
      </c>
      <c r="I4459">
        <v>0</v>
      </c>
      <c r="J4459">
        <v>0</v>
      </c>
      <c r="K4459">
        <v>0</v>
      </c>
      <c r="L4459">
        <f t="shared" si="138"/>
        <v>5.2</v>
      </c>
      <c r="M4459">
        <f t="shared" si="139"/>
        <v>1</v>
      </c>
    </row>
    <row r="4460" spans="1:13" x14ac:dyDescent="0.3">
      <c r="A4460">
        <v>4458</v>
      </c>
      <c r="B4460">
        <v>4459</v>
      </c>
      <c r="C4460" t="s">
        <v>4541</v>
      </c>
      <c r="D4460">
        <v>2019</v>
      </c>
      <c r="F4460" t="s">
        <v>1985</v>
      </c>
      <c r="G4460">
        <v>0</v>
      </c>
      <c r="H4460">
        <v>1</v>
      </c>
      <c r="I4460">
        <v>0</v>
      </c>
      <c r="J4460">
        <v>0</v>
      </c>
      <c r="K4460">
        <v>0</v>
      </c>
      <c r="L4460">
        <f t="shared" si="138"/>
        <v>5.2</v>
      </c>
      <c r="M4460">
        <f t="shared" si="139"/>
        <v>1</v>
      </c>
    </row>
    <row r="4461" spans="1:13" x14ac:dyDescent="0.3">
      <c r="A4461">
        <v>4459</v>
      </c>
      <c r="B4461">
        <v>4460</v>
      </c>
      <c r="C4461" t="s">
        <v>4542</v>
      </c>
      <c r="D4461">
        <v>2018</v>
      </c>
      <c r="E4461" t="s">
        <v>22</v>
      </c>
      <c r="F4461" t="s">
        <v>1985</v>
      </c>
      <c r="G4461">
        <v>0</v>
      </c>
      <c r="H4461">
        <v>1</v>
      </c>
      <c r="I4461">
        <v>0</v>
      </c>
      <c r="J4461">
        <v>0</v>
      </c>
      <c r="K4461">
        <v>0</v>
      </c>
      <c r="L4461">
        <f t="shared" si="138"/>
        <v>5.2</v>
      </c>
      <c r="M4461">
        <f t="shared" si="139"/>
        <v>1</v>
      </c>
    </row>
    <row r="4462" spans="1:13" x14ac:dyDescent="0.3">
      <c r="A4462">
        <v>4460</v>
      </c>
      <c r="B4462">
        <v>4461</v>
      </c>
      <c r="C4462" t="s">
        <v>4543</v>
      </c>
      <c r="D4462">
        <v>2018</v>
      </c>
      <c r="E4462" t="s">
        <v>11</v>
      </c>
      <c r="F4462" t="s">
        <v>1985</v>
      </c>
      <c r="G4462">
        <v>0</v>
      </c>
      <c r="H4462">
        <v>1</v>
      </c>
      <c r="I4462">
        <v>0</v>
      </c>
      <c r="J4462">
        <v>0</v>
      </c>
      <c r="K4462">
        <v>0</v>
      </c>
      <c r="L4462">
        <f t="shared" si="138"/>
        <v>5.2</v>
      </c>
      <c r="M4462">
        <f t="shared" si="139"/>
        <v>1</v>
      </c>
    </row>
    <row r="4463" spans="1:13" x14ac:dyDescent="0.3">
      <c r="A4463">
        <v>4461</v>
      </c>
      <c r="B4463">
        <v>4462</v>
      </c>
      <c r="C4463" t="s">
        <v>4544</v>
      </c>
      <c r="D4463">
        <v>2017</v>
      </c>
      <c r="E4463" t="s">
        <v>11</v>
      </c>
      <c r="F4463" t="s">
        <v>1985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f t="shared" si="138"/>
        <v>5.2</v>
      </c>
      <c r="M4463">
        <f t="shared" si="139"/>
        <v>1</v>
      </c>
    </row>
    <row r="4464" spans="1:13" x14ac:dyDescent="0.3">
      <c r="A4464">
        <v>4462</v>
      </c>
      <c r="B4464">
        <v>4463</v>
      </c>
      <c r="C4464" t="s">
        <v>4545</v>
      </c>
      <c r="D4464">
        <v>2012</v>
      </c>
      <c r="E4464" t="s">
        <v>11</v>
      </c>
      <c r="F4464" t="s">
        <v>1985</v>
      </c>
      <c r="G4464">
        <v>0</v>
      </c>
      <c r="H4464">
        <v>1</v>
      </c>
      <c r="I4464">
        <v>1</v>
      </c>
      <c r="J4464">
        <v>0</v>
      </c>
      <c r="K4464">
        <v>0</v>
      </c>
      <c r="L4464">
        <f t="shared" si="138"/>
        <v>5.2</v>
      </c>
      <c r="M4464">
        <f t="shared" si="139"/>
        <v>2</v>
      </c>
    </row>
    <row r="4465" spans="1:13" x14ac:dyDescent="0.3">
      <c r="A4465">
        <v>4463</v>
      </c>
      <c r="B4465">
        <v>4464</v>
      </c>
      <c r="C4465" t="s">
        <v>4546</v>
      </c>
      <c r="D4465">
        <v>2012</v>
      </c>
      <c r="F4465" t="s">
        <v>1985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f t="shared" si="138"/>
        <v>5.2</v>
      </c>
      <c r="M4465">
        <f t="shared" si="139"/>
        <v>1</v>
      </c>
    </row>
    <row r="4466" spans="1:13" x14ac:dyDescent="0.3">
      <c r="A4466">
        <v>4464</v>
      </c>
      <c r="B4466">
        <v>4465</v>
      </c>
      <c r="C4466" t="s">
        <v>4547</v>
      </c>
      <c r="D4466">
        <v>2019</v>
      </c>
      <c r="E4466" t="s">
        <v>22</v>
      </c>
      <c r="F4466" t="s">
        <v>1985</v>
      </c>
      <c r="G4466">
        <v>0</v>
      </c>
      <c r="H4466">
        <v>1</v>
      </c>
      <c r="I4466">
        <v>0</v>
      </c>
      <c r="J4466">
        <v>0</v>
      </c>
      <c r="K4466">
        <v>0</v>
      </c>
      <c r="L4466">
        <f t="shared" si="138"/>
        <v>5.2</v>
      </c>
      <c r="M4466">
        <f t="shared" si="139"/>
        <v>1</v>
      </c>
    </row>
    <row r="4467" spans="1:13" x14ac:dyDescent="0.3">
      <c r="A4467">
        <v>4465</v>
      </c>
      <c r="B4467">
        <v>4466</v>
      </c>
      <c r="C4467" t="s">
        <v>4548</v>
      </c>
      <c r="D4467">
        <v>2018</v>
      </c>
      <c r="E4467" t="s">
        <v>11</v>
      </c>
      <c r="F4467" t="s">
        <v>1985</v>
      </c>
      <c r="G4467">
        <v>0</v>
      </c>
      <c r="H4467">
        <v>1</v>
      </c>
      <c r="I4467">
        <v>0</v>
      </c>
      <c r="J4467">
        <v>0</v>
      </c>
      <c r="K4467">
        <v>0</v>
      </c>
      <c r="L4467">
        <f t="shared" si="138"/>
        <v>5.2</v>
      </c>
      <c r="M4467">
        <f t="shared" si="139"/>
        <v>1</v>
      </c>
    </row>
    <row r="4468" spans="1:13" x14ac:dyDescent="0.3">
      <c r="A4468">
        <v>4466</v>
      </c>
      <c r="B4468">
        <v>4467</v>
      </c>
      <c r="C4468" t="s">
        <v>4549</v>
      </c>
      <c r="D4468">
        <v>2012</v>
      </c>
      <c r="F4468" t="s">
        <v>1985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f t="shared" si="138"/>
        <v>5.2</v>
      </c>
      <c r="M4468">
        <f t="shared" si="139"/>
        <v>1</v>
      </c>
    </row>
    <row r="4469" spans="1:13" x14ac:dyDescent="0.3">
      <c r="A4469">
        <v>4467</v>
      </c>
      <c r="B4469">
        <v>4468</v>
      </c>
      <c r="C4469" t="s">
        <v>4550</v>
      </c>
      <c r="D4469">
        <v>2011</v>
      </c>
      <c r="E4469" t="s">
        <v>11</v>
      </c>
      <c r="F4469" t="s">
        <v>1985</v>
      </c>
      <c r="G4469">
        <v>0</v>
      </c>
      <c r="H4469">
        <v>1</v>
      </c>
      <c r="I4469">
        <v>0</v>
      </c>
      <c r="J4469">
        <v>0</v>
      </c>
      <c r="K4469">
        <v>0</v>
      </c>
      <c r="L4469">
        <f t="shared" si="138"/>
        <v>5.2</v>
      </c>
      <c r="M4469">
        <f t="shared" si="139"/>
        <v>1</v>
      </c>
    </row>
    <row r="4470" spans="1:13" x14ac:dyDescent="0.3">
      <c r="A4470">
        <v>4468</v>
      </c>
      <c r="B4470">
        <v>4469</v>
      </c>
      <c r="C4470" t="s">
        <v>4551</v>
      </c>
      <c r="D4470">
        <v>2018</v>
      </c>
      <c r="F4470" t="s">
        <v>1985</v>
      </c>
      <c r="G4470">
        <v>0</v>
      </c>
      <c r="H4470">
        <v>1</v>
      </c>
      <c r="I4470">
        <v>0</v>
      </c>
      <c r="J4470">
        <v>0</v>
      </c>
      <c r="K4470">
        <v>0</v>
      </c>
      <c r="L4470">
        <f t="shared" si="138"/>
        <v>5.2</v>
      </c>
      <c r="M4470">
        <f t="shared" si="139"/>
        <v>1</v>
      </c>
    </row>
    <row r="4471" spans="1:13" x14ac:dyDescent="0.3">
      <c r="A4471">
        <v>4469</v>
      </c>
      <c r="B4471">
        <v>4470</v>
      </c>
      <c r="C4471" t="s">
        <v>4552</v>
      </c>
      <c r="D4471">
        <v>2020</v>
      </c>
      <c r="E4471" t="s">
        <v>11</v>
      </c>
      <c r="F4471" t="s">
        <v>1985</v>
      </c>
      <c r="G4471">
        <v>0</v>
      </c>
      <c r="H4471">
        <v>1</v>
      </c>
      <c r="I4471">
        <v>0</v>
      </c>
      <c r="J4471">
        <v>0</v>
      </c>
      <c r="K4471">
        <v>0</v>
      </c>
      <c r="L4471">
        <f t="shared" si="138"/>
        <v>5.2</v>
      </c>
      <c r="M4471">
        <f t="shared" si="139"/>
        <v>1</v>
      </c>
    </row>
    <row r="4472" spans="1:13" x14ac:dyDescent="0.3">
      <c r="A4472">
        <v>4470</v>
      </c>
      <c r="B4472">
        <v>4471</v>
      </c>
      <c r="C4472" t="s">
        <v>4553</v>
      </c>
      <c r="D4472">
        <v>2018</v>
      </c>
      <c r="E4472" t="s">
        <v>11</v>
      </c>
      <c r="F4472" t="s">
        <v>1985</v>
      </c>
      <c r="G4472">
        <v>0</v>
      </c>
      <c r="H4472">
        <v>1</v>
      </c>
      <c r="I4472">
        <v>0</v>
      </c>
      <c r="J4472">
        <v>0</v>
      </c>
      <c r="K4472">
        <v>0</v>
      </c>
      <c r="L4472">
        <f t="shared" si="138"/>
        <v>5.2</v>
      </c>
      <c r="M4472">
        <f t="shared" si="139"/>
        <v>1</v>
      </c>
    </row>
    <row r="4473" spans="1:13" x14ac:dyDescent="0.3">
      <c r="A4473">
        <v>4471</v>
      </c>
      <c r="B4473">
        <v>4472</v>
      </c>
      <c r="C4473" t="s">
        <v>4554</v>
      </c>
      <c r="D4473">
        <v>2019</v>
      </c>
      <c r="E4473" t="s">
        <v>14</v>
      </c>
      <c r="F4473" t="s">
        <v>1985</v>
      </c>
      <c r="G4473">
        <v>0</v>
      </c>
      <c r="H4473">
        <v>1</v>
      </c>
      <c r="I4473">
        <v>0</v>
      </c>
      <c r="J4473">
        <v>0</v>
      </c>
      <c r="K4473">
        <v>0</v>
      </c>
      <c r="L4473">
        <f t="shared" si="138"/>
        <v>5.2</v>
      </c>
      <c r="M4473">
        <f t="shared" si="139"/>
        <v>1</v>
      </c>
    </row>
    <row r="4474" spans="1:13" x14ac:dyDescent="0.3">
      <c r="A4474">
        <v>4472</v>
      </c>
      <c r="B4474">
        <v>4473</v>
      </c>
      <c r="C4474" t="s">
        <v>4555</v>
      </c>
      <c r="D4474">
        <v>2021</v>
      </c>
      <c r="F4474" t="s">
        <v>1985</v>
      </c>
      <c r="G4474">
        <v>0</v>
      </c>
      <c r="H4474">
        <v>1</v>
      </c>
      <c r="I4474">
        <v>0</v>
      </c>
      <c r="J4474">
        <v>0</v>
      </c>
      <c r="K4474">
        <v>0</v>
      </c>
      <c r="L4474">
        <f t="shared" si="138"/>
        <v>5.2</v>
      </c>
      <c r="M4474">
        <f t="shared" si="139"/>
        <v>1</v>
      </c>
    </row>
    <row r="4475" spans="1:13" x14ac:dyDescent="0.3">
      <c r="A4475">
        <v>4473</v>
      </c>
      <c r="B4475">
        <v>4474</v>
      </c>
      <c r="C4475" t="s">
        <v>4556</v>
      </c>
      <c r="D4475">
        <v>2018</v>
      </c>
      <c r="E4475" t="s">
        <v>36</v>
      </c>
      <c r="F4475" t="s">
        <v>1985</v>
      </c>
      <c r="G4475">
        <v>0</v>
      </c>
      <c r="H4475">
        <v>1</v>
      </c>
      <c r="I4475">
        <v>0</v>
      </c>
      <c r="J4475">
        <v>0</v>
      </c>
      <c r="K4475">
        <v>0</v>
      </c>
      <c r="L4475">
        <f t="shared" si="138"/>
        <v>5.2</v>
      </c>
      <c r="M4475">
        <f t="shared" si="139"/>
        <v>1</v>
      </c>
    </row>
    <row r="4476" spans="1:13" x14ac:dyDescent="0.3">
      <c r="A4476">
        <v>4474</v>
      </c>
      <c r="B4476">
        <v>4475</v>
      </c>
      <c r="C4476" t="s">
        <v>4557</v>
      </c>
      <c r="D4476">
        <v>2019</v>
      </c>
      <c r="F4476" t="s">
        <v>2084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f t="shared" si="138"/>
        <v>5.0999999999999996</v>
      </c>
      <c r="M4476">
        <f t="shared" si="139"/>
        <v>1</v>
      </c>
    </row>
    <row r="4477" spans="1:13" x14ac:dyDescent="0.3">
      <c r="A4477">
        <v>4475</v>
      </c>
      <c r="B4477">
        <v>4476</v>
      </c>
      <c r="C4477" t="s">
        <v>4558</v>
      </c>
      <c r="D4477">
        <v>2017</v>
      </c>
      <c r="F4477" t="s">
        <v>2084</v>
      </c>
      <c r="G4477">
        <v>0</v>
      </c>
      <c r="H4477">
        <v>1</v>
      </c>
      <c r="I4477">
        <v>0</v>
      </c>
      <c r="J4477">
        <v>0</v>
      </c>
      <c r="K4477">
        <v>0</v>
      </c>
      <c r="L4477">
        <f t="shared" si="138"/>
        <v>5.0999999999999996</v>
      </c>
      <c r="M4477">
        <f t="shared" si="139"/>
        <v>1</v>
      </c>
    </row>
    <row r="4478" spans="1:13" x14ac:dyDescent="0.3">
      <c r="A4478">
        <v>4476</v>
      </c>
      <c r="B4478">
        <v>4477</v>
      </c>
      <c r="C4478" t="s">
        <v>4559</v>
      </c>
      <c r="D4478">
        <v>2021</v>
      </c>
      <c r="E4478" t="s">
        <v>11</v>
      </c>
      <c r="F4478" t="s">
        <v>2084</v>
      </c>
      <c r="G4478">
        <v>0</v>
      </c>
      <c r="H4478">
        <v>1</v>
      </c>
      <c r="I4478">
        <v>0</v>
      </c>
      <c r="J4478">
        <v>0</v>
      </c>
      <c r="K4478">
        <v>0</v>
      </c>
      <c r="L4478">
        <f t="shared" si="138"/>
        <v>5.0999999999999996</v>
      </c>
      <c r="M4478">
        <f t="shared" si="139"/>
        <v>1</v>
      </c>
    </row>
    <row r="4479" spans="1:13" x14ac:dyDescent="0.3">
      <c r="A4479">
        <v>4477</v>
      </c>
      <c r="B4479">
        <v>4478</v>
      </c>
      <c r="C4479" t="s">
        <v>4560</v>
      </c>
      <c r="D4479">
        <v>2019</v>
      </c>
      <c r="F4479" t="s">
        <v>2084</v>
      </c>
      <c r="G4479">
        <v>0</v>
      </c>
      <c r="H4479">
        <v>1</v>
      </c>
      <c r="I4479">
        <v>0</v>
      </c>
      <c r="J4479">
        <v>0</v>
      </c>
      <c r="K4479">
        <v>0</v>
      </c>
      <c r="L4479">
        <f t="shared" si="138"/>
        <v>5.0999999999999996</v>
      </c>
      <c r="M4479">
        <f t="shared" si="139"/>
        <v>1</v>
      </c>
    </row>
    <row r="4480" spans="1:13" x14ac:dyDescent="0.3">
      <c r="A4480">
        <v>4478</v>
      </c>
      <c r="B4480">
        <v>4479</v>
      </c>
      <c r="C4480" t="s">
        <v>4561</v>
      </c>
      <c r="D4480">
        <v>2014</v>
      </c>
      <c r="E4480" t="s">
        <v>14</v>
      </c>
      <c r="F4480" t="s">
        <v>2084</v>
      </c>
      <c r="G4480">
        <v>0</v>
      </c>
      <c r="H4480">
        <v>1</v>
      </c>
      <c r="I4480">
        <v>0</v>
      </c>
      <c r="J4480">
        <v>0</v>
      </c>
      <c r="K4480">
        <v>0</v>
      </c>
      <c r="L4480">
        <f t="shared" si="138"/>
        <v>5.0999999999999996</v>
      </c>
      <c r="M4480">
        <f t="shared" si="139"/>
        <v>1</v>
      </c>
    </row>
    <row r="4481" spans="1:13" x14ac:dyDescent="0.3">
      <c r="A4481">
        <v>4479</v>
      </c>
      <c r="B4481">
        <v>4480</v>
      </c>
      <c r="C4481" t="s">
        <v>4562</v>
      </c>
      <c r="D4481">
        <v>2018</v>
      </c>
      <c r="E4481" t="s">
        <v>22</v>
      </c>
      <c r="F4481" t="s">
        <v>2084</v>
      </c>
      <c r="G4481">
        <v>0</v>
      </c>
      <c r="H4481">
        <v>1</v>
      </c>
      <c r="I4481">
        <v>0</v>
      </c>
      <c r="J4481">
        <v>0</v>
      </c>
      <c r="K4481">
        <v>0</v>
      </c>
      <c r="L4481">
        <f t="shared" si="138"/>
        <v>5.0999999999999996</v>
      </c>
      <c r="M4481">
        <f t="shared" si="139"/>
        <v>1</v>
      </c>
    </row>
    <row r="4482" spans="1:13" x14ac:dyDescent="0.3">
      <c r="A4482">
        <v>4480</v>
      </c>
      <c r="B4482">
        <v>4481</v>
      </c>
      <c r="C4482" t="s">
        <v>4563</v>
      </c>
      <c r="D4482">
        <v>2019</v>
      </c>
      <c r="F4482" t="s">
        <v>2084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f t="shared" si="138"/>
        <v>5.0999999999999996</v>
      </c>
      <c r="M4482">
        <f t="shared" si="139"/>
        <v>1</v>
      </c>
    </row>
    <row r="4483" spans="1:13" x14ac:dyDescent="0.3">
      <c r="A4483">
        <v>4481</v>
      </c>
      <c r="B4483">
        <v>4482</v>
      </c>
      <c r="C4483" t="s">
        <v>4564</v>
      </c>
      <c r="D4483">
        <v>2008</v>
      </c>
      <c r="E4483" t="s">
        <v>14</v>
      </c>
      <c r="F4483" t="s">
        <v>2084</v>
      </c>
      <c r="G4483">
        <v>0</v>
      </c>
      <c r="H4483">
        <v>1</v>
      </c>
      <c r="I4483">
        <v>0</v>
      </c>
      <c r="J4483">
        <v>0</v>
      </c>
      <c r="K4483">
        <v>0</v>
      </c>
      <c r="L4483">
        <f t="shared" ref="L4483:L4546" si="140">IFERROR(VALUE(LEFT(F4483,FIND("/",F4483)-1))/10,"")</f>
        <v>5.0999999999999996</v>
      </c>
      <c r="M4483">
        <f t="shared" ref="M4483:M4546" si="141">SUM(G4483:J4483)</f>
        <v>1</v>
      </c>
    </row>
    <row r="4484" spans="1:13" x14ac:dyDescent="0.3">
      <c r="A4484">
        <v>4482</v>
      </c>
      <c r="B4484">
        <v>4483</v>
      </c>
      <c r="C4484" t="s">
        <v>4565</v>
      </c>
      <c r="D4484">
        <v>2015</v>
      </c>
      <c r="F4484" t="s">
        <v>2084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f t="shared" si="140"/>
        <v>5.0999999999999996</v>
      </c>
      <c r="M4484">
        <f t="shared" si="141"/>
        <v>1</v>
      </c>
    </row>
    <row r="4485" spans="1:13" x14ac:dyDescent="0.3">
      <c r="A4485">
        <v>4483</v>
      </c>
      <c r="B4485">
        <v>4484</v>
      </c>
      <c r="C4485" t="s">
        <v>4566</v>
      </c>
      <c r="D4485">
        <v>2020</v>
      </c>
      <c r="E4485" t="s">
        <v>11</v>
      </c>
      <c r="F4485" t="s">
        <v>2084</v>
      </c>
      <c r="G4485">
        <v>0</v>
      </c>
      <c r="H4485">
        <v>1</v>
      </c>
      <c r="I4485">
        <v>0</v>
      </c>
      <c r="J4485">
        <v>0</v>
      </c>
      <c r="K4485">
        <v>0</v>
      </c>
      <c r="L4485">
        <f t="shared" si="140"/>
        <v>5.0999999999999996</v>
      </c>
      <c r="M4485">
        <f t="shared" si="141"/>
        <v>1</v>
      </c>
    </row>
    <row r="4486" spans="1:13" x14ac:dyDescent="0.3">
      <c r="A4486">
        <v>4484</v>
      </c>
      <c r="B4486">
        <v>4485</v>
      </c>
      <c r="C4486" t="s">
        <v>4567</v>
      </c>
      <c r="D4486">
        <v>2019</v>
      </c>
      <c r="F4486" t="s">
        <v>2084</v>
      </c>
      <c r="G4486">
        <v>0</v>
      </c>
      <c r="H4486">
        <v>1</v>
      </c>
      <c r="I4486">
        <v>0</v>
      </c>
      <c r="J4486">
        <v>0</v>
      </c>
      <c r="K4486">
        <v>0</v>
      </c>
      <c r="L4486">
        <f t="shared" si="140"/>
        <v>5.0999999999999996</v>
      </c>
      <c r="M4486">
        <f t="shared" si="141"/>
        <v>1</v>
      </c>
    </row>
    <row r="4487" spans="1:13" x14ac:dyDescent="0.3">
      <c r="A4487">
        <v>4485</v>
      </c>
      <c r="B4487">
        <v>4486</v>
      </c>
      <c r="C4487" t="s">
        <v>4568</v>
      </c>
      <c r="D4487">
        <v>2021</v>
      </c>
      <c r="E4487" t="s">
        <v>11</v>
      </c>
      <c r="F4487" t="s">
        <v>2084</v>
      </c>
      <c r="G4487">
        <v>0</v>
      </c>
      <c r="H4487">
        <v>1</v>
      </c>
      <c r="I4487">
        <v>0</v>
      </c>
      <c r="J4487">
        <v>0</v>
      </c>
      <c r="K4487">
        <v>0</v>
      </c>
      <c r="L4487">
        <f t="shared" si="140"/>
        <v>5.0999999999999996</v>
      </c>
      <c r="M4487">
        <f t="shared" si="141"/>
        <v>1</v>
      </c>
    </row>
    <row r="4488" spans="1:13" x14ac:dyDescent="0.3">
      <c r="A4488">
        <v>4486</v>
      </c>
      <c r="B4488">
        <v>4487</v>
      </c>
      <c r="C4488" t="s">
        <v>4569</v>
      </c>
      <c r="D4488">
        <v>2019</v>
      </c>
      <c r="F4488" t="s">
        <v>2084</v>
      </c>
      <c r="G4488">
        <v>0</v>
      </c>
      <c r="H4488">
        <v>1</v>
      </c>
      <c r="I4488">
        <v>0</v>
      </c>
      <c r="J4488">
        <v>0</v>
      </c>
      <c r="K4488">
        <v>0</v>
      </c>
      <c r="L4488">
        <f t="shared" si="140"/>
        <v>5.0999999999999996</v>
      </c>
      <c r="M4488">
        <f t="shared" si="141"/>
        <v>1</v>
      </c>
    </row>
    <row r="4489" spans="1:13" x14ac:dyDescent="0.3">
      <c r="A4489">
        <v>4487</v>
      </c>
      <c r="B4489">
        <v>4488</v>
      </c>
      <c r="C4489" t="s">
        <v>4570</v>
      </c>
      <c r="D4489">
        <v>2018</v>
      </c>
      <c r="F4489" t="s">
        <v>2084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f t="shared" si="140"/>
        <v>5.0999999999999996</v>
      </c>
      <c r="M4489">
        <f t="shared" si="141"/>
        <v>1</v>
      </c>
    </row>
    <row r="4490" spans="1:13" x14ac:dyDescent="0.3">
      <c r="A4490">
        <v>4488</v>
      </c>
      <c r="B4490">
        <v>4489</v>
      </c>
      <c r="C4490" t="s">
        <v>4571</v>
      </c>
      <c r="D4490">
        <v>2018</v>
      </c>
      <c r="E4490" t="s">
        <v>36</v>
      </c>
      <c r="F4490" t="s">
        <v>2084</v>
      </c>
      <c r="G4490">
        <v>0</v>
      </c>
      <c r="H4490">
        <v>1</v>
      </c>
      <c r="I4490">
        <v>0</v>
      </c>
      <c r="J4490">
        <v>0</v>
      </c>
      <c r="K4490">
        <v>0</v>
      </c>
      <c r="L4490">
        <f t="shared" si="140"/>
        <v>5.0999999999999996</v>
      </c>
      <c r="M4490">
        <f t="shared" si="141"/>
        <v>1</v>
      </c>
    </row>
    <row r="4491" spans="1:13" x14ac:dyDescent="0.3">
      <c r="A4491">
        <v>4489</v>
      </c>
      <c r="B4491">
        <v>4490</v>
      </c>
      <c r="C4491" t="s">
        <v>4572</v>
      </c>
      <c r="D4491">
        <v>2019</v>
      </c>
      <c r="E4491" t="s">
        <v>11</v>
      </c>
      <c r="F4491" t="s">
        <v>2084</v>
      </c>
      <c r="G4491">
        <v>0</v>
      </c>
      <c r="H4491">
        <v>1</v>
      </c>
      <c r="I4491">
        <v>0</v>
      </c>
      <c r="J4491">
        <v>0</v>
      </c>
      <c r="K4491">
        <v>0</v>
      </c>
      <c r="L4491">
        <f t="shared" si="140"/>
        <v>5.0999999999999996</v>
      </c>
      <c r="M4491">
        <f t="shared" si="141"/>
        <v>1</v>
      </c>
    </row>
    <row r="4492" spans="1:13" x14ac:dyDescent="0.3">
      <c r="A4492">
        <v>4490</v>
      </c>
      <c r="B4492">
        <v>4491</v>
      </c>
      <c r="C4492" t="s">
        <v>4573</v>
      </c>
      <c r="D4492">
        <v>2021</v>
      </c>
      <c r="E4492" t="s">
        <v>22</v>
      </c>
      <c r="F4492" t="s">
        <v>2084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f t="shared" si="140"/>
        <v>5.0999999999999996</v>
      </c>
      <c r="M4492">
        <f t="shared" si="141"/>
        <v>1</v>
      </c>
    </row>
    <row r="4493" spans="1:13" x14ac:dyDescent="0.3">
      <c r="A4493">
        <v>4491</v>
      </c>
      <c r="B4493">
        <v>4492</v>
      </c>
      <c r="C4493" t="s">
        <v>4574</v>
      </c>
      <c r="D4493">
        <v>2018</v>
      </c>
      <c r="E4493" t="s">
        <v>11</v>
      </c>
      <c r="F4493" t="s">
        <v>2084</v>
      </c>
      <c r="G4493">
        <v>0</v>
      </c>
      <c r="H4493">
        <v>1</v>
      </c>
      <c r="I4493">
        <v>0</v>
      </c>
      <c r="J4493">
        <v>0</v>
      </c>
      <c r="K4493">
        <v>0</v>
      </c>
      <c r="L4493">
        <f t="shared" si="140"/>
        <v>5.0999999999999996</v>
      </c>
      <c r="M4493">
        <f t="shared" si="141"/>
        <v>1</v>
      </c>
    </row>
    <row r="4494" spans="1:13" x14ac:dyDescent="0.3">
      <c r="A4494">
        <v>4492</v>
      </c>
      <c r="B4494">
        <v>4493</v>
      </c>
      <c r="C4494" t="s">
        <v>4575</v>
      </c>
      <c r="D4494">
        <v>2019</v>
      </c>
      <c r="F4494" t="s">
        <v>2084</v>
      </c>
      <c r="G4494">
        <v>0</v>
      </c>
      <c r="H4494">
        <v>1</v>
      </c>
      <c r="I4494">
        <v>1</v>
      </c>
      <c r="J4494">
        <v>0</v>
      </c>
      <c r="K4494">
        <v>0</v>
      </c>
      <c r="L4494">
        <f t="shared" si="140"/>
        <v>5.0999999999999996</v>
      </c>
      <c r="M4494">
        <f t="shared" si="141"/>
        <v>2</v>
      </c>
    </row>
    <row r="4495" spans="1:13" x14ac:dyDescent="0.3">
      <c r="A4495">
        <v>4493</v>
      </c>
      <c r="B4495">
        <v>4494</v>
      </c>
      <c r="C4495" t="s">
        <v>4576</v>
      </c>
      <c r="D4495">
        <v>2018</v>
      </c>
      <c r="F4495" t="s">
        <v>2084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f t="shared" si="140"/>
        <v>5.0999999999999996</v>
      </c>
      <c r="M4495">
        <f t="shared" si="141"/>
        <v>1</v>
      </c>
    </row>
    <row r="4496" spans="1:13" x14ac:dyDescent="0.3">
      <c r="A4496">
        <v>4494</v>
      </c>
      <c r="B4496">
        <v>4495</v>
      </c>
      <c r="C4496" t="s">
        <v>4577</v>
      </c>
      <c r="D4496">
        <v>2019</v>
      </c>
      <c r="E4496" t="s">
        <v>11</v>
      </c>
      <c r="F4496" t="s">
        <v>2084</v>
      </c>
      <c r="G4496">
        <v>0</v>
      </c>
      <c r="H4496">
        <v>1</v>
      </c>
      <c r="I4496">
        <v>1</v>
      </c>
      <c r="J4496">
        <v>0</v>
      </c>
      <c r="K4496">
        <v>0</v>
      </c>
      <c r="L4496">
        <f t="shared" si="140"/>
        <v>5.0999999999999996</v>
      </c>
      <c r="M4496">
        <f t="shared" si="141"/>
        <v>2</v>
      </c>
    </row>
    <row r="4497" spans="1:13" x14ac:dyDescent="0.3">
      <c r="A4497">
        <v>4495</v>
      </c>
      <c r="B4497">
        <v>4496</v>
      </c>
      <c r="C4497" t="s">
        <v>4578</v>
      </c>
      <c r="D4497">
        <v>2017</v>
      </c>
      <c r="E4497" t="s">
        <v>28</v>
      </c>
      <c r="F4497" t="s">
        <v>2084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f t="shared" si="140"/>
        <v>5.0999999999999996</v>
      </c>
      <c r="M4497">
        <f t="shared" si="141"/>
        <v>1</v>
      </c>
    </row>
    <row r="4498" spans="1:13" x14ac:dyDescent="0.3">
      <c r="A4498">
        <v>4496</v>
      </c>
      <c r="B4498">
        <v>4497</v>
      </c>
      <c r="C4498" t="s">
        <v>4579</v>
      </c>
      <c r="D4498">
        <v>2009</v>
      </c>
      <c r="E4498" t="s">
        <v>11</v>
      </c>
      <c r="F4498" t="s">
        <v>2084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f t="shared" si="140"/>
        <v>5.0999999999999996</v>
      </c>
      <c r="M4498">
        <f t="shared" si="141"/>
        <v>1</v>
      </c>
    </row>
    <row r="4499" spans="1:13" x14ac:dyDescent="0.3">
      <c r="A4499">
        <v>4497</v>
      </c>
      <c r="B4499">
        <v>4498</v>
      </c>
      <c r="C4499" t="s">
        <v>4580</v>
      </c>
      <c r="D4499">
        <v>2016</v>
      </c>
      <c r="E4499" t="s">
        <v>11</v>
      </c>
      <c r="F4499" t="s">
        <v>2084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f t="shared" si="140"/>
        <v>5.0999999999999996</v>
      </c>
      <c r="M4499">
        <f t="shared" si="141"/>
        <v>1</v>
      </c>
    </row>
    <row r="4500" spans="1:13" x14ac:dyDescent="0.3">
      <c r="A4500">
        <v>4498</v>
      </c>
      <c r="B4500">
        <v>4499</v>
      </c>
      <c r="C4500" t="s">
        <v>4581</v>
      </c>
      <c r="D4500">
        <v>2018</v>
      </c>
      <c r="F4500" t="s">
        <v>2084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f t="shared" si="140"/>
        <v>5.0999999999999996</v>
      </c>
      <c r="M4500">
        <f t="shared" si="141"/>
        <v>1</v>
      </c>
    </row>
    <row r="4501" spans="1:13" x14ac:dyDescent="0.3">
      <c r="A4501">
        <v>4499</v>
      </c>
      <c r="B4501">
        <v>4500</v>
      </c>
      <c r="C4501" t="s">
        <v>4582</v>
      </c>
      <c r="D4501">
        <v>2017</v>
      </c>
      <c r="E4501" t="s">
        <v>14</v>
      </c>
      <c r="F4501" t="s">
        <v>2084</v>
      </c>
      <c r="G4501">
        <v>0</v>
      </c>
      <c r="H4501">
        <v>1</v>
      </c>
      <c r="I4501">
        <v>0</v>
      </c>
      <c r="J4501">
        <v>0</v>
      </c>
      <c r="K4501">
        <v>0</v>
      </c>
      <c r="L4501">
        <f t="shared" si="140"/>
        <v>5.0999999999999996</v>
      </c>
      <c r="M4501">
        <f t="shared" si="141"/>
        <v>1</v>
      </c>
    </row>
    <row r="4502" spans="1:13" x14ac:dyDescent="0.3">
      <c r="A4502">
        <v>4500</v>
      </c>
      <c r="B4502">
        <v>4501</v>
      </c>
      <c r="C4502" t="s">
        <v>4583</v>
      </c>
      <c r="D4502">
        <v>2020</v>
      </c>
      <c r="F4502" t="s">
        <v>2084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f t="shared" si="140"/>
        <v>5.0999999999999996</v>
      </c>
      <c r="M4502">
        <f t="shared" si="141"/>
        <v>1</v>
      </c>
    </row>
    <row r="4503" spans="1:13" x14ac:dyDescent="0.3">
      <c r="A4503">
        <v>4501</v>
      </c>
      <c r="B4503">
        <v>4502</v>
      </c>
      <c r="C4503" t="s">
        <v>4584</v>
      </c>
      <c r="D4503">
        <v>2012</v>
      </c>
      <c r="E4503" t="s">
        <v>11</v>
      </c>
      <c r="F4503" t="s">
        <v>2195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f t="shared" si="140"/>
        <v>5</v>
      </c>
      <c r="M4503">
        <f t="shared" si="141"/>
        <v>1</v>
      </c>
    </row>
    <row r="4504" spans="1:13" x14ac:dyDescent="0.3">
      <c r="A4504">
        <v>4502</v>
      </c>
      <c r="B4504">
        <v>4503</v>
      </c>
      <c r="C4504" t="s">
        <v>4585</v>
      </c>
      <c r="D4504">
        <v>2019</v>
      </c>
      <c r="E4504" t="s">
        <v>11</v>
      </c>
      <c r="F4504" t="s">
        <v>2195</v>
      </c>
      <c r="G4504">
        <v>0</v>
      </c>
      <c r="H4504">
        <v>1</v>
      </c>
      <c r="I4504">
        <v>0</v>
      </c>
      <c r="J4504">
        <v>0</v>
      </c>
      <c r="K4504">
        <v>0</v>
      </c>
      <c r="L4504">
        <f t="shared" si="140"/>
        <v>5</v>
      </c>
      <c r="M4504">
        <f t="shared" si="141"/>
        <v>1</v>
      </c>
    </row>
    <row r="4505" spans="1:13" x14ac:dyDescent="0.3">
      <c r="A4505">
        <v>4503</v>
      </c>
      <c r="B4505">
        <v>4504</v>
      </c>
      <c r="C4505" t="s">
        <v>4586</v>
      </c>
      <c r="D4505">
        <v>2016</v>
      </c>
      <c r="E4505" t="s">
        <v>11</v>
      </c>
      <c r="F4505" t="s">
        <v>2195</v>
      </c>
      <c r="G4505">
        <v>0</v>
      </c>
      <c r="H4505">
        <v>1</v>
      </c>
      <c r="I4505">
        <v>0</v>
      </c>
      <c r="J4505">
        <v>0</v>
      </c>
      <c r="K4505">
        <v>0</v>
      </c>
      <c r="L4505">
        <f t="shared" si="140"/>
        <v>5</v>
      </c>
      <c r="M4505">
        <f t="shared" si="141"/>
        <v>1</v>
      </c>
    </row>
    <row r="4506" spans="1:13" x14ac:dyDescent="0.3">
      <c r="A4506">
        <v>4504</v>
      </c>
      <c r="B4506">
        <v>4505</v>
      </c>
      <c r="C4506" t="s">
        <v>4587</v>
      </c>
      <c r="D4506">
        <v>2018</v>
      </c>
      <c r="E4506" t="s">
        <v>36</v>
      </c>
      <c r="F4506" t="s">
        <v>2195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f t="shared" si="140"/>
        <v>5</v>
      </c>
      <c r="M4506">
        <f t="shared" si="141"/>
        <v>1</v>
      </c>
    </row>
    <row r="4507" spans="1:13" x14ac:dyDescent="0.3">
      <c r="A4507">
        <v>4505</v>
      </c>
      <c r="B4507">
        <v>4506</v>
      </c>
      <c r="C4507" t="s">
        <v>4588</v>
      </c>
      <c r="D4507">
        <v>2018</v>
      </c>
      <c r="F4507" t="s">
        <v>2195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f t="shared" si="140"/>
        <v>5</v>
      </c>
      <c r="M4507">
        <f t="shared" si="141"/>
        <v>1</v>
      </c>
    </row>
    <row r="4508" spans="1:13" x14ac:dyDescent="0.3">
      <c r="A4508">
        <v>4506</v>
      </c>
      <c r="B4508">
        <v>4507</v>
      </c>
      <c r="C4508" t="s">
        <v>4589</v>
      </c>
      <c r="D4508">
        <v>2018</v>
      </c>
      <c r="E4508" t="s">
        <v>11</v>
      </c>
      <c r="F4508" t="s">
        <v>2195</v>
      </c>
      <c r="G4508">
        <v>0</v>
      </c>
      <c r="H4508">
        <v>1</v>
      </c>
      <c r="I4508">
        <v>1</v>
      </c>
      <c r="J4508">
        <v>0</v>
      </c>
      <c r="K4508">
        <v>0</v>
      </c>
      <c r="L4508">
        <f t="shared" si="140"/>
        <v>5</v>
      </c>
      <c r="M4508">
        <f t="shared" si="141"/>
        <v>2</v>
      </c>
    </row>
    <row r="4509" spans="1:13" x14ac:dyDescent="0.3">
      <c r="A4509">
        <v>4507</v>
      </c>
      <c r="B4509">
        <v>4508</v>
      </c>
      <c r="C4509" t="s">
        <v>4590</v>
      </c>
      <c r="D4509">
        <v>2013</v>
      </c>
      <c r="F4509" t="s">
        <v>2195</v>
      </c>
      <c r="G4509">
        <v>0</v>
      </c>
      <c r="H4509">
        <v>1</v>
      </c>
      <c r="I4509">
        <v>1</v>
      </c>
      <c r="J4509">
        <v>0</v>
      </c>
      <c r="K4509">
        <v>0</v>
      </c>
      <c r="L4509">
        <f t="shared" si="140"/>
        <v>5</v>
      </c>
      <c r="M4509">
        <f t="shared" si="141"/>
        <v>2</v>
      </c>
    </row>
    <row r="4510" spans="1:13" x14ac:dyDescent="0.3">
      <c r="A4510">
        <v>4508</v>
      </c>
      <c r="B4510">
        <v>4509</v>
      </c>
      <c r="C4510" t="s">
        <v>4591</v>
      </c>
      <c r="D4510">
        <v>2017</v>
      </c>
      <c r="F4510" t="s">
        <v>2195</v>
      </c>
      <c r="G4510">
        <v>0</v>
      </c>
      <c r="H4510">
        <v>1</v>
      </c>
      <c r="I4510">
        <v>0</v>
      </c>
      <c r="J4510">
        <v>0</v>
      </c>
      <c r="K4510">
        <v>0</v>
      </c>
      <c r="L4510">
        <f t="shared" si="140"/>
        <v>5</v>
      </c>
      <c r="M4510">
        <f t="shared" si="141"/>
        <v>1</v>
      </c>
    </row>
    <row r="4511" spans="1:13" x14ac:dyDescent="0.3">
      <c r="A4511">
        <v>4509</v>
      </c>
      <c r="B4511">
        <v>4510</v>
      </c>
      <c r="C4511" t="s">
        <v>4592</v>
      </c>
      <c r="D4511">
        <v>1997</v>
      </c>
      <c r="E4511" t="s">
        <v>11</v>
      </c>
      <c r="F4511" t="s">
        <v>2195</v>
      </c>
      <c r="G4511">
        <v>0</v>
      </c>
      <c r="H4511">
        <v>1</v>
      </c>
      <c r="I4511">
        <v>0</v>
      </c>
      <c r="J4511">
        <v>0</v>
      </c>
      <c r="K4511">
        <v>0</v>
      </c>
      <c r="L4511">
        <f t="shared" si="140"/>
        <v>5</v>
      </c>
      <c r="M4511">
        <f t="shared" si="141"/>
        <v>1</v>
      </c>
    </row>
    <row r="4512" spans="1:13" x14ac:dyDescent="0.3">
      <c r="A4512">
        <v>4510</v>
      </c>
      <c r="B4512">
        <v>4511</v>
      </c>
      <c r="C4512" t="s">
        <v>4593</v>
      </c>
      <c r="D4512">
        <v>2019</v>
      </c>
      <c r="E4512" t="s">
        <v>36</v>
      </c>
      <c r="F4512" t="s">
        <v>2195</v>
      </c>
      <c r="G4512">
        <v>0</v>
      </c>
      <c r="H4512">
        <v>1</v>
      </c>
      <c r="I4512">
        <v>0</v>
      </c>
      <c r="J4512">
        <v>0</v>
      </c>
      <c r="K4512">
        <v>0</v>
      </c>
      <c r="L4512">
        <f t="shared" si="140"/>
        <v>5</v>
      </c>
      <c r="M4512">
        <f t="shared" si="141"/>
        <v>1</v>
      </c>
    </row>
    <row r="4513" spans="1:13" x14ac:dyDescent="0.3">
      <c r="A4513">
        <v>4511</v>
      </c>
      <c r="B4513">
        <v>4512</v>
      </c>
      <c r="C4513" t="s">
        <v>4594</v>
      </c>
      <c r="D4513">
        <v>2016</v>
      </c>
      <c r="E4513" t="s">
        <v>22</v>
      </c>
      <c r="F4513" t="s">
        <v>2195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f t="shared" si="140"/>
        <v>5</v>
      </c>
      <c r="M4513">
        <f t="shared" si="141"/>
        <v>1</v>
      </c>
    </row>
    <row r="4514" spans="1:13" x14ac:dyDescent="0.3">
      <c r="A4514">
        <v>4512</v>
      </c>
      <c r="B4514">
        <v>4513</v>
      </c>
      <c r="C4514" t="s">
        <v>4595</v>
      </c>
      <c r="D4514">
        <v>2019</v>
      </c>
      <c r="F4514" t="s">
        <v>2195</v>
      </c>
      <c r="G4514">
        <v>0</v>
      </c>
      <c r="H4514">
        <v>1</v>
      </c>
      <c r="I4514">
        <v>0</v>
      </c>
      <c r="J4514">
        <v>1</v>
      </c>
      <c r="K4514">
        <v>0</v>
      </c>
      <c r="L4514">
        <f t="shared" si="140"/>
        <v>5</v>
      </c>
      <c r="M4514">
        <f t="shared" si="141"/>
        <v>2</v>
      </c>
    </row>
    <row r="4515" spans="1:13" x14ac:dyDescent="0.3">
      <c r="A4515">
        <v>4513</v>
      </c>
      <c r="B4515">
        <v>4514</v>
      </c>
      <c r="C4515" t="s">
        <v>4596</v>
      </c>
      <c r="D4515">
        <v>2014</v>
      </c>
      <c r="E4515" t="s">
        <v>14</v>
      </c>
      <c r="F4515" t="s">
        <v>2195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f t="shared" si="140"/>
        <v>5</v>
      </c>
      <c r="M4515">
        <f t="shared" si="141"/>
        <v>1</v>
      </c>
    </row>
    <row r="4516" spans="1:13" x14ac:dyDescent="0.3">
      <c r="A4516">
        <v>4514</v>
      </c>
      <c r="B4516">
        <v>4515</v>
      </c>
      <c r="C4516" t="s">
        <v>4597</v>
      </c>
      <c r="D4516">
        <v>2018</v>
      </c>
      <c r="F4516" t="s">
        <v>2195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f t="shared" si="140"/>
        <v>5</v>
      </c>
      <c r="M4516">
        <f t="shared" si="141"/>
        <v>1</v>
      </c>
    </row>
    <row r="4517" spans="1:13" x14ac:dyDescent="0.3">
      <c r="A4517">
        <v>4515</v>
      </c>
      <c r="B4517">
        <v>4516</v>
      </c>
      <c r="C4517" t="s">
        <v>4598</v>
      </c>
      <c r="D4517">
        <v>2019</v>
      </c>
      <c r="F4517" t="s">
        <v>2195</v>
      </c>
      <c r="G4517">
        <v>0</v>
      </c>
      <c r="H4517">
        <v>1</v>
      </c>
      <c r="I4517">
        <v>0</v>
      </c>
      <c r="J4517">
        <v>0</v>
      </c>
      <c r="K4517">
        <v>0</v>
      </c>
      <c r="L4517">
        <f t="shared" si="140"/>
        <v>5</v>
      </c>
      <c r="M4517">
        <f t="shared" si="141"/>
        <v>1</v>
      </c>
    </row>
    <row r="4518" spans="1:13" x14ac:dyDescent="0.3">
      <c r="A4518">
        <v>4516</v>
      </c>
      <c r="B4518">
        <v>4517</v>
      </c>
      <c r="C4518" t="s">
        <v>4599</v>
      </c>
      <c r="D4518">
        <v>2019</v>
      </c>
      <c r="F4518" t="s">
        <v>2195</v>
      </c>
      <c r="G4518">
        <v>0</v>
      </c>
      <c r="H4518">
        <v>1</v>
      </c>
      <c r="I4518">
        <v>1</v>
      </c>
      <c r="J4518">
        <v>0</v>
      </c>
      <c r="K4518">
        <v>0</v>
      </c>
      <c r="L4518">
        <f t="shared" si="140"/>
        <v>5</v>
      </c>
      <c r="M4518">
        <f t="shared" si="141"/>
        <v>2</v>
      </c>
    </row>
    <row r="4519" spans="1:13" x14ac:dyDescent="0.3">
      <c r="A4519">
        <v>4517</v>
      </c>
      <c r="B4519">
        <v>4518</v>
      </c>
      <c r="C4519" t="s">
        <v>4600</v>
      </c>
      <c r="D4519">
        <v>2012</v>
      </c>
      <c r="E4519" t="s">
        <v>11</v>
      </c>
      <c r="F4519" t="s">
        <v>2195</v>
      </c>
      <c r="G4519">
        <v>0</v>
      </c>
      <c r="H4519">
        <v>1</v>
      </c>
      <c r="I4519">
        <v>1</v>
      </c>
      <c r="J4519">
        <v>0</v>
      </c>
      <c r="K4519">
        <v>0</v>
      </c>
      <c r="L4519">
        <f t="shared" si="140"/>
        <v>5</v>
      </c>
      <c r="M4519">
        <f t="shared" si="141"/>
        <v>2</v>
      </c>
    </row>
    <row r="4520" spans="1:13" x14ac:dyDescent="0.3">
      <c r="A4520">
        <v>4518</v>
      </c>
      <c r="B4520">
        <v>4519</v>
      </c>
      <c r="C4520" t="s">
        <v>4601</v>
      </c>
      <c r="D4520">
        <v>2013</v>
      </c>
      <c r="F4520" t="s">
        <v>2195</v>
      </c>
      <c r="G4520">
        <v>0</v>
      </c>
      <c r="H4520">
        <v>1</v>
      </c>
      <c r="I4520">
        <v>0</v>
      </c>
      <c r="J4520">
        <v>0</v>
      </c>
      <c r="K4520">
        <v>0</v>
      </c>
      <c r="L4520">
        <f t="shared" si="140"/>
        <v>5</v>
      </c>
      <c r="M4520">
        <f t="shared" si="141"/>
        <v>1</v>
      </c>
    </row>
    <row r="4521" spans="1:13" x14ac:dyDescent="0.3">
      <c r="A4521">
        <v>4519</v>
      </c>
      <c r="B4521">
        <v>4520</v>
      </c>
      <c r="C4521" t="s">
        <v>4602</v>
      </c>
      <c r="D4521">
        <v>2020</v>
      </c>
      <c r="F4521" t="s">
        <v>2195</v>
      </c>
      <c r="G4521">
        <v>0</v>
      </c>
      <c r="H4521">
        <v>1</v>
      </c>
      <c r="I4521">
        <v>0</v>
      </c>
      <c r="J4521">
        <v>0</v>
      </c>
      <c r="K4521">
        <v>0</v>
      </c>
      <c r="L4521">
        <f t="shared" si="140"/>
        <v>5</v>
      </c>
      <c r="M4521">
        <f t="shared" si="141"/>
        <v>1</v>
      </c>
    </row>
    <row r="4522" spans="1:13" x14ac:dyDescent="0.3">
      <c r="A4522">
        <v>4520</v>
      </c>
      <c r="B4522">
        <v>4521</v>
      </c>
      <c r="C4522" t="s">
        <v>4603</v>
      </c>
      <c r="D4522">
        <v>2019</v>
      </c>
      <c r="F4522" t="s">
        <v>2195</v>
      </c>
      <c r="G4522">
        <v>0</v>
      </c>
      <c r="H4522">
        <v>1</v>
      </c>
      <c r="I4522">
        <v>0</v>
      </c>
      <c r="J4522">
        <v>0</v>
      </c>
      <c r="K4522">
        <v>0</v>
      </c>
      <c r="L4522">
        <f t="shared" si="140"/>
        <v>5</v>
      </c>
      <c r="M4522">
        <f t="shared" si="141"/>
        <v>1</v>
      </c>
    </row>
    <row r="4523" spans="1:13" x14ac:dyDescent="0.3">
      <c r="A4523">
        <v>4521</v>
      </c>
      <c r="B4523">
        <v>4522</v>
      </c>
      <c r="C4523" t="s">
        <v>4604</v>
      </c>
      <c r="D4523">
        <v>2009</v>
      </c>
      <c r="E4523" t="s">
        <v>36</v>
      </c>
      <c r="F4523" t="s">
        <v>2195</v>
      </c>
      <c r="G4523">
        <v>0</v>
      </c>
      <c r="H4523">
        <v>1</v>
      </c>
      <c r="I4523">
        <v>0</v>
      </c>
      <c r="J4523">
        <v>0</v>
      </c>
      <c r="K4523">
        <v>0</v>
      </c>
      <c r="L4523">
        <f t="shared" si="140"/>
        <v>5</v>
      </c>
      <c r="M4523">
        <f t="shared" si="141"/>
        <v>1</v>
      </c>
    </row>
    <row r="4524" spans="1:13" x14ac:dyDescent="0.3">
      <c r="A4524">
        <v>4522</v>
      </c>
      <c r="B4524">
        <v>4523</v>
      </c>
      <c r="C4524" t="s">
        <v>4605</v>
      </c>
      <c r="D4524">
        <v>2018</v>
      </c>
      <c r="E4524" t="s">
        <v>22</v>
      </c>
      <c r="F4524" t="s">
        <v>2195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f t="shared" si="140"/>
        <v>5</v>
      </c>
      <c r="M4524">
        <f t="shared" si="141"/>
        <v>1</v>
      </c>
    </row>
    <row r="4525" spans="1:13" x14ac:dyDescent="0.3">
      <c r="A4525">
        <v>4523</v>
      </c>
      <c r="B4525">
        <v>4524</v>
      </c>
      <c r="C4525" t="s">
        <v>4606</v>
      </c>
      <c r="D4525">
        <v>2016</v>
      </c>
      <c r="F4525" t="s">
        <v>2195</v>
      </c>
      <c r="G4525">
        <v>0</v>
      </c>
      <c r="H4525">
        <v>1</v>
      </c>
      <c r="I4525">
        <v>0</v>
      </c>
      <c r="J4525">
        <v>0</v>
      </c>
      <c r="K4525">
        <v>0</v>
      </c>
      <c r="L4525">
        <f t="shared" si="140"/>
        <v>5</v>
      </c>
      <c r="M4525">
        <f t="shared" si="141"/>
        <v>1</v>
      </c>
    </row>
    <row r="4526" spans="1:13" x14ac:dyDescent="0.3">
      <c r="A4526">
        <v>4524</v>
      </c>
      <c r="B4526">
        <v>4525</v>
      </c>
      <c r="C4526" t="s">
        <v>4607</v>
      </c>
      <c r="D4526">
        <v>2018</v>
      </c>
      <c r="E4526" t="s">
        <v>11</v>
      </c>
      <c r="F4526" t="s">
        <v>2195</v>
      </c>
      <c r="G4526">
        <v>0</v>
      </c>
      <c r="H4526">
        <v>1</v>
      </c>
      <c r="I4526">
        <v>0</v>
      </c>
      <c r="J4526">
        <v>0</v>
      </c>
      <c r="K4526">
        <v>0</v>
      </c>
      <c r="L4526">
        <f t="shared" si="140"/>
        <v>5</v>
      </c>
      <c r="M4526">
        <f t="shared" si="141"/>
        <v>1</v>
      </c>
    </row>
    <row r="4527" spans="1:13" x14ac:dyDescent="0.3">
      <c r="A4527">
        <v>4525</v>
      </c>
      <c r="B4527">
        <v>4526</v>
      </c>
      <c r="C4527" t="s">
        <v>4608</v>
      </c>
      <c r="D4527">
        <v>2018</v>
      </c>
      <c r="E4527" t="s">
        <v>11</v>
      </c>
      <c r="F4527" t="s">
        <v>2315</v>
      </c>
      <c r="G4527">
        <v>0</v>
      </c>
      <c r="H4527">
        <v>1</v>
      </c>
      <c r="I4527">
        <v>1</v>
      </c>
      <c r="J4527">
        <v>0</v>
      </c>
      <c r="K4527">
        <v>0</v>
      </c>
      <c r="L4527">
        <f t="shared" si="140"/>
        <v>4.9000000000000004</v>
      </c>
      <c r="M4527">
        <f t="shared" si="141"/>
        <v>2</v>
      </c>
    </row>
    <row r="4528" spans="1:13" x14ac:dyDescent="0.3">
      <c r="A4528">
        <v>4526</v>
      </c>
      <c r="B4528">
        <v>4527</v>
      </c>
      <c r="C4528" t="s">
        <v>4609</v>
      </c>
      <c r="D4528">
        <v>1998</v>
      </c>
      <c r="F4528" t="s">
        <v>2315</v>
      </c>
      <c r="G4528">
        <v>0</v>
      </c>
      <c r="H4528">
        <v>1</v>
      </c>
      <c r="I4528">
        <v>0</v>
      </c>
      <c r="J4528">
        <v>0</v>
      </c>
      <c r="K4528">
        <v>0</v>
      </c>
      <c r="L4528">
        <f t="shared" si="140"/>
        <v>4.9000000000000004</v>
      </c>
      <c r="M4528">
        <f t="shared" si="141"/>
        <v>1</v>
      </c>
    </row>
    <row r="4529" spans="1:13" x14ac:dyDescent="0.3">
      <c r="A4529">
        <v>4527</v>
      </c>
      <c r="B4529">
        <v>4528</v>
      </c>
      <c r="C4529" t="s">
        <v>4610</v>
      </c>
      <c r="D4529">
        <v>2018</v>
      </c>
      <c r="F4529" t="s">
        <v>2315</v>
      </c>
      <c r="G4529">
        <v>0</v>
      </c>
      <c r="H4529">
        <v>1</v>
      </c>
      <c r="I4529">
        <v>0</v>
      </c>
      <c r="J4529">
        <v>0</v>
      </c>
      <c r="K4529">
        <v>0</v>
      </c>
      <c r="L4529">
        <f t="shared" si="140"/>
        <v>4.9000000000000004</v>
      </c>
      <c r="M4529">
        <f t="shared" si="141"/>
        <v>1</v>
      </c>
    </row>
    <row r="4530" spans="1:13" x14ac:dyDescent="0.3">
      <c r="A4530">
        <v>4528</v>
      </c>
      <c r="B4530">
        <v>4529</v>
      </c>
      <c r="C4530" t="s">
        <v>4611</v>
      </c>
      <c r="D4530">
        <v>2014</v>
      </c>
      <c r="E4530" t="s">
        <v>14</v>
      </c>
      <c r="F4530" t="s">
        <v>2315</v>
      </c>
      <c r="G4530">
        <v>0</v>
      </c>
      <c r="H4530">
        <v>1</v>
      </c>
      <c r="I4530">
        <v>1</v>
      </c>
      <c r="J4530">
        <v>0</v>
      </c>
      <c r="K4530">
        <v>0</v>
      </c>
      <c r="L4530">
        <f t="shared" si="140"/>
        <v>4.9000000000000004</v>
      </c>
      <c r="M4530">
        <f t="shared" si="141"/>
        <v>2</v>
      </c>
    </row>
    <row r="4531" spans="1:13" x14ac:dyDescent="0.3">
      <c r="A4531">
        <v>4529</v>
      </c>
      <c r="B4531">
        <v>4530</v>
      </c>
      <c r="C4531" t="s">
        <v>4612</v>
      </c>
      <c r="D4531">
        <v>2018</v>
      </c>
      <c r="F4531" t="s">
        <v>2315</v>
      </c>
      <c r="G4531">
        <v>0</v>
      </c>
      <c r="H4531">
        <v>1</v>
      </c>
      <c r="I4531">
        <v>0</v>
      </c>
      <c r="J4531">
        <v>0</v>
      </c>
      <c r="K4531">
        <v>0</v>
      </c>
      <c r="L4531">
        <f t="shared" si="140"/>
        <v>4.9000000000000004</v>
      </c>
      <c r="M4531">
        <f t="shared" si="141"/>
        <v>1</v>
      </c>
    </row>
    <row r="4532" spans="1:13" x14ac:dyDescent="0.3">
      <c r="A4532">
        <v>4530</v>
      </c>
      <c r="B4532">
        <v>4531</v>
      </c>
      <c r="C4532" t="s">
        <v>4613</v>
      </c>
      <c r="D4532">
        <v>2019</v>
      </c>
      <c r="F4532" t="s">
        <v>2315</v>
      </c>
      <c r="G4532">
        <v>0</v>
      </c>
      <c r="H4532">
        <v>1</v>
      </c>
      <c r="I4532">
        <v>0</v>
      </c>
      <c r="J4532">
        <v>0</v>
      </c>
      <c r="K4532">
        <v>0</v>
      </c>
      <c r="L4532">
        <f t="shared" si="140"/>
        <v>4.9000000000000004</v>
      </c>
      <c r="M4532">
        <f t="shared" si="141"/>
        <v>1</v>
      </c>
    </row>
    <row r="4533" spans="1:13" x14ac:dyDescent="0.3">
      <c r="A4533">
        <v>4531</v>
      </c>
      <c r="B4533">
        <v>4532</v>
      </c>
      <c r="C4533" t="s">
        <v>4614</v>
      </c>
      <c r="D4533">
        <v>2015</v>
      </c>
      <c r="F4533" t="s">
        <v>2315</v>
      </c>
      <c r="G4533">
        <v>0</v>
      </c>
      <c r="H4533">
        <v>1</v>
      </c>
      <c r="I4533">
        <v>0</v>
      </c>
      <c r="J4533">
        <v>0</v>
      </c>
      <c r="K4533">
        <v>0</v>
      </c>
      <c r="L4533">
        <f t="shared" si="140"/>
        <v>4.9000000000000004</v>
      </c>
      <c r="M4533">
        <f t="shared" si="141"/>
        <v>1</v>
      </c>
    </row>
    <row r="4534" spans="1:13" x14ac:dyDescent="0.3">
      <c r="A4534">
        <v>4532</v>
      </c>
      <c r="B4534">
        <v>4533</v>
      </c>
      <c r="C4534" t="s">
        <v>4615</v>
      </c>
      <c r="D4534">
        <v>2015</v>
      </c>
      <c r="F4534" t="s">
        <v>2315</v>
      </c>
      <c r="G4534">
        <v>0</v>
      </c>
      <c r="H4534">
        <v>1</v>
      </c>
      <c r="I4534">
        <v>0</v>
      </c>
      <c r="J4534">
        <v>0</v>
      </c>
      <c r="K4534">
        <v>0</v>
      </c>
      <c r="L4534">
        <f t="shared" si="140"/>
        <v>4.9000000000000004</v>
      </c>
      <c r="M4534">
        <f t="shared" si="141"/>
        <v>1</v>
      </c>
    </row>
    <row r="4535" spans="1:13" x14ac:dyDescent="0.3">
      <c r="A4535">
        <v>4533</v>
      </c>
      <c r="B4535">
        <v>4534</v>
      </c>
      <c r="C4535" t="s">
        <v>4616</v>
      </c>
      <c r="D4535">
        <v>2018</v>
      </c>
      <c r="F4535" t="s">
        <v>2315</v>
      </c>
      <c r="G4535">
        <v>0</v>
      </c>
      <c r="H4535">
        <v>1</v>
      </c>
      <c r="I4535">
        <v>0</v>
      </c>
      <c r="J4535">
        <v>0</v>
      </c>
      <c r="K4535">
        <v>0</v>
      </c>
      <c r="L4535">
        <f t="shared" si="140"/>
        <v>4.9000000000000004</v>
      </c>
      <c r="M4535">
        <f t="shared" si="141"/>
        <v>1</v>
      </c>
    </row>
    <row r="4536" spans="1:13" x14ac:dyDescent="0.3">
      <c r="A4536">
        <v>4534</v>
      </c>
      <c r="B4536">
        <v>4535</v>
      </c>
      <c r="C4536" t="s">
        <v>4617</v>
      </c>
      <c r="D4536">
        <v>2003</v>
      </c>
      <c r="E4536" t="s">
        <v>11</v>
      </c>
      <c r="F4536" t="s">
        <v>2315</v>
      </c>
      <c r="G4536">
        <v>0</v>
      </c>
      <c r="H4536">
        <v>1</v>
      </c>
      <c r="I4536">
        <v>0</v>
      </c>
      <c r="J4536">
        <v>0</v>
      </c>
      <c r="K4536">
        <v>0</v>
      </c>
      <c r="L4536">
        <f t="shared" si="140"/>
        <v>4.9000000000000004</v>
      </c>
      <c r="M4536">
        <f t="shared" si="141"/>
        <v>1</v>
      </c>
    </row>
    <row r="4537" spans="1:13" x14ac:dyDescent="0.3">
      <c r="A4537">
        <v>4535</v>
      </c>
      <c r="B4537">
        <v>4536</v>
      </c>
      <c r="C4537" t="s">
        <v>4618</v>
      </c>
      <c r="D4537">
        <v>2020</v>
      </c>
      <c r="F4537" t="s">
        <v>2315</v>
      </c>
      <c r="G4537">
        <v>0</v>
      </c>
      <c r="H4537">
        <v>1</v>
      </c>
      <c r="I4537">
        <v>0</v>
      </c>
      <c r="J4537">
        <v>0</v>
      </c>
      <c r="K4537">
        <v>0</v>
      </c>
      <c r="L4537">
        <f t="shared" si="140"/>
        <v>4.9000000000000004</v>
      </c>
      <c r="M4537">
        <f t="shared" si="141"/>
        <v>1</v>
      </c>
    </row>
    <row r="4538" spans="1:13" x14ac:dyDescent="0.3">
      <c r="A4538">
        <v>4536</v>
      </c>
      <c r="B4538">
        <v>4537</v>
      </c>
      <c r="C4538" t="s">
        <v>4619</v>
      </c>
      <c r="D4538">
        <v>2020</v>
      </c>
      <c r="F4538" t="s">
        <v>2315</v>
      </c>
      <c r="G4538">
        <v>0</v>
      </c>
      <c r="H4538">
        <v>1</v>
      </c>
      <c r="I4538">
        <v>0</v>
      </c>
      <c r="J4538">
        <v>0</v>
      </c>
      <c r="K4538">
        <v>0</v>
      </c>
      <c r="L4538">
        <f t="shared" si="140"/>
        <v>4.9000000000000004</v>
      </c>
      <c r="M4538">
        <f t="shared" si="141"/>
        <v>1</v>
      </c>
    </row>
    <row r="4539" spans="1:13" x14ac:dyDescent="0.3">
      <c r="A4539">
        <v>4537</v>
      </c>
      <c r="B4539">
        <v>4538</v>
      </c>
      <c r="C4539" t="s">
        <v>4620</v>
      </c>
      <c r="D4539">
        <v>2017</v>
      </c>
      <c r="F4539" t="s">
        <v>2315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f t="shared" si="140"/>
        <v>4.9000000000000004</v>
      </c>
      <c r="M4539">
        <f t="shared" si="141"/>
        <v>1</v>
      </c>
    </row>
    <row r="4540" spans="1:13" x14ac:dyDescent="0.3">
      <c r="A4540">
        <v>4538</v>
      </c>
      <c r="B4540">
        <v>4539</v>
      </c>
      <c r="C4540" t="s">
        <v>4621</v>
      </c>
      <c r="D4540">
        <v>2018</v>
      </c>
      <c r="F4540" t="s">
        <v>2315</v>
      </c>
      <c r="G4540">
        <v>0</v>
      </c>
      <c r="H4540">
        <v>1</v>
      </c>
      <c r="I4540">
        <v>0</v>
      </c>
      <c r="J4540">
        <v>0</v>
      </c>
      <c r="K4540">
        <v>0</v>
      </c>
      <c r="L4540">
        <f t="shared" si="140"/>
        <v>4.9000000000000004</v>
      </c>
      <c r="M4540">
        <f t="shared" si="141"/>
        <v>1</v>
      </c>
    </row>
    <row r="4541" spans="1:13" x14ac:dyDescent="0.3">
      <c r="A4541">
        <v>4539</v>
      </c>
      <c r="B4541">
        <v>4540</v>
      </c>
      <c r="C4541" t="s">
        <v>4622</v>
      </c>
      <c r="D4541">
        <v>2008</v>
      </c>
      <c r="E4541" t="s">
        <v>11</v>
      </c>
      <c r="F4541" t="s">
        <v>2315</v>
      </c>
      <c r="G4541">
        <v>0</v>
      </c>
      <c r="H4541">
        <v>1</v>
      </c>
      <c r="I4541">
        <v>0</v>
      </c>
      <c r="J4541">
        <v>0</v>
      </c>
      <c r="K4541">
        <v>0</v>
      </c>
      <c r="L4541">
        <f t="shared" si="140"/>
        <v>4.9000000000000004</v>
      </c>
      <c r="M4541">
        <f t="shared" si="141"/>
        <v>1</v>
      </c>
    </row>
    <row r="4542" spans="1:13" x14ac:dyDescent="0.3">
      <c r="A4542">
        <v>4540</v>
      </c>
      <c r="B4542">
        <v>4541</v>
      </c>
      <c r="C4542" t="s">
        <v>4623</v>
      </c>
      <c r="D4542">
        <v>2017</v>
      </c>
      <c r="F4542" t="s">
        <v>2315</v>
      </c>
      <c r="G4542">
        <v>0</v>
      </c>
      <c r="H4542">
        <v>1</v>
      </c>
      <c r="I4542">
        <v>1</v>
      </c>
      <c r="J4542">
        <v>0</v>
      </c>
      <c r="K4542">
        <v>0</v>
      </c>
      <c r="L4542">
        <f t="shared" si="140"/>
        <v>4.9000000000000004</v>
      </c>
      <c r="M4542">
        <f t="shared" si="141"/>
        <v>2</v>
      </c>
    </row>
    <row r="4543" spans="1:13" x14ac:dyDescent="0.3">
      <c r="A4543">
        <v>4541</v>
      </c>
      <c r="B4543">
        <v>4542</v>
      </c>
      <c r="C4543" t="s">
        <v>4624</v>
      </c>
      <c r="D4543">
        <v>2020</v>
      </c>
      <c r="F4543" t="s">
        <v>2315</v>
      </c>
      <c r="G4543">
        <v>0</v>
      </c>
      <c r="H4543">
        <v>1</v>
      </c>
      <c r="I4543">
        <v>0</v>
      </c>
      <c r="J4543">
        <v>0</v>
      </c>
      <c r="K4543">
        <v>0</v>
      </c>
      <c r="L4543">
        <f t="shared" si="140"/>
        <v>4.9000000000000004</v>
      </c>
      <c r="M4543">
        <f t="shared" si="141"/>
        <v>1</v>
      </c>
    </row>
    <row r="4544" spans="1:13" x14ac:dyDescent="0.3">
      <c r="A4544">
        <v>4542</v>
      </c>
      <c r="B4544">
        <v>4543</v>
      </c>
      <c r="C4544" t="s">
        <v>4625</v>
      </c>
      <c r="D4544">
        <v>2016</v>
      </c>
      <c r="E4544" t="s">
        <v>28</v>
      </c>
      <c r="F4544" t="s">
        <v>2315</v>
      </c>
      <c r="G4544">
        <v>0</v>
      </c>
      <c r="H4544">
        <v>1</v>
      </c>
      <c r="I4544">
        <v>0</v>
      </c>
      <c r="J4544">
        <v>0</v>
      </c>
      <c r="K4544">
        <v>0</v>
      </c>
      <c r="L4544">
        <f t="shared" si="140"/>
        <v>4.9000000000000004</v>
      </c>
      <c r="M4544">
        <f t="shared" si="141"/>
        <v>1</v>
      </c>
    </row>
    <row r="4545" spans="1:13" x14ac:dyDescent="0.3">
      <c r="A4545">
        <v>4543</v>
      </c>
      <c r="B4545">
        <v>4544</v>
      </c>
      <c r="C4545" t="s">
        <v>4626</v>
      </c>
      <c r="D4545">
        <v>1996</v>
      </c>
      <c r="E4545" t="s">
        <v>36</v>
      </c>
      <c r="F4545" t="s">
        <v>2315</v>
      </c>
      <c r="G4545">
        <v>0</v>
      </c>
      <c r="H4545">
        <v>1</v>
      </c>
      <c r="I4545">
        <v>0</v>
      </c>
      <c r="J4545">
        <v>0</v>
      </c>
      <c r="K4545">
        <v>0</v>
      </c>
      <c r="L4545">
        <f t="shared" si="140"/>
        <v>4.9000000000000004</v>
      </c>
      <c r="M4545">
        <f t="shared" si="141"/>
        <v>1</v>
      </c>
    </row>
    <row r="4546" spans="1:13" x14ac:dyDescent="0.3">
      <c r="A4546">
        <v>4544</v>
      </c>
      <c r="B4546">
        <v>4545</v>
      </c>
      <c r="C4546" t="s">
        <v>4627</v>
      </c>
      <c r="D4546">
        <v>2018</v>
      </c>
      <c r="F4546" t="s">
        <v>2315</v>
      </c>
      <c r="G4546">
        <v>0</v>
      </c>
      <c r="H4546">
        <v>1</v>
      </c>
      <c r="I4546">
        <v>0</v>
      </c>
      <c r="J4546">
        <v>0</v>
      </c>
      <c r="K4546">
        <v>0</v>
      </c>
      <c r="L4546">
        <f t="shared" si="140"/>
        <v>4.9000000000000004</v>
      </c>
      <c r="M4546">
        <f t="shared" si="141"/>
        <v>1</v>
      </c>
    </row>
    <row r="4547" spans="1:13" x14ac:dyDescent="0.3">
      <c r="A4547">
        <v>4545</v>
      </c>
      <c r="B4547">
        <v>4546</v>
      </c>
      <c r="C4547" t="s">
        <v>4628</v>
      </c>
      <c r="D4547">
        <v>1953</v>
      </c>
      <c r="F4547" t="s">
        <v>2426</v>
      </c>
      <c r="G4547">
        <v>0</v>
      </c>
      <c r="H4547">
        <v>1</v>
      </c>
      <c r="I4547">
        <v>0</v>
      </c>
      <c r="J4547">
        <v>0</v>
      </c>
      <c r="K4547">
        <v>0</v>
      </c>
      <c r="L4547">
        <f t="shared" ref="L4547:L4610" si="142">IFERROR(VALUE(LEFT(F4547,FIND("/",F4547)-1))/10,"")</f>
        <v>4.8</v>
      </c>
      <c r="M4547">
        <f t="shared" ref="M4547:M4610" si="143">SUM(G4547:J4547)</f>
        <v>1</v>
      </c>
    </row>
    <row r="4548" spans="1:13" x14ac:dyDescent="0.3">
      <c r="A4548">
        <v>4546</v>
      </c>
      <c r="B4548">
        <v>4547</v>
      </c>
      <c r="C4548" t="s">
        <v>4629</v>
      </c>
      <c r="D4548">
        <v>2018</v>
      </c>
      <c r="E4548" t="s">
        <v>14</v>
      </c>
      <c r="F4548" t="s">
        <v>2426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f t="shared" si="142"/>
        <v>4.8</v>
      </c>
      <c r="M4548">
        <f t="shared" si="143"/>
        <v>1</v>
      </c>
    </row>
    <row r="4549" spans="1:13" x14ac:dyDescent="0.3">
      <c r="A4549">
        <v>4547</v>
      </c>
      <c r="B4549">
        <v>4548</v>
      </c>
      <c r="C4549" t="s">
        <v>4630</v>
      </c>
      <c r="D4549">
        <v>2009</v>
      </c>
      <c r="E4549" t="s">
        <v>11</v>
      </c>
      <c r="F4549" t="s">
        <v>2426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f t="shared" si="142"/>
        <v>4.8</v>
      </c>
      <c r="M4549">
        <f t="shared" si="143"/>
        <v>1</v>
      </c>
    </row>
    <row r="4550" spans="1:13" x14ac:dyDescent="0.3">
      <c r="A4550">
        <v>4548</v>
      </c>
      <c r="B4550">
        <v>4549</v>
      </c>
      <c r="C4550" t="s">
        <v>4631</v>
      </c>
      <c r="D4550">
        <v>2019</v>
      </c>
      <c r="E4550" t="s">
        <v>22</v>
      </c>
      <c r="F4550" t="s">
        <v>2426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f t="shared" si="142"/>
        <v>4.8</v>
      </c>
      <c r="M4550">
        <f t="shared" si="143"/>
        <v>1</v>
      </c>
    </row>
    <row r="4551" spans="1:13" x14ac:dyDescent="0.3">
      <c r="A4551">
        <v>4549</v>
      </c>
      <c r="B4551">
        <v>4550</v>
      </c>
      <c r="C4551" t="s">
        <v>4632</v>
      </c>
      <c r="D4551">
        <v>2019</v>
      </c>
      <c r="E4551" t="s">
        <v>11</v>
      </c>
      <c r="F4551" t="s">
        <v>2426</v>
      </c>
      <c r="G4551">
        <v>0</v>
      </c>
      <c r="H4551">
        <v>1</v>
      </c>
      <c r="I4551">
        <v>0</v>
      </c>
      <c r="J4551">
        <v>0</v>
      </c>
      <c r="K4551">
        <v>0</v>
      </c>
      <c r="L4551">
        <f t="shared" si="142"/>
        <v>4.8</v>
      </c>
      <c r="M4551">
        <f t="shared" si="143"/>
        <v>1</v>
      </c>
    </row>
    <row r="4552" spans="1:13" x14ac:dyDescent="0.3">
      <c r="A4552">
        <v>4550</v>
      </c>
      <c r="B4552">
        <v>4551</v>
      </c>
      <c r="C4552" t="s">
        <v>4633</v>
      </c>
      <c r="D4552">
        <v>2020</v>
      </c>
      <c r="F4552" t="s">
        <v>2426</v>
      </c>
      <c r="G4552">
        <v>0</v>
      </c>
      <c r="H4552">
        <v>1</v>
      </c>
      <c r="I4552">
        <v>0</v>
      </c>
      <c r="J4552">
        <v>0</v>
      </c>
      <c r="K4552">
        <v>0</v>
      </c>
      <c r="L4552">
        <f t="shared" si="142"/>
        <v>4.8</v>
      </c>
      <c r="M4552">
        <f t="shared" si="143"/>
        <v>1</v>
      </c>
    </row>
    <row r="4553" spans="1:13" x14ac:dyDescent="0.3">
      <c r="A4553">
        <v>4551</v>
      </c>
      <c r="B4553">
        <v>4552</v>
      </c>
      <c r="C4553" t="s">
        <v>4634</v>
      </c>
      <c r="D4553">
        <v>2020</v>
      </c>
      <c r="F4553" t="s">
        <v>2426</v>
      </c>
      <c r="G4553">
        <v>0</v>
      </c>
      <c r="H4553">
        <v>1</v>
      </c>
      <c r="I4553">
        <v>0</v>
      </c>
      <c r="J4553">
        <v>0</v>
      </c>
      <c r="K4553">
        <v>0</v>
      </c>
      <c r="L4553">
        <f t="shared" si="142"/>
        <v>4.8</v>
      </c>
      <c r="M4553">
        <f t="shared" si="143"/>
        <v>1</v>
      </c>
    </row>
    <row r="4554" spans="1:13" x14ac:dyDescent="0.3">
      <c r="A4554">
        <v>4552</v>
      </c>
      <c r="B4554">
        <v>4553</v>
      </c>
      <c r="C4554" t="s">
        <v>4635</v>
      </c>
      <c r="D4554">
        <v>2019</v>
      </c>
      <c r="E4554" t="s">
        <v>11</v>
      </c>
      <c r="F4554" t="s">
        <v>2426</v>
      </c>
      <c r="G4554">
        <v>0</v>
      </c>
      <c r="H4554">
        <v>1</v>
      </c>
      <c r="I4554">
        <v>0</v>
      </c>
      <c r="J4554">
        <v>0</v>
      </c>
      <c r="K4554">
        <v>0</v>
      </c>
      <c r="L4554">
        <f t="shared" si="142"/>
        <v>4.8</v>
      </c>
      <c r="M4554">
        <f t="shared" si="143"/>
        <v>1</v>
      </c>
    </row>
    <row r="4555" spans="1:13" x14ac:dyDescent="0.3">
      <c r="A4555">
        <v>4553</v>
      </c>
      <c r="B4555">
        <v>4554</v>
      </c>
      <c r="C4555" t="s">
        <v>4636</v>
      </c>
      <c r="D4555">
        <v>2020</v>
      </c>
      <c r="F4555" t="s">
        <v>2426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f t="shared" si="142"/>
        <v>4.8</v>
      </c>
      <c r="M4555">
        <f t="shared" si="143"/>
        <v>1</v>
      </c>
    </row>
    <row r="4556" spans="1:13" x14ac:dyDescent="0.3">
      <c r="A4556">
        <v>4554</v>
      </c>
      <c r="B4556">
        <v>4555</v>
      </c>
      <c r="C4556" t="s">
        <v>4637</v>
      </c>
      <c r="D4556">
        <v>2019</v>
      </c>
      <c r="E4556" t="s">
        <v>28</v>
      </c>
      <c r="F4556" t="s">
        <v>2426</v>
      </c>
      <c r="G4556">
        <v>0</v>
      </c>
      <c r="H4556">
        <v>1</v>
      </c>
      <c r="I4556">
        <v>0</v>
      </c>
      <c r="J4556">
        <v>0</v>
      </c>
      <c r="K4556">
        <v>0</v>
      </c>
      <c r="L4556">
        <f t="shared" si="142"/>
        <v>4.8</v>
      </c>
      <c r="M4556">
        <f t="shared" si="143"/>
        <v>1</v>
      </c>
    </row>
    <row r="4557" spans="1:13" x14ac:dyDescent="0.3">
      <c r="A4557">
        <v>4555</v>
      </c>
      <c r="B4557">
        <v>4556</v>
      </c>
      <c r="C4557" t="s">
        <v>4638</v>
      </c>
      <c r="D4557">
        <v>2016</v>
      </c>
      <c r="F4557" t="s">
        <v>2426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f t="shared" si="142"/>
        <v>4.8</v>
      </c>
      <c r="M4557">
        <f t="shared" si="143"/>
        <v>1</v>
      </c>
    </row>
    <row r="4558" spans="1:13" x14ac:dyDescent="0.3">
      <c r="A4558">
        <v>4556</v>
      </c>
      <c r="B4558">
        <v>4557</v>
      </c>
      <c r="C4558" t="s">
        <v>4639</v>
      </c>
      <c r="D4558">
        <v>2019</v>
      </c>
      <c r="E4558" t="s">
        <v>22</v>
      </c>
      <c r="F4558" t="s">
        <v>2426</v>
      </c>
      <c r="G4558">
        <v>0</v>
      </c>
      <c r="H4558">
        <v>1</v>
      </c>
      <c r="I4558">
        <v>0</v>
      </c>
      <c r="J4558">
        <v>0</v>
      </c>
      <c r="K4558">
        <v>0</v>
      </c>
      <c r="L4558">
        <f t="shared" si="142"/>
        <v>4.8</v>
      </c>
      <c r="M4558">
        <f t="shared" si="143"/>
        <v>1</v>
      </c>
    </row>
    <row r="4559" spans="1:13" x14ac:dyDescent="0.3">
      <c r="A4559">
        <v>4557</v>
      </c>
      <c r="B4559">
        <v>4558</v>
      </c>
      <c r="C4559" t="s">
        <v>4640</v>
      </c>
      <c r="D4559">
        <v>2021</v>
      </c>
      <c r="E4559" t="s">
        <v>14</v>
      </c>
      <c r="F4559" t="s">
        <v>2426</v>
      </c>
      <c r="G4559">
        <v>0</v>
      </c>
      <c r="H4559">
        <v>1</v>
      </c>
      <c r="I4559">
        <v>0</v>
      </c>
      <c r="J4559">
        <v>0</v>
      </c>
      <c r="K4559">
        <v>0</v>
      </c>
      <c r="L4559">
        <f t="shared" si="142"/>
        <v>4.8</v>
      </c>
      <c r="M4559">
        <f t="shared" si="143"/>
        <v>1</v>
      </c>
    </row>
    <row r="4560" spans="1:13" x14ac:dyDescent="0.3">
      <c r="A4560">
        <v>4558</v>
      </c>
      <c r="B4560">
        <v>4559</v>
      </c>
      <c r="C4560" t="s">
        <v>4641</v>
      </c>
      <c r="D4560">
        <v>2018</v>
      </c>
      <c r="E4560" t="s">
        <v>11</v>
      </c>
      <c r="F4560" t="s">
        <v>2426</v>
      </c>
      <c r="G4560">
        <v>0</v>
      </c>
      <c r="H4560">
        <v>1</v>
      </c>
      <c r="I4560">
        <v>0</v>
      </c>
      <c r="J4560">
        <v>0</v>
      </c>
      <c r="K4560">
        <v>0</v>
      </c>
      <c r="L4560">
        <f t="shared" si="142"/>
        <v>4.8</v>
      </c>
      <c r="M4560">
        <f t="shared" si="143"/>
        <v>1</v>
      </c>
    </row>
    <row r="4561" spans="1:13" x14ac:dyDescent="0.3">
      <c r="A4561">
        <v>4559</v>
      </c>
      <c r="B4561">
        <v>4560</v>
      </c>
      <c r="C4561" t="s">
        <v>4642</v>
      </c>
      <c r="D4561">
        <v>2018</v>
      </c>
      <c r="E4561" t="s">
        <v>14</v>
      </c>
      <c r="F4561" t="s">
        <v>2426</v>
      </c>
      <c r="G4561">
        <v>0</v>
      </c>
      <c r="H4561">
        <v>1</v>
      </c>
      <c r="I4561">
        <v>0</v>
      </c>
      <c r="J4561">
        <v>0</v>
      </c>
      <c r="K4561">
        <v>0</v>
      </c>
      <c r="L4561">
        <f t="shared" si="142"/>
        <v>4.8</v>
      </c>
      <c r="M4561">
        <f t="shared" si="143"/>
        <v>1</v>
      </c>
    </row>
    <row r="4562" spans="1:13" x14ac:dyDescent="0.3">
      <c r="A4562">
        <v>4560</v>
      </c>
      <c r="B4562">
        <v>4561</v>
      </c>
      <c r="C4562" t="s">
        <v>4643</v>
      </c>
      <c r="D4562">
        <v>2003</v>
      </c>
      <c r="E4562" t="s">
        <v>11</v>
      </c>
      <c r="F4562" t="s">
        <v>2426</v>
      </c>
      <c r="G4562">
        <v>0</v>
      </c>
      <c r="H4562">
        <v>1</v>
      </c>
      <c r="I4562">
        <v>0</v>
      </c>
      <c r="J4562">
        <v>0</v>
      </c>
      <c r="K4562">
        <v>0</v>
      </c>
      <c r="L4562">
        <f t="shared" si="142"/>
        <v>4.8</v>
      </c>
      <c r="M4562">
        <f t="shared" si="143"/>
        <v>1</v>
      </c>
    </row>
    <row r="4563" spans="1:13" x14ac:dyDescent="0.3">
      <c r="A4563">
        <v>4561</v>
      </c>
      <c r="B4563">
        <v>4562</v>
      </c>
      <c r="C4563" t="s">
        <v>4644</v>
      </c>
      <c r="D4563">
        <v>2017</v>
      </c>
      <c r="F4563" t="s">
        <v>2426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f t="shared" si="142"/>
        <v>4.8</v>
      </c>
      <c r="M4563">
        <f t="shared" si="143"/>
        <v>1</v>
      </c>
    </row>
    <row r="4564" spans="1:13" x14ac:dyDescent="0.3">
      <c r="A4564">
        <v>4562</v>
      </c>
      <c r="B4564">
        <v>4563</v>
      </c>
      <c r="C4564" t="s">
        <v>4645</v>
      </c>
      <c r="D4564">
        <v>2017</v>
      </c>
      <c r="F4564" t="s">
        <v>2426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f t="shared" si="142"/>
        <v>4.8</v>
      </c>
      <c r="M4564">
        <f t="shared" si="143"/>
        <v>1</v>
      </c>
    </row>
    <row r="4565" spans="1:13" x14ac:dyDescent="0.3">
      <c r="A4565">
        <v>4563</v>
      </c>
      <c r="B4565">
        <v>4564</v>
      </c>
      <c r="C4565" t="s">
        <v>4646</v>
      </c>
      <c r="D4565">
        <v>1985</v>
      </c>
      <c r="E4565" t="s">
        <v>14</v>
      </c>
      <c r="F4565" t="s">
        <v>2426</v>
      </c>
      <c r="G4565">
        <v>0</v>
      </c>
      <c r="H4565">
        <v>1</v>
      </c>
      <c r="I4565">
        <v>0</v>
      </c>
      <c r="J4565">
        <v>0</v>
      </c>
      <c r="K4565">
        <v>0</v>
      </c>
      <c r="L4565">
        <f t="shared" si="142"/>
        <v>4.8</v>
      </c>
      <c r="M4565">
        <f t="shared" si="143"/>
        <v>1</v>
      </c>
    </row>
    <row r="4566" spans="1:13" x14ac:dyDescent="0.3">
      <c r="A4566">
        <v>4564</v>
      </c>
      <c r="B4566">
        <v>4565</v>
      </c>
      <c r="C4566" t="s">
        <v>4647</v>
      </c>
      <c r="D4566">
        <v>2017</v>
      </c>
      <c r="F4566" t="s">
        <v>2426</v>
      </c>
      <c r="G4566">
        <v>0</v>
      </c>
      <c r="H4566">
        <v>1</v>
      </c>
      <c r="I4566">
        <v>0</v>
      </c>
      <c r="J4566">
        <v>0</v>
      </c>
      <c r="K4566">
        <v>0</v>
      </c>
      <c r="L4566">
        <f t="shared" si="142"/>
        <v>4.8</v>
      </c>
      <c r="M4566">
        <f t="shared" si="143"/>
        <v>1</v>
      </c>
    </row>
    <row r="4567" spans="1:13" x14ac:dyDescent="0.3">
      <c r="A4567">
        <v>4565</v>
      </c>
      <c r="B4567">
        <v>4566</v>
      </c>
      <c r="C4567" t="s">
        <v>4648</v>
      </c>
      <c r="D4567">
        <v>2017</v>
      </c>
      <c r="F4567" t="s">
        <v>2540</v>
      </c>
      <c r="G4567">
        <v>0</v>
      </c>
      <c r="H4567">
        <v>1</v>
      </c>
      <c r="I4567">
        <v>0</v>
      </c>
      <c r="J4567">
        <v>0</v>
      </c>
      <c r="K4567">
        <v>0</v>
      </c>
      <c r="L4567">
        <f t="shared" si="142"/>
        <v>4.7</v>
      </c>
      <c r="M4567">
        <f t="shared" si="143"/>
        <v>1</v>
      </c>
    </row>
    <row r="4568" spans="1:13" x14ac:dyDescent="0.3">
      <c r="A4568">
        <v>4566</v>
      </c>
      <c r="B4568">
        <v>4567</v>
      </c>
      <c r="C4568" t="s">
        <v>4649</v>
      </c>
      <c r="D4568">
        <v>2019</v>
      </c>
      <c r="E4568" t="s">
        <v>14</v>
      </c>
      <c r="F4568" t="s">
        <v>2540</v>
      </c>
      <c r="G4568">
        <v>0</v>
      </c>
      <c r="H4568">
        <v>1</v>
      </c>
      <c r="I4568">
        <v>0</v>
      </c>
      <c r="J4568">
        <v>0</v>
      </c>
      <c r="K4568">
        <v>0</v>
      </c>
      <c r="L4568">
        <f t="shared" si="142"/>
        <v>4.7</v>
      </c>
      <c r="M4568">
        <f t="shared" si="143"/>
        <v>1</v>
      </c>
    </row>
    <row r="4569" spans="1:13" x14ac:dyDescent="0.3">
      <c r="A4569">
        <v>4567</v>
      </c>
      <c r="B4569">
        <v>4568</v>
      </c>
      <c r="C4569" t="s">
        <v>4650</v>
      </c>
      <c r="D4569">
        <v>2014</v>
      </c>
      <c r="E4569" t="s">
        <v>14</v>
      </c>
      <c r="F4569" t="s">
        <v>2540</v>
      </c>
      <c r="G4569">
        <v>0</v>
      </c>
      <c r="H4569">
        <v>1</v>
      </c>
      <c r="I4569">
        <v>0</v>
      </c>
      <c r="J4569">
        <v>0</v>
      </c>
      <c r="K4569">
        <v>0</v>
      </c>
      <c r="L4569">
        <f t="shared" si="142"/>
        <v>4.7</v>
      </c>
      <c r="M4569">
        <f t="shared" si="143"/>
        <v>1</v>
      </c>
    </row>
    <row r="4570" spans="1:13" x14ac:dyDescent="0.3">
      <c r="A4570">
        <v>4568</v>
      </c>
      <c r="B4570">
        <v>4569</v>
      </c>
      <c r="C4570" t="s">
        <v>4651</v>
      </c>
      <c r="D4570">
        <v>2013</v>
      </c>
      <c r="F4570" t="s">
        <v>2540</v>
      </c>
      <c r="G4570">
        <v>0</v>
      </c>
      <c r="H4570">
        <v>1</v>
      </c>
      <c r="I4570">
        <v>1</v>
      </c>
      <c r="J4570">
        <v>0</v>
      </c>
      <c r="K4570">
        <v>0</v>
      </c>
      <c r="L4570">
        <f t="shared" si="142"/>
        <v>4.7</v>
      </c>
      <c r="M4570">
        <f t="shared" si="143"/>
        <v>2</v>
      </c>
    </row>
    <row r="4571" spans="1:13" x14ac:dyDescent="0.3">
      <c r="A4571">
        <v>4569</v>
      </c>
      <c r="B4571">
        <v>4570</v>
      </c>
      <c r="C4571" t="s">
        <v>4652</v>
      </c>
      <c r="D4571">
        <v>2004</v>
      </c>
      <c r="E4571" t="s">
        <v>22</v>
      </c>
      <c r="F4571" t="s">
        <v>2540</v>
      </c>
      <c r="G4571">
        <v>0</v>
      </c>
      <c r="H4571">
        <v>1</v>
      </c>
      <c r="I4571">
        <v>0</v>
      </c>
      <c r="J4571">
        <v>0</v>
      </c>
      <c r="K4571">
        <v>0</v>
      </c>
      <c r="L4571">
        <f t="shared" si="142"/>
        <v>4.7</v>
      </c>
      <c r="M4571">
        <f t="shared" si="143"/>
        <v>1</v>
      </c>
    </row>
    <row r="4572" spans="1:13" x14ac:dyDescent="0.3">
      <c r="A4572">
        <v>4570</v>
      </c>
      <c r="B4572">
        <v>4571</v>
      </c>
      <c r="C4572" t="s">
        <v>4653</v>
      </c>
      <c r="D4572">
        <v>2020</v>
      </c>
      <c r="F4572" t="s">
        <v>2540</v>
      </c>
      <c r="G4572">
        <v>0</v>
      </c>
      <c r="H4572">
        <v>1</v>
      </c>
      <c r="I4572">
        <v>0</v>
      </c>
      <c r="J4572">
        <v>0</v>
      </c>
      <c r="K4572">
        <v>0</v>
      </c>
      <c r="L4572">
        <f t="shared" si="142"/>
        <v>4.7</v>
      </c>
      <c r="M4572">
        <f t="shared" si="143"/>
        <v>1</v>
      </c>
    </row>
    <row r="4573" spans="1:13" x14ac:dyDescent="0.3">
      <c r="A4573">
        <v>4571</v>
      </c>
      <c r="B4573">
        <v>4572</v>
      </c>
      <c r="C4573" t="s">
        <v>4654</v>
      </c>
      <c r="D4573">
        <v>2005</v>
      </c>
      <c r="E4573" t="s">
        <v>22</v>
      </c>
      <c r="F4573" t="s">
        <v>2540</v>
      </c>
      <c r="G4573">
        <v>0</v>
      </c>
      <c r="H4573">
        <v>1</v>
      </c>
      <c r="I4573">
        <v>0</v>
      </c>
      <c r="J4573">
        <v>0</v>
      </c>
      <c r="K4573">
        <v>0</v>
      </c>
      <c r="L4573">
        <f t="shared" si="142"/>
        <v>4.7</v>
      </c>
      <c r="M4573">
        <f t="shared" si="143"/>
        <v>1</v>
      </c>
    </row>
    <row r="4574" spans="1:13" x14ac:dyDescent="0.3">
      <c r="A4574">
        <v>4572</v>
      </c>
      <c r="B4574">
        <v>4573</v>
      </c>
      <c r="C4574" t="s">
        <v>4655</v>
      </c>
      <c r="D4574">
        <v>2020</v>
      </c>
      <c r="F4574" t="s">
        <v>2540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f t="shared" si="142"/>
        <v>4.7</v>
      </c>
      <c r="M4574">
        <f t="shared" si="143"/>
        <v>1</v>
      </c>
    </row>
    <row r="4575" spans="1:13" x14ac:dyDescent="0.3">
      <c r="A4575">
        <v>4573</v>
      </c>
      <c r="B4575">
        <v>4574</v>
      </c>
      <c r="C4575" t="s">
        <v>4656</v>
      </c>
      <c r="D4575">
        <v>2016</v>
      </c>
      <c r="F4575" t="s">
        <v>2540</v>
      </c>
      <c r="G4575">
        <v>0</v>
      </c>
      <c r="H4575">
        <v>1</v>
      </c>
      <c r="I4575">
        <v>1</v>
      </c>
      <c r="J4575">
        <v>0</v>
      </c>
      <c r="K4575">
        <v>0</v>
      </c>
      <c r="L4575">
        <f t="shared" si="142"/>
        <v>4.7</v>
      </c>
      <c r="M4575">
        <f t="shared" si="143"/>
        <v>2</v>
      </c>
    </row>
    <row r="4576" spans="1:13" x14ac:dyDescent="0.3">
      <c r="A4576">
        <v>4574</v>
      </c>
      <c r="B4576">
        <v>4575</v>
      </c>
      <c r="C4576" t="s">
        <v>4657</v>
      </c>
      <c r="D4576">
        <v>2018</v>
      </c>
      <c r="E4576" t="s">
        <v>14</v>
      </c>
      <c r="F4576" t="s">
        <v>2540</v>
      </c>
      <c r="G4576">
        <v>0</v>
      </c>
      <c r="H4576">
        <v>1</v>
      </c>
      <c r="I4576">
        <v>0</v>
      </c>
      <c r="J4576">
        <v>0</v>
      </c>
      <c r="K4576">
        <v>0</v>
      </c>
      <c r="L4576">
        <f t="shared" si="142"/>
        <v>4.7</v>
      </c>
      <c r="M4576">
        <f t="shared" si="143"/>
        <v>1</v>
      </c>
    </row>
    <row r="4577" spans="1:13" x14ac:dyDescent="0.3">
      <c r="A4577">
        <v>4575</v>
      </c>
      <c r="B4577">
        <v>4576</v>
      </c>
      <c r="C4577" t="s">
        <v>4658</v>
      </c>
      <c r="D4577">
        <v>2021</v>
      </c>
      <c r="F4577" t="s">
        <v>2540</v>
      </c>
      <c r="G4577">
        <v>0</v>
      </c>
      <c r="H4577">
        <v>1</v>
      </c>
      <c r="I4577">
        <v>0</v>
      </c>
      <c r="J4577">
        <v>0</v>
      </c>
      <c r="K4577">
        <v>0</v>
      </c>
      <c r="L4577">
        <f t="shared" si="142"/>
        <v>4.7</v>
      </c>
      <c r="M4577">
        <f t="shared" si="143"/>
        <v>1</v>
      </c>
    </row>
    <row r="4578" spans="1:13" x14ac:dyDescent="0.3">
      <c r="A4578">
        <v>4576</v>
      </c>
      <c r="B4578">
        <v>4577</v>
      </c>
      <c r="C4578" t="s">
        <v>4659</v>
      </c>
      <c r="D4578">
        <v>1995</v>
      </c>
      <c r="E4578" t="s">
        <v>11</v>
      </c>
      <c r="F4578" t="s">
        <v>2540</v>
      </c>
      <c r="G4578">
        <v>0</v>
      </c>
      <c r="H4578">
        <v>1</v>
      </c>
      <c r="I4578">
        <v>0</v>
      </c>
      <c r="J4578">
        <v>0</v>
      </c>
      <c r="K4578">
        <v>0</v>
      </c>
      <c r="L4578">
        <f t="shared" si="142"/>
        <v>4.7</v>
      </c>
      <c r="M4578">
        <f t="shared" si="143"/>
        <v>1</v>
      </c>
    </row>
    <row r="4579" spans="1:13" x14ac:dyDescent="0.3">
      <c r="A4579">
        <v>4577</v>
      </c>
      <c r="B4579">
        <v>4578</v>
      </c>
      <c r="C4579" t="s">
        <v>4660</v>
      </c>
      <c r="D4579">
        <v>2015</v>
      </c>
      <c r="F4579" t="s">
        <v>2540</v>
      </c>
      <c r="G4579">
        <v>0</v>
      </c>
      <c r="H4579">
        <v>1</v>
      </c>
      <c r="I4579">
        <v>0</v>
      </c>
      <c r="J4579">
        <v>0</v>
      </c>
      <c r="K4579">
        <v>0</v>
      </c>
      <c r="L4579">
        <f t="shared" si="142"/>
        <v>4.7</v>
      </c>
      <c r="M4579">
        <f t="shared" si="143"/>
        <v>1</v>
      </c>
    </row>
    <row r="4580" spans="1:13" x14ac:dyDescent="0.3">
      <c r="A4580">
        <v>4578</v>
      </c>
      <c r="B4580">
        <v>4579</v>
      </c>
      <c r="C4580" t="s">
        <v>4661</v>
      </c>
      <c r="D4580">
        <v>2019</v>
      </c>
      <c r="F4580" t="s">
        <v>2540</v>
      </c>
      <c r="G4580">
        <v>0</v>
      </c>
      <c r="H4580">
        <v>1</v>
      </c>
      <c r="I4580">
        <v>0</v>
      </c>
      <c r="J4580">
        <v>0</v>
      </c>
      <c r="K4580">
        <v>0</v>
      </c>
      <c r="L4580">
        <f t="shared" si="142"/>
        <v>4.7</v>
      </c>
      <c r="M4580">
        <f t="shared" si="143"/>
        <v>1</v>
      </c>
    </row>
    <row r="4581" spans="1:13" x14ac:dyDescent="0.3">
      <c r="A4581">
        <v>4579</v>
      </c>
      <c r="B4581">
        <v>4580</v>
      </c>
      <c r="C4581" t="s">
        <v>4662</v>
      </c>
      <c r="D4581">
        <v>2021</v>
      </c>
      <c r="F4581" t="s">
        <v>2540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f t="shared" si="142"/>
        <v>4.7</v>
      </c>
      <c r="M4581">
        <f t="shared" si="143"/>
        <v>1</v>
      </c>
    </row>
    <row r="4582" spans="1:13" x14ac:dyDescent="0.3">
      <c r="A4582">
        <v>4580</v>
      </c>
      <c r="B4582">
        <v>4581</v>
      </c>
      <c r="C4582" t="s">
        <v>4663</v>
      </c>
      <c r="D4582">
        <v>2010</v>
      </c>
      <c r="F4582" t="s">
        <v>2540</v>
      </c>
      <c r="G4582">
        <v>0</v>
      </c>
      <c r="H4582">
        <v>1</v>
      </c>
      <c r="I4582">
        <v>0</v>
      </c>
      <c r="J4582">
        <v>0</v>
      </c>
      <c r="K4582">
        <v>0</v>
      </c>
      <c r="L4582">
        <f t="shared" si="142"/>
        <v>4.7</v>
      </c>
      <c r="M4582">
        <f t="shared" si="143"/>
        <v>1</v>
      </c>
    </row>
    <row r="4583" spans="1:13" x14ac:dyDescent="0.3">
      <c r="A4583">
        <v>4581</v>
      </c>
      <c r="B4583">
        <v>4582</v>
      </c>
      <c r="C4583" t="s">
        <v>4664</v>
      </c>
      <c r="D4583">
        <v>1980</v>
      </c>
      <c r="E4583" t="s">
        <v>11</v>
      </c>
      <c r="F4583" t="s">
        <v>2540</v>
      </c>
      <c r="G4583">
        <v>0</v>
      </c>
      <c r="H4583">
        <v>1</v>
      </c>
      <c r="I4583">
        <v>0</v>
      </c>
      <c r="J4583">
        <v>0</v>
      </c>
      <c r="K4583">
        <v>0</v>
      </c>
      <c r="L4583">
        <f t="shared" si="142"/>
        <v>4.7</v>
      </c>
      <c r="M4583">
        <f t="shared" si="143"/>
        <v>1</v>
      </c>
    </row>
    <row r="4584" spans="1:13" x14ac:dyDescent="0.3">
      <c r="A4584">
        <v>4582</v>
      </c>
      <c r="B4584">
        <v>4583</v>
      </c>
      <c r="C4584" t="s">
        <v>4665</v>
      </c>
      <c r="D4584">
        <v>2018</v>
      </c>
      <c r="F4584" t="s">
        <v>2540</v>
      </c>
      <c r="G4584">
        <v>0</v>
      </c>
      <c r="H4584">
        <v>1</v>
      </c>
      <c r="I4584">
        <v>0</v>
      </c>
      <c r="J4584">
        <v>0</v>
      </c>
      <c r="K4584">
        <v>0</v>
      </c>
      <c r="L4584">
        <f t="shared" si="142"/>
        <v>4.7</v>
      </c>
      <c r="M4584">
        <f t="shared" si="143"/>
        <v>1</v>
      </c>
    </row>
    <row r="4585" spans="1:13" x14ac:dyDescent="0.3">
      <c r="A4585">
        <v>4583</v>
      </c>
      <c r="B4585">
        <v>4584</v>
      </c>
      <c r="C4585" t="s">
        <v>4666</v>
      </c>
      <c r="D4585">
        <v>2020</v>
      </c>
      <c r="F4585" t="s">
        <v>2540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f t="shared" si="142"/>
        <v>4.7</v>
      </c>
      <c r="M4585">
        <f t="shared" si="143"/>
        <v>1</v>
      </c>
    </row>
    <row r="4586" spans="1:13" x14ac:dyDescent="0.3">
      <c r="A4586">
        <v>4584</v>
      </c>
      <c r="B4586">
        <v>4585</v>
      </c>
      <c r="C4586" t="s">
        <v>4667</v>
      </c>
      <c r="D4586">
        <v>2020</v>
      </c>
      <c r="F4586" t="s">
        <v>2540</v>
      </c>
      <c r="G4586">
        <v>0</v>
      </c>
      <c r="H4586">
        <v>1</v>
      </c>
      <c r="I4586">
        <v>0</v>
      </c>
      <c r="J4586">
        <v>0</v>
      </c>
      <c r="K4586">
        <v>0</v>
      </c>
      <c r="L4586">
        <f t="shared" si="142"/>
        <v>4.7</v>
      </c>
      <c r="M4586">
        <f t="shared" si="143"/>
        <v>1</v>
      </c>
    </row>
    <row r="4587" spans="1:13" x14ac:dyDescent="0.3">
      <c r="A4587">
        <v>4585</v>
      </c>
      <c r="B4587">
        <v>4586</v>
      </c>
      <c r="C4587" t="s">
        <v>4668</v>
      </c>
      <c r="D4587">
        <v>2016</v>
      </c>
      <c r="E4587" t="s">
        <v>14</v>
      </c>
      <c r="F4587" t="s">
        <v>2540</v>
      </c>
      <c r="G4587">
        <v>0</v>
      </c>
      <c r="H4587">
        <v>1</v>
      </c>
      <c r="I4587">
        <v>0</v>
      </c>
      <c r="J4587">
        <v>0</v>
      </c>
      <c r="K4587">
        <v>0</v>
      </c>
      <c r="L4587">
        <f t="shared" si="142"/>
        <v>4.7</v>
      </c>
      <c r="M4587">
        <f t="shared" si="143"/>
        <v>1</v>
      </c>
    </row>
    <row r="4588" spans="1:13" x14ac:dyDescent="0.3">
      <c r="A4588">
        <v>4586</v>
      </c>
      <c r="B4588">
        <v>4587</v>
      </c>
      <c r="C4588" t="s">
        <v>4669</v>
      </c>
      <c r="D4588">
        <v>2016</v>
      </c>
      <c r="E4588" t="s">
        <v>14</v>
      </c>
      <c r="F4588" t="s">
        <v>2540</v>
      </c>
      <c r="G4588">
        <v>0</v>
      </c>
      <c r="H4588">
        <v>1</v>
      </c>
      <c r="I4588">
        <v>0</v>
      </c>
      <c r="J4588">
        <v>0</v>
      </c>
      <c r="K4588">
        <v>0</v>
      </c>
      <c r="L4588">
        <f t="shared" si="142"/>
        <v>4.7</v>
      </c>
      <c r="M4588">
        <f t="shared" si="143"/>
        <v>1</v>
      </c>
    </row>
    <row r="4589" spans="1:13" x14ac:dyDescent="0.3">
      <c r="A4589">
        <v>4587</v>
      </c>
      <c r="B4589">
        <v>4588</v>
      </c>
      <c r="C4589" t="s">
        <v>4670</v>
      </c>
      <c r="D4589">
        <v>2019</v>
      </c>
      <c r="F4589" t="s">
        <v>2633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f t="shared" si="142"/>
        <v>4.5999999999999996</v>
      </c>
      <c r="M4589">
        <f t="shared" si="143"/>
        <v>1</v>
      </c>
    </row>
    <row r="4590" spans="1:13" x14ac:dyDescent="0.3">
      <c r="A4590">
        <v>4588</v>
      </c>
      <c r="B4590">
        <v>4589</v>
      </c>
      <c r="C4590" t="s">
        <v>4671</v>
      </c>
      <c r="D4590">
        <v>2020</v>
      </c>
      <c r="F4590" t="s">
        <v>2633</v>
      </c>
      <c r="G4590">
        <v>0</v>
      </c>
      <c r="H4590">
        <v>1</v>
      </c>
      <c r="I4590">
        <v>0</v>
      </c>
      <c r="J4590">
        <v>0</v>
      </c>
      <c r="K4590">
        <v>0</v>
      </c>
      <c r="L4590">
        <f t="shared" si="142"/>
        <v>4.5999999999999996</v>
      </c>
      <c r="M4590">
        <f t="shared" si="143"/>
        <v>1</v>
      </c>
    </row>
    <row r="4591" spans="1:13" x14ac:dyDescent="0.3">
      <c r="A4591">
        <v>4589</v>
      </c>
      <c r="B4591">
        <v>4590</v>
      </c>
      <c r="C4591" t="s">
        <v>4672</v>
      </c>
      <c r="D4591">
        <v>1994</v>
      </c>
      <c r="E4591" t="s">
        <v>36</v>
      </c>
      <c r="F4591" t="s">
        <v>2633</v>
      </c>
      <c r="G4591">
        <v>0</v>
      </c>
      <c r="H4591">
        <v>1</v>
      </c>
      <c r="I4591">
        <v>0</v>
      </c>
      <c r="J4591">
        <v>0</v>
      </c>
      <c r="K4591">
        <v>0</v>
      </c>
      <c r="L4591">
        <f t="shared" si="142"/>
        <v>4.5999999999999996</v>
      </c>
      <c r="M4591">
        <f t="shared" si="143"/>
        <v>1</v>
      </c>
    </row>
    <row r="4592" spans="1:13" x14ac:dyDescent="0.3">
      <c r="A4592">
        <v>4590</v>
      </c>
      <c r="B4592">
        <v>4591</v>
      </c>
      <c r="C4592" t="s">
        <v>4673</v>
      </c>
      <c r="D4592">
        <v>2019</v>
      </c>
      <c r="F4592" t="s">
        <v>2633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f t="shared" si="142"/>
        <v>4.5999999999999996</v>
      </c>
      <c r="M4592">
        <f t="shared" si="143"/>
        <v>1</v>
      </c>
    </row>
    <row r="4593" spans="1:13" x14ac:dyDescent="0.3">
      <c r="A4593">
        <v>4591</v>
      </c>
      <c r="B4593">
        <v>4592</v>
      </c>
      <c r="C4593" t="s">
        <v>4674</v>
      </c>
      <c r="D4593">
        <v>2020</v>
      </c>
      <c r="E4593" t="s">
        <v>11</v>
      </c>
      <c r="F4593" t="s">
        <v>2633</v>
      </c>
      <c r="G4593">
        <v>0</v>
      </c>
      <c r="H4593">
        <v>1</v>
      </c>
      <c r="I4593">
        <v>0</v>
      </c>
      <c r="J4593">
        <v>0</v>
      </c>
      <c r="K4593">
        <v>0</v>
      </c>
      <c r="L4593">
        <f t="shared" si="142"/>
        <v>4.5999999999999996</v>
      </c>
      <c r="M4593">
        <f t="shared" si="143"/>
        <v>1</v>
      </c>
    </row>
    <row r="4594" spans="1:13" x14ac:dyDescent="0.3">
      <c r="A4594">
        <v>4592</v>
      </c>
      <c r="B4594">
        <v>4593</v>
      </c>
      <c r="C4594" t="s">
        <v>4675</v>
      </c>
      <c r="D4594">
        <v>2017</v>
      </c>
      <c r="F4594" t="s">
        <v>2633</v>
      </c>
      <c r="G4594">
        <v>0</v>
      </c>
      <c r="H4594">
        <v>1</v>
      </c>
      <c r="I4594">
        <v>0</v>
      </c>
      <c r="J4594">
        <v>0</v>
      </c>
      <c r="K4594">
        <v>0</v>
      </c>
      <c r="L4594">
        <f t="shared" si="142"/>
        <v>4.5999999999999996</v>
      </c>
      <c r="M4594">
        <f t="shared" si="143"/>
        <v>1</v>
      </c>
    </row>
    <row r="4595" spans="1:13" x14ac:dyDescent="0.3">
      <c r="A4595">
        <v>4593</v>
      </c>
      <c r="B4595">
        <v>4594</v>
      </c>
      <c r="C4595" t="s">
        <v>4676</v>
      </c>
      <c r="D4595">
        <v>1957</v>
      </c>
      <c r="F4595" t="s">
        <v>2633</v>
      </c>
      <c r="G4595">
        <v>0</v>
      </c>
      <c r="H4595">
        <v>1</v>
      </c>
      <c r="I4595">
        <v>0</v>
      </c>
      <c r="J4595">
        <v>0</v>
      </c>
      <c r="K4595">
        <v>0</v>
      </c>
      <c r="L4595">
        <f t="shared" si="142"/>
        <v>4.5999999999999996</v>
      </c>
      <c r="M4595">
        <f t="shared" si="143"/>
        <v>1</v>
      </c>
    </row>
    <row r="4596" spans="1:13" x14ac:dyDescent="0.3">
      <c r="A4596">
        <v>4594</v>
      </c>
      <c r="B4596">
        <v>4595</v>
      </c>
      <c r="C4596" t="s">
        <v>4677</v>
      </c>
      <c r="D4596">
        <v>1955</v>
      </c>
      <c r="F4596" t="s">
        <v>2633</v>
      </c>
      <c r="G4596">
        <v>0</v>
      </c>
      <c r="H4596">
        <v>1</v>
      </c>
      <c r="I4596">
        <v>0</v>
      </c>
      <c r="J4596">
        <v>0</v>
      </c>
      <c r="K4596">
        <v>0</v>
      </c>
      <c r="L4596">
        <f t="shared" si="142"/>
        <v>4.5999999999999996</v>
      </c>
      <c r="M4596">
        <f t="shared" si="143"/>
        <v>1</v>
      </c>
    </row>
    <row r="4597" spans="1:13" x14ac:dyDescent="0.3">
      <c r="A4597">
        <v>4595</v>
      </c>
      <c r="B4597">
        <v>4596</v>
      </c>
      <c r="C4597" t="s">
        <v>4678</v>
      </c>
      <c r="D4597">
        <v>2015</v>
      </c>
      <c r="E4597" t="s">
        <v>11</v>
      </c>
      <c r="F4597" t="s">
        <v>2633</v>
      </c>
      <c r="G4597">
        <v>0</v>
      </c>
      <c r="H4597">
        <v>1</v>
      </c>
      <c r="I4597">
        <v>0</v>
      </c>
      <c r="J4597">
        <v>0</v>
      </c>
      <c r="K4597">
        <v>0</v>
      </c>
      <c r="L4597">
        <f t="shared" si="142"/>
        <v>4.5999999999999996</v>
      </c>
      <c r="M4597">
        <f t="shared" si="143"/>
        <v>1</v>
      </c>
    </row>
    <row r="4598" spans="1:13" x14ac:dyDescent="0.3">
      <c r="A4598">
        <v>4596</v>
      </c>
      <c r="B4598">
        <v>4597</v>
      </c>
      <c r="C4598" t="s">
        <v>4679</v>
      </c>
      <c r="D4598">
        <v>2020</v>
      </c>
      <c r="F4598" t="s">
        <v>2633</v>
      </c>
      <c r="G4598">
        <v>0</v>
      </c>
      <c r="H4598">
        <v>1</v>
      </c>
      <c r="I4598">
        <v>0</v>
      </c>
      <c r="J4598">
        <v>0</v>
      </c>
      <c r="K4598">
        <v>0</v>
      </c>
      <c r="L4598">
        <f t="shared" si="142"/>
        <v>4.5999999999999996</v>
      </c>
      <c r="M4598">
        <f t="shared" si="143"/>
        <v>1</v>
      </c>
    </row>
    <row r="4599" spans="1:13" x14ac:dyDescent="0.3">
      <c r="A4599">
        <v>4597</v>
      </c>
      <c r="B4599">
        <v>4598</v>
      </c>
      <c r="C4599" t="s">
        <v>4680</v>
      </c>
      <c r="D4599">
        <v>2019</v>
      </c>
      <c r="E4599" t="s">
        <v>11</v>
      </c>
      <c r="F4599" t="s">
        <v>2633</v>
      </c>
      <c r="G4599">
        <v>0</v>
      </c>
      <c r="H4599">
        <v>1</v>
      </c>
      <c r="I4599">
        <v>0</v>
      </c>
      <c r="J4599">
        <v>0</v>
      </c>
      <c r="K4599">
        <v>0</v>
      </c>
      <c r="L4599">
        <f t="shared" si="142"/>
        <v>4.5999999999999996</v>
      </c>
      <c r="M4599">
        <f t="shared" si="143"/>
        <v>1</v>
      </c>
    </row>
    <row r="4600" spans="1:13" x14ac:dyDescent="0.3">
      <c r="A4600">
        <v>4598</v>
      </c>
      <c r="B4600">
        <v>4599</v>
      </c>
      <c r="C4600" t="s">
        <v>4681</v>
      </c>
      <c r="D4600">
        <v>2019</v>
      </c>
      <c r="E4600" t="s">
        <v>11</v>
      </c>
      <c r="F4600" t="s">
        <v>2633</v>
      </c>
      <c r="G4600">
        <v>0</v>
      </c>
      <c r="H4600">
        <v>1</v>
      </c>
      <c r="I4600">
        <v>1</v>
      </c>
      <c r="J4600">
        <v>0</v>
      </c>
      <c r="K4600">
        <v>0</v>
      </c>
      <c r="L4600">
        <f t="shared" si="142"/>
        <v>4.5999999999999996</v>
      </c>
      <c r="M4600">
        <f t="shared" si="143"/>
        <v>2</v>
      </c>
    </row>
    <row r="4601" spans="1:13" x14ac:dyDescent="0.3">
      <c r="A4601">
        <v>4599</v>
      </c>
      <c r="B4601">
        <v>4600</v>
      </c>
      <c r="C4601" t="s">
        <v>4682</v>
      </c>
      <c r="D4601">
        <v>2006</v>
      </c>
      <c r="E4601" t="s">
        <v>22</v>
      </c>
      <c r="F4601" t="s">
        <v>2633</v>
      </c>
      <c r="G4601">
        <v>0</v>
      </c>
      <c r="H4601">
        <v>1</v>
      </c>
      <c r="I4601">
        <v>0</v>
      </c>
      <c r="J4601">
        <v>0</v>
      </c>
      <c r="K4601">
        <v>0</v>
      </c>
      <c r="L4601">
        <f t="shared" si="142"/>
        <v>4.5999999999999996</v>
      </c>
      <c r="M4601">
        <f t="shared" si="143"/>
        <v>1</v>
      </c>
    </row>
    <row r="4602" spans="1:13" x14ac:dyDescent="0.3">
      <c r="A4602">
        <v>4600</v>
      </c>
      <c r="B4602">
        <v>4601</v>
      </c>
      <c r="C4602" t="s">
        <v>4683</v>
      </c>
      <c r="D4602">
        <v>2019</v>
      </c>
      <c r="E4602" t="s">
        <v>14</v>
      </c>
      <c r="F4602" t="s">
        <v>2633</v>
      </c>
      <c r="G4602">
        <v>0</v>
      </c>
      <c r="H4602">
        <v>1</v>
      </c>
      <c r="I4602">
        <v>0</v>
      </c>
      <c r="J4602">
        <v>0</v>
      </c>
      <c r="K4602">
        <v>0</v>
      </c>
      <c r="L4602">
        <f t="shared" si="142"/>
        <v>4.5999999999999996</v>
      </c>
      <c r="M4602">
        <f t="shared" si="143"/>
        <v>1</v>
      </c>
    </row>
    <row r="4603" spans="1:13" x14ac:dyDescent="0.3">
      <c r="A4603">
        <v>4601</v>
      </c>
      <c r="B4603">
        <v>4602</v>
      </c>
      <c r="C4603" t="s">
        <v>4684</v>
      </c>
      <c r="D4603">
        <v>2019</v>
      </c>
      <c r="F4603" t="s">
        <v>2633</v>
      </c>
      <c r="G4603">
        <v>0</v>
      </c>
      <c r="H4603">
        <v>1</v>
      </c>
      <c r="I4603">
        <v>0</v>
      </c>
      <c r="J4603">
        <v>0</v>
      </c>
      <c r="K4603">
        <v>0</v>
      </c>
      <c r="L4603">
        <f t="shared" si="142"/>
        <v>4.5999999999999996</v>
      </c>
      <c r="M4603">
        <f t="shared" si="143"/>
        <v>1</v>
      </c>
    </row>
    <row r="4604" spans="1:13" x14ac:dyDescent="0.3">
      <c r="A4604">
        <v>4602</v>
      </c>
      <c r="B4604">
        <v>4603</v>
      </c>
      <c r="C4604" t="s">
        <v>4685</v>
      </c>
      <c r="D4604">
        <v>2018</v>
      </c>
      <c r="F4604" t="s">
        <v>2633</v>
      </c>
      <c r="G4604">
        <v>0</v>
      </c>
      <c r="H4604">
        <v>1</v>
      </c>
      <c r="I4604">
        <v>0</v>
      </c>
      <c r="J4604">
        <v>0</v>
      </c>
      <c r="K4604">
        <v>0</v>
      </c>
      <c r="L4604">
        <f t="shared" si="142"/>
        <v>4.5999999999999996</v>
      </c>
      <c r="M4604">
        <f t="shared" si="143"/>
        <v>1</v>
      </c>
    </row>
    <row r="4605" spans="1:13" x14ac:dyDescent="0.3">
      <c r="A4605">
        <v>4603</v>
      </c>
      <c r="B4605">
        <v>4604</v>
      </c>
      <c r="C4605" t="s">
        <v>4686</v>
      </c>
      <c r="D4605">
        <v>2020</v>
      </c>
      <c r="F4605" t="s">
        <v>2633</v>
      </c>
      <c r="G4605">
        <v>0</v>
      </c>
      <c r="H4605">
        <v>1</v>
      </c>
      <c r="I4605">
        <v>0</v>
      </c>
      <c r="J4605">
        <v>0</v>
      </c>
      <c r="K4605">
        <v>0</v>
      </c>
      <c r="L4605">
        <f t="shared" si="142"/>
        <v>4.5999999999999996</v>
      </c>
      <c r="M4605">
        <f t="shared" si="143"/>
        <v>1</v>
      </c>
    </row>
    <row r="4606" spans="1:13" x14ac:dyDescent="0.3">
      <c r="A4606">
        <v>4604</v>
      </c>
      <c r="B4606">
        <v>4605</v>
      </c>
      <c r="C4606" t="s">
        <v>4687</v>
      </c>
      <c r="D4606">
        <v>2018</v>
      </c>
      <c r="F4606" t="s">
        <v>2755</v>
      </c>
      <c r="G4606">
        <v>0</v>
      </c>
      <c r="H4606">
        <v>1</v>
      </c>
      <c r="I4606">
        <v>0</v>
      </c>
      <c r="J4606">
        <v>0</v>
      </c>
      <c r="K4606">
        <v>0</v>
      </c>
      <c r="L4606">
        <f t="shared" si="142"/>
        <v>4.5</v>
      </c>
      <c r="M4606">
        <f t="shared" si="143"/>
        <v>1</v>
      </c>
    </row>
    <row r="4607" spans="1:13" x14ac:dyDescent="0.3">
      <c r="A4607">
        <v>4605</v>
      </c>
      <c r="B4607">
        <v>4606</v>
      </c>
      <c r="C4607" t="s">
        <v>4688</v>
      </c>
      <c r="D4607">
        <v>2019</v>
      </c>
      <c r="F4607" t="s">
        <v>2755</v>
      </c>
      <c r="G4607">
        <v>0</v>
      </c>
      <c r="H4607">
        <v>1</v>
      </c>
      <c r="I4607">
        <v>0</v>
      </c>
      <c r="J4607">
        <v>0</v>
      </c>
      <c r="K4607">
        <v>0</v>
      </c>
      <c r="L4607">
        <f t="shared" si="142"/>
        <v>4.5</v>
      </c>
      <c r="M4607">
        <f t="shared" si="143"/>
        <v>1</v>
      </c>
    </row>
    <row r="4608" spans="1:13" x14ac:dyDescent="0.3">
      <c r="A4608">
        <v>4606</v>
      </c>
      <c r="B4608">
        <v>4607</v>
      </c>
      <c r="C4608" t="s">
        <v>4689</v>
      </c>
      <c r="D4608">
        <v>2018</v>
      </c>
      <c r="F4608" t="s">
        <v>2755</v>
      </c>
      <c r="G4608">
        <v>0</v>
      </c>
      <c r="H4608">
        <v>1</v>
      </c>
      <c r="I4608">
        <v>0</v>
      </c>
      <c r="J4608">
        <v>0</v>
      </c>
      <c r="K4608">
        <v>0</v>
      </c>
      <c r="L4608">
        <f t="shared" si="142"/>
        <v>4.5</v>
      </c>
      <c r="M4608">
        <f t="shared" si="143"/>
        <v>1</v>
      </c>
    </row>
    <row r="4609" spans="1:13" x14ac:dyDescent="0.3">
      <c r="A4609">
        <v>4607</v>
      </c>
      <c r="B4609">
        <v>4608</v>
      </c>
      <c r="C4609" t="s">
        <v>4690</v>
      </c>
      <c r="D4609">
        <v>1982</v>
      </c>
      <c r="F4609" t="s">
        <v>2755</v>
      </c>
      <c r="G4609">
        <v>0</v>
      </c>
      <c r="H4609">
        <v>1</v>
      </c>
      <c r="I4609">
        <v>0</v>
      </c>
      <c r="J4609">
        <v>0</v>
      </c>
      <c r="K4609">
        <v>0</v>
      </c>
      <c r="L4609">
        <f t="shared" si="142"/>
        <v>4.5</v>
      </c>
      <c r="M4609">
        <f t="shared" si="143"/>
        <v>1</v>
      </c>
    </row>
    <row r="4610" spans="1:13" x14ac:dyDescent="0.3">
      <c r="A4610">
        <v>4608</v>
      </c>
      <c r="B4610">
        <v>4609</v>
      </c>
      <c r="C4610" t="s">
        <v>4691</v>
      </c>
      <c r="D4610">
        <v>2019</v>
      </c>
      <c r="F4610" t="s">
        <v>2755</v>
      </c>
      <c r="G4610">
        <v>0</v>
      </c>
      <c r="H4610">
        <v>1</v>
      </c>
      <c r="I4610">
        <v>0</v>
      </c>
      <c r="J4610">
        <v>0</v>
      </c>
      <c r="K4610">
        <v>0</v>
      </c>
      <c r="L4610">
        <f t="shared" si="142"/>
        <v>4.5</v>
      </c>
      <c r="M4610">
        <f t="shared" si="143"/>
        <v>1</v>
      </c>
    </row>
    <row r="4611" spans="1:13" x14ac:dyDescent="0.3">
      <c r="A4611">
        <v>4609</v>
      </c>
      <c r="B4611">
        <v>4610</v>
      </c>
      <c r="C4611" t="s">
        <v>4692</v>
      </c>
      <c r="D4611">
        <v>2019</v>
      </c>
      <c r="E4611" t="s">
        <v>14</v>
      </c>
      <c r="F4611" t="s">
        <v>2755</v>
      </c>
      <c r="G4611">
        <v>0</v>
      </c>
      <c r="H4611">
        <v>1</v>
      </c>
      <c r="I4611">
        <v>0</v>
      </c>
      <c r="J4611">
        <v>0</v>
      </c>
      <c r="K4611">
        <v>0</v>
      </c>
      <c r="L4611">
        <f t="shared" ref="L4611:L4674" si="144">IFERROR(VALUE(LEFT(F4611,FIND("/",F4611)-1))/10,"")</f>
        <v>4.5</v>
      </c>
      <c r="M4611">
        <f t="shared" ref="M4611:M4674" si="145">SUM(G4611:J4611)</f>
        <v>1</v>
      </c>
    </row>
    <row r="4612" spans="1:13" x14ac:dyDescent="0.3">
      <c r="A4612">
        <v>4610</v>
      </c>
      <c r="B4612">
        <v>4611</v>
      </c>
      <c r="C4612" t="s">
        <v>4693</v>
      </c>
      <c r="D4612">
        <v>2020</v>
      </c>
      <c r="E4612" t="s">
        <v>22</v>
      </c>
      <c r="F4612" t="s">
        <v>2755</v>
      </c>
      <c r="G4612">
        <v>0</v>
      </c>
      <c r="H4612">
        <v>1</v>
      </c>
      <c r="I4612">
        <v>0</v>
      </c>
      <c r="J4612">
        <v>0</v>
      </c>
      <c r="K4612">
        <v>0</v>
      </c>
      <c r="L4612">
        <f t="shared" si="144"/>
        <v>4.5</v>
      </c>
      <c r="M4612">
        <f t="shared" si="145"/>
        <v>1</v>
      </c>
    </row>
    <row r="4613" spans="1:13" x14ac:dyDescent="0.3">
      <c r="A4613">
        <v>4611</v>
      </c>
      <c r="B4613">
        <v>4612</v>
      </c>
      <c r="C4613" t="s">
        <v>4694</v>
      </c>
      <c r="D4613">
        <v>2017</v>
      </c>
      <c r="E4613" t="s">
        <v>11</v>
      </c>
      <c r="F4613" t="s">
        <v>2755</v>
      </c>
      <c r="G4613">
        <v>0</v>
      </c>
      <c r="H4613">
        <v>1</v>
      </c>
      <c r="I4613">
        <v>0</v>
      </c>
      <c r="J4613">
        <v>0</v>
      </c>
      <c r="K4613">
        <v>0</v>
      </c>
      <c r="L4613">
        <f t="shared" si="144"/>
        <v>4.5</v>
      </c>
      <c r="M4613">
        <f t="shared" si="145"/>
        <v>1</v>
      </c>
    </row>
    <row r="4614" spans="1:13" x14ac:dyDescent="0.3">
      <c r="A4614">
        <v>4612</v>
      </c>
      <c r="B4614">
        <v>4613</v>
      </c>
      <c r="C4614" t="s">
        <v>4695</v>
      </c>
      <c r="D4614">
        <v>2019</v>
      </c>
      <c r="F4614" t="s">
        <v>2755</v>
      </c>
      <c r="G4614">
        <v>0</v>
      </c>
      <c r="H4614">
        <v>1</v>
      </c>
      <c r="I4614">
        <v>0</v>
      </c>
      <c r="J4614">
        <v>0</v>
      </c>
      <c r="K4614">
        <v>0</v>
      </c>
      <c r="L4614">
        <f t="shared" si="144"/>
        <v>4.5</v>
      </c>
      <c r="M4614">
        <f t="shared" si="145"/>
        <v>1</v>
      </c>
    </row>
    <row r="4615" spans="1:13" x14ac:dyDescent="0.3">
      <c r="A4615">
        <v>4613</v>
      </c>
      <c r="B4615">
        <v>4614</v>
      </c>
      <c r="C4615" t="s">
        <v>4696</v>
      </c>
      <c r="D4615">
        <v>2019</v>
      </c>
      <c r="F4615" t="s">
        <v>2755</v>
      </c>
      <c r="G4615">
        <v>0</v>
      </c>
      <c r="H4615">
        <v>1</v>
      </c>
      <c r="I4615">
        <v>0</v>
      </c>
      <c r="J4615">
        <v>0</v>
      </c>
      <c r="K4615">
        <v>0</v>
      </c>
      <c r="L4615">
        <f t="shared" si="144"/>
        <v>4.5</v>
      </c>
      <c r="M4615">
        <f t="shared" si="145"/>
        <v>1</v>
      </c>
    </row>
    <row r="4616" spans="1:13" x14ac:dyDescent="0.3">
      <c r="A4616">
        <v>4614</v>
      </c>
      <c r="B4616">
        <v>4615</v>
      </c>
      <c r="C4616" t="s">
        <v>4697</v>
      </c>
      <c r="D4616">
        <v>2016</v>
      </c>
      <c r="F4616" t="s">
        <v>2755</v>
      </c>
      <c r="G4616">
        <v>0</v>
      </c>
      <c r="H4616">
        <v>1</v>
      </c>
      <c r="I4616">
        <v>0</v>
      </c>
      <c r="J4616">
        <v>0</v>
      </c>
      <c r="K4616">
        <v>0</v>
      </c>
      <c r="L4616">
        <f t="shared" si="144"/>
        <v>4.5</v>
      </c>
      <c r="M4616">
        <f t="shared" si="145"/>
        <v>1</v>
      </c>
    </row>
    <row r="4617" spans="1:13" x14ac:dyDescent="0.3">
      <c r="A4617">
        <v>4615</v>
      </c>
      <c r="B4617">
        <v>4616</v>
      </c>
      <c r="C4617" t="s">
        <v>4698</v>
      </c>
      <c r="D4617">
        <v>1999</v>
      </c>
      <c r="E4617" t="s">
        <v>36</v>
      </c>
      <c r="F4617" t="s">
        <v>2755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f t="shared" si="144"/>
        <v>4.5</v>
      </c>
      <c r="M4617">
        <f t="shared" si="145"/>
        <v>1</v>
      </c>
    </row>
    <row r="4618" spans="1:13" x14ac:dyDescent="0.3">
      <c r="A4618">
        <v>4616</v>
      </c>
      <c r="B4618">
        <v>4617</v>
      </c>
      <c r="C4618" t="s">
        <v>4699</v>
      </c>
      <c r="D4618">
        <v>2018</v>
      </c>
      <c r="F4618" t="s">
        <v>2755</v>
      </c>
      <c r="G4618">
        <v>0</v>
      </c>
      <c r="H4618">
        <v>1</v>
      </c>
      <c r="I4618">
        <v>0</v>
      </c>
      <c r="J4618">
        <v>0</v>
      </c>
      <c r="K4618">
        <v>0</v>
      </c>
      <c r="L4618">
        <f t="shared" si="144"/>
        <v>4.5</v>
      </c>
      <c r="M4618">
        <f t="shared" si="145"/>
        <v>1</v>
      </c>
    </row>
    <row r="4619" spans="1:13" x14ac:dyDescent="0.3">
      <c r="A4619">
        <v>4617</v>
      </c>
      <c r="B4619">
        <v>4618</v>
      </c>
      <c r="C4619" t="s">
        <v>4700</v>
      </c>
      <c r="D4619">
        <v>2017</v>
      </c>
      <c r="F4619" t="s">
        <v>2755</v>
      </c>
      <c r="G4619">
        <v>0</v>
      </c>
      <c r="H4619">
        <v>1</v>
      </c>
      <c r="I4619">
        <v>0</v>
      </c>
      <c r="J4619">
        <v>0</v>
      </c>
      <c r="K4619">
        <v>0</v>
      </c>
      <c r="L4619">
        <f t="shared" si="144"/>
        <v>4.5</v>
      </c>
      <c r="M4619">
        <f t="shared" si="145"/>
        <v>1</v>
      </c>
    </row>
    <row r="4620" spans="1:13" x14ac:dyDescent="0.3">
      <c r="A4620">
        <v>4618</v>
      </c>
      <c r="B4620">
        <v>4619</v>
      </c>
      <c r="C4620" t="s">
        <v>4701</v>
      </c>
      <c r="D4620">
        <v>1986</v>
      </c>
      <c r="E4620" t="s">
        <v>22</v>
      </c>
      <c r="F4620" t="s">
        <v>2755</v>
      </c>
      <c r="G4620">
        <v>0</v>
      </c>
      <c r="H4620">
        <v>1</v>
      </c>
      <c r="I4620">
        <v>0</v>
      </c>
      <c r="J4620">
        <v>0</v>
      </c>
      <c r="K4620">
        <v>0</v>
      </c>
      <c r="L4620">
        <f t="shared" si="144"/>
        <v>4.5</v>
      </c>
      <c r="M4620">
        <f t="shared" si="145"/>
        <v>1</v>
      </c>
    </row>
    <row r="4621" spans="1:13" x14ac:dyDescent="0.3">
      <c r="A4621">
        <v>4619</v>
      </c>
      <c r="B4621">
        <v>4620</v>
      </c>
      <c r="C4621" t="s">
        <v>4702</v>
      </c>
      <c r="D4621">
        <v>2019</v>
      </c>
      <c r="F4621" t="s">
        <v>2833</v>
      </c>
      <c r="G4621">
        <v>0</v>
      </c>
      <c r="H4621">
        <v>1</v>
      </c>
      <c r="I4621">
        <v>0</v>
      </c>
      <c r="J4621">
        <v>0</v>
      </c>
      <c r="K4621">
        <v>0</v>
      </c>
      <c r="L4621">
        <f t="shared" si="144"/>
        <v>4.4000000000000004</v>
      </c>
      <c r="M4621">
        <f t="shared" si="145"/>
        <v>1</v>
      </c>
    </row>
    <row r="4622" spans="1:13" x14ac:dyDescent="0.3">
      <c r="A4622">
        <v>4620</v>
      </c>
      <c r="B4622">
        <v>4621</v>
      </c>
      <c r="C4622" t="s">
        <v>4703</v>
      </c>
      <c r="D4622">
        <v>2019</v>
      </c>
      <c r="F4622" t="s">
        <v>2833</v>
      </c>
      <c r="G4622">
        <v>0</v>
      </c>
      <c r="H4622">
        <v>1</v>
      </c>
      <c r="I4622">
        <v>0</v>
      </c>
      <c r="J4622">
        <v>0</v>
      </c>
      <c r="K4622">
        <v>0</v>
      </c>
      <c r="L4622">
        <f t="shared" si="144"/>
        <v>4.4000000000000004</v>
      </c>
      <c r="M4622">
        <f t="shared" si="145"/>
        <v>1</v>
      </c>
    </row>
    <row r="4623" spans="1:13" x14ac:dyDescent="0.3">
      <c r="A4623">
        <v>4621</v>
      </c>
      <c r="B4623">
        <v>4622</v>
      </c>
      <c r="C4623" t="s">
        <v>4704</v>
      </c>
      <c r="D4623">
        <v>2019</v>
      </c>
      <c r="E4623" t="s">
        <v>22</v>
      </c>
      <c r="F4623" t="s">
        <v>2833</v>
      </c>
      <c r="G4623">
        <v>0</v>
      </c>
      <c r="H4623">
        <v>1</v>
      </c>
      <c r="I4623">
        <v>0</v>
      </c>
      <c r="J4623">
        <v>0</v>
      </c>
      <c r="K4623">
        <v>0</v>
      </c>
      <c r="L4623">
        <f t="shared" si="144"/>
        <v>4.4000000000000004</v>
      </c>
      <c r="M4623">
        <f t="shared" si="145"/>
        <v>1</v>
      </c>
    </row>
    <row r="4624" spans="1:13" x14ac:dyDescent="0.3">
      <c r="A4624">
        <v>4622</v>
      </c>
      <c r="B4624">
        <v>4623</v>
      </c>
      <c r="C4624" t="s">
        <v>4705</v>
      </c>
      <c r="D4624">
        <v>2015</v>
      </c>
      <c r="E4624" t="s">
        <v>36</v>
      </c>
      <c r="F4624" t="s">
        <v>2833</v>
      </c>
      <c r="G4624">
        <v>0</v>
      </c>
      <c r="H4624">
        <v>1</v>
      </c>
      <c r="I4624">
        <v>0</v>
      </c>
      <c r="J4624">
        <v>0</v>
      </c>
      <c r="K4624">
        <v>0</v>
      </c>
      <c r="L4624">
        <f t="shared" si="144"/>
        <v>4.4000000000000004</v>
      </c>
      <c r="M4624">
        <f t="shared" si="145"/>
        <v>1</v>
      </c>
    </row>
    <row r="4625" spans="1:13" x14ac:dyDescent="0.3">
      <c r="A4625">
        <v>4623</v>
      </c>
      <c r="B4625">
        <v>4624</v>
      </c>
      <c r="C4625" t="s">
        <v>4706</v>
      </c>
      <c r="D4625">
        <v>2006</v>
      </c>
      <c r="F4625" t="s">
        <v>2833</v>
      </c>
      <c r="G4625">
        <v>0</v>
      </c>
      <c r="H4625">
        <v>1</v>
      </c>
      <c r="I4625">
        <v>0</v>
      </c>
      <c r="J4625">
        <v>0</v>
      </c>
      <c r="K4625">
        <v>0</v>
      </c>
      <c r="L4625">
        <f t="shared" si="144"/>
        <v>4.4000000000000004</v>
      </c>
      <c r="M4625">
        <f t="shared" si="145"/>
        <v>1</v>
      </c>
    </row>
    <row r="4626" spans="1:13" x14ac:dyDescent="0.3">
      <c r="A4626">
        <v>4624</v>
      </c>
      <c r="B4626">
        <v>4625</v>
      </c>
      <c r="C4626" t="s">
        <v>4707</v>
      </c>
      <c r="D4626">
        <v>2020</v>
      </c>
      <c r="F4626" t="s">
        <v>2833</v>
      </c>
      <c r="G4626">
        <v>0</v>
      </c>
      <c r="H4626">
        <v>1</v>
      </c>
      <c r="I4626">
        <v>0</v>
      </c>
      <c r="J4626">
        <v>0</v>
      </c>
      <c r="K4626">
        <v>0</v>
      </c>
      <c r="L4626">
        <f t="shared" si="144"/>
        <v>4.4000000000000004</v>
      </c>
      <c r="M4626">
        <f t="shared" si="145"/>
        <v>1</v>
      </c>
    </row>
    <row r="4627" spans="1:13" x14ac:dyDescent="0.3">
      <c r="A4627">
        <v>4625</v>
      </c>
      <c r="B4627">
        <v>4626</v>
      </c>
      <c r="C4627" t="s">
        <v>4708</v>
      </c>
      <c r="D4627">
        <v>2021</v>
      </c>
      <c r="E4627" t="s">
        <v>22</v>
      </c>
      <c r="F4627" t="s">
        <v>2833</v>
      </c>
      <c r="G4627">
        <v>0</v>
      </c>
      <c r="H4627">
        <v>1</v>
      </c>
      <c r="I4627">
        <v>0</v>
      </c>
      <c r="J4627">
        <v>0</v>
      </c>
      <c r="K4627">
        <v>0</v>
      </c>
      <c r="L4627">
        <f t="shared" si="144"/>
        <v>4.4000000000000004</v>
      </c>
      <c r="M4627">
        <f t="shared" si="145"/>
        <v>1</v>
      </c>
    </row>
    <row r="4628" spans="1:13" x14ac:dyDescent="0.3">
      <c r="A4628">
        <v>4626</v>
      </c>
      <c r="B4628">
        <v>4627</v>
      </c>
      <c r="C4628" t="s">
        <v>4709</v>
      </c>
      <c r="D4628">
        <v>2020</v>
      </c>
      <c r="E4628" t="s">
        <v>11</v>
      </c>
      <c r="F4628" t="s">
        <v>2833</v>
      </c>
      <c r="G4628">
        <v>0</v>
      </c>
      <c r="H4628">
        <v>1</v>
      </c>
      <c r="I4628">
        <v>0</v>
      </c>
      <c r="J4628">
        <v>0</v>
      </c>
      <c r="K4628">
        <v>0</v>
      </c>
      <c r="L4628">
        <f t="shared" si="144"/>
        <v>4.4000000000000004</v>
      </c>
      <c r="M4628">
        <f t="shared" si="145"/>
        <v>1</v>
      </c>
    </row>
    <row r="4629" spans="1:13" x14ac:dyDescent="0.3">
      <c r="A4629">
        <v>4627</v>
      </c>
      <c r="B4629">
        <v>4628</v>
      </c>
      <c r="C4629" t="s">
        <v>4710</v>
      </c>
      <c r="D4629">
        <v>2020</v>
      </c>
      <c r="F4629" t="s">
        <v>2833</v>
      </c>
      <c r="G4629">
        <v>0</v>
      </c>
      <c r="H4629">
        <v>1</v>
      </c>
      <c r="I4629">
        <v>0</v>
      </c>
      <c r="J4629">
        <v>0</v>
      </c>
      <c r="K4629">
        <v>0</v>
      </c>
      <c r="L4629">
        <f t="shared" si="144"/>
        <v>4.4000000000000004</v>
      </c>
      <c r="M4629">
        <f t="shared" si="145"/>
        <v>1</v>
      </c>
    </row>
    <row r="4630" spans="1:13" x14ac:dyDescent="0.3">
      <c r="A4630">
        <v>4628</v>
      </c>
      <c r="B4630">
        <v>4629</v>
      </c>
      <c r="C4630" t="s">
        <v>4711</v>
      </c>
      <c r="D4630">
        <v>2012</v>
      </c>
      <c r="E4630" t="s">
        <v>14</v>
      </c>
      <c r="F4630" t="s">
        <v>2833</v>
      </c>
      <c r="G4630">
        <v>0</v>
      </c>
      <c r="H4630">
        <v>1</v>
      </c>
      <c r="I4630">
        <v>0</v>
      </c>
      <c r="J4630">
        <v>0</v>
      </c>
      <c r="K4630">
        <v>0</v>
      </c>
      <c r="L4630">
        <f t="shared" si="144"/>
        <v>4.4000000000000004</v>
      </c>
      <c r="M4630">
        <f t="shared" si="145"/>
        <v>1</v>
      </c>
    </row>
    <row r="4631" spans="1:13" x14ac:dyDescent="0.3">
      <c r="A4631">
        <v>4629</v>
      </c>
      <c r="B4631">
        <v>4630</v>
      </c>
      <c r="C4631" t="s">
        <v>4712</v>
      </c>
      <c r="D4631">
        <v>2020</v>
      </c>
      <c r="F4631" t="s">
        <v>2833</v>
      </c>
      <c r="G4631">
        <v>0</v>
      </c>
      <c r="H4631">
        <v>1</v>
      </c>
      <c r="I4631">
        <v>0</v>
      </c>
      <c r="J4631">
        <v>0</v>
      </c>
      <c r="K4631">
        <v>0</v>
      </c>
      <c r="L4631">
        <f t="shared" si="144"/>
        <v>4.4000000000000004</v>
      </c>
      <c r="M4631">
        <f t="shared" si="145"/>
        <v>1</v>
      </c>
    </row>
    <row r="4632" spans="1:13" x14ac:dyDescent="0.3">
      <c r="A4632">
        <v>4630</v>
      </c>
      <c r="B4632">
        <v>4631</v>
      </c>
      <c r="C4632" t="s">
        <v>4713</v>
      </c>
      <c r="D4632">
        <v>2017</v>
      </c>
      <c r="F4632" t="s">
        <v>2833</v>
      </c>
      <c r="G4632">
        <v>0</v>
      </c>
      <c r="H4632">
        <v>1</v>
      </c>
      <c r="I4632">
        <v>1</v>
      </c>
      <c r="J4632">
        <v>0</v>
      </c>
      <c r="K4632">
        <v>0</v>
      </c>
      <c r="L4632">
        <f t="shared" si="144"/>
        <v>4.4000000000000004</v>
      </c>
      <c r="M4632">
        <f t="shared" si="145"/>
        <v>2</v>
      </c>
    </row>
    <row r="4633" spans="1:13" x14ac:dyDescent="0.3">
      <c r="A4633">
        <v>4631</v>
      </c>
      <c r="B4633">
        <v>4632</v>
      </c>
      <c r="C4633" t="s">
        <v>4714</v>
      </c>
      <c r="D4633">
        <v>2019</v>
      </c>
      <c r="F4633" t="s">
        <v>2833</v>
      </c>
      <c r="G4633">
        <v>0</v>
      </c>
      <c r="H4633">
        <v>1</v>
      </c>
      <c r="I4633">
        <v>0</v>
      </c>
      <c r="J4633">
        <v>0</v>
      </c>
      <c r="K4633">
        <v>0</v>
      </c>
      <c r="L4633">
        <f t="shared" si="144"/>
        <v>4.4000000000000004</v>
      </c>
      <c r="M4633">
        <f t="shared" si="145"/>
        <v>1</v>
      </c>
    </row>
    <row r="4634" spans="1:13" x14ac:dyDescent="0.3">
      <c r="A4634">
        <v>4632</v>
      </c>
      <c r="B4634">
        <v>4633</v>
      </c>
      <c r="C4634" t="s">
        <v>4715</v>
      </c>
      <c r="D4634">
        <v>2018</v>
      </c>
      <c r="F4634" t="s">
        <v>2833</v>
      </c>
      <c r="G4634">
        <v>0</v>
      </c>
      <c r="H4634">
        <v>1</v>
      </c>
      <c r="I4634">
        <v>0</v>
      </c>
      <c r="J4634">
        <v>0</v>
      </c>
      <c r="K4634">
        <v>0</v>
      </c>
      <c r="L4634">
        <f t="shared" si="144"/>
        <v>4.4000000000000004</v>
      </c>
      <c r="M4634">
        <f t="shared" si="145"/>
        <v>1</v>
      </c>
    </row>
    <row r="4635" spans="1:13" x14ac:dyDescent="0.3">
      <c r="A4635">
        <v>4633</v>
      </c>
      <c r="B4635">
        <v>4634</v>
      </c>
      <c r="C4635" t="s">
        <v>4716</v>
      </c>
      <c r="D4635">
        <v>2020</v>
      </c>
      <c r="F4635" t="s">
        <v>2833</v>
      </c>
      <c r="G4635">
        <v>0</v>
      </c>
      <c r="H4635">
        <v>1</v>
      </c>
      <c r="I4635">
        <v>0</v>
      </c>
      <c r="J4635">
        <v>0</v>
      </c>
      <c r="K4635">
        <v>0</v>
      </c>
      <c r="L4635">
        <f t="shared" si="144"/>
        <v>4.4000000000000004</v>
      </c>
      <c r="M4635">
        <f t="shared" si="145"/>
        <v>1</v>
      </c>
    </row>
    <row r="4636" spans="1:13" x14ac:dyDescent="0.3">
      <c r="A4636">
        <v>4634</v>
      </c>
      <c r="B4636">
        <v>4635</v>
      </c>
      <c r="C4636" t="s">
        <v>4717</v>
      </c>
      <c r="D4636">
        <v>2021</v>
      </c>
      <c r="E4636" t="s">
        <v>11</v>
      </c>
      <c r="F4636" t="s">
        <v>2833</v>
      </c>
      <c r="G4636">
        <v>0</v>
      </c>
      <c r="H4636">
        <v>1</v>
      </c>
      <c r="I4636">
        <v>0</v>
      </c>
      <c r="J4636">
        <v>0</v>
      </c>
      <c r="K4636">
        <v>0</v>
      </c>
      <c r="L4636">
        <f t="shared" si="144"/>
        <v>4.4000000000000004</v>
      </c>
      <c r="M4636">
        <f t="shared" si="145"/>
        <v>1</v>
      </c>
    </row>
    <row r="4637" spans="1:13" x14ac:dyDescent="0.3">
      <c r="A4637">
        <v>4635</v>
      </c>
      <c r="B4637">
        <v>4636</v>
      </c>
      <c r="C4637" t="s">
        <v>4718</v>
      </c>
      <c r="D4637">
        <v>2013</v>
      </c>
      <c r="E4637" t="s">
        <v>22</v>
      </c>
      <c r="F4637" t="s">
        <v>2833</v>
      </c>
      <c r="G4637">
        <v>0</v>
      </c>
      <c r="H4637">
        <v>1</v>
      </c>
      <c r="I4637">
        <v>0</v>
      </c>
      <c r="J4637">
        <v>0</v>
      </c>
      <c r="K4637">
        <v>0</v>
      </c>
      <c r="L4637">
        <f t="shared" si="144"/>
        <v>4.4000000000000004</v>
      </c>
      <c r="M4637">
        <f t="shared" si="145"/>
        <v>1</v>
      </c>
    </row>
    <row r="4638" spans="1:13" x14ac:dyDescent="0.3">
      <c r="A4638">
        <v>4636</v>
      </c>
      <c r="B4638">
        <v>4637</v>
      </c>
      <c r="C4638" t="s">
        <v>4719</v>
      </c>
      <c r="D4638">
        <v>2019</v>
      </c>
      <c r="F4638" t="s">
        <v>2833</v>
      </c>
      <c r="G4638">
        <v>0</v>
      </c>
      <c r="H4638">
        <v>1</v>
      </c>
      <c r="I4638">
        <v>0</v>
      </c>
      <c r="J4638">
        <v>0</v>
      </c>
      <c r="K4638">
        <v>0</v>
      </c>
      <c r="L4638">
        <f t="shared" si="144"/>
        <v>4.4000000000000004</v>
      </c>
      <c r="M4638">
        <f t="shared" si="145"/>
        <v>1</v>
      </c>
    </row>
    <row r="4639" spans="1:13" x14ac:dyDescent="0.3">
      <c r="A4639">
        <v>4637</v>
      </c>
      <c r="B4639">
        <v>4638</v>
      </c>
      <c r="C4639" t="s">
        <v>4720</v>
      </c>
      <c r="D4639">
        <v>2015</v>
      </c>
      <c r="F4639" t="s">
        <v>2833</v>
      </c>
      <c r="G4639">
        <v>0</v>
      </c>
      <c r="H4639">
        <v>1</v>
      </c>
      <c r="I4639">
        <v>0</v>
      </c>
      <c r="J4639">
        <v>0</v>
      </c>
      <c r="K4639">
        <v>0</v>
      </c>
      <c r="L4639">
        <f t="shared" si="144"/>
        <v>4.4000000000000004</v>
      </c>
      <c r="M4639">
        <f t="shared" si="145"/>
        <v>1</v>
      </c>
    </row>
    <row r="4640" spans="1:13" x14ac:dyDescent="0.3">
      <c r="A4640">
        <v>4638</v>
      </c>
      <c r="B4640">
        <v>4639</v>
      </c>
      <c r="C4640" t="s">
        <v>4721</v>
      </c>
      <c r="D4640">
        <v>2017</v>
      </c>
      <c r="E4640" t="s">
        <v>28</v>
      </c>
      <c r="F4640" t="s">
        <v>2833</v>
      </c>
      <c r="G4640">
        <v>0</v>
      </c>
      <c r="H4640">
        <v>1</v>
      </c>
      <c r="I4640">
        <v>0</v>
      </c>
      <c r="J4640">
        <v>0</v>
      </c>
      <c r="K4640">
        <v>0</v>
      </c>
      <c r="L4640">
        <f t="shared" si="144"/>
        <v>4.4000000000000004</v>
      </c>
      <c r="M4640">
        <f t="shared" si="145"/>
        <v>1</v>
      </c>
    </row>
    <row r="4641" spans="1:13" x14ac:dyDescent="0.3">
      <c r="A4641">
        <v>4639</v>
      </c>
      <c r="B4641">
        <v>4640</v>
      </c>
      <c r="C4641" t="s">
        <v>4722</v>
      </c>
      <c r="D4641">
        <v>2017</v>
      </c>
      <c r="E4641" t="s">
        <v>28</v>
      </c>
      <c r="F4641" t="s">
        <v>2941</v>
      </c>
      <c r="G4641">
        <v>0</v>
      </c>
      <c r="H4641">
        <v>1</v>
      </c>
      <c r="I4641">
        <v>0</v>
      </c>
      <c r="J4641">
        <v>0</v>
      </c>
      <c r="K4641">
        <v>0</v>
      </c>
      <c r="L4641">
        <f t="shared" si="144"/>
        <v>4.3</v>
      </c>
      <c r="M4641">
        <f t="shared" si="145"/>
        <v>1</v>
      </c>
    </row>
    <row r="4642" spans="1:13" x14ac:dyDescent="0.3">
      <c r="A4642">
        <v>4640</v>
      </c>
      <c r="B4642">
        <v>4641</v>
      </c>
      <c r="C4642" t="s">
        <v>4723</v>
      </c>
      <c r="D4642">
        <v>2017</v>
      </c>
      <c r="E4642" t="s">
        <v>14</v>
      </c>
      <c r="F4642" t="s">
        <v>2941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f t="shared" si="144"/>
        <v>4.3</v>
      </c>
      <c r="M4642">
        <f t="shared" si="145"/>
        <v>1</v>
      </c>
    </row>
    <row r="4643" spans="1:13" x14ac:dyDescent="0.3">
      <c r="A4643">
        <v>4641</v>
      </c>
      <c r="B4643">
        <v>4642</v>
      </c>
      <c r="C4643" t="s">
        <v>4724</v>
      </c>
      <c r="D4643">
        <v>2005</v>
      </c>
      <c r="E4643" t="s">
        <v>36</v>
      </c>
      <c r="F4643" t="s">
        <v>2941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f t="shared" si="144"/>
        <v>4.3</v>
      </c>
      <c r="M4643">
        <f t="shared" si="145"/>
        <v>1</v>
      </c>
    </row>
    <row r="4644" spans="1:13" x14ac:dyDescent="0.3">
      <c r="A4644">
        <v>4642</v>
      </c>
      <c r="B4644">
        <v>4643</v>
      </c>
      <c r="C4644" t="s">
        <v>4725</v>
      </c>
      <c r="D4644">
        <v>2012</v>
      </c>
      <c r="E4644" t="s">
        <v>11</v>
      </c>
      <c r="F4644" t="s">
        <v>2941</v>
      </c>
      <c r="G4644">
        <v>0</v>
      </c>
      <c r="H4644">
        <v>1</v>
      </c>
      <c r="I4644">
        <v>1</v>
      </c>
      <c r="J4644">
        <v>0</v>
      </c>
      <c r="K4644">
        <v>0</v>
      </c>
      <c r="L4644">
        <f t="shared" si="144"/>
        <v>4.3</v>
      </c>
      <c r="M4644">
        <f t="shared" si="145"/>
        <v>2</v>
      </c>
    </row>
    <row r="4645" spans="1:13" x14ac:dyDescent="0.3">
      <c r="A4645">
        <v>4643</v>
      </c>
      <c r="B4645">
        <v>4644</v>
      </c>
      <c r="C4645" t="s">
        <v>4726</v>
      </c>
      <c r="D4645">
        <v>2019</v>
      </c>
      <c r="F4645" t="s">
        <v>2941</v>
      </c>
      <c r="G4645">
        <v>0</v>
      </c>
      <c r="H4645">
        <v>1</v>
      </c>
      <c r="I4645">
        <v>0</v>
      </c>
      <c r="J4645">
        <v>0</v>
      </c>
      <c r="K4645">
        <v>0</v>
      </c>
      <c r="L4645">
        <f t="shared" si="144"/>
        <v>4.3</v>
      </c>
      <c r="M4645">
        <f t="shared" si="145"/>
        <v>1</v>
      </c>
    </row>
    <row r="4646" spans="1:13" x14ac:dyDescent="0.3">
      <c r="A4646">
        <v>4644</v>
      </c>
      <c r="B4646">
        <v>4645</v>
      </c>
      <c r="C4646" t="s">
        <v>4727</v>
      </c>
      <c r="D4646">
        <v>2020</v>
      </c>
      <c r="F4646" t="s">
        <v>2941</v>
      </c>
      <c r="G4646">
        <v>0</v>
      </c>
      <c r="H4646">
        <v>1</v>
      </c>
      <c r="I4646">
        <v>0</v>
      </c>
      <c r="J4646">
        <v>0</v>
      </c>
      <c r="K4646">
        <v>0</v>
      </c>
      <c r="L4646">
        <f t="shared" si="144"/>
        <v>4.3</v>
      </c>
      <c r="M4646">
        <f t="shared" si="145"/>
        <v>1</v>
      </c>
    </row>
    <row r="4647" spans="1:13" x14ac:dyDescent="0.3">
      <c r="A4647">
        <v>4645</v>
      </c>
      <c r="B4647">
        <v>4646</v>
      </c>
      <c r="C4647" t="s">
        <v>4728</v>
      </c>
      <c r="D4647">
        <v>2019</v>
      </c>
      <c r="E4647" t="s">
        <v>14</v>
      </c>
      <c r="F4647" t="s">
        <v>2941</v>
      </c>
      <c r="G4647">
        <v>0</v>
      </c>
      <c r="H4647">
        <v>1</v>
      </c>
      <c r="I4647">
        <v>1</v>
      </c>
      <c r="J4647">
        <v>0</v>
      </c>
      <c r="K4647">
        <v>0</v>
      </c>
      <c r="L4647">
        <f t="shared" si="144"/>
        <v>4.3</v>
      </c>
      <c r="M4647">
        <f t="shared" si="145"/>
        <v>2</v>
      </c>
    </row>
    <row r="4648" spans="1:13" x14ac:dyDescent="0.3">
      <c r="A4648">
        <v>4646</v>
      </c>
      <c r="B4648">
        <v>4647</v>
      </c>
      <c r="C4648" t="s">
        <v>4729</v>
      </c>
      <c r="D4648">
        <v>2017</v>
      </c>
      <c r="F4648" t="s">
        <v>2941</v>
      </c>
      <c r="G4648">
        <v>0</v>
      </c>
      <c r="H4648">
        <v>1</v>
      </c>
      <c r="I4648">
        <v>0</v>
      </c>
      <c r="J4648">
        <v>0</v>
      </c>
      <c r="K4648">
        <v>0</v>
      </c>
      <c r="L4648">
        <f t="shared" si="144"/>
        <v>4.3</v>
      </c>
      <c r="M4648">
        <f t="shared" si="145"/>
        <v>1</v>
      </c>
    </row>
    <row r="4649" spans="1:13" x14ac:dyDescent="0.3">
      <c r="A4649">
        <v>4647</v>
      </c>
      <c r="B4649">
        <v>4648</v>
      </c>
      <c r="C4649" t="s">
        <v>4730</v>
      </c>
      <c r="D4649">
        <v>2019</v>
      </c>
      <c r="F4649" t="s">
        <v>2941</v>
      </c>
      <c r="G4649">
        <v>0</v>
      </c>
      <c r="H4649">
        <v>1</v>
      </c>
      <c r="I4649">
        <v>0</v>
      </c>
      <c r="J4649">
        <v>0</v>
      </c>
      <c r="K4649">
        <v>0</v>
      </c>
      <c r="L4649">
        <f t="shared" si="144"/>
        <v>4.3</v>
      </c>
      <c r="M4649">
        <f t="shared" si="145"/>
        <v>1</v>
      </c>
    </row>
    <row r="4650" spans="1:13" x14ac:dyDescent="0.3">
      <c r="A4650">
        <v>4648</v>
      </c>
      <c r="B4650">
        <v>4649</v>
      </c>
      <c r="C4650" t="s">
        <v>4731</v>
      </c>
      <c r="D4650">
        <v>2018</v>
      </c>
      <c r="E4650" t="s">
        <v>14</v>
      </c>
      <c r="F4650" t="s">
        <v>2941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f t="shared" si="144"/>
        <v>4.3</v>
      </c>
      <c r="M4650">
        <f t="shared" si="145"/>
        <v>1</v>
      </c>
    </row>
    <row r="4651" spans="1:13" x14ac:dyDescent="0.3">
      <c r="A4651">
        <v>4649</v>
      </c>
      <c r="B4651">
        <v>4650</v>
      </c>
      <c r="C4651" t="s">
        <v>4732</v>
      </c>
      <c r="D4651">
        <v>2010</v>
      </c>
      <c r="E4651" t="s">
        <v>28</v>
      </c>
      <c r="F4651" t="s">
        <v>2941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f t="shared" si="144"/>
        <v>4.3</v>
      </c>
      <c r="M4651">
        <f t="shared" si="145"/>
        <v>1</v>
      </c>
    </row>
    <row r="4652" spans="1:13" x14ac:dyDescent="0.3">
      <c r="A4652">
        <v>4650</v>
      </c>
      <c r="B4652">
        <v>4651</v>
      </c>
      <c r="C4652" t="s">
        <v>4733</v>
      </c>
      <c r="D4652">
        <v>2019</v>
      </c>
      <c r="F4652" t="s">
        <v>2941</v>
      </c>
      <c r="G4652">
        <v>0</v>
      </c>
      <c r="H4652">
        <v>1</v>
      </c>
      <c r="I4652">
        <v>0</v>
      </c>
      <c r="J4652">
        <v>0</v>
      </c>
      <c r="K4652">
        <v>0</v>
      </c>
      <c r="L4652">
        <f t="shared" si="144"/>
        <v>4.3</v>
      </c>
      <c r="M4652">
        <f t="shared" si="145"/>
        <v>1</v>
      </c>
    </row>
    <row r="4653" spans="1:13" x14ac:dyDescent="0.3">
      <c r="A4653">
        <v>4651</v>
      </c>
      <c r="B4653">
        <v>4652</v>
      </c>
      <c r="C4653" t="s">
        <v>4734</v>
      </c>
      <c r="D4653">
        <v>2018</v>
      </c>
      <c r="E4653" t="s">
        <v>14</v>
      </c>
      <c r="F4653" t="s">
        <v>2941</v>
      </c>
      <c r="G4653">
        <v>0</v>
      </c>
      <c r="H4653">
        <v>1</v>
      </c>
      <c r="I4653">
        <v>0</v>
      </c>
      <c r="J4653">
        <v>0</v>
      </c>
      <c r="K4653">
        <v>0</v>
      </c>
      <c r="L4653">
        <f t="shared" si="144"/>
        <v>4.3</v>
      </c>
      <c r="M4653">
        <f t="shared" si="145"/>
        <v>1</v>
      </c>
    </row>
    <row r="4654" spans="1:13" x14ac:dyDescent="0.3">
      <c r="A4654">
        <v>4652</v>
      </c>
      <c r="B4654">
        <v>4653</v>
      </c>
      <c r="C4654" t="s">
        <v>4735</v>
      </c>
      <c r="D4654">
        <v>2019</v>
      </c>
      <c r="F4654" t="s">
        <v>2941</v>
      </c>
      <c r="G4654">
        <v>0</v>
      </c>
      <c r="H4654">
        <v>1</v>
      </c>
      <c r="I4654">
        <v>0</v>
      </c>
      <c r="J4654">
        <v>0</v>
      </c>
      <c r="K4654">
        <v>0</v>
      </c>
      <c r="L4654">
        <f t="shared" si="144"/>
        <v>4.3</v>
      </c>
      <c r="M4654">
        <f t="shared" si="145"/>
        <v>1</v>
      </c>
    </row>
    <row r="4655" spans="1:13" x14ac:dyDescent="0.3">
      <c r="A4655">
        <v>4653</v>
      </c>
      <c r="B4655">
        <v>4654</v>
      </c>
      <c r="C4655" t="s">
        <v>4736</v>
      </c>
      <c r="D4655">
        <v>1994</v>
      </c>
      <c r="F4655" t="s">
        <v>2941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f t="shared" si="144"/>
        <v>4.3</v>
      </c>
      <c r="M4655">
        <f t="shared" si="145"/>
        <v>1</v>
      </c>
    </row>
    <row r="4656" spans="1:13" x14ac:dyDescent="0.3">
      <c r="A4656">
        <v>4654</v>
      </c>
      <c r="B4656">
        <v>4655</v>
      </c>
      <c r="C4656" t="s">
        <v>4737</v>
      </c>
      <c r="D4656">
        <v>2019</v>
      </c>
      <c r="F4656" t="s">
        <v>2941</v>
      </c>
      <c r="G4656">
        <v>0</v>
      </c>
      <c r="H4656">
        <v>1</v>
      </c>
      <c r="I4656">
        <v>1</v>
      </c>
      <c r="J4656">
        <v>0</v>
      </c>
      <c r="K4656">
        <v>0</v>
      </c>
      <c r="L4656">
        <f t="shared" si="144"/>
        <v>4.3</v>
      </c>
      <c r="M4656">
        <f t="shared" si="145"/>
        <v>2</v>
      </c>
    </row>
    <row r="4657" spans="1:13" x14ac:dyDescent="0.3">
      <c r="A4657">
        <v>4655</v>
      </c>
      <c r="B4657">
        <v>4656</v>
      </c>
      <c r="C4657" t="s">
        <v>4738</v>
      </c>
      <c r="D4657">
        <v>2009</v>
      </c>
      <c r="E4657" t="s">
        <v>36</v>
      </c>
      <c r="F4657" t="s">
        <v>2941</v>
      </c>
      <c r="G4657">
        <v>0</v>
      </c>
      <c r="H4657">
        <v>1</v>
      </c>
      <c r="I4657">
        <v>0</v>
      </c>
      <c r="J4657">
        <v>0</v>
      </c>
      <c r="K4657">
        <v>0</v>
      </c>
      <c r="L4657">
        <f t="shared" si="144"/>
        <v>4.3</v>
      </c>
      <c r="M4657">
        <f t="shared" si="145"/>
        <v>1</v>
      </c>
    </row>
    <row r="4658" spans="1:13" x14ac:dyDescent="0.3">
      <c r="A4658">
        <v>4656</v>
      </c>
      <c r="B4658">
        <v>4657</v>
      </c>
      <c r="C4658" t="s">
        <v>4739</v>
      </c>
      <c r="D4658">
        <v>2019</v>
      </c>
      <c r="F4658" t="s">
        <v>2941</v>
      </c>
      <c r="G4658">
        <v>0</v>
      </c>
      <c r="H4658">
        <v>1</v>
      </c>
      <c r="I4658">
        <v>0</v>
      </c>
      <c r="J4658">
        <v>0</v>
      </c>
      <c r="K4658">
        <v>0</v>
      </c>
      <c r="L4658">
        <f t="shared" si="144"/>
        <v>4.3</v>
      </c>
      <c r="M4658">
        <f t="shared" si="145"/>
        <v>1</v>
      </c>
    </row>
    <row r="4659" spans="1:13" x14ac:dyDescent="0.3">
      <c r="A4659">
        <v>4657</v>
      </c>
      <c r="B4659">
        <v>4658</v>
      </c>
      <c r="C4659" t="s">
        <v>4740</v>
      </c>
      <c r="D4659">
        <v>2019</v>
      </c>
      <c r="F4659" t="s">
        <v>3038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f t="shared" si="144"/>
        <v>4.2</v>
      </c>
      <c r="M4659">
        <f t="shared" si="145"/>
        <v>1</v>
      </c>
    </row>
    <row r="4660" spans="1:13" x14ac:dyDescent="0.3">
      <c r="A4660">
        <v>4658</v>
      </c>
      <c r="B4660">
        <v>4659</v>
      </c>
      <c r="C4660" t="s">
        <v>4741</v>
      </c>
      <c r="D4660">
        <v>2019</v>
      </c>
      <c r="F4660" t="s">
        <v>3038</v>
      </c>
      <c r="G4660">
        <v>0</v>
      </c>
      <c r="H4660">
        <v>1</v>
      </c>
      <c r="I4660">
        <v>1</v>
      </c>
      <c r="J4660">
        <v>0</v>
      </c>
      <c r="K4660">
        <v>0</v>
      </c>
      <c r="L4660">
        <f t="shared" si="144"/>
        <v>4.2</v>
      </c>
      <c r="M4660">
        <f t="shared" si="145"/>
        <v>2</v>
      </c>
    </row>
    <row r="4661" spans="1:13" x14ac:dyDescent="0.3">
      <c r="A4661">
        <v>4659</v>
      </c>
      <c r="B4661">
        <v>4660</v>
      </c>
      <c r="C4661" t="s">
        <v>4742</v>
      </c>
      <c r="D4661">
        <v>2019</v>
      </c>
      <c r="F4661" t="s">
        <v>3038</v>
      </c>
      <c r="G4661">
        <v>0</v>
      </c>
      <c r="H4661">
        <v>1</v>
      </c>
      <c r="I4661">
        <v>0</v>
      </c>
      <c r="J4661">
        <v>0</v>
      </c>
      <c r="K4661">
        <v>0</v>
      </c>
      <c r="L4661">
        <f t="shared" si="144"/>
        <v>4.2</v>
      </c>
      <c r="M4661">
        <f t="shared" si="145"/>
        <v>1</v>
      </c>
    </row>
    <row r="4662" spans="1:13" x14ac:dyDescent="0.3">
      <c r="A4662">
        <v>4660</v>
      </c>
      <c r="B4662">
        <v>4661</v>
      </c>
      <c r="C4662" t="s">
        <v>4743</v>
      </c>
      <c r="D4662">
        <v>2019</v>
      </c>
      <c r="E4662" t="s">
        <v>11</v>
      </c>
      <c r="F4662" t="s">
        <v>3038</v>
      </c>
      <c r="G4662">
        <v>0</v>
      </c>
      <c r="H4662">
        <v>1</v>
      </c>
      <c r="I4662">
        <v>0</v>
      </c>
      <c r="J4662">
        <v>0</v>
      </c>
      <c r="K4662">
        <v>0</v>
      </c>
      <c r="L4662">
        <f t="shared" si="144"/>
        <v>4.2</v>
      </c>
      <c r="M4662">
        <f t="shared" si="145"/>
        <v>1</v>
      </c>
    </row>
    <row r="4663" spans="1:13" x14ac:dyDescent="0.3">
      <c r="A4663">
        <v>4661</v>
      </c>
      <c r="B4663">
        <v>4662</v>
      </c>
      <c r="C4663" t="s">
        <v>4744</v>
      </c>
      <c r="D4663">
        <v>2011</v>
      </c>
      <c r="F4663" t="s">
        <v>3038</v>
      </c>
      <c r="G4663">
        <v>0</v>
      </c>
      <c r="H4663">
        <v>1</v>
      </c>
      <c r="I4663">
        <v>0</v>
      </c>
      <c r="J4663">
        <v>0</v>
      </c>
      <c r="K4663">
        <v>0</v>
      </c>
      <c r="L4663">
        <f t="shared" si="144"/>
        <v>4.2</v>
      </c>
      <c r="M4663">
        <f t="shared" si="145"/>
        <v>1</v>
      </c>
    </row>
    <row r="4664" spans="1:13" x14ac:dyDescent="0.3">
      <c r="A4664">
        <v>4662</v>
      </c>
      <c r="B4664">
        <v>4663</v>
      </c>
      <c r="C4664" t="s">
        <v>4745</v>
      </c>
      <c r="D4664">
        <v>2020</v>
      </c>
      <c r="F4664" t="s">
        <v>3038</v>
      </c>
      <c r="G4664">
        <v>0</v>
      </c>
      <c r="H4664">
        <v>1</v>
      </c>
      <c r="I4664">
        <v>0</v>
      </c>
      <c r="J4664">
        <v>0</v>
      </c>
      <c r="K4664">
        <v>0</v>
      </c>
      <c r="L4664">
        <f t="shared" si="144"/>
        <v>4.2</v>
      </c>
      <c r="M4664">
        <f t="shared" si="145"/>
        <v>1</v>
      </c>
    </row>
    <row r="4665" spans="1:13" x14ac:dyDescent="0.3">
      <c r="A4665">
        <v>4663</v>
      </c>
      <c r="B4665">
        <v>4664</v>
      </c>
      <c r="C4665" t="s">
        <v>4746</v>
      </c>
      <c r="D4665">
        <v>2019</v>
      </c>
      <c r="E4665" t="s">
        <v>36</v>
      </c>
      <c r="F4665" t="s">
        <v>3038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f t="shared" si="144"/>
        <v>4.2</v>
      </c>
      <c r="M4665">
        <f t="shared" si="145"/>
        <v>1</v>
      </c>
    </row>
    <row r="4666" spans="1:13" x14ac:dyDescent="0.3">
      <c r="A4666">
        <v>4664</v>
      </c>
      <c r="B4666">
        <v>4665</v>
      </c>
      <c r="C4666" t="s">
        <v>4747</v>
      </c>
      <c r="D4666">
        <v>2016</v>
      </c>
      <c r="F4666" t="s">
        <v>3129</v>
      </c>
      <c r="G4666">
        <v>0</v>
      </c>
      <c r="H4666">
        <v>1</v>
      </c>
      <c r="I4666">
        <v>0</v>
      </c>
      <c r="J4666">
        <v>0</v>
      </c>
      <c r="K4666">
        <v>0</v>
      </c>
      <c r="L4666">
        <f t="shared" si="144"/>
        <v>4.0999999999999996</v>
      </c>
      <c r="M4666">
        <f t="shared" si="145"/>
        <v>1</v>
      </c>
    </row>
    <row r="4667" spans="1:13" x14ac:dyDescent="0.3">
      <c r="A4667">
        <v>4665</v>
      </c>
      <c r="B4667">
        <v>4666</v>
      </c>
      <c r="C4667" t="s">
        <v>4748</v>
      </c>
      <c r="D4667">
        <v>2021</v>
      </c>
      <c r="F4667" t="s">
        <v>3129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f t="shared" si="144"/>
        <v>4.0999999999999996</v>
      </c>
      <c r="M4667">
        <f t="shared" si="145"/>
        <v>1</v>
      </c>
    </row>
    <row r="4668" spans="1:13" x14ac:dyDescent="0.3">
      <c r="A4668">
        <v>4666</v>
      </c>
      <c r="B4668">
        <v>4667</v>
      </c>
      <c r="C4668" t="s">
        <v>4749</v>
      </c>
      <c r="D4668">
        <v>2000</v>
      </c>
      <c r="F4668" t="s">
        <v>3129</v>
      </c>
      <c r="G4668">
        <v>0</v>
      </c>
      <c r="H4668">
        <v>1</v>
      </c>
      <c r="I4668">
        <v>0</v>
      </c>
      <c r="J4668">
        <v>0</v>
      </c>
      <c r="K4668">
        <v>0</v>
      </c>
      <c r="L4668">
        <f t="shared" si="144"/>
        <v>4.0999999999999996</v>
      </c>
      <c r="M4668">
        <f t="shared" si="145"/>
        <v>1</v>
      </c>
    </row>
    <row r="4669" spans="1:13" x14ac:dyDescent="0.3">
      <c r="A4669">
        <v>4667</v>
      </c>
      <c r="B4669">
        <v>4668</v>
      </c>
      <c r="C4669" t="s">
        <v>4750</v>
      </c>
      <c r="D4669">
        <v>2017</v>
      </c>
      <c r="E4669" t="s">
        <v>28</v>
      </c>
      <c r="F4669" t="s">
        <v>3129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f t="shared" si="144"/>
        <v>4.0999999999999996</v>
      </c>
      <c r="M4669">
        <f t="shared" si="145"/>
        <v>1</v>
      </c>
    </row>
    <row r="4670" spans="1:13" x14ac:dyDescent="0.3">
      <c r="A4670">
        <v>4668</v>
      </c>
      <c r="B4670">
        <v>4669</v>
      </c>
      <c r="C4670" t="s">
        <v>4751</v>
      </c>
      <c r="D4670">
        <v>2011</v>
      </c>
      <c r="E4670" t="s">
        <v>22</v>
      </c>
      <c r="F4670" t="s">
        <v>3129</v>
      </c>
      <c r="G4670">
        <v>0</v>
      </c>
      <c r="H4670">
        <v>1</v>
      </c>
      <c r="I4670">
        <v>1</v>
      </c>
      <c r="J4670">
        <v>0</v>
      </c>
      <c r="K4670">
        <v>0</v>
      </c>
      <c r="L4670">
        <f t="shared" si="144"/>
        <v>4.0999999999999996</v>
      </c>
      <c r="M4670">
        <f t="shared" si="145"/>
        <v>2</v>
      </c>
    </row>
    <row r="4671" spans="1:13" x14ac:dyDescent="0.3">
      <c r="A4671">
        <v>4669</v>
      </c>
      <c r="B4671">
        <v>4670</v>
      </c>
      <c r="C4671" t="s">
        <v>4752</v>
      </c>
      <c r="D4671">
        <v>2018</v>
      </c>
      <c r="F4671" t="s">
        <v>3129</v>
      </c>
      <c r="G4671">
        <v>0</v>
      </c>
      <c r="H4671">
        <v>1</v>
      </c>
      <c r="I4671">
        <v>0</v>
      </c>
      <c r="J4671">
        <v>0</v>
      </c>
      <c r="K4671">
        <v>0</v>
      </c>
      <c r="L4671">
        <f t="shared" si="144"/>
        <v>4.0999999999999996</v>
      </c>
      <c r="M4671">
        <f t="shared" si="145"/>
        <v>1</v>
      </c>
    </row>
    <row r="4672" spans="1:13" x14ac:dyDescent="0.3">
      <c r="A4672">
        <v>4670</v>
      </c>
      <c r="B4672">
        <v>4671</v>
      </c>
      <c r="C4672" t="s">
        <v>4753</v>
      </c>
      <c r="D4672">
        <v>1993</v>
      </c>
      <c r="E4672" t="s">
        <v>36</v>
      </c>
      <c r="F4672" t="s">
        <v>3129</v>
      </c>
      <c r="G4672">
        <v>0</v>
      </c>
      <c r="H4672">
        <v>1</v>
      </c>
      <c r="I4672">
        <v>0</v>
      </c>
      <c r="J4672">
        <v>0</v>
      </c>
      <c r="K4672">
        <v>0</v>
      </c>
      <c r="L4672">
        <f t="shared" si="144"/>
        <v>4.0999999999999996</v>
      </c>
      <c r="M4672">
        <f t="shared" si="145"/>
        <v>1</v>
      </c>
    </row>
    <row r="4673" spans="1:13" x14ac:dyDescent="0.3">
      <c r="A4673">
        <v>4671</v>
      </c>
      <c r="B4673">
        <v>4672</v>
      </c>
      <c r="C4673" t="s">
        <v>4754</v>
      </c>
      <c r="D4673">
        <v>2019</v>
      </c>
      <c r="E4673" t="s">
        <v>36</v>
      </c>
      <c r="F4673" t="s">
        <v>3129</v>
      </c>
      <c r="G4673">
        <v>0</v>
      </c>
      <c r="H4673">
        <v>1</v>
      </c>
      <c r="I4673">
        <v>0</v>
      </c>
      <c r="J4673">
        <v>0</v>
      </c>
      <c r="K4673">
        <v>0</v>
      </c>
      <c r="L4673">
        <f t="shared" si="144"/>
        <v>4.0999999999999996</v>
      </c>
      <c r="M4673">
        <f t="shared" si="145"/>
        <v>1</v>
      </c>
    </row>
    <row r="4674" spans="1:13" x14ac:dyDescent="0.3">
      <c r="A4674">
        <v>4672</v>
      </c>
      <c r="B4674">
        <v>4673</v>
      </c>
      <c r="C4674" t="s">
        <v>4755</v>
      </c>
      <c r="D4674">
        <v>2015</v>
      </c>
      <c r="F4674" t="s">
        <v>3129</v>
      </c>
      <c r="G4674">
        <v>0</v>
      </c>
      <c r="H4674">
        <v>1</v>
      </c>
      <c r="I4674">
        <v>1</v>
      </c>
      <c r="J4674">
        <v>0</v>
      </c>
      <c r="K4674">
        <v>0</v>
      </c>
      <c r="L4674">
        <f t="shared" si="144"/>
        <v>4.0999999999999996</v>
      </c>
      <c r="M4674">
        <f t="shared" si="145"/>
        <v>2</v>
      </c>
    </row>
    <row r="4675" spans="1:13" x14ac:dyDescent="0.3">
      <c r="A4675">
        <v>4673</v>
      </c>
      <c r="B4675">
        <v>4674</v>
      </c>
      <c r="C4675" t="s">
        <v>4756</v>
      </c>
      <c r="D4675">
        <v>2005</v>
      </c>
      <c r="E4675" t="s">
        <v>36</v>
      </c>
      <c r="F4675" t="s">
        <v>3129</v>
      </c>
      <c r="G4675">
        <v>0</v>
      </c>
      <c r="H4675">
        <v>1</v>
      </c>
      <c r="I4675">
        <v>0</v>
      </c>
      <c r="J4675">
        <v>0</v>
      </c>
      <c r="K4675">
        <v>0</v>
      </c>
      <c r="L4675">
        <f t="shared" ref="L4675:L4738" si="146">IFERROR(VALUE(LEFT(F4675,FIND("/",F4675)-1))/10,"")</f>
        <v>4.0999999999999996</v>
      </c>
      <c r="M4675">
        <f t="shared" ref="M4675:M4738" si="147">SUM(G4675:J4675)</f>
        <v>1</v>
      </c>
    </row>
    <row r="4676" spans="1:13" x14ac:dyDescent="0.3">
      <c r="A4676">
        <v>4674</v>
      </c>
      <c r="B4676">
        <v>4675</v>
      </c>
      <c r="C4676" t="s">
        <v>4757</v>
      </c>
      <c r="D4676">
        <v>2019</v>
      </c>
      <c r="F4676" t="s">
        <v>3129</v>
      </c>
      <c r="G4676">
        <v>0</v>
      </c>
      <c r="H4676">
        <v>1</v>
      </c>
      <c r="I4676">
        <v>0</v>
      </c>
      <c r="J4676">
        <v>0</v>
      </c>
      <c r="K4676">
        <v>0</v>
      </c>
      <c r="L4676">
        <f t="shared" si="146"/>
        <v>4.0999999999999996</v>
      </c>
      <c r="M4676">
        <f t="shared" si="147"/>
        <v>1</v>
      </c>
    </row>
    <row r="4677" spans="1:13" x14ac:dyDescent="0.3">
      <c r="A4677">
        <v>4675</v>
      </c>
      <c r="B4677">
        <v>4676</v>
      </c>
      <c r="C4677" t="s">
        <v>4758</v>
      </c>
      <c r="D4677">
        <v>2015</v>
      </c>
      <c r="F4677" t="s">
        <v>3226</v>
      </c>
      <c r="G4677">
        <v>0</v>
      </c>
      <c r="H4677">
        <v>1</v>
      </c>
      <c r="I4677">
        <v>0</v>
      </c>
      <c r="J4677">
        <v>0</v>
      </c>
      <c r="K4677">
        <v>0</v>
      </c>
      <c r="L4677">
        <f t="shared" si="146"/>
        <v>4</v>
      </c>
      <c r="M4677">
        <f t="shared" si="147"/>
        <v>1</v>
      </c>
    </row>
    <row r="4678" spans="1:13" x14ac:dyDescent="0.3">
      <c r="A4678">
        <v>4676</v>
      </c>
      <c r="B4678">
        <v>4677</v>
      </c>
      <c r="C4678" t="s">
        <v>4759</v>
      </c>
      <c r="D4678">
        <v>2019</v>
      </c>
      <c r="F4678" t="s">
        <v>3226</v>
      </c>
      <c r="G4678">
        <v>0</v>
      </c>
      <c r="H4678">
        <v>1</v>
      </c>
      <c r="I4678">
        <v>0</v>
      </c>
      <c r="J4678">
        <v>0</v>
      </c>
      <c r="K4678">
        <v>0</v>
      </c>
      <c r="L4678">
        <f t="shared" si="146"/>
        <v>4</v>
      </c>
      <c r="M4678">
        <f t="shared" si="147"/>
        <v>1</v>
      </c>
    </row>
    <row r="4679" spans="1:13" x14ac:dyDescent="0.3">
      <c r="A4679">
        <v>4677</v>
      </c>
      <c r="B4679">
        <v>4678</v>
      </c>
      <c r="C4679" t="s">
        <v>4760</v>
      </c>
      <c r="D4679">
        <v>2017</v>
      </c>
      <c r="F4679" t="s">
        <v>3226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f t="shared" si="146"/>
        <v>4</v>
      </c>
      <c r="M4679">
        <f t="shared" si="147"/>
        <v>1</v>
      </c>
    </row>
    <row r="4680" spans="1:13" x14ac:dyDescent="0.3">
      <c r="A4680">
        <v>4678</v>
      </c>
      <c r="B4680">
        <v>4679</v>
      </c>
      <c r="C4680" t="s">
        <v>4761</v>
      </c>
      <c r="D4680">
        <v>2020</v>
      </c>
      <c r="F4680" t="s">
        <v>3313</v>
      </c>
      <c r="G4680">
        <v>0</v>
      </c>
      <c r="H4680">
        <v>1</v>
      </c>
      <c r="I4680">
        <v>0</v>
      </c>
      <c r="J4680">
        <v>0</v>
      </c>
      <c r="K4680">
        <v>0</v>
      </c>
      <c r="L4680">
        <f t="shared" si="146"/>
        <v>3.9</v>
      </c>
      <c r="M4680">
        <f t="shared" si="147"/>
        <v>1</v>
      </c>
    </row>
    <row r="4681" spans="1:13" x14ac:dyDescent="0.3">
      <c r="A4681">
        <v>4679</v>
      </c>
      <c r="B4681">
        <v>4680</v>
      </c>
      <c r="C4681" t="s">
        <v>4762</v>
      </c>
      <c r="D4681">
        <v>2015</v>
      </c>
      <c r="F4681" t="s">
        <v>3313</v>
      </c>
      <c r="G4681">
        <v>0</v>
      </c>
      <c r="H4681">
        <v>1</v>
      </c>
      <c r="I4681">
        <v>0</v>
      </c>
      <c r="J4681">
        <v>0</v>
      </c>
      <c r="K4681">
        <v>0</v>
      </c>
      <c r="L4681">
        <f t="shared" si="146"/>
        <v>3.9</v>
      </c>
      <c r="M4681">
        <f t="shared" si="147"/>
        <v>1</v>
      </c>
    </row>
    <row r="4682" spans="1:13" x14ac:dyDescent="0.3">
      <c r="A4682">
        <v>4680</v>
      </c>
      <c r="B4682">
        <v>4681</v>
      </c>
      <c r="C4682" t="s">
        <v>4763</v>
      </c>
      <c r="D4682">
        <v>2015</v>
      </c>
      <c r="F4682" t="s">
        <v>3313</v>
      </c>
      <c r="G4682">
        <v>0</v>
      </c>
      <c r="H4682">
        <v>1</v>
      </c>
      <c r="I4682">
        <v>0</v>
      </c>
      <c r="J4682">
        <v>0</v>
      </c>
      <c r="K4682">
        <v>0</v>
      </c>
      <c r="L4682">
        <f t="shared" si="146"/>
        <v>3.9</v>
      </c>
      <c r="M4682">
        <f t="shared" si="147"/>
        <v>1</v>
      </c>
    </row>
    <row r="4683" spans="1:13" x14ac:dyDescent="0.3">
      <c r="A4683">
        <v>4681</v>
      </c>
      <c r="B4683">
        <v>4682</v>
      </c>
      <c r="C4683" t="s">
        <v>4764</v>
      </c>
      <c r="D4683">
        <v>2019</v>
      </c>
      <c r="F4683" t="s">
        <v>3313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f t="shared" si="146"/>
        <v>3.9</v>
      </c>
      <c r="M4683">
        <f t="shared" si="147"/>
        <v>1</v>
      </c>
    </row>
    <row r="4684" spans="1:13" x14ac:dyDescent="0.3">
      <c r="A4684">
        <v>4682</v>
      </c>
      <c r="B4684">
        <v>4683</v>
      </c>
      <c r="C4684" t="s">
        <v>4765</v>
      </c>
      <c r="D4684">
        <v>2018</v>
      </c>
      <c r="E4684" t="s">
        <v>11</v>
      </c>
      <c r="F4684" t="s">
        <v>3313</v>
      </c>
      <c r="G4684">
        <v>0</v>
      </c>
      <c r="H4684">
        <v>1</v>
      </c>
      <c r="I4684">
        <v>0</v>
      </c>
      <c r="J4684">
        <v>0</v>
      </c>
      <c r="K4684">
        <v>0</v>
      </c>
      <c r="L4684">
        <f t="shared" si="146"/>
        <v>3.9</v>
      </c>
      <c r="M4684">
        <f t="shared" si="147"/>
        <v>1</v>
      </c>
    </row>
    <row r="4685" spans="1:13" x14ac:dyDescent="0.3">
      <c r="A4685">
        <v>4683</v>
      </c>
      <c r="B4685">
        <v>4684</v>
      </c>
      <c r="C4685" t="s">
        <v>4766</v>
      </c>
      <c r="D4685">
        <v>2019</v>
      </c>
      <c r="F4685" t="s">
        <v>3313</v>
      </c>
      <c r="G4685">
        <v>0</v>
      </c>
      <c r="H4685">
        <v>1</v>
      </c>
      <c r="I4685">
        <v>0</v>
      </c>
      <c r="J4685">
        <v>0</v>
      </c>
      <c r="K4685">
        <v>0</v>
      </c>
      <c r="L4685">
        <f t="shared" si="146"/>
        <v>3.9</v>
      </c>
      <c r="M4685">
        <f t="shared" si="147"/>
        <v>1</v>
      </c>
    </row>
    <row r="4686" spans="1:13" x14ac:dyDescent="0.3">
      <c r="A4686">
        <v>4684</v>
      </c>
      <c r="B4686">
        <v>4685</v>
      </c>
      <c r="C4686" t="s">
        <v>4767</v>
      </c>
      <c r="D4686">
        <v>2020</v>
      </c>
      <c r="F4686" t="s">
        <v>3313</v>
      </c>
      <c r="G4686">
        <v>0</v>
      </c>
      <c r="H4686">
        <v>1</v>
      </c>
      <c r="I4686">
        <v>0</v>
      </c>
      <c r="J4686">
        <v>0</v>
      </c>
      <c r="K4686">
        <v>0</v>
      </c>
      <c r="L4686">
        <f t="shared" si="146"/>
        <v>3.9</v>
      </c>
      <c r="M4686">
        <f t="shared" si="147"/>
        <v>1</v>
      </c>
    </row>
    <row r="4687" spans="1:13" x14ac:dyDescent="0.3">
      <c r="A4687">
        <v>4685</v>
      </c>
      <c r="B4687">
        <v>4686</v>
      </c>
      <c r="C4687" t="s">
        <v>4768</v>
      </c>
      <c r="D4687">
        <v>2017</v>
      </c>
      <c r="E4687" t="s">
        <v>11</v>
      </c>
      <c r="F4687" t="s">
        <v>3404</v>
      </c>
      <c r="G4687">
        <v>0</v>
      </c>
      <c r="H4687">
        <v>1</v>
      </c>
      <c r="I4687">
        <v>0</v>
      </c>
      <c r="J4687">
        <v>0</v>
      </c>
      <c r="K4687">
        <v>0</v>
      </c>
      <c r="L4687">
        <f t="shared" si="146"/>
        <v>3.8</v>
      </c>
      <c r="M4687">
        <f t="shared" si="147"/>
        <v>1</v>
      </c>
    </row>
    <row r="4688" spans="1:13" x14ac:dyDescent="0.3">
      <c r="A4688">
        <v>4686</v>
      </c>
      <c r="B4688">
        <v>4687</v>
      </c>
      <c r="C4688" t="s">
        <v>4769</v>
      </c>
      <c r="D4688">
        <v>2017</v>
      </c>
      <c r="F4688" t="s">
        <v>3404</v>
      </c>
      <c r="G4688">
        <v>0</v>
      </c>
      <c r="H4688">
        <v>1</v>
      </c>
      <c r="I4688">
        <v>0</v>
      </c>
      <c r="J4688">
        <v>0</v>
      </c>
      <c r="K4688">
        <v>0</v>
      </c>
      <c r="L4688">
        <f t="shared" si="146"/>
        <v>3.8</v>
      </c>
      <c r="M4688">
        <f t="shared" si="147"/>
        <v>1</v>
      </c>
    </row>
    <row r="4689" spans="1:13" x14ac:dyDescent="0.3">
      <c r="A4689">
        <v>4687</v>
      </c>
      <c r="B4689">
        <v>4688</v>
      </c>
      <c r="C4689" t="s">
        <v>4770</v>
      </c>
      <c r="D4689">
        <v>2018</v>
      </c>
      <c r="E4689" t="s">
        <v>14</v>
      </c>
      <c r="F4689" t="s">
        <v>3404</v>
      </c>
      <c r="G4689">
        <v>0</v>
      </c>
      <c r="H4689">
        <v>1</v>
      </c>
      <c r="I4689">
        <v>0</v>
      </c>
      <c r="J4689">
        <v>0</v>
      </c>
      <c r="K4689">
        <v>0</v>
      </c>
      <c r="L4689">
        <f t="shared" si="146"/>
        <v>3.8</v>
      </c>
      <c r="M4689">
        <f t="shared" si="147"/>
        <v>1</v>
      </c>
    </row>
    <row r="4690" spans="1:13" x14ac:dyDescent="0.3">
      <c r="A4690">
        <v>4688</v>
      </c>
      <c r="B4690">
        <v>4689</v>
      </c>
      <c r="C4690" t="s">
        <v>4771</v>
      </c>
      <c r="D4690">
        <v>2018</v>
      </c>
      <c r="F4690" t="s">
        <v>3404</v>
      </c>
      <c r="G4690">
        <v>0</v>
      </c>
      <c r="H4690">
        <v>1</v>
      </c>
      <c r="I4690">
        <v>0</v>
      </c>
      <c r="J4690">
        <v>0</v>
      </c>
      <c r="K4690">
        <v>0</v>
      </c>
      <c r="L4690">
        <f t="shared" si="146"/>
        <v>3.8</v>
      </c>
      <c r="M4690">
        <f t="shared" si="147"/>
        <v>1</v>
      </c>
    </row>
    <row r="4691" spans="1:13" x14ac:dyDescent="0.3">
      <c r="A4691">
        <v>4689</v>
      </c>
      <c r="B4691">
        <v>4690</v>
      </c>
      <c r="C4691" t="s">
        <v>4772</v>
      </c>
      <c r="D4691">
        <v>2002</v>
      </c>
      <c r="F4691" t="s">
        <v>3404</v>
      </c>
      <c r="G4691">
        <v>0</v>
      </c>
      <c r="H4691">
        <v>1</v>
      </c>
      <c r="I4691">
        <v>0</v>
      </c>
      <c r="J4691">
        <v>0</v>
      </c>
      <c r="K4691">
        <v>0</v>
      </c>
      <c r="L4691">
        <f t="shared" si="146"/>
        <v>3.8</v>
      </c>
      <c r="M4691">
        <f t="shared" si="147"/>
        <v>1</v>
      </c>
    </row>
    <row r="4692" spans="1:13" x14ac:dyDescent="0.3">
      <c r="A4692">
        <v>4690</v>
      </c>
      <c r="B4692">
        <v>4691</v>
      </c>
      <c r="C4692" t="s">
        <v>4773</v>
      </c>
      <c r="D4692">
        <v>2014</v>
      </c>
      <c r="E4692" t="s">
        <v>11</v>
      </c>
      <c r="F4692" t="s">
        <v>3404</v>
      </c>
      <c r="G4692">
        <v>0</v>
      </c>
      <c r="H4692">
        <v>1</v>
      </c>
      <c r="I4692">
        <v>0</v>
      </c>
      <c r="J4692">
        <v>0</v>
      </c>
      <c r="K4692">
        <v>0</v>
      </c>
      <c r="L4692">
        <f t="shared" si="146"/>
        <v>3.8</v>
      </c>
      <c r="M4692">
        <f t="shared" si="147"/>
        <v>1</v>
      </c>
    </row>
    <row r="4693" spans="1:13" x14ac:dyDescent="0.3">
      <c r="A4693">
        <v>4691</v>
      </c>
      <c r="B4693">
        <v>4692</v>
      </c>
      <c r="C4693" t="s">
        <v>4774</v>
      </c>
      <c r="D4693">
        <v>2013</v>
      </c>
      <c r="E4693" t="s">
        <v>11</v>
      </c>
      <c r="F4693" t="s">
        <v>3469</v>
      </c>
      <c r="G4693">
        <v>0</v>
      </c>
      <c r="H4693">
        <v>1</v>
      </c>
      <c r="I4693">
        <v>0</v>
      </c>
      <c r="J4693">
        <v>0</v>
      </c>
      <c r="K4693">
        <v>0</v>
      </c>
      <c r="L4693">
        <f t="shared" si="146"/>
        <v>3.7</v>
      </c>
      <c r="M4693">
        <f t="shared" si="147"/>
        <v>1</v>
      </c>
    </row>
    <row r="4694" spans="1:13" x14ac:dyDescent="0.3">
      <c r="A4694">
        <v>4692</v>
      </c>
      <c r="B4694">
        <v>4693</v>
      </c>
      <c r="C4694" t="s">
        <v>4775</v>
      </c>
      <c r="D4694">
        <v>2017</v>
      </c>
      <c r="F4694" t="s">
        <v>3469</v>
      </c>
      <c r="G4694">
        <v>0</v>
      </c>
      <c r="H4694">
        <v>1</v>
      </c>
      <c r="I4694">
        <v>0</v>
      </c>
      <c r="J4694">
        <v>0</v>
      </c>
      <c r="K4694">
        <v>0</v>
      </c>
      <c r="L4694">
        <f t="shared" si="146"/>
        <v>3.7</v>
      </c>
      <c r="M4694">
        <f t="shared" si="147"/>
        <v>1</v>
      </c>
    </row>
    <row r="4695" spans="1:13" x14ac:dyDescent="0.3">
      <c r="A4695">
        <v>4693</v>
      </c>
      <c r="B4695">
        <v>4694</v>
      </c>
      <c r="C4695" t="s">
        <v>4776</v>
      </c>
      <c r="D4695">
        <v>2015</v>
      </c>
      <c r="E4695" t="s">
        <v>11</v>
      </c>
      <c r="F4695" t="s">
        <v>3579</v>
      </c>
      <c r="G4695">
        <v>0</v>
      </c>
      <c r="H4695">
        <v>1</v>
      </c>
      <c r="I4695">
        <v>0</v>
      </c>
      <c r="J4695">
        <v>0</v>
      </c>
      <c r="K4695">
        <v>0</v>
      </c>
      <c r="L4695">
        <f t="shared" si="146"/>
        <v>3.5</v>
      </c>
      <c r="M4695">
        <f t="shared" si="147"/>
        <v>1</v>
      </c>
    </row>
    <row r="4696" spans="1:13" x14ac:dyDescent="0.3">
      <c r="A4696">
        <v>4694</v>
      </c>
      <c r="B4696">
        <v>4695</v>
      </c>
      <c r="C4696" t="s">
        <v>4777</v>
      </c>
      <c r="D4696">
        <v>1999</v>
      </c>
      <c r="E4696" t="s">
        <v>36</v>
      </c>
      <c r="F4696" t="s">
        <v>3579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f t="shared" si="146"/>
        <v>3.5</v>
      </c>
      <c r="M4696">
        <f t="shared" si="147"/>
        <v>1</v>
      </c>
    </row>
    <row r="4697" spans="1:13" x14ac:dyDescent="0.3">
      <c r="A4697">
        <v>4695</v>
      </c>
      <c r="B4697">
        <v>4696</v>
      </c>
      <c r="C4697" t="s">
        <v>4778</v>
      </c>
      <c r="D4697">
        <v>2012</v>
      </c>
      <c r="F4697" t="s">
        <v>3579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f t="shared" si="146"/>
        <v>3.5</v>
      </c>
      <c r="M4697">
        <f t="shared" si="147"/>
        <v>1</v>
      </c>
    </row>
    <row r="4698" spans="1:13" x14ac:dyDescent="0.3">
      <c r="A4698">
        <v>4696</v>
      </c>
      <c r="B4698">
        <v>4697</v>
      </c>
      <c r="C4698" t="s">
        <v>4779</v>
      </c>
      <c r="D4698">
        <v>2018</v>
      </c>
      <c r="F4698" t="s">
        <v>3652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f t="shared" si="146"/>
        <v>3.3</v>
      </c>
      <c r="M4698">
        <f t="shared" si="147"/>
        <v>1</v>
      </c>
    </row>
    <row r="4699" spans="1:13" x14ac:dyDescent="0.3">
      <c r="A4699">
        <v>4697</v>
      </c>
      <c r="B4699">
        <v>4698</v>
      </c>
      <c r="C4699" t="s">
        <v>4780</v>
      </c>
      <c r="D4699">
        <v>2017</v>
      </c>
      <c r="E4699" t="s">
        <v>28</v>
      </c>
      <c r="F4699" t="s">
        <v>3683</v>
      </c>
      <c r="G4699">
        <v>0</v>
      </c>
      <c r="H4699">
        <v>1</v>
      </c>
      <c r="I4699">
        <v>0</v>
      </c>
      <c r="J4699">
        <v>0</v>
      </c>
      <c r="K4699">
        <v>0</v>
      </c>
      <c r="L4699">
        <f t="shared" si="146"/>
        <v>3.1</v>
      </c>
      <c r="M4699">
        <f t="shared" si="147"/>
        <v>1</v>
      </c>
    </row>
    <row r="4700" spans="1:13" x14ac:dyDescent="0.3">
      <c r="A4700">
        <v>4698</v>
      </c>
      <c r="B4700">
        <v>4699</v>
      </c>
      <c r="C4700" t="s">
        <v>4781</v>
      </c>
      <c r="D4700">
        <v>2020</v>
      </c>
      <c r="F4700" t="s">
        <v>3713</v>
      </c>
      <c r="G4700">
        <v>0</v>
      </c>
      <c r="H4700">
        <v>1</v>
      </c>
      <c r="I4700">
        <v>0</v>
      </c>
      <c r="J4700">
        <v>0</v>
      </c>
      <c r="K4700">
        <v>0</v>
      </c>
      <c r="L4700">
        <f t="shared" si="146"/>
        <v>2</v>
      </c>
      <c r="M4700">
        <f t="shared" si="147"/>
        <v>1</v>
      </c>
    </row>
    <row r="4701" spans="1:13" x14ac:dyDescent="0.3">
      <c r="A4701">
        <v>4699</v>
      </c>
      <c r="B4701">
        <v>4700</v>
      </c>
      <c r="C4701" t="s">
        <v>4782</v>
      </c>
      <c r="D4701">
        <v>2020</v>
      </c>
      <c r="F4701" t="s">
        <v>3720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f t="shared" si="146"/>
        <v>1.5</v>
      </c>
      <c r="M4701">
        <f t="shared" si="147"/>
        <v>1</v>
      </c>
    </row>
    <row r="4702" spans="1:13" x14ac:dyDescent="0.3">
      <c r="A4702">
        <v>4700</v>
      </c>
      <c r="B4702">
        <v>4701</v>
      </c>
      <c r="C4702" t="s">
        <v>4783</v>
      </c>
      <c r="D4702">
        <v>2011</v>
      </c>
      <c r="E4702" t="s">
        <v>22</v>
      </c>
      <c r="F4702" t="s">
        <v>3720</v>
      </c>
      <c r="G4702">
        <v>0</v>
      </c>
      <c r="H4702">
        <v>1</v>
      </c>
      <c r="I4702">
        <v>0</v>
      </c>
      <c r="J4702">
        <v>0</v>
      </c>
      <c r="K4702">
        <v>0</v>
      </c>
      <c r="L4702">
        <f t="shared" si="146"/>
        <v>1.5</v>
      </c>
      <c r="M4702">
        <f t="shared" si="147"/>
        <v>1</v>
      </c>
    </row>
    <row r="4703" spans="1:13" x14ac:dyDescent="0.3">
      <c r="A4703">
        <v>4701</v>
      </c>
      <c r="B4703">
        <v>4702</v>
      </c>
      <c r="C4703" t="s">
        <v>4784</v>
      </c>
      <c r="D4703">
        <v>2017</v>
      </c>
      <c r="F4703" t="s">
        <v>3732</v>
      </c>
      <c r="G4703">
        <v>0</v>
      </c>
      <c r="H4703">
        <v>1</v>
      </c>
      <c r="I4703">
        <v>1</v>
      </c>
      <c r="J4703">
        <v>0</v>
      </c>
      <c r="K4703">
        <v>0</v>
      </c>
      <c r="L4703">
        <f t="shared" si="146"/>
        <v>1.3</v>
      </c>
      <c r="M4703">
        <f t="shared" si="147"/>
        <v>2</v>
      </c>
    </row>
    <row r="4704" spans="1:13" x14ac:dyDescent="0.3">
      <c r="A4704">
        <v>4702</v>
      </c>
      <c r="B4704">
        <v>4703</v>
      </c>
      <c r="C4704" t="s">
        <v>4785</v>
      </c>
      <c r="D4704">
        <v>2014</v>
      </c>
      <c r="F4704" t="s">
        <v>3739</v>
      </c>
      <c r="G4704">
        <v>0</v>
      </c>
      <c r="H4704">
        <v>1</v>
      </c>
      <c r="I4704">
        <v>0</v>
      </c>
      <c r="J4704">
        <v>0</v>
      </c>
      <c r="K4704">
        <v>0</v>
      </c>
      <c r="L4704">
        <f t="shared" si="146"/>
        <v>1.2</v>
      </c>
      <c r="M4704">
        <f t="shared" si="147"/>
        <v>1</v>
      </c>
    </row>
    <row r="4705" spans="1:13" x14ac:dyDescent="0.3">
      <c r="A4705">
        <v>4703</v>
      </c>
      <c r="B4705">
        <v>4704</v>
      </c>
      <c r="C4705" t="s">
        <v>4786</v>
      </c>
      <c r="D4705">
        <v>1999</v>
      </c>
      <c r="E4705" t="s">
        <v>11</v>
      </c>
      <c r="F4705" t="s">
        <v>24</v>
      </c>
      <c r="G4705">
        <v>0</v>
      </c>
      <c r="H4705">
        <v>0</v>
      </c>
      <c r="I4705">
        <v>1</v>
      </c>
      <c r="J4705">
        <v>0</v>
      </c>
      <c r="K4705">
        <v>0</v>
      </c>
      <c r="L4705">
        <f t="shared" si="146"/>
        <v>9.3000000000000007</v>
      </c>
      <c r="M4705">
        <f t="shared" si="147"/>
        <v>1</v>
      </c>
    </row>
    <row r="4706" spans="1:13" x14ac:dyDescent="0.3">
      <c r="A4706">
        <v>4704</v>
      </c>
      <c r="B4706">
        <v>4705</v>
      </c>
      <c r="C4706" t="s">
        <v>4787</v>
      </c>
      <c r="D4706">
        <v>2018</v>
      </c>
      <c r="F4706" t="s">
        <v>24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f t="shared" si="146"/>
        <v>9.3000000000000007</v>
      </c>
      <c r="M4706">
        <f t="shared" si="147"/>
        <v>1</v>
      </c>
    </row>
    <row r="4707" spans="1:13" x14ac:dyDescent="0.3">
      <c r="A4707">
        <v>4705</v>
      </c>
      <c r="B4707">
        <v>4706</v>
      </c>
      <c r="C4707" t="s">
        <v>4788</v>
      </c>
      <c r="D4707">
        <v>2019</v>
      </c>
      <c r="F4707" t="s">
        <v>34</v>
      </c>
      <c r="G4707">
        <v>0</v>
      </c>
      <c r="H4707">
        <v>0</v>
      </c>
      <c r="I4707">
        <v>1</v>
      </c>
      <c r="J4707">
        <v>0</v>
      </c>
      <c r="K4707">
        <v>0</v>
      </c>
      <c r="L4707">
        <f t="shared" si="146"/>
        <v>9.1</v>
      </c>
      <c r="M4707">
        <f t="shared" si="147"/>
        <v>1</v>
      </c>
    </row>
    <row r="4708" spans="1:13" x14ac:dyDescent="0.3">
      <c r="A4708">
        <v>4706</v>
      </c>
      <c r="B4708">
        <v>4707</v>
      </c>
      <c r="C4708" t="s">
        <v>4789</v>
      </c>
      <c r="D4708">
        <v>2007</v>
      </c>
      <c r="E4708" t="s">
        <v>14</v>
      </c>
      <c r="F4708" t="s">
        <v>39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f t="shared" si="146"/>
        <v>9</v>
      </c>
      <c r="M4708">
        <f t="shared" si="147"/>
        <v>1</v>
      </c>
    </row>
    <row r="4709" spans="1:13" x14ac:dyDescent="0.3">
      <c r="A4709">
        <v>4707</v>
      </c>
      <c r="B4709">
        <v>4708</v>
      </c>
      <c r="C4709" t="s">
        <v>4790</v>
      </c>
      <c r="D4709">
        <v>2019</v>
      </c>
      <c r="E4709" t="s">
        <v>11</v>
      </c>
      <c r="F4709" t="s">
        <v>45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f t="shared" si="146"/>
        <v>8.9</v>
      </c>
      <c r="M4709">
        <f t="shared" si="147"/>
        <v>1</v>
      </c>
    </row>
    <row r="4710" spans="1:13" x14ac:dyDescent="0.3">
      <c r="A4710">
        <v>4708</v>
      </c>
      <c r="B4710">
        <v>4709</v>
      </c>
      <c r="C4710" t="s">
        <v>4791</v>
      </c>
      <c r="D4710">
        <v>2019</v>
      </c>
      <c r="E4710" t="s">
        <v>11</v>
      </c>
      <c r="F4710" t="s">
        <v>45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f t="shared" si="146"/>
        <v>8.9</v>
      </c>
      <c r="M4710">
        <f t="shared" si="147"/>
        <v>1</v>
      </c>
    </row>
    <row r="4711" spans="1:13" x14ac:dyDescent="0.3">
      <c r="A4711">
        <v>4709</v>
      </c>
      <c r="B4711">
        <v>4710</v>
      </c>
      <c r="C4711" t="s">
        <v>4792</v>
      </c>
      <c r="D4711">
        <v>1979</v>
      </c>
      <c r="E4711" t="s">
        <v>11</v>
      </c>
      <c r="F4711" t="s">
        <v>58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f t="shared" si="146"/>
        <v>8.8000000000000007</v>
      </c>
      <c r="M4711">
        <f t="shared" si="147"/>
        <v>1</v>
      </c>
    </row>
    <row r="4712" spans="1:13" x14ac:dyDescent="0.3">
      <c r="A4712">
        <v>4710</v>
      </c>
      <c r="B4712">
        <v>4711</v>
      </c>
      <c r="C4712" t="s">
        <v>4793</v>
      </c>
      <c r="D4712">
        <v>2020</v>
      </c>
      <c r="E4712" t="s">
        <v>11</v>
      </c>
      <c r="F4712" t="s">
        <v>58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f t="shared" si="146"/>
        <v>8.8000000000000007</v>
      </c>
      <c r="M4712">
        <f t="shared" si="147"/>
        <v>1</v>
      </c>
    </row>
    <row r="4713" spans="1:13" x14ac:dyDescent="0.3">
      <c r="A4713">
        <v>4711</v>
      </c>
      <c r="B4713">
        <v>4712</v>
      </c>
      <c r="C4713" t="s">
        <v>4794</v>
      </c>
      <c r="D4713">
        <v>2018</v>
      </c>
      <c r="F4713" t="s">
        <v>58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f t="shared" si="146"/>
        <v>8.8000000000000007</v>
      </c>
      <c r="M4713">
        <f t="shared" si="147"/>
        <v>1</v>
      </c>
    </row>
    <row r="4714" spans="1:13" x14ac:dyDescent="0.3">
      <c r="A4714">
        <v>4712</v>
      </c>
      <c r="B4714">
        <v>4713</v>
      </c>
      <c r="C4714" t="s">
        <v>4795</v>
      </c>
      <c r="D4714">
        <v>2000</v>
      </c>
      <c r="E4714" t="s">
        <v>11</v>
      </c>
      <c r="F4714" t="s">
        <v>65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f t="shared" si="146"/>
        <v>8.6999999999999993</v>
      </c>
      <c r="M4714">
        <f t="shared" si="147"/>
        <v>1</v>
      </c>
    </row>
    <row r="4715" spans="1:13" x14ac:dyDescent="0.3">
      <c r="A4715">
        <v>4713</v>
      </c>
      <c r="B4715">
        <v>4714</v>
      </c>
      <c r="C4715" t="s">
        <v>4796</v>
      </c>
      <c r="D4715">
        <v>2018</v>
      </c>
      <c r="E4715" t="s">
        <v>11</v>
      </c>
      <c r="F4715" t="s">
        <v>65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f t="shared" si="146"/>
        <v>8.6999999999999993</v>
      </c>
      <c r="M4715">
        <f t="shared" si="147"/>
        <v>1</v>
      </c>
    </row>
    <row r="4716" spans="1:13" x14ac:dyDescent="0.3">
      <c r="A4716">
        <v>4714</v>
      </c>
      <c r="B4716">
        <v>4715</v>
      </c>
      <c r="C4716" t="s">
        <v>4797</v>
      </c>
      <c r="D4716">
        <v>2021</v>
      </c>
      <c r="E4716" t="s">
        <v>11</v>
      </c>
      <c r="F4716" t="s">
        <v>80</v>
      </c>
      <c r="G4716">
        <v>0</v>
      </c>
      <c r="H4716">
        <v>0</v>
      </c>
      <c r="I4716">
        <v>1</v>
      </c>
      <c r="J4716">
        <v>0</v>
      </c>
      <c r="K4716">
        <v>0</v>
      </c>
      <c r="L4716">
        <f t="shared" si="146"/>
        <v>8.6</v>
      </c>
      <c r="M4716">
        <f t="shared" si="147"/>
        <v>1</v>
      </c>
    </row>
    <row r="4717" spans="1:13" x14ac:dyDescent="0.3">
      <c r="A4717">
        <v>4715</v>
      </c>
      <c r="B4717">
        <v>4716</v>
      </c>
      <c r="C4717" t="s">
        <v>4798</v>
      </c>
      <c r="D4717">
        <v>2018</v>
      </c>
      <c r="E4717" t="s">
        <v>14</v>
      </c>
      <c r="F4717" t="s">
        <v>80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f t="shared" si="146"/>
        <v>8.6</v>
      </c>
      <c r="M4717">
        <f t="shared" si="147"/>
        <v>1</v>
      </c>
    </row>
    <row r="4718" spans="1:13" x14ac:dyDescent="0.3">
      <c r="A4718">
        <v>4716</v>
      </c>
      <c r="B4718">
        <v>4717</v>
      </c>
      <c r="C4718" t="s">
        <v>4799</v>
      </c>
      <c r="D4718">
        <v>2019</v>
      </c>
      <c r="E4718" t="s">
        <v>22</v>
      </c>
      <c r="F4718" t="s">
        <v>92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f t="shared" si="146"/>
        <v>8.5</v>
      </c>
      <c r="M4718">
        <f t="shared" si="147"/>
        <v>1</v>
      </c>
    </row>
    <row r="4719" spans="1:13" x14ac:dyDescent="0.3">
      <c r="A4719">
        <v>4717</v>
      </c>
      <c r="B4719">
        <v>4718</v>
      </c>
      <c r="C4719" t="s">
        <v>4800</v>
      </c>
      <c r="D4719">
        <v>1954</v>
      </c>
      <c r="E4719" t="s">
        <v>14</v>
      </c>
      <c r="F4719" t="s">
        <v>92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f t="shared" si="146"/>
        <v>8.5</v>
      </c>
      <c r="M4719">
        <f t="shared" si="147"/>
        <v>1</v>
      </c>
    </row>
    <row r="4720" spans="1:13" x14ac:dyDescent="0.3">
      <c r="A4720">
        <v>4718</v>
      </c>
      <c r="B4720">
        <v>4719</v>
      </c>
      <c r="C4720" t="s">
        <v>4801</v>
      </c>
      <c r="D4720">
        <v>2019</v>
      </c>
      <c r="E4720" t="s">
        <v>11</v>
      </c>
      <c r="F4720" t="s">
        <v>92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f t="shared" si="146"/>
        <v>8.5</v>
      </c>
      <c r="M4720">
        <f t="shared" si="147"/>
        <v>1</v>
      </c>
    </row>
    <row r="4721" spans="1:13" x14ac:dyDescent="0.3">
      <c r="A4721">
        <v>4719</v>
      </c>
      <c r="B4721">
        <v>4720</v>
      </c>
      <c r="C4721" t="s">
        <v>4802</v>
      </c>
      <c r="D4721">
        <v>2019</v>
      </c>
      <c r="E4721" t="s">
        <v>11</v>
      </c>
      <c r="F4721" t="s">
        <v>92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f t="shared" si="146"/>
        <v>8.5</v>
      </c>
      <c r="M4721">
        <f t="shared" si="147"/>
        <v>1</v>
      </c>
    </row>
    <row r="4722" spans="1:13" x14ac:dyDescent="0.3">
      <c r="A4722">
        <v>4720</v>
      </c>
      <c r="B4722">
        <v>4721</v>
      </c>
      <c r="C4722" t="s">
        <v>4803</v>
      </c>
      <c r="D4722">
        <v>1958</v>
      </c>
      <c r="E4722" t="s">
        <v>14</v>
      </c>
      <c r="F4722" t="s">
        <v>101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f t="shared" si="146"/>
        <v>8.4</v>
      </c>
      <c r="M4722">
        <f t="shared" si="147"/>
        <v>1</v>
      </c>
    </row>
    <row r="4723" spans="1:13" x14ac:dyDescent="0.3">
      <c r="A4723">
        <v>4721</v>
      </c>
      <c r="B4723">
        <v>4722</v>
      </c>
      <c r="C4723" t="s">
        <v>4804</v>
      </c>
      <c r="D4723">
        <v>2019</v>
      </c>
      <c r="E4723" t="s">
        <v>11</v>
      </c>
      <c r="F4723" t="s">
        <v>101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f t="shared" si="146"/>
        <v>8.4</v>
      </c>
      <c r="M4723">
        <f t="shared" si="147"/>
        <v>1</v>
      </c>
    </row>
    <row r="4724" spans="1:13" x14ac:dyDescent="0.3">
      <c r="A4724">
        <v>4722</v>
      </c>
      <c r="B4724">
        <v>4723</v>
      </c>
      <c r="C4724" t="s">
        <v>4805</v>
      </c>
      <c r="D4724">
        <v>1946</v>
      </c>
      <c r="E4724" t="s">
        <v>14</v>
      </c>
      <c r="F4724" t="s">
        <v>101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f t="shared" si="146"/>
        <v>8.4</v>
      </c>
      <c r="M4724">
        <f t="shared" si="147"/>
        <v>1</v>
      </c>
    </row>
    <row r="4725" spans="1:13" x14ac:dyDescent="0.3">
      <c r="A4725">
        <v>4723</v>
      </c>
      <c r="B4725">
        <v>4724</v>
      </c>
      <c r="C4725" t="s">
        <v>4806</v>
      </c>
      <c r="D4725">
        <v>2019</v>
      </c>
      <c r="E4725" t="s">
        <v>11</v>
      </c>
      <c r="F4725" t="s">
        <v>101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f t="shared" si="146"/>
        <v>8.4</v>
      </c>
      <c r="M4725">
        <f t="shared" si="147"/>
        <v>1</v>
      </c>
    </row>
    <row r="4726" spans="1:13" x14ac:dyDescent="0.3">
      <c r="A4726">
        <v>4724</v>
      </c>
      <c r="B4726">
        <v>4725</v>
      </c>
      <c r="C4726" t="s">
        <v>4807</v>
      </c>
      <c r="D4726">
        <v>1982</v>
      </c>
      <c r="E4726" t="s">
        <v>14</v>
      </c>
      <c r="F4726" t="s">
        <v>122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f t="shared" si="146"/>
        <v>8.3000000000000007</v>
      </c>
      <c r="M4726">
        <f t="shared" si="147"/>
        <v>1</v>
      </c>
    </row>
    <row r="4727" spans="1:13" x14ac:dyDescent="0.3">
      <c r="A4727">
        <v>4725</v>
      </c>
      <c r="B4727">
        <v>4726</v>
      </c>
      <c r="C4727" t="s">
        <v>4808</v>
      </c>
      <c r="D4727">
        <v>2016</v>
      </c>
      <c r="F4727" t="s">
        <v>122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f t="shared" si="146"/>
        <v>8.3000000000000007</v>
      </c>
      <c r="M4727">
        <f t="shared" si="147"/>
        <v>1</v>
      </c>
    </row>
    <row r="4728" spans="1:13" x14ac:dyDescent="0.3">
      <c r="A4728">
        <v>4726</v>
      </c>
      <c r="B4728">
        <v>4727</v>
      </c>
      <c r="C4728" t="s">
        <v>4809</v>
      </c>
      <c r="D4728">
        <v>2011</v>
      </c>
      <c r="E4728" t="s">
        <v>22</v>
      </c>
      <c r="F4728" t="s">
        <v>140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f t="shared" si="146"/>
        <v>8.1999999999999993</v>
      </c>
      <c r="M4728">
        <f t="shared" si="147"/>
        <v>1</v>
      </c>
    </row>
    <row r="4729" spans="1:13" x14ac:dyDescent="0.3">
      <c r="A4729">
        <v>4727</v>
      </c>
      <c r="B4729">
        <v>4728</v>
      </c>
      <c r="C4729" t="s">
        <v>4810</v>
      </c>
      <c r="D4729">
        <v>1999</v>
      </c>
      <c r="E4729" t="s">
        <v>11</v>
      </c>
      <c r="F4729" t="s">
        <v>140</v>
      </c>
      <c r="G4729">
        <v>0</v>
      </c>
      <c r="H4729">
        <v>0</v>
      </c>
      <c r="I4729">
        <v>1</v>
      </c>
      <c r="J4729">
        <v>0</v>
      </c>
      <c r="K4729">
        <v>0</v>
      </c>
      <c r="L4729">
        <f t="shared" si="146"/>
        <v>8.1999999999999993</v>
      </c>
      <c r="M4729">
        <f t="shared" si="147"/>
        <v>1</v>
      </c>
    </row>
    <row r="4730" spans="1:13" x14ac:dyDescent="0.3">
      <c r="A4730">
        <v>4728</v>
      </c>
      <c r="B4730">
        <v>4729</v>
      </c>
      <c r="C4730" t="s">
        <v>4811</v>
      </c>
      <c r="D4730">
        <v>1940</v>
      </c>
      <c r="F4730" t="s">
        <v>140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f t="shared" si="146"/>
        <v>8.1999999999999993</v>
      </c>
      <c r="M4730">
        <f t="shared" si="147"/>
        <v>1</v>
      </c>
    </row>
    <row r="4731" spans="1:13" x14ac:dyDescent="0.3">
      <c r="A4731">
        <v>4729</v>
      </c>
      <c r="B4731">
        <v>4730</v>
      </c>
      <c r="C4731" t="s">
        <v>4812</v>
      </c>
      <c r="D4731">
        <v>2004</v>
      </c>
      <c r="E4731" t="s">
        <v>22</v>
      </c>
      <c r="F4731" t="s">
        <v>140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f t="shared" si="146"/>
        <v>8.1999999999999993</v>
      </c>
      <c r="M4731">
        <f t="shared" si="147"/>
        <v>1</v>
      </c>
    </row>
    <row r="4732" spans="1:13" x14ac:dyDescent="0.3">
      <c r="A4732">
        <v>4730</v>
      </c>
      <c r="B4732">
        <v>4731</v>
      </c>
      <c r="C4732" t="s">
        <v>4813</v>
      </c>
      <c r="D4732">
        <v>2019</v>
      </c>
      <c r="E4732" t="s">
        <v>11</v>
      </c>
      <c r="F4732" t="s">
        <v>140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f t="shared" si="146"/>
        <v>8.1999999999999993</v>
      </c>
      <c r="M4732">
        <f t="shared" si="147"/>
        <v>1</v>
      </c>
    </row>
    <row r="4733" spans="1:13" x14ac:dyDescent="0.3">
      <c r="A4733">
        <v>4731</v>
      </c>
      <c r="B4733">
        <v>4732</v>
      </c>
      <c r="C4733" t="s">
        <v>4814</v>
      </c>
      <c r="D4733">
        <v>2020</v>
      </c>
      <c r="F4733" t="s">
        <v>140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f t="shared" si="146"/>
        <v>8.1999999999999993</v>
      </c>
      <c r="M4733">
        <f t="shared" si="147"/>
        <v>1</v>
      </c>
    </row>
    <row r="4734" spans="1:13" x14ac:dyDescent="0.3">
      <c r="A4734">
        <v>4732</v>
      </c>
      <c r="B4734">
        <v>4733</v>
      </c>
      <c r="C4734" t="s">
        <v>4815</v>
      </c>
      <c r="D4734">
        <v>2000</v>
      </c>
      <c r="E4734" t="s">
        <v>22</v>
      </c>
      <c r="F4734" t="s">
        <v>140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f t="shared" si="146"/>
        <v>8.1999999999999993</v>
      </c>
      <c r="M4734">
        <f t="shared" si="147"/>
        <v>1</v>
      </c>
    </row>
    <row r="4735" spans="1:13" x14ac:dyDescent="0.3">
      <c r="A4735">
        <v>4733</v>
      </c>
      <c r="B4735">
        <v>4734</v>
      </c>
      <c r="C4735" t="s">
        <v>4816</v>
      </c>
      <c r="D4735">
        <v>2015</v>
      </c>
      <c r="F4735" t="s">
        <v>159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f t="shared" si="146"/>
        <v>8.1</v>
      </c>
      <c r="M4735">
        <f t="shared" si="147"/>
        <v>1</v>
      </c>
    </row>
    <row r="4736" spans="1:13" x14ac:dyDescent="0.3">
      <c r="A4736">
        <v>4734</v>
      </c>
      <c r="B4736">
        <v>4735</v>
      </c>
      <c r="C4736" t="s">
        <v>4817</v>
      </c>
      <c r="D4736">
        <v>2016</v>
      </c>
      <c r="E4736" t="s">
        <v>11</v>
      </c>
      <c r="F4736" t="s">
        <v>159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f t="shared" si="146"/>
        <v>8.1</v>
      </c>
      <c r="M4736">
        <f t="shared" si="147"/>
        <v>1</v>
      </c>
    </row>
    <row r="4737" spans="1:13" x14ac:dyDescent="0.3">
      <c r="A4737">
        <v>4735</v>
      </c>
      <c r="B4737">
        <v>4736</v>
      </c>
      <c r="C4737" t="s">
        <v>4818</v>
      </c>
      <c r="D4737">
        <v>1936</v>
      </c>
      <c r="F4737" t="s">
        <v>159</v>
      </c>
      <c r="G4737">
        <v>0</v>
      </c>
      <c r="H4737">
        <v>0</v>
      </c>
      <c r="I4737">
        <v>1</v>
      </c>
      <c r="J4737">
        <v>0</v>
      </c>
      <c r="K4737">
        <v>0</v>
      </c>
      <c r="L4737">
        <f t="shared" si="146"/>
        <v>8.1</v>
      </c>
      <c r="M4737">
        <f t="shared" si="147"/>
        <v>1</v>
      </c>
    </row>
    <row r="4738" spans="1:13" x14ac:dyDescent="0.3">
      <c r="A4738">
        <v>4736</v>
      </c>
      <c r="B4738">
        <v>4737</v>
      </c>
      <c r="C4738" t="s">
        <v>4819</v>
      </c>
      <c r="D4738">
        <v>2008</v>
      </c>
      <c r="E4738" t="s">
        <v>11</v>
      </c>
      <c r="F4738" t="s">
        <v>159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f t="shared" si="146"/>
        <v>8.1</v>
      </c>
      <c r="M4738">
        <f t="shared" si="147"/>
        <v>1</v>
      </c>
    </row>
    <row r="4739" spans="1:13" x14ac:dyDescent="0.3">
      <c r="A4739">
        <v>4737</v>
      </c>
      <c r="B4739">
        <v>4738</v>
      </c>
      <c r="C4739" t="s">
        <v>4820</v>
      </c>
      <c r="D4739">
        <v>2021</v>
      </c>
      <c r="E4739" t="s">
        <v>22</v>
      </c>
      <c r="F4739" t="s">
        <v>159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f t="shared" ref="L4739:L4802" si="148">IFERROR(VALUE(LEFT(F4739,FIND("/",F4739)-1))/10,"")</f>
        <v>8.1</v>
      </c>
      <c r="M4739">
        <f t="shared" ref="M4739:M4802" si="149">SUM(G4739:J4739)</f>
        <v>1</v>
      </c>
    </row>
    <row r="4740" spans="1:13" x14ac:dyDescent="0.3">
      <c r="A4740">
        <v>4738</v>
      </c>
      <c r="B4740">
        <v>4739</v>
      </c>
      <c r="C4740" t="s">
        <v>4821</v>
      </c>
      <c r="D4740">
        <v>2016</v>
      </c>
      <c r="E4740" t="s">
        <v>11</v>
      </c>
      <c r="F4740" t="s">
        <v>159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f t="shared" si="148"/>
        <v>8.1</v>
      </c>
      <c r="M4740">
        <f t="shared" si="149"/>
        <v>1</v>
      </c>
    </row>
    <row r="4741" spans="1:13" x14ac:dyDescent="0.3">
      <c r="A4741">
        <v>4739</v>
      </c>
      <c r="B4741">
        <v>4740</v>
      </c>
      <c r="C4741" t="s">
        <v>4822</v>
      </c>
      <c r="D4741">
        <v>1950</v>
      </c>
      <c r="E4741" t="s">
        <v>14</v>
      </c>
      <c r="F4741" t="s">
        <v>159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f t="shared" si="148"/>
        <v>8.1</v>
      </c>
      <c r="M4741">
        <f t="shared" si="149"/>
        <v>1</v>
      </c>
    </row>
    <row r="4742" spans="1:13" x14ac:dyDescent="0.3">
      <c r="A4742">
        <v>4740</v>
      </c>
      <c r="B4742">
        <v>4741</v>
      </c>
      <c r="C4742" t="s">
        <v>4823</v>
      </c>
      <c r="D4742">
        <v>2004</v>
      </c>
      <c r="E4742" t="s">
        <v>22</v>
      </c>
      <c r="F4742" t="s">
        <v>178</v>
      </c>
      <c r="G4742">
        <v>0</v>
      </c>
      <c r="H4742">
        <v>0</v>
      </c>
      <c r="I4742">
        <v>1</v>
      </c>
      <c r="J4742">
        <v>0</v>
      </c>
      <c r="K4742">
        <v>0</v>
      </c>
      <c r="L4742">
        <f t="shared" si="148"/>
        <v>8</v>
      </c>
      <c r="M4742">
        <f t="shared" si="149"/>
        <v>1</v>
      </c>
    </row>
    <row r="4743" spans="1:13" x14ac:dyDescent="0.3">
      <c r="A4743">
        <v>4741</v>
      </c>
      <c r="B4743">
        <v>4742</v>
      </c>
      <c r="C4743" t="s">
        <v>4824</v>
      </c>
      <c r="D4743">
        <v>2016</v>
      </c>
      <c r="F4743" t="s">
        <v>178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f t="shared" si="148"/>
        <v>8</v>
      </c>
      <c r="M4743">
        <f t="shared" si="149"/>
        <v>1</v>
      </c>
    </row>
    <row r="4744" spans="1:13" x14ac:dyDescent="0.3">
      <c r="A4744">
        <v>4742</v>
      </c>
      <c r="B4744">
        <v>4743</v>
      </c>
      <c r="C4744" t="s">
        <v>4825</v>
      </c>
      <c r="D4744">
        <v>1992</v>
      </c>
      <c r="E4744" t="s">
        <v>11</v>
      </c>
      <c r="F4744" t="s">
        <v>178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f t="shared" si="148"/>
        <v>8</v>
      </c>
      <c r="M4744">
        <f t="shared" si="149"/>
        <v>1</v>
      </c>
    </row>
    <row r="4745" spans="1:13" x14ac:dyDescent="0.3">
      <c r="A4745">
        <v>4743</v>
      </c>
      <c r="B4745">
        <v>4744</v>
      </c>
      <c r="C4745" t="s">
        <v>4826</v>
      </c>
      <c r="D4745">
        <v>2011</v>
      </c>
      <c r="E4745" t="s">
        <v>14</v>
      </c>
      <c r="F4745" t="s">
        <v>178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f t="shared" si="148"/>
        <v>8</v>
      </c>
      <c r="M4745">
        <f t="shared" si="149"/>
        <v>1</v>
      </c>
    </row>
    <row r="4746" spans="1:13" x14ac:dyDescent="0.3">
      <c r="A4746">
        <v>4744</v>
      </c>
      <c r="B4746">
        <v>4745</v>
      </c>
      <c r="C4746" t="s">
        <v>4827</v>
      </c>
      <c r="D4746">
        <v>2019</v>
      </c>
      <c r="E4746" t="s">
        <v>11</v>
      </c>
      <c r="F4746" t="s">
        <v>178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f t="shared" si="148"/>
        <v>8</v>
      </c>
      <c r="M4746">
        <f t="shared" si="149"/>
        <v>1</v>
      </c>
    </row>
    <row r="4747" spans="1:13" x14ac:dyDescent="0.3">
      <c r="A4747">
        <v>4745</v>
      </c>
      <c r="B4747">
        <v>4746</v>
      </c>
      <c r="C4747" t="s">
        <v>4828</v>
      </c>
      <c r="D4747">
        <v>2020</v>
      </c>
      <c r="E4747" t="s">
        <v>11</v>
      </c>
      <c r="F4747" t="s">
        <v>178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f t="shared" si="148"/>
        <v>8</v>
      </c>
      <c r="M4747">
        <f t="shared" si="149"/>
        <v>1</v>
      </c>
    </row>
    <row r="4748" spans="1:13" x14ac:dyDescent="0.3">
      <c r="A4748">
        <v>4746</v>
      </c>
      <c r="B4748">
        <v>4747</v>
      </c>
      <c r="C4748" t="s">
        <v>4829</v>
      </c>
      <c r="D4748">
        <v>2019</v>
      </c>
      <c r="E4748" t="s">
        <v>11</v>
      </c>
      <c r="F4748" t="s">
        <v>178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f t="shared" si="148"/>
        <v>8</v>
      </c>
      <c r="M4748">
        <f t="shared" si="149"/>
        <v>1</v>
      </c>
    </row>
    <row r="4749" spans="1:13" x14ac:dyDescent="0.3">
      <c r="A4749">
        <v>4747</v>
      </c>
      <c r="B4749">
        <v>4748</v>
      </c>
      <c r="C4749" t="s">
        <v>4830</v>
      </c>
      <c r="D4749">
        <v>1980</v>
      </c>
      <c r="E4749" t="s">
        <v>14</v>
      </c>
      <c r="F4749" t="s">
        <v>178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f t="shared" si="148"/>
        <v>8</v>
      </c>
      <c r="M4749">
        <f t="shared" si="149"/>
        <v>1</v>
      </c>
    </row>
    <row r="4750" spans="1:13" x14ac:dyDescent="0.3">
      <c r="A4750">
        <v>4748</v>
      </c>
      <c r="B4750">
        <v>4749</v>
      </c>
      <c r="C4750" t="s">
        <v>4831</v>
      </c>
      <c r="D4750">
        <v>2008</v>
      </c>
      <c r="E4750" t="s">
        <v>11</v>
      </c>
      <c r="F4750" t="s">
        <v>178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f t="shared" si="148"/>
        <v>8</v>
      </c>
      <c r="M4750">
        <f t="shared" si="149"/>
        <v>1</v>
      </c>
    </row>
    <row r="4751" spans="1:13" x14ac:dyDescent="0.3">
      <c r="A4751">
        <v>4749</v>
      </c>
      <c r="B4751">
        <v>4750</v>
      </c>
      <c r="C4751" t="s">
        <v>4832</v>
      </c>
      <c r="D4751">
        <v>1993</v>
      </c>
      <c r="E4751" t="s">
        <v>22</v>
      </c>
      <c r="F4751" t="s">
        <v>200</v>
      </c>
      <c r="G4751">
        <v>0</v>
      </c>
      <c r="H4751">
        <v>0</v>
      </c>
      <c r="I4751">
        <v>1</v>
      </c>
      <c r="J4751">
        <v>0</v>
      </c>
      <c r="K4751">
        <v>0</v>
      </c>
      <c r="L4751">
        <f t="shared" si="148"/>
        <v>7.9</v>
      </c>
      <c r="M4751">
        <f t="shared" si="149"/>
        <v>1</v>
      </c>
    </row>
    <row r="4752" spans="1:13" x14ac:dyDescent="0.3">
      <c r="A4752">
        <v>4750</v>
      </c>
      <c r="B4752">
        <v>4751</v>
      </c>
      <c r="C4752" t="s">
        <v>4833</v>
      </c>
      <c r="D4752">
        <v>2002</v>
      </c>
      <c r="E4752" t="s">
        <v>11</v>
      </c>
      <c r="F4752" t="s">
        <v>200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f t="shared" si="148"/>
        <v>7.9</v>
      </c>
      <c r="M4752">
        <f t="shared" si="149"/>
        <v>1</v>
      </c>
    </row>
    <row r="4753" spans="1:13" x14ac:dyDescent="0.3">
      <c r="A4753">
        <v>4751</v>
      </c>
      <c r="B4753">
        <v>4752</v>
      </c>
      <c r="C4753" t="s">
        <v>4834</v>
      </c>
      <c r="D4753">
        <v>2001</v>
      </c>
      <c r="E4753" t="s">
        <v>22</v>
      </c>
      <c r="F4753" t="s">
        <v>200</v>
      </c>
      <c r="G4753">
        <v>0</v>
      </c>
      <c r="H4753">
        <v>0</v>
      </c>
      <c r="I4753">
        <v>1</v>
      </c>
      <c r="J4753">
        <v>0</v>
      </c>
      <c r="K4753">
        <v>0</v>
      </c>
      <c r="L4753">
        <f t="shared" si="148"/>
        <v>7.9</v>
      </c>
      <c r="M4753">
        <f t="shared" si="149"/>
        <v>1</v>
      </c>
    </row>
    <row r="4754" spans="1:13" x14ac:dyDescent="0.3">
      <c r="A4754">
        <v>4752</v>
      </c>
      <c r="B4754">
        <v>4753</v>
      </c>
      <c r="C4754" t="s">
        <v>4835</v>
      </c>
      <c r="D4754">
        <v>2008</v>
      </c>
      <c r="E4754" t="s">
        <v>14</v>
      </c>
      <c r="F4754" t="s">
        <v>200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f t="shared" si="148"/>
        <v>7.9</v>
      </c>
      <c r="M4754">
        <f t="shared" si="149"/>
        <v>1</v>
      </c>
    </row>
    <row r="4755" spans="1:13" x14ac:dyDescent="0.3">
      <c r="A4755">
        <v>4753</v>
      </c>
      <c r="B4755">
        <v>4754</v>
      </c>
      <c r="C4755" t="s">
        <v>4836</v>
      </c>
      <c r="D4755">
        <v>2015</v>
      </c>
      <c r="F4755" t="s">
        <v>200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f t="shared" si="148"/>
        <v>7.9</v>
      </c>
      <c r="M4755">
        <f t="shared" si="149"/>
        <v>1</v>
      </c>
    </row>
    <row r="4756" spans="1:13" x14ac:dyDescent="0.3">
      <c r="A4756">
        <v>4754</v>
      </c>
      <c r="B4756">
        <v>4755</v>
      </c>
      <c r="C4756" t="s">
        <v>4837</v>
      </c>
      <c r="D4756">
        <v>2017</v>
      </c>
      <c r="E4756" t="s">
        <v>11</v>
      </c>
      <c r="F4756" t="s">
        <v>200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f t="shared" si="148"/>
        <v>7.9</v>
      </c>
      <c r="M4756">
        <f t="shared" si="149"/>
        <v>1</v>
      </c>
    </row>
    <row r="4757" spans="1:13" x14ac:dyDescent="0.3">
      <c r="A4757">
        <v>4755</v>
      </c>
      <c r="B4757">
        <v>4756</v>
      </c>
      <c r="C4757" t="s">
        <v>4838</v>
      </c>
      <c r="D4757">
        <v>2009</v>
      </c>
      <c r="E4757" t="s">
        <v>22</v>
      </c>
      <c r="F4757" t="s">
        <v>200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f t="shared" si="148"/>
        <v>7.9</v>
      </c>
      <c r="M4757">
        <f t="shared" si="149"/>
        <v>1</v>
      </c>
    </row>
    <row r="4758" spans="1:13" x14ac:dyDescent="0.3">
      <c r="A4758">
        <v>4756</v>
      </c>
      <c r="B4758">
        <v>4757</v>
      </c>
      <c r="C4758" t="s">
        <v>4839</v>
      </c>
      <c r="D4758">
        <v>1954</v>
      </c>
      <c r="E4758" t="s">
        <v>14</v>
      </c>
      <c r="F4758" t="s">
        <v>200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f t="shared" si="148"/>
        <v>7.9</v>
      </c>
      <c r="M4758">
        <f t="shared" si="149"/>
        <v>1</v>
      </c>
    </row>
    <row r="4759" spans="1:13" x14ac:dyDescent="0.3">
      <c r="A4759">
        <v>4757</v>
      </c>
      <c r="B4759">
        <v>4758</v>
      </c>
      <c r="C4759" t="s">
        <v>4840</v>
      </c>
      <c r="D4759">
        <v>1989</v>
      </c>
      <c r="E4759" t="s">
        <v>22</v>
      </c>
      <c r="F4759" t="s">
        <v>200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f t="shared" si="148"/>
        <v>7.9</v>
      </c>
      <c r="M4759">
        <f t="shared" si="149"/>
        <v>1</v>
      </c>
    </row>
    <row r="4760" spans="1:13" x14ac:dyDescent="0.3">
      <c r="A4760">
        <v>4758</v>
      </c>
      <c r="B4760">
        <v>4759</v>
      </c>
      <c r="C4760" t="s">
        <v>4841</v>
      </c>
      <c r="D4760">
        <v>1985</v>
      </c>
      <c r="E4760" t="s">
        <v>11</v>
      </c>
      <c r="F4760" t="s">
        <v>200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f t="shared" si="148"/>
        <v>7.9</v>
      </c>
      <c r="M4760">
        <f t="shared" si="149"/>
        <v>1</v>
      </c>
    </row>
    <row r="4761" spans="1:13" x14ac:dyDescent="0.3">
      <c r="A4761">
        <v>4759</v>
      </c>
      <c r="B4761">
        <v>4760</v>
      </c>
      <c r="C4761" t="s">
        <v>4842</v>
      </c>
      <c r="D4761">
        <v>1990</v>
      </c>
      <c r="E4761" t="s">
        <v>22</v>
      </c>
      <c r="F4761" t="s">
        <v>200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f t="shared" si="148"/>
        <v>7.9</v>
      </c>
      <c r="M4761">
        <f t="shared" si="149"/>
        <v>1</v>
      </c>
    </row>
    <row r="4762" spans="1:13" x14ac:dyDescent="0.3">
      <c r="A4762">
        <v>4760</v>
      </c>
      <c r="B4762">
        <v>4761</v>
      </c>
      <c r="C4762" t="s">
        <v>4843</v>
      </c>
      <c r="D4762">
        <v>2008</v>
      </c>
      <c r="E4762" t="s">
        <v>28</v>
      </c>
      <c r="F4762" t="s">
        <v>226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f t="shared" si="148"/>
        <v>7.8</v>
      </c>
      <c r="M4762">
        <f t="shared" si="149"/>
        <v>1</v>
      </c>
    </row>
    <row r="4763" spans="1:13" x14ac:dyDescent="0.3">
      <c r="A4763">
        <v>4761</v>
      </c>
      <c r="B4763">
        <v>4762</v>
      </c>
      <c r="C4763" t="s">
        <v>4844</v>
      </c>
      <c r="D4763">
        <v>2020</v>
      </c>
      <c r="E4763" t="s">
        <v>22</v>
      </c>
      <c r="F4763" t="s">
        <v>226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f t="shared" si="148"/>
        <v>7.8</v>
      </c>
      <c r="M4763">
        <f t="shared" si="149"/>
        <v>1</v>
      </c>
    </row>
    <row r="4764" spans="1:13" x14ac:dyDescent="0.3">
      <c r="A4764">
        <v>4762</v>
      </c>
      <c r="B4764">
        <v>4763</v>
      </c>
      <c r="C4764" t="s">
        <v>4845</v>
      </c>
      <c r="D4764">
        <v>2006</v>
      </c>
      <c r="E4764" t="s">
        <v>11</v>
      </c>
      <c r="F4764" t="s">
        <v>226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f t="shared" si="148"/>
        <v>7.8</v>
      </c>
      <c r="M4764">
        <f t="shared" si="149"/>
        <v>1</v>
      </c>
    </row>
    <row r="4765" spans="1:13" x14ac:dyDescent="0.3">
      <c r="A4765">
        <v>4763</v>
      </c>
      <c r="B4765">
        <v>4764</v>
      </c>
      <c r="C4765" t="s">
        <v>4846</v>
      </c>
      <c r="D4765">
        <v>2004</v>
      </c>
      <c r="E4765" t="s">
        <v>22</v>
      </c>
      <c r="F4765" t="s">
        <v>226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f t="shared" si="148"/>
        <v>7.8</v>
      </c>
      <c r="M4765">
        <f t="shared" si="149"/>
        <v>1</v>
      </c>
    </row>
    <row r="4766" spans="1:13" x14ac:dyDescent="0.3">
      <c r="A4766">
        <v>4764</v>
      </c>
      <c r="B4766">
        <v>4765</v>
      </c>
      <c r="C4766" t="s">
        <v>4847</v>
      </c>
      <c r="D4766">
        <v>2003</v>
      </c>
      <c r="E4766" t="s">
        <v>22</v>
      </c>
      <c r="F4766" t="s">
        <v>226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f t="shared" si="148"/>
        <v>7.8</v>
      </c>
      <c r="M4766">
        <f t="shared" si="149"/>
        <v>1</v>
      </c>
    </row>
    <row r="4767" spans="1:13" x14ac:dyDescent="0.3">
      <c r="A4767">
        <v>4765</v>
      </c>
      <c r="B4767">
        <v>4766</v>
      </c>
      <c r="C4767" t="s">
        <v>4848</v>
      </c>
      <c r="D4767">
        <v>2006</v>
      </c>
      <c r="E4767" t="s">
        <v>11</v>
      </c>
      <c r="F4767" t="s">
        <v>226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f t="shared" si="148"/>
        <v>7.8</v>
      </c>
      <c r="M4767">
        <f t="shared" si="149"/>
        <v>1</v>
      </c>
    </row>
    <row r="4768" spans="1:13" x14ac:dyDescent="0.3">
      <c r="A4768">
        <v>4766</v>
      </c>
      <c r="B4768">
        <v>4767</v>
      </c>
      <c r="C4768" t="s">
        <v>4849</v>
      </c>
      <c r="D4768">
        <v>2017</v>
      </c>
      <c r="E4768" t="s">
        <v>14</v>
      </c>
      <c r="F4768" t="s">
        <v>251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f t="shared" si="148"/>
        <v>7.7</v>
      </c>
      <c r="M4768">
        <f t="shared" si="149"/>
        <v>1</v>
      </c>
    </row>
    <row r="4769" spans="1:13" x14ac:dyDescent="0.3">
      <c r="A4769">
        <v>4767</v>
      </c>
      <c r="B4769">
        <v>4768</v>
      </c>
      <c r="C4769" t="s">
        <v>4850</v>
      </c>
      <c r="D4769">
        <v>1970</v>
      </c>
      <c r="E4769" t="s">
        <v>14</v>
      </c>
      <c r="F4769" t="s">
        <v>251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f t="shared" si="148"/>
        <v>7.7</v>
      </c>
      <c r="M4769">
        <f t="shared" si="149"/>
        <v>1</v>
      </c>
    </row>
    <row r="4770" spans="1:13" x14ac:dyDescent="0.3">
      <c r="A4770">
        <v>4768</v>
      </c>
      <c r="B4770">
        <v>4769</v>
      </c>
      <c r="C4770" t="s">
        <v>4851</v>
      </c>
      <c r="D4770">
        <v>2014</v>
      </c>
      <c r="E4770" t="s">
        <v>11</v>
      </c>
      <c r="F4770" t="s">
        <v>251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f t="shared" si="148"/>
        <v>7.7</v>
      </c>
      <c r="M4770">
        <f t="shared" si="149"/>
        <v>1</v>
      </c>
    </row>
    <row r="4771" spans="1:13" x14ac:dyDescent="0.3">
      <c r="A4771">
        <v>4769</v>
      </c>
      <c r="B4771">
        <v>4770</v>
      </c>
      <c r="C4771" t="s">
        <v>4852</v>
      </c>
      <c r="D4771">
        <v>2010</v>
      </c>
      <c r="F4771" t="s">
        <v>251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f t="shared" si="148"/>
        <v>7.7</v>
      </c>
      <c r="M4771">
        <f t="shared" si="149"/>
        <v>1</v>
      </c>
    </row>
    <row r="4772" spans="1:13" x14ac:dyDescent="0.3">
      <c r="A4772">
        <v>4770</v>
      </c>
      <c r="B4772">
        <v>4771</v>
      </c>
      <c r="C4772" t="s">
        <v>4853</v>
      </c>
      <c r="D4772">
        <v>2006</v>
      </c>
      <c r="E4772" t="s">
        <v>11</v>
      </c>
      <c r="F4772" t="s">
        <v>251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f t="shared" si="148"/>
        <v>7.7</v>
      </c>
      <c r="M4772">
        <f t="shared" si="149"/>
        <v>1</v>
      </c>
    </row>
    <row r="4773" spans="1:13" x14ac:dyDescent="0.3">
      <c r="A4773">
        <v>4771</v>
      </c>
      <c r="B4773">
        <v>4772</v>
      </c>
      <c r="C4773" t="s">
        <v>4854</v>
      </c>
      <c r="D4773">
        <v>1953</v>
      </c>
      <c r="E4773" t="s">
        <v>36</v>
      </c>
      <c r="F4773" t="s">
        <v>251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f t="shared" si="148"/>
        <v>7.7</v>
      </c>
      <c r="M4773">
        <f t="shared" si="149"/>
        <v>1</v>
      </c>
    </row>
    <row r="4774" spans="1:13" x14ac:dyDescent="0.3">
      <c r="A4774">
        <v>4772</v>
      </c>
      <c r="B4774">
        <v>4773</v>
      </c>
      <c r="C4774" t="s">
        <v>4855</v>
      </c>
      <c r="D4774">
        <v>2013</v>
      </c>
      <c r="E4774" t="s">
        <v>11</v>
      </c>
      <c r="F4774" t="s">
        <v>251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f t="shared" si="148"/>
        <v>7.7</v>
      </c>
      <c r="M4774">
        <f t="shared" si="149"/>
        <v>1</v>
      </c>
    </row>
    <row r="4775" spans="1:13" x14ac:dyDescent="0.3">
      <c r="A4775">
        <v>4773</v>
      </c>
      <c r="B4775">
        <v>4774</v>
      </c>
      <c r="C4775" t="s">
        <v>4856</v>
      </c>
      <c r="D4775">
        <v>2002</v>
      </c>
      <c r="E4775" t="s">
        <v>11</v>
      </c>
      <c r="F4775" t="s">
        <v>251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f t="shared" si="148"/>
        <v>7.7</v>
      </c>
      <c r="M4775">
        <f t="shared" si="149"/>
        <v>1</v>
      </c>
    </row>
    <row r="4776" spans="1:13" x14ac:dyDescent="0.3">
      <c r="A4776">
        <v>4774</v>
      </c>
      <c r="B4776">
        <v>4775</v>
      </c>
      <c r="C4776" t="s">
        <v>4857</v>
      </c>
      <c r="D4776">
        <v>1971</v>
      </c>
      <c r="E4776" t="s">
        <v>11</v>
      </c>
      <c r="F4776" t="s">
        <v>251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f t="shared" si="148"/>
        <v>7.7</v>
      </c>
      <c r="M4776">
        <f t="shared" si="149"/>
        <v>1</v>
      </c>
    </row>
    <row r="4777" spans="1:13" x14ac:dyDescent="0.3">
      <c r="A4777">
        <v>4775</v>
      </c>
      <c r="B4777">
        <v>4776</v>
      </c>
      <c r="C4777" t="s">
        <v>4858</v>
      </c>
      <c r="D4777">
        <v>1992</v>
      </c>
      <c r="F4777" t="s">
        <v>251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f t="shared" si="148"/>
        <v>7.7</v>
      </c>
      <c r="M4777">
        <f t="shared" si="149"/>
        <v>1</v>
      </c>
    </row>
    <row r="4778" spans="1:13" x14ac:dyDescent="0.3">
      <c r="A4778">
        <v>4776</v>
      </c>
      <c r="B4778">
        <v>4777</v>
      </c>
      <c r="C4778" t="s">
        <v>4859</v>
      </c>
      <c r="D4778">
        <v>2013</v>
      </c>
      <c r="E4778" t="s">
        <v>11</v>
      </c>
      <c r="F4778" t="s">
        <v>251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f t="shared" si="148"/>
        <v>7.7</v>
      </c>
      <c r="M4778">
        <f t="shared" si="149"/>
        <v>1</v>
      </c>
    </row>
    <row r="4779" spans="1:13" x14ac:dyDescent="0.3">
      <c r="A4779">
        <v>4777</v>
      </c>
      <c r="B4779">
        <v>4778</v>
      </c>
      <c r="C4779" t="s">
        <v>4860</v>
      </c>
      <c r="D4779">
        <v>1983</v>
      </c>
      <c r="E4779" t="s">
        <v>14</v>
      </c>
      <c r="F4779" t="s">
        <v>278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f t="shared" si="148"/>
        <v>7.6</v>
      </c>
      <c r="M4779">
        <f t="shared" si="149"/>
        <v>1</v>
      </c>
    </row>
    <row r="4780" spans="1:13" x14ac:dyDescent="0.3">
      <c r="A4780">
        <v>4778</v>
      </c>
      <c r="B4780">
        <v>4779</v>
      </c>
      <c r="C4780" t="s">
        <v>4861</v>
      </c>
      <c r="D4780">
        <v>2020</v>
      </c>
      <c r="E4780" t="s">
        <v>22</v>
      </c>
      <c r="F4780" t="s">
        <v>278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f t="shared" si="148"/>
        <v>7.6</v>
      </c>
      <c r="M4780">
        <f t="shared" si="149"/>
        <v>1</v>
      </c>
    </row>
    <row r="4781" spans="1:13" x14ac:dyDescent="0.3">
      <c r="A4781">
        <v>4779</v>
      </c>
      <c r="B4781">
        <v>4780</v>
      </c>
      <c r="C4781" t="s">
        <v>4862</v>
      </c>
      <c r="D4781">
        <v>2004</v>
      </c>
      <c r="E4781" t="s">
        <v>22</v>
      </c>
      <c r="F4781" t="s">
        <v>278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f t="shared" si="148"/>
        <v>7.6</v>
      </c>
      <c r="M4781">
        <f t="shared" si="149"/>
        <v>1</v>
      </c>
    </row>
    <row r="4782" spans="1:13" x14ac:dyDescent="0.3">
      <c r="A4782">
        <v>4780</v>
      </c>
      <c r="B4782">
        <v>4781</v>
      </c>
      <c r="C4782" t="s">
        <v>4863</v>
      </c>
      <c r="D4782">
        <v>1981</v>
      </c>
      <c r="E4782" t="s">
        <v>11</v>
      </c>
      <c r="F4782" t="s">
        <v>278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f t="shared" si="148"/>
        <v>7.6</v>
      </c>
      <c r="M4782">
        <f t="shared" si="149"/>
        <v>1</v>
      </c>
    </row>
    <row r="4783" spans="1:13" x14ac:dyDescent="0.3">
      <c r="A4783">
        <v>4781</v>
      </c>
      <c r="B4783">
        <v>4782</v>
      </c>
      <c r="C4783" t="s">
        <v>4864</v>
      </c>
      <c r="D4783">
        <v>1995</v>
      </c>
      <c r="E4783" t="s">
        <v>36</v>
      </c>
      <c r="F4783" t="s">
        <v>278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f t="shared" si="148"/>
        <v>7.6</v>
      </c>
      <c r="M4783">
        <f t="shared" si="149"/>
        <v>1</v>
      </c>
    </row>
    <row r="4784" spans="1:13" x14ac:dyDescent="0.3">
      <c r="A4784">
        <v>4782</v>
      </c>
      <c r="B4784">
        <v>4783</v>
      </c>
      <c r="C4784" t="s">
        <v>4865</v>
      </c>
      <c r="D4784">
        <v>1985</v>
      </c>
      <c r="E4784" t="s">
        <v>14</v>
      </c>
      <c r="F4784" t="s">
        <v>278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f t="shared" si="148"/>
        <v>7.6</v>
      </c>
      <c r="M4784">
        <f t="shared" si="149"/>
        <v>1</v>
      </c>
    </row>
    <row r="4785" spans="1:13" x14ac:dyDescent="0.3">
      <c r="A4785">
        <v>4783</v>
      </c>
      <c r="B4785">
        <v>4784</v>
      </c>
      <c r="C4785" t="s">
        <v>4866</v>
      </c>
      <c r="D4785">
        <v>2008</v>
      </c>
      <c r="F4785" t="s">
        <v>278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f t="shared" si="148"/>
        <v>7.6</v>
      </c>
      <c r="M4785">
        <f t="shared" si="149"/>
        <v>1</v>
      </c>
    </row>
    <row r="4786" spans="1:13" x14ac:dyDescent="0.3">
      <c r="A4786">
        <v>4784</v>
      </c>
      <c r="B4786">
        <v>4785</v>
      </c>
      <c r="C4786" t="s">
        <v>4867</v>
      </c>
      <c r="D4786">
        <v>1992</v>
      </c>
      <c r="E4786" t="s">
        <v>14</v>
      </c>
      <c r="F4786" t="s">
        <v>278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f t="shared" si="148"/>
        <v>7.6</v>
      </c>
      <c r="M4786">
        <f t="shared" si="149"/>
        <v>1</v>
      </c>
    </row>
    <row r="4787" spans="1:13" x14ac:dyDescent="0.3">
      <c r="A4787">
        <v>4785</v>
      </c>
      <c r="B4787">
        <v>4786</v>
      </c>
      <c r="C4787" t="s">
        <v>4868</v>
      </c>
      <c r="D4787">
        <v>1995</v>
      </c>
      <c r="E4787" t="s">
        <v>11</v>
      </c>
      <c r="F4787" t="s">
        <v>278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f t="shared" si="148"/>
        <v>7.6</v>
      </c>
      <c r="M4787">
        <f t="shared" si="149"/>
        <v>1</v>
      </c>
    </row>
    <row r="4788" spans="1:13" x14ac:dyDescent="0.3">
      <c r="A4788">
        <v>4786</v>
      </c>
      <c r="B4788">
        <v>4787</v>
      </c>
      <c r="C4788" t="s">
        <v>4869</v>
      </c>
      <c r="D4788">
        <v>1986</v>
      </c>
      <c r="E4788" t="s">
        <v>11</v>
      </c>
      <c r="F4788" t="s">
        <v>278</v>
      </c>
      <c r="G4788">
        <v>0</v>
      </c>
      <c r="H4788">
        <v>0</v>
      </c>
      <c r="I4788">
        <v>1</v>
      </c>
      <c r="J4788">
        <v>0</v>
      </c>
      <c r="K4788">
        <v>0</v>
      </c>
      <c r="L4788">
        <f t="shared" si="148"/>
        <v>7.6</v>
      </c>
      <c r="M4788">
        <f t="shared" si="149"/>
        <v>1</v>
      </c>
    </row>
    <row r="4789" spans="1:13" x14ac:dyDescent="0.3">
      <c r="A4789">
        <v>4787</v>
      </c>
      <c r="B4789">
        <v>4788</v>
      </c>
      <c r="C4789" t="s">
        <v>4870</v>
      </c>
      <c r="D4789">
        <v>2000</v>
      </c>
      <c r="E4789" t="s">
        <v>36</v>
      </c>
      <c r="F4789" t="s">
        <v>278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f t="shared" si="148"/>
        <v>7.6</v>
      </c>
      <c r="M4789">
        <f t="shared" si="149"/>
        <v>1</v>
      </c>
    </row>
    <row r="4790" spans="1:13" x14ac:dyDescent="0.3">
      <c r="A4790">
        <v>4788</v>
      </c>
      <c r="B4790">
        <v>4789</v>
      </c>
      <c r="C4790" t="s">
        <v>4871</v>
      </c>
      <c r="D4790">
        <v>2019</v>
      </c>
      <c r="E4790" t="s">
        <v>14</v>
      </c>
      <c r="F4790" t="s">
        <v>278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f t="shared" si="148"/>
        <v>7.6</v>
      </c>
      <c r="M4790">
        <f t="shared" si="149"/>
        <v>1</v>
      </c>
    </row>
    <row r="4791" spans="1:13" x14ac:dyDescent="0.3">
      <c r="A4791">
        <v>4789</v>
      </c>
      <c r="B4791">
        <v>4790</v>
      </c>
      <c r="C4791" t="s">
        <v>4872</v>
      </c>
      <c r="D4791">
        <v>2010</v>
      </c>
      <c r="E4791" t="s">
        <v>11</v>
      </c>
      <c r="F4791" t="s">
        <v>278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f t="shared" si="148"/>
        <v>7.6</v>
      </c>
      <c r="M4791">
        <f t="shared" si="149"/>
        <v>1</v>
      </c>
    </row>
    <row r="4792" spans="1:13" x14ac:dyDescent="0.3">
      <c r="A4792">
        <v>4790</v>
      </c>
      <c r="B4792">
        <v>4791</v>
      </c>
      <c r="C4792" t="s">
        <v>4873</v>
      </c>
      <c r="D4792">
        <v>1975</v>
      </c>
      <c r="F4792" t="s">
        <v>278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f t="shared" si="148"/>
        <v>7.6</v>
      </c>
      <c r="M4792">
        <f t="shared" si="149"/>
        <v>1</v>
      </c>
    </row>
    <row r="4793" spans="1:13" x14ac:dyDescent="0.3">
      <c r="A4793">
        <v>4791</v>
      </c>
      <c r="B4793">
        <v>4792</v>
      </c>
      <c r="C4793" t="s">
        <v>4874</v>
      </c>
      <c r="D4793">
        <v>1963</v>
      </c>
      <c r="E4793" t="s">
        <v>22</v>
      </c>
      <c r="F4793" t="s">
        <v>315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f t="shared" si="148"/>
        <v>7.5</v>
      </c>
      <c r="M4793">
        <f t="shared" si="149"/>
        <v>1</v>
      </c>
    </row>
    <row r="4794" spans="1:13" x14ac:dyDescent="0.3">
      <c r="A4794">
        <v>4792</v>
      </c>
      <c r="B4794">
        <v>4793</v>
      </c>
      <c r="C4794">
        <v>7500</v>
      </c>
      <c r="D4794">
        <v>2019</v>
      </c>
      <c r="E4794" t="s">
        <v>11</v>
      </c>
      <c r="F4794" t="s">
        <v>315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f t="shared" si="148"/>
        <v>7.5</v>
      </c>
      <c r="M4794">
        <f t="shared" si="149"/>
        <v>1</v>
      </c>
    </row>
    <row r="4795" spans="1:13" x14ac:dyDescent="0.3">
      <c r="A4795">
        <v>4793</v>
      </c>
      <c r="B4795">
        <v>4794</v>
      </c>
      <c r="C4795" t="s">
        <v>4875</v>
      </c>
      <c r="D4795">
        <v>1991</v>
      </c>
      <c r="E4795" t="s">
        <v>11</v>
      </c>
      <c r="F4795" t="s">
        <v>315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f t="shared" si="148"/>
        <v>7.5</v>
      </c>
      <c r="M4795">
        <f t="shared" si="149"/>
        <v>1</v>
      </c>
    </row>
    <row r="4796" spans="1:13" x14ac:dyDescent="0.3">
      <c r="A4796">
        <v>4794</v>
      </c>
      <c r="B4796">
        <v>4795</v>
      </c>
      <c r="C4796" t="s">
        <v>4876</v>
      </c>
      <c r="D4796">
        <v>1952</v>
      </c>
      <c r="E4796" t="s">
        <v>14</v>
      </c>
      <c r="F4796" t="s">
        <v>315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f t="shared" si="148"/>
        <v>7.5</v>
      </c>
      <c r="M4796">
        <f t="shared" si="149"/>
        <v>1</v>
      </c>
    </row>
    <row r="4797" spans="1:13" x14ac:dyDescent="0.3">
      <c r="A4797">
        <v>4795</v>
      </c>
      <c r="B4797">
        <v>4796</v>
      </c>
      <c r="C4797" t="s">
        <v>4877</v>
      </c>
      <c r="D4797">
        <v>2002</v>
      </c>
      <c r="E4797" t="s">
        <v>11</v>
      </c>
      <c r="F4797" t="s">
        <v>315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f t="shared" si="148"/>
        <v>7.5</v>
      </c>
      <c r="M4797">
        <f t="shared" si="149"/>
        <v>1</v>
      </c>
    </row>
    <row r="4798" spans="1:13" x14ac:dyDescent="0.3">
      <c r="A4798">
        <v>4796</v>
      </c>
      <c r="B4798">
        <v>4797</v>
      </c>
      <c r="C4798" t="s">
        <v>4878</v>
      </c>
      <c r="D4798">
        <v>2018</v>
      </c>
      <c r="E4798" t="s">
        <v>28</v>
      </c>
      <c r="F4798" t="s">
        <v>315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f t="shared" si="148"/>
        <v>7.5</v>
      </c>
      <c r="M4798">
        <f t="shared" si="149"/>
        <v>1</v>
      </c>
    </row>
    <row r="4799" spans="1:13" x14ac:dyDescent="0.3">
      <c r="A4799">
        <v>4797</v>
      </c>
      <c r="B4799">
        <v>4798</v>
      </c>
      <c r="C4799" t="s">
        <v>4879</v>
      </c>
      <c r="D4799">
        <v>2005</v>
      </c>
      <c r="E4799" t="s">
        <v>11</v>
      </c>
      <c r="F4799" t="s">
        <v>315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f t="shared" si="148"/>
        <v>7.5</v>
      </c>
      <c r="M4799">
        <f t="shared" si="149"/>
        <v>1</v>
      </c>
    </row>
    <row r="4800" spans="1:13" x14ac:dyDescent="0.3">
      <c r="A4800">
        <v>4798</v>
      </c>
      <c r="B4800">
        <v>4799</v>
      </c>
      <c r="C4800" t="s">
        <v>4880</v>
      </c>
      <c r="D4800">
        <v>1973</v>
      </c>
      <c r="E4800" t="s">
        <v>11</v>
      </c>
      <c r="F4800" t="s">
        <v>315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f t="shared" si="148"/>
        <v>7.5</v>
      </c>
      <c r="M4800">
        <f t="shared" si="149"/>
        <v>1</v>
      </c>
    </row>
    <row r="4801" spans="1:13" x14ac:dyDescent="0.3">
      <c r="A4801">
        <v>4799</v>
      </c>
      <c r="B4801">
        <v>4800</v>
      </c>
      <c r="C4801" t="s">
        <v>4881</v>
      </c>
      <c r="D4801">
        <v>2018</v>
      </c>
      <c r="E4801" t="s">
        <v>14</v>
      </c>
      <c r="F4801" t="s">
        <v>315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f t="shared" si="148"/>
        <v>7.5</v>
      </c>
      <c r="M4801">
        <f t="shared" si="149"/>
        <v>1</v>
      </c>
    </row>
    <row r="4802" spans="1:13" x14ac:dyDescent="0.3">
      <c r="A4802">
        <v>4800</v>
      </c>
      <c r="B4802">
        <v>4801</v>
      </c>
      <c r="C4802" t="s">
        <v>4882</v>
      </c>
      <c r="D4802">
        <v>2015</v>
      </c>
      <c r="E4802" t="s">
        <v>11</v>
      </c>
      <c r="F4802" t="s">
        <v>315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f t="shared" si="148"/>
        <v>7.5</v>
      </c>
      <c r="M4802">
        <f t="shared" si="149"/>
        <v>1</v>
      </c>
    </row>
    <row r="4803" spans="1:13" x14ac:dyDescent="0.3">
      <c r="A4803">
        <v>4801</v>
      </c>
      <c r="B4803">
        <v>4802</v>
      </c>
      <c r="C4803" t="s">
        <v>4883</v>
      </c>
      <c r="D4803">
        <v>1952</v>
      </c>
      <c r="E4803" t="s">
        <v>14</v>
      </c>
      <c r="F4803" t="s">
        <v>315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f t="shared" ref="L4803:L4866" si="150">IFERROR(VALUE(LEFT(F4803,FIND("/",F4803)-1))/10,"")</f>
        <v>7.5</v>
      </c>
      <c r="M4803">
        <f t="shared" ref="M4803:M4866" si="151">SUM(G4803:J4803)</f>
        <v>1</v>
      </c>
    </row>
    <row r="4804" spans="1:13" x14ac:dyDescent="0.3">
      <c r="A4804">
        <v>4802</v>
      </c>
      <c r="B4804">
        <v>4803</v>
      </c>
      <c r="C4804" t="s">
        <v>4884</v>
      </c>
      <c r="D4804">
        <v>2019</v>
      </c>
      <c r="F4804" t="s">
        <v>315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f t="shared" si="150"/>
        <v>7.5</v>
      </c>
      <c r="M4804">
        <f t="shared" si="151"/>
        <v>1</v>
      </c>
    </row>
    <row r="4805" spans="1:13" x14ac:dyDescent="0.3">
      <c r="A4805">
        <v>4803</v>
      </c>
      <c r="B4805">
        <v>4804</v>
      </c>
      <c r="C4805" t="s">
        <v>4885</v>
      </c>
      <c r="D4805">
        <v>2018</v>
      </c>
      <c r="E4805" t="s">
        <v>11</v>
      </c>
      <c r="F4805" t="s">
        <v>315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f t="shared" si="150"/>
        <v>7.5</v>
      </c>
      <c r="M4805">
        <f t="shared" si="151"/>
        <v>1</v>
      </c>
    </row>
    <row r="4806" spans="1:13" x14ac:dyDescent="0.3">
      <c r="A4806">
        <v>4804</v>
      </c>
      <c r="B4806">
        <v>4805</v>
      </c>
      <c r="C4806" t="s">
        <v>4886</v>
      </c>
      <c r="D4806">
        <v>2019</v>
      </c>
      <c r="F4806" t="s">
        <v>315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f t="shared" si="150"/>
        <v>7.5</v>
      </c>
      <c r="M4806">
        <f t="shared" si="151"/>
        <v>1</v>
      </c>
    </row>
    <row r="4807" spans="1:13" x14ac:dyDescent="0.3">
      <c r="A4807">
        <v>4805</v>
      </c>
      <c r="B4807">
        <v>4806</v>
      </c>
      <c r="C4807" t="s">
        <v>4887</v>
      </c>
      <c r="D4807">
        <v>1998</v>
      </c>
      <c r="E4807" t="s">
        <v>14</v>
      </c>
      <c r="F4807" t="s">
        <v>354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f t="shared" si="150"/>
        <v>7.4</v>
      </c>
      <c r="M4807">
        <f t="shared" si="151"/>
        <v>1</v>
      </c>
    </row>
    <row r="4808" spans="1:13" x14ac:dyDescent="0.3">
      <c r="A4808">
        <v>4806</v>
      </c>
      <c r="B4808">
        <v>4807</v>
      </c>
      <c r="C4808" t="s">
        <v>4888</v>
      </c>
      <c r="D4808">
        <v>1991</v>
      </c>
      <c r="E4808" t="s">
        <v>11</v>
      </c>
      <c r="F4808" t="s">
        <v>354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f t="shared" si="150"/>
        <v>7.4</v>
      </c>
      <c r="M4808">
        <f t="shared" si="151"/>
        <v>1</v>
      </c>
    </row>
    <row r="4809" spans="1:13" x14ac:dyDescent="0.3">
      <c r="A4809">
        <v>4807</v>
      </c>
      <c r="B4809">
        <v>4808</v>
      </c>
      <c r="C4809" t="s">
        <v>4889</v>
      </c>
      <c r="D4809">
        <v>1995</v>
      </c>
      <c r="E4809" t="s">
        <v>11</v>
      </c>
      <c r="F4809" t="s">
        <v>354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f t="shared" si="150"/>
        <v>7.4</v>
      </c>
      <c r="M4809">
        <f t="shared" si="151"/>
        <v>1</v>
      </c>
    </row>
    <row r="4810" spans="1:13" x14ac:dyDescent="0.3">
      <c r="A4810">
        <v>4808</v>
      </c>
      <c r="B4810">
        <v>4809</v>
      </c>
      <c r="C4810" t="s">
        <v>4890</v>
      </c>
      <c r="D4810">
        <v>2009</v>
      </c>
      <c r="E4810" t="s">
        <v>22</v>
      </c>
      <c r="F4810" t="s">
        <v>354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f t="shared" si="150"/>
        <v>7.4</v>
      </c>
      <c r="M4810">
        <f t="shared" si="151"/>
        <v>1</v>
      </c>
    </row>
    <row r="4811" spans="1:13" x14ac:dyDescent="0.3">
      <c r="A4811">
        <v>4809</v>
      </c>
      <c r="B4811">
        <v>4810</v>
      </c>
      <c r="C4811" t="s">
        <v>4891</v>
      </c>
      <c r="D4811">
        <v>1997</v>
      </c>
      <c r="E4811" t="s">
        <v>11</v>
      </c>
      <c r="F4811" t="s">
        <v>354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f t="shared" si="150"/>
        <v>7.4</v>
      </c>
      <c r="M4811">
        <f t="shared" si="151"/>
        <v>1</v>
      </c>
    </row>
    <row r="4812" spans="1:13" x14ac:dyDescent="0.3">
      <c r="A4812">
        <v>4810</v>
      </c>
      <c r="B4812">
        <v>4811</v>
      </c>
      <c r="C4812" t="s">
        <v>4892</v>
      </c>
      <c r="D4812">
        <v>2017</v>
      </c>
      <c r="E4812" t="s">
        <v>11</v>
      </c>
      <c r="F4812" t="s">
        <v>354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f t="shared" si="150"/>
        <v>7.4</v>
      </c>
      <c r="M4812">
        <f t="shared" si="151"/>
        <v>1</v>
      </c>
    </row>
    <row r="4813" spans="1:13" x14ac:dyDescent="0.3">
      <c r="A4813">
        <v>4811</v>
      </c>
      <c r="B4813">
        <v>4812</v>
      </c>
      <c r="C4813" t="s">
        <v>4893</v>
      </c>
      <c r="D4813">
        <v>2008</v>
      </c>
      <c r="E4813" t="s">
        <v>22</v>
      </c>
      <c r="F4813" t="s">
        <v>354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f t="shared" si="150"/>
        <v>7.4</v>
      </c>
      <c r="M4813">
        <f t="shared" si="151"/>
        <v>1</v>
      </c>
    </row>
    <row r="4814" spans="1:13" x14ac:dyDescent="0.3">
      <c r="A4814">
        <v>4812</v>
      </c>
      <c r="B4814">
        <v>4813</v>
      </c>
      <c r="C4814" t="s">
        <v>4894</v>
      </c>
      <c r="D4814">
        <v>1940</v>
      </c>
      <c r="F4814" t="s">
        <v>354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f t="shared" si="150"/>
        <v>7.4</v>
      </c>
      <c r="M4814">
        <f t="shared" si="151"/>
        <v>1</v>
      </c>
    </row>
    <row r="4815" spans="1:13" x14ac:dyDescent="0.3">
      <c r="A4815">
        <v>4813</v>
      </c>
      <c r="B4815">
        <v>4814</v>
      </c>
      <c r="C4815" t="s">
        <v>4895</v>
      </c>
      <c r="D4815">
        <v>2007</v>
      </c>
      <c r="E4815" t="s">
        <v>11</v>
      </c>
      <c r="F4815" t="s">
        <v>354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f t="shared" si="150"/>
        <v>7.4</v>
      </c>
      <c r="M4815">
        <f t="shared" si="151"/>
        <v>1</v>
      </c>
    </row>
    <row r="4816" spans="1:13" x14ac:dyDescent="0.3">
      <c r="A4816">
        <v>4814</v>
      </c>
      <c r="B4816">
        <v>4815</v>
      </c>
      <c r="C4816" t="s">
        <v>4896</v>
      </c>
      <c r="D4816">
        <v>1993</v>
      </c>
      <c r="E4816" t="s">
        <v>14</v>
      </c>
      <c r="F4816" t="s">
        <v>354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f t="shared" si="150"/>
        <v>7.4</v>
      </c>
      <c r="M4816">
        <f t="shared" si="151"/>
        <v>1</v>
      </c>
    </row>
    <row r="4817" spans="1:13" x14ac:dyDescent="0.3">
      <c r="A4817">
        <v>4815</v>
      </c>
      <c r="B4817">
        <v>4816</v>
      </c>
      <c r="C4817" t="s">
        <v>4897</v>
      </c>
      <c r="D4817">
        <v>1955</v>
      </c>
      <c r="E4817" t="s">
        <v>14</v>
      </c>
      <c r="F4817" t="s">
        <v>354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f t="shared" si="150"/>
        <v>7.4</v>
      </c>
      <c r="M4817">
        <f t="shared" si="151"/>
        <v>1</v>
      </c>
    </row>
    <row r="4818" spans="1:13" x14ac:dyDescent="0.3">
      <c r="A4818">
        <v>4816</v>
      </c>
      <c r="B4818">
        <v>4817</v>
      </c>
      <c r="C4818" t="s">
        <v>4898</v>
      </c>
      <c r="D4818">
        <v>1997</v>
      </c>
      <c r="E4818" t="s">
        <v>11</v>
      </c>
      <c r="F4818" t="s">
        <v>354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f t="shared" si="150"/>
        <v>7.4</v>
      </c>
      <c r="M4818">
        <f t="shared" si="151"/>
        <v>1</v>
      </c>
    </row>
    <row r="4819" spans="1:13" x14ac:dyDescent="0.3">
      <c r="A4819">
        <v>4817</v>
      </c>
      <c r="B4819">
        <v>4818</v>
      </c>
      <c r="C4819" t="s">
        <v>4899</v>
      </c>
      <c r="D4819">
        <v>2014</v>
      </c>
      <c r="E4819" t="s">
        <v>14</v>
      </c>
      <c r="F4819" t="s">
        <v>354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f t="shared" si="150"/>
        <v>7.4</v>
      </c>
      <c r="M4819">
        <f t="shared" si="151"/>
        <v>1</v>
      </c>
    </row>
    <row r="4820" spans="1:13" x14ac:dyDescent="0.3">
      <c r="A4820">
        <v>4818</v>
      </c>
      <c r="B4820">
        <v>4819</v>
      </c>
      <c r="C4820" t="s">
        <v>4900</v>
      </c>
      <c r="D4820">
        <v>2017</v>
      </c>
      <c r="E4820" t="s">
        <v>22</v>
      </c>
      <c r="F4820" t="s">
        <v>354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f t="shared" si="150"/>
        <v>7.4</v>
      </c>
      <c r="M4820">
        <f t="shared" si="151"/>
        <v>1</v>
      </c>
    </row>
    <row r="4821" spans="1:13" x14ac:dyDescent="0.3">
      <c r="A4821">
        <v>4819</v>
      </c>
      <c r="B4821">
        <v>4820</v>
      </c>
      <c r="C4821" t="s">
        <v>4901</v>
      </c>
      <c r="D4821">
        <v>2019</v>
      </c>
      <c r="E4821" t="s">
        <v>22</v>
      </c>
      <c r="F4821" t="s">
        <v>354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f t="shared" si="150"/>
        <v>7.4</v>
      </c>
      <c r="M4821">
        <f t="shared" si="151"/>
        <v>1</v>
      </c>
    </row>
    <row r="4822" spans="1:13" x14ac:dyDescent="0.3">
      <c r="A4822">
        <v>4820</v>
      </c>
      <c r="B4822">
        <v>4821</v>
      </c>
      <c r="C4822" t="s">
        <v>4902</v>
      </c>
      <c r="D4822">
        <v>2020</v>
      </c>
      <c r="E4822" t="s">
        <v>22</v>
      </c>
      <c r="F4822" t="s">
        <v>354</v>
      </c>
      <c r="G4822">
        <v>0</v>
      </c>
      <c r="H4822">
        <v>0</v>
      </c>
      <c r="I4822">
        <v>1</v>
      </c>
      <c r="J4822">
        <v>0</v>
      </c>
      <c r="K4822">
        <v>0</v>
      </c>
      <c r="L4822">
        <f t="shared" si="150"/>
        <v>7.4</v>
      </c>
      <c r="M4822">
        <f t="shared" si="151"/>
        <v>1</v>
      </c>
    </row>
    <row r="4823" spans="1:13" x14ac:dyDescent="0.3">
      <c r="A4823">
        <v>4821</v>
      </c>
      <c r="B4823">
        <v>4822</v>
      </c>
      <c r="C4823" t="s">
        <v>4903</v>
      </c>
      <c r="D4823">
        <v>2017</v>
      </c>
      <c r="E4823" t="s">
        <v>11</v>
      </c>
      <c r="F4823" t="s">
        <v>354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f t="shared" si="150"/>
        <v>7.4</v>
      </c>
      <c r="M4823">
        <f t="shared" si="151"/>
        <v>1</v>
      </c>
    </row>
    <row r="4824" spans="1:13" x14ac:dyDescent="0.3">
      <c r="A4824">
        <v>4822</v>
      </c>
      <c r="B4824">
        <v>4823</v>
      </c>
      <c r="C4824" t="s">
        <v>4904</v>
      </c>
      <c r="D4824">
        <v>2021</v>
      </c>
      <c r="E4824" t="s">
        <v>11</v>
      </c>
      <c r="F4824" t="s">
        <v>354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f t="shared" si="150"/>
        <v>7.4</v>
      </c>
      <c r="M4824">
        <f t="shared" si="151"/>
        <v>1</v>
      </c>
    </row>
    <row r="4825" spans="1:13" x14ac:dyDescent="0.3">
      <c r="A4825">
        <v>4823</v>
      </c>
      <c r="B4825">
        <v>4824</v>
      </c>
      <c r="C4825" t="s">
        <v>4905</v>
      </c>
      <c r="D4825">
        <v>2014</v>
      </c>
      <c r="E4825" t="s">
        <v>11</v>
      </c>
      <c r="F4825" t="s">
        <v>354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f t="shared" si="150"/>
        <v>7.4</v>
      </c>
      <c r="M4825">
        <f t="shared" si="151"/>
        <v>1</v>
      </c>
    </row>
    <row r="4826" spans="1:13" x14ac:dyDescent="0.3">
      <c r="A4826">
        <v>4824</v>
      </c>
      <c r="B4826">
        <v>4825</v>
      </c>
      <c r="C4826" t="s">
        <v>4906</v>
      </c>
      <c r="D4826">
        <v>2020</v>
      </c>
      <c r="E4826" t="s">
        <v>11</v>
      </c>
      <c r="F4826" t="s">
        <v>354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f t="shared" si="150"/>
        <v>7.4</v>
      </c>
      <c r="M4826">
        <f t="shared" si="151"/>
        <v>1</v>
      </c>
    </row>
    <row r="4827" spans="1:13" x14ac:dyDescent="0.3">
      <c r="A4827">
        <v>4825</v>
      </c>
      <c r="B4827">
        <v>4826</v>
      </c>
      <c r="C4827" t="s">
        <v>4907</v>
      </c>
      <c r="D4827">
        <v>1987</v>
      </c>
      <c r="E4827" t="s">
        <v>11</v>
      </c>
      <c r="F4827" t="s">
        <v>354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f t="shared" si="150"/>
        <v>7.4</v>
      </c>
      <c r="M4827">
        <f t="shared" si="151"/>
        <v>1</v>
      </c>
    </row>
    <row r="4828" spans="1:13" x14ac:dyDescent="0.3">
      <c r="A4828">
        <v>4826</v>
      </c>
      <c r="B4828">
        <v>4827</v>
      </c>
      <c r="C4828" t="s">
        <v>4908</v>
      </c>
      <c r="D4828">
        <v>2015</v>
      </c>
      <c r="E4828" t="s">
        <v>14</v>
      </c>
      <c r="F4828" t="s">
        <v>354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f t="shared" si="150"/>
        <v>7.4</v>
      </c>
      <c r="M4828">
        <f t="shared" si="151"/>
        <v>1</v>
      </c>
    </row>
    <row r="4829" spans="1:13" x14ac:dyDescent="0.3">
      <c r="A4829">
        <v>4827</v>
      </c>
      <c r="B4829">
        <v>4828</v>
      </c>
      <c r="C4829" t="s">
        <v>4909</v>
      </c>
      <c r="D4829">
        <v>2012</v>
      </c>
      <c r="E4829" t="s">
        <v>11</v>
      </c>
      <c r="F4829" t="s">
        <v>392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f t="shared" si="150"/>
        <v>7.3</v>
      </c>
      <c r="M4829">
        <f t="shared" si="151"/>
        <v>1</v>
      </c>
    </row>
    <row r="4830" spans="1:13" x14ac:dyDescent="0.3">
      <c r="A4830">
        <v>4828</v>
      </c>
      <c r="B4830">
        <v>4829</v>
      </c>
      <c r="C4830" t="s">
        <v>4910</v>
      </c>
      <c r="D4830">
        <v>1950</v>
      </c>
      <c r="F4830" t="s">
        <v>392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f t="shared" si="150"/>
        <v>7.3</v>
      </c>
      <c r="M4830">
        <f t="shared" si="151"/>
        <v>1</v>
      </c>
    </row>
    <row r="4831" spans="1:13" x14ac:dyDescent="0.3">
      <c r="A4831">
        <v>4829</v>
      </c>
      <c r="B4831">
        <v>4830</v>
      </c>
      <c r="C4831" t="s">
        <v>4911</v>
      </c>
      <c r="D4831">
        <v>2016</v>
      </c>
      <c r="E4831" t="s">
        <v>11</v>
      </c>
      <c r="F4831" t="s">
        <v>392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f t="shared" si="150"/>
        <v>7.3</v>
      </c>
      <c r="M4831">
        <f t="shared" si="151"/>
        <v>1</v>
      </c>
    </row>
    <row r="4832" spans="1:13" x14ac:dyDescent="0.3">
      <c r="A4832">
        <v>4830</v>
      </c>
      <c r="B4832">
        <v>4831</v>
      </c>
      <c r="C4832" t="s">
        <v>4912</v>
      </c>
      <c r="D4832">
        <v>2020</v>
      </c>
      <c r="E4832" t="s">
        <v>22</v>
      </c>
      <c r="F4832" t="s">
        <v>392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f t="shared" si="150"/>
        <v>7.3</v>
      </c>
      <c r="M4832">
        <f t="shared" si="151"/>
        <v>1</v>
      </c>
    </row>
    <row r="4833" spans="1:13" x14ac:dyDescent="0.3">
      <c r="A4833">
        <v>4831</v>
      </c>
      <c r="B4833">
        <v>4832</v>
      </c>
      <c r="C4833" t="s">
        <v>4913</v>
      </c>
      <c r="D4833">
        <v>1956</v>
      </c>
      <c r="F4833" t="s">
        <v>392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f t="shared" si="150"/>
        <v>7.3</v>
      </c>
      <c r="M4833">
        <f t="shared" si="151"/>
        <v>1</v>
      </c>
    </row>
    <row r="4834" spans="1:13" x14ac:dyDescent="0.3">
      <c r="A4834">
        <v>4832</v>
      </c>
      <c r="B4834">
        <v>4833</v>
      </c>
      <c r="C4834" t="s">
        <v>4914</v>
      </c>
      <c r="D4834">
        <v>2001</v>
      </c>
      <c r="E4834" t="s">
        <v>11</v>
      </c>
      <c r="F4834" t="s">
        <v>392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f t="shared" si="150"/>
        <v>7.3</v>
      </c>
      <c r="M4834">
        <f t="shared" si="151"/>
        <v>1</v>
      </c>
    </row>
    <row r="4835" spans="1:13" x14ac:dyDescent="0.3">
      <c r="A4835">
        <v>4833</v>
      </c>
      <c r="B4835">
        <v>4834</v>
      </c>
      <c r="C4835" t="s">
        <v>4915</v>
      </c>
      <c r="D4835">
        <v>2009</v>
      </c>
      <c r="E4835" t="s">
        <v>22</v>
      </c>
      <c r="F4835" t="s">
        <v>392</v>
      </c>
      <c r="G4835">
        <v>0</v>
      </c>
      <c r="H4835">
        <v>0</v>
      </c>
      <c r="I4835">
        <v>1</v>
      </c>
      <c r="J4835">
        <v>0</v>
      </c>
      <c r="K4835">
        <v>0</v>
      </c>
      <c r="L4835">
        <f t="shared" si="150"/>
        <v>7.3</v>
      </c>
      <c r="M4835">
        <f t="shared" si="151"/>
        <v>1</v>
      </c>
    </row>
    <row r="4836" spans="1:13" x14ac:dyDescent="0.3">
      <c r="A4836">
        <v>4834</v>
      </c>
      <c r="B4836">
        <v>4835</v>
      </c>
      <c r="C4836" t="s">
        <v>4916</v>
      </c>
      <c r="D4836">
        <v>1967</v>
      </c>
      <c r="F4836" t="s">
        <v>392</v>
      </c>
      <c r="G4836">
        <v>0</v>
      </c>
      <c r="H4836">
        <v>0</v>
      </c>
      <c r="I4836">
        <v>1</v>
      </c>
      <c r="J4836">
        <v>0</v>
      </c>
      <c r="K4836">
        <v>0</v>
      </c>
      <c r="L4836">
        <f t="shared" si="150"/>
        <v>7.3</v>
      </c>
      <c r="M4836">
        <f t="shared" si="151"/>
        <v>1</v>
      </c>
    </row>
    <row r="4837" spans="1:13" x14ac:dyDescent="0.3">
      <c r="A4837">
        <v>4835</v>
      </c>
      <c r="B4837">
        <v>4836</v>
      </c>
      <c r="C4837" t="s">
        <v>4917</v>
      </c>
      <c r="D4837">
        <v>2010</v>
      </c>
      <c r="E4837" t="s">
        <v>22</v>
      </c>
      <c r="F4837" t="s">
        <v>392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f t="shared" si="150"/>
        <v>7.3</v>
      </c>
      <c r="M4837">
        <f t="shared" si="151"/>
        <v>1</v>
      </c>
    </row>
    <row r="4838" spans="1:13" x14ac:dyDescent="0.3">
      <c r="A4838">
        <v>4836</v>
      </c>
      <c r="B4838">
        <v>4837</v>
      </c>
      <c r="C4838" t="s">
        <v>4918</v>
      </c>
      <c r="D4838">
        <v>2005</v>
      </c>
      <c r="E4838" t="s">
        <v>11</v>
      </c>
      <c r="F4838" t="s">
        <v>392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f t="shared" si="150"/>
        <v>7.3</v>
      </c>
      <c r="M4838">
        <f t="shared" si="151"/>
        <v>1</v>
      </c>
    </row>
    <row r="4839" spans="1:13" x14ac:dyDescent="0.3">
      <c r="A4839">
        <v>4837</v>
      </c>
      <c r="B4839">
        <v>4838</v>
      </c>
      <c r="C4839" t="s">
        <v>4919</v>
      </c>
      <c r="D4839">
        <v>1935</v>
      </c>
      <c r="F4839" t="s">
        <v>392</v>
      </c>
      <c r="G4839">
        <v>0</v>
      </c>
      <c r="H4839">
        <v>0</v>
      </c>
      <c r="I4839">
        <v>1</v>
      </c>
      <c r="J4839">
        <v>0</v>
      </c>
      <c r="K4839">
        <v>0</v>
      </c>
      <c r="L4839">
        <f t="shared" si="150"/>
        <v>7.3</v>
      </c>
      <c r="M4839">
        <f t="shared" si="151"/>
        <v>1</v>
      </c>
    </row>
    <row r="4840" spans="1:13" x14ac:dyDescent="0.3">
      <c r="A4840">
        <v>4838</v>
      </c>
      <c r="B4840">
        <v>4839</v>
      </c>
      <c r="C4840" t="s">
        <v>4920</v>
      </c>
      <c r="D4840">
        <v>2006</v>
      </c>
      <c r="E4840" t="s">
        <v>11</v>
      </c>
      <c r="F4840" t="s">
        <v>392</v>
      </c>
      <c r="G4840">
        <v>0</v>
      </c>
      <c r="H4840">
        <v>0</v>
      </c>
      <c r="I4840">
        <v>1</v>
      </c>
      <c r="J4840">
        <v>0</v>
      </c>
      <c r="K4840">
        <v>0</v>
      </c>
      <c r="L4840">
        <f t="shared" si="150"/>
        <v>7.3</v>
      </c>
      <c r="M4840">
        <f t="shared" si="151"/>
        <v>1</v>
      </c>
    </row>
    <row r="4841" spans="1:13" x14ac:dyDescent="0.3">
      <c r="A4841">
        <v>4839</v>
      </c>
      <c r="B4841">
        <v>4840</v>
      </c>
      <c r="C4841" t="s">
        <v>4921</v>
      </c>
      <c r="D4841">
        <v>2018</v>
      </c>
      <c r="E4841" t="s">
        <v>11</v>
      </c>
      <c r="F4841" t="s">
        <v>392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f t="shared" si="150"/>
        <v>7.3</v>
      </c>
      <c r="M4841">
        <f t="shared" si="151"/>
        <v>1</v>
      </c>
    </row>
    <row r="4842" spans="1:13" x14ac:dyDescent="0.3">
      <c r="A4842">
        <v>4840</v>
      </c>
      <c r="B4842">
        <v>4841</v>
      </c>
      <c r="C4842" t="s">
        <v>4922</v>
      </c>
      <c r="D4842">
        <v>1984</v>
      </c>
      <c r="E4842" t="s">
        <v>14</v>
      </c>
      <c r="F4842" t="s">
        <v>392</v>
      </c>
      <c r="G4842">
        <v>0</v>
      </c>
      <c r="H4842">
        <v>0</v>
      </c>
      <c r="I4842">
        <v>1</v>
      </c>
      <c r="J4842">
        <v>0</v>
      </c>
      <c r="K4842">
        <v>0</v>
      </c>
      <c r="L4842">
        <f t="shared" si="150"/>
        <v>7.3</v>
      </c>
      <c r="M4842">
        <f t="shared" si="151"/>
        <v>1</v>
      </c>
    </row>
    <row r="4843" spans="1:13" x14ac:dyDescent="0.3">
      <c r="A4843">
        <v>4841</v>
      </c>
      <c r="B4843">
        <v>4842</v>
      </c>
      <c r="C4843" t="s">
        <v>4923</v>
      </c>
      <c r="D4843">
        <v>2019</v>
      </c>
      <c r="E4843" t="s">
        <v>11</v>
      </c>
      <c r="F4843" t="s">
        <v>392</v>
      </c>
      <c r="G4843">
        <v>0</v>
      </c>
      <c r="H4843">
        <v>0</v>
      </c>
      <c r="I4843">
        <v>1</v>
      </c>
      <c r="J4843">
        <v>0</v>
      </c>
      <c r="K4843">
        <v>0</v>
      </c>
      <c r="L4843">
        <f t="shared" si="150"/>
        <v>7.3</v>
      </c>
      <c r="M4843">
        <f t="shared" si="151"/>
        <v>1</v>
      </c>
    </row>
    <row r="4844" spans="1:13" x14ac:dyDescent="0.3">
      <c r="A4844">
        <v>4842</v>
      </c>
      <c r="B4844">
        <v>4843</v>
      </c>
      <c r="C4844" t="s">
        <v>4924</v>
      </c>
      <c r="D4844">
        <v>2016</v>
      </c>
      <c r="E4844" t="s">
        <v>22</v>
      </c>
      <c r="F4844" t="s">
        <v>392</v>
      </c>
      <c r="G4844">
        <v>0</v>
      </c>
      <c r="H4844">
        <v>0</v>
      </c>
      <c r="I4844">
        <v>1</v>
      </c>
      <c r="J4844">
        <v>0</v>
      </c>
      <c r="K4844">
        <v>0</v>
      </c>
      <c r="L4844">
        <f t="shared" si="150"/>
        <v>7.3</v>
      </c>
      <c r="M4844">
        <f t="shared" si="151"/>
        <v>1</v>
      </c>
    </row>
    <row r="4845" spans="1:13" x14ac:dyDescent="0.3">
      <c r="A4845">
        <v>4843</v>
      </c>
      <c r="B4845">
        <v>4844</v>
      </c>
      <c r="C4845" t="s">
        <v>4925</v>
      </c>
      <c r="D4845">
        <v>2019</v>
      </c>
      <c r="F4845" t="s">
        <v>392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f t="shared" si="150"/>
        <v>7.3</v>
      </c>
      <c r="M4845">
        <f t="shared" si="151"/>
        <v>1</v>
      </c>
    </row>
    <row r="4846" spans="1:13" x14ac:dyDescent="0.3">
      <c r="A4846">
        <v>4844</v>
      </c>
      <c r="B4846">
        <v>4845</v>
      </c>
      <c r="C4846" t="s">
        <v>4926</v>
      </c>
      <c r="D4846">
        <v>2019</v>
      </c>
      <c r="E4846" t="s">
        <v>11</v>
      </c>
      <c r="F4846" t="s">
        <v>392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f t="shared" si="150"/>
        <v>7.3</v>
      </c>
      <c r="M4846">
        <f t="shared" si="151"/>
        <v>1</v>
      </c>
    </row>
    <row r="4847" spans="1:13" x14ac:dyDescent="0.3">
      <c r="A4847">
        <v>4845</v>
      </c>
      <c r="B4847">
        <v>4846</v>
      </c>
      <c r="C4847" t="s">
        <v>4927</v>
      </c>
      <c r="D4847">
        <v>2005</v>
      </c>
      <c r="E4847" t="s">
        <v>14</v>
      </c>
      <c r="F4847" t="s">
        <v>392</v>
      </c>
      <c r="G4847">
        <v>0</v>
      </c>
      <c r="H4847">
        <v>0</v>
      </c>
      <c r="I4847">
        <v>1</v>
      </c>
      <c r="J4847">
        <v>0</v>
      </c>
      <c r="K4847">
        <v>0</v>
      </c>
      <c r="L4847">
        <f t="shared" si="150"/>
        <v>7.3</v>
      </c>
      <c r="M4847">
        <f t="shared" si="151"/>
        <v>1</v>
      </c>
    </row>
    <row r="4848" spans="1:13" x14ac:dyDescent="0.3">
      <c r="A4848">
        <v>4846</v>
      </c>
      <c r="B4848">
        <v>4847</v>
      </c>
      <c r="C4848" t="s">
        <v>4928</v>
      </c>
      <c r="D4848">
        <v>2004</v>
      </c>
      <c r="F4848" t="s">
        <v>392</v>
      </c>
      <c r="G4848">
        <v>0</v>
      </c>
      <c r="H4848">
        <v>0</v>
      </c>
      <c r="I4848">
        <v>1</v>
      </c>
      <c r="J4848">
        <v>1</v>
      </c>
      <c r="K4848">
        <v>0</v>
      </c>
      <c r="L4848">
        <f t="shared" si="150"/>
        <v>7.3</v>
      </c>
      <c r="M4848">
        <f t="shared" si="151"/>
        <v>2</v>
      </c>
    </row>
    <row r="4849" spans="1:13" x14ac:dyDescent="0.3">
      <c r="A4849">
        <v>4847</v>
      </c>
      <c r="B4849">
        <v>4848</v>
      </c>
      <c r="C4849" t="s">
        <v>4929</v>
      </c>
      <c r="D4849">
        <v>2013</v>
      </c>
      <c r="E4849" t="s">
        <v>22</v>
      </c>
      <c r="F4849" t="s">
        <v>440</v>
      </c>
      <c r="G4849">
        <v>0</v>
      </c>
      <c r="H4849">
        <v>0</v>
      </c>
      <c r="I4849">
        <v>1</v>
      </c>
      <c r="J4849">
        <v>0</v>
      </c>
      <c r="K4849">
        <v>0</v>
      </c>
      <c r="L4849">
        <f t="shared" si="150"/>
        <v>7.2</v>
      </c>
      <c r="M4849">
        <f t="shared" si="151"/>
        <v>1</v>
      </c>
    </row>
    <row r="4850" spans="1:13" x14ac:dyDescent="0.3">
      <c r="A4850">
        <v>4848</v>
      </c>
      <c r="B4850">
        <v>4849</v>
      </c>
      <c r="C4850" t="s">
        <v>4930</v>
      </c>
      <c r="D4850">
        <v>1984</v>
      </c>
      <c r="F4850" t="s">
        <v>440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f t="shared" si="150"/>
        <v>7.2</v>
      </c>
      <c r="M4850">
        <f t="shared" si="151"/>
        <v>1</v>
      </c>
    </row>
    <row r="4851" spans="1:13" x14ac:dyDescent="0.3">
      <c r="A4851">
        <v>4849</v>
      </c>
      <c r="B4851">
        <v>4850</v>
      </c>
      <c r="C4851" t="s">
        <v>4931</v>
      </c>
      <c r="D4851">
        <v>1951</v>
      </c>
      <c r="F4851" t="s">
        <v>440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f t="shared" si="150"/>
        <v>7.2</v>
      </c>
      <c r="M4851">
        <f t="shared" si="151"/>
        <v>1</v>
      </c>
    </row>
    <row r="4852" spans="1:13" x14ac:dyDescent="0.3">
      <c r="A4852">
        <v>4850</v>
      </c>
      <c r="B4852">
        <v>4851</v>
      </c>
      <c r="C4852" t="s">
        <v>4932</v>
      </c>
      <c r="D4852">
        <v>1925</v>
      </c>
      <c r="F4852" t="s">
        <v>440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f t="shared" si="150"/>
        <v>7.2</v>
      </c>
      <c r="M4852">
        <f t="shared" si="151"/>
        <v>1</v>
      </c>
    </row>
    <row r="4853" spans="1:13" x14ac:dyDescent="0.3">
      <c r="A4853">
        <v>4851</v>
      </c>
      <c r="B4853">
        <v>4852</v>
      </c>
      <c r="C4853" t="s">
        <v>4933</v>
      </c>
      <c r="D4853">
        <v>2016</v>
      </c>
      <c r="E4853" t="s">
        <v>22</v>
      </c>
      <c r="F4853" t="s">
        <v>440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f t="shared" si="150"/>
        <v>7.2</v>
      </c>
      <c r="M4853">
        <f t="shared" si="151"/>
        <v>1</v>
      </c>
    </row>
    <row r="4854" spans="1:13" x14ac:dyDescent="0.3">
      <c r="A4854">
        <v>4852</v>
      </c>
      <c r="B4854">
        <v>4853</v>
      </c>
      <c r="C4854" t="s">
        <v>4934</v>
      </c>
      <c r="D4854">
        <v>2010</v>
      </c>
      <c r="E4854" t="s">
        <v>11</v>
      </c>
      <c r="F4854" t="s">
        <v>440</v>
      </c>
      <c r="G4854">
        <v>0</v>
      </c>
      <c r="H4854">
        <v>0</v>
      </c>
      <c r="I4854">
        <v>1</v>
      </c>
      <c r="J4854">
        <v>0</v>
      </c>
      <c r="K4854">
        <v>0</v>
      </c>
      <c r="L4854">
        <f t="shared" si="150"/>
        <v>7.2</v>
      </c>
      <c r="M4854">
        <f t="shared" si="151"/>
        <v>1</v>
      </c>
    </row>
    <row r="4855" spans="1:13" x14ac:dyDescent="0.3">
      <c r="A4855">
        <v>4853</v>
      </c>
      <c r="B4855">
        <v>4854</v>
      </c>
      <c r="C4855" t="s">
        <v>4935</v>
      </c>
      <c r="D4855">
        <v>2017</v>
      </c>
      <c r="F4855" t="s">
        <v>440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f t="shared" si="150"/>
        <v>7.2</v>
      </c>
      <c r="M4855">
        <f t="shared" si="151"/>
        <v>1</v>
      </c>
    </row>
    <row r="4856" spans="1:13" x14ac:dyDescent="0.3">
      <c r="A4856">
        <v>4854</v>
      </c>
      <c r="B4856">
        <v>4855</v>
      </c>
      <c r="C4856" t="s">
        <v>4936</v>
      </c>
      <c r="D4856">
        <v>2004</v>
      </c>
      <c r="E4856" t="s">
        <v>22</v>
      </c>
      <c r="F4856" t="s">
        <v>440</v>
      </c>
      <c r="G4856">
        <v>0</v>
      </c>
      <c r="H4856">
        <v>0</v>
      </c>
      <c r="I4856">
        <v>1</v>
      </c>
      <c r="J4856">
        <v>0</v>
      </c>
      <c r="K4856">
        <v>0</v>
      </c>
      <c r="L4856">
        <f t="shared" si="150"/>
        <v>7.2</v>
      </c>
      <c r="M4856">
        <f t="shared" si="151"/>
        <v>1</v>
      </c>
    </row>
    <row r="4857" spans="1:13" x14ac:dyDescent="0.3">
      <c r="A4857">
        <v>4855</v>
      </c>
      <c r="B4857">
        <v>4856</v>
      </c>
      <c r="C4857" t="s">
        <v>4937</v>
      </c>
      <c r="D4857">
        <v>2018</v>
      </c>
      <c r="E4857" t="s">
        <v>11</v>
      </c>
      <c r="F4857" t="s">
        <v>440</v>
      </c>
      <c r="G4857">
        <v>0</v>
      </c>
      <c r="H4857">
        <v>0</v>
      </c>
      <c r="I4857">
        <v>1</v>
      </c>
      <c r="J4857">
        <v>0</v>
      </c>
      <c r="K4857">
        <v>0</v>
      </c>
      <c r="L4857">
        <f t="shared" si="150"/>
        <v>7.2</v>
      </c>
      <c r="M4857">
        <f t="shared" si="151"/>
        <v>1</v>
      </c>
    </row>
    <row r="4858" spans="1:13" x14ac:dyDescent="0.3">
      <c r="A4858">
        <v>4856</v>
      </c>
      <c r="B4858">
        <v>4857</v>
      </c>
      <c r="C4858" t="s">
        <v>4938</v>
      </c>
      <c r="D4858">
        <v>2018</v>
      </c>
      <c r="F4858" t="s">
        <v>440</v>
      </c>
      <c r="G4858">
        <v>0</v>
      </c>
      <c r="H4858">
        <v>0</v>
      </c>
      <c r="I4858">
        <v>1</v>
      </c>
      <c r="J4858">
        <v>0</v>
      </c>
      <c r="K4858">
        <v>0</v>
      </c>
      <c r="L4858">
        <f t="shared" si="150"/>
        <v>7.2</v>
      </c>
      <c r="M4858">
        <f t="shared" si="151"/>
        <v>1</v>
      </c>
    </row>
    <row r="4859" spans="1:13" x14ac:dyDescent="0.3">
      <c r="A4859">
        <v>4857</v>
      </c>
      <c r="B4859">
        <v>4858</v>
      </c>
      <c r="C4859" t="s">
        <v>4939</v>
      </c>
      <c r="D4859">
        <v>2010</v>
      </c>
      <c r="E4859" t="s">
        <v>11</v>
      </c>
      <c r="F4859" t="s">
        <v>440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f t="shared" si="150"/>
        <v>7.2</v>
      </c>
      <c r="M4859">
        <f t="shared" si="151"/>
        <v>1</v>
      </c>
    </row>
    <row r="4860" spans="1:13" x14ac:dyDescent="0.3">
      <c r="A4860">
        <v>4858</v>
      </c>
      <c r="B4860">
        <v>4859</v>
      </c>
      <c r="C4860" t="s">
        <v>4940</v>
      </c>
      <c r="D4860">
        <v>2020</v>
      </c>
      <c r="E4860" t="s">
        <v>11</v>
      </c>
      <c r="F4860" t="s">
        <v>440</v>
      </c>
      <c r="G4860">
        <v>0</v>
      </c>
      <c r="H4860">
        <v>0</v>
      </c>
      <c r="I4860">
        <v>1</v>
      </c>
      <c r="J4860">
        <v>0</v>
      </c>
      <c r="K4860">
        <v>0</v>
      </c>
      <c r="L4860">
        <f t="shared" si="150"/>
        <v>7.2</v>
      </c>
      <c r="M4860">
        <f t="shared" si="151"/>
        <v>1</v>
      </c>
    </row>
    <row r="4861" spans="1:13" x14ac:dyDescent="0.3">
      <c r="A4861">
        <v>4859</v>
      </c>
      <c r="B4861">
        <v>4860</v>
      </c>
      <c r="C4861" t="s">
        <v>4941</v>
      </c>
      <c r="D4861">
        <v>2018</v>
      </c>
      <c r="F4861" t="s">
        <v>440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f t="shared" si="150"/>
        <v>7.2</v>
      </c>
      <c r="M4861">
        <f t="shared" si="151"/>
        <v>1</v>
      </c>
    </row>
    <row r="4862" spans="1:13" x14ac:dyDescent="0.3">
      <c r="A4862">
        <v>4860</v>
      </c>
      <c r="B4862">
        <v>4861</v>
      </c>
      <c r="C4862" t="s">
        <v>4942</v>
      </c>
      <c r="D4862">
        <v>1993</v>
      </c>
      <c r="F4862" t="s">
        <v>440</v>
      </c>
      <c r="G4862">
        <v>0</v>
      </c>
      <c r="H4862">
        <v>0</v>
      </c>
      <c r="I4862">
        <v>1</v>
      </c>
      <c r="J4862">
        <v>0</v>
      </c>
      <c r="K4862">
        <v>0</v>
      </c>
      <c r="L4862">
        <f t="shared" si="150"/>
        <v>7.2</v>
      </c>
      <c r="M4862">
        <f t="shared" si="151"/>
        <v>1</v>
      </c>
    </row>
    <row r="4863" spans="1:13" x14ac:dyDescent="0.3">
      <c r="A4863">
        <v>4861</v>
      </c>
      <c r="B4863">
        <v>4862</v>
      </c>
      <c r="C4863" t="s">
        <v>4943</v>
      </c>
      <c r="D4863">
        <v>2001</v>
      </c>
      <c r="E4863" t="s">
        <v>11</v>
      </c>
      <c r="F4863" t="s">
        <v>440</v>
      </c>
      <c r="G4863">
        <v>0</v>
      </c>
      <c r="H4863">
        <v>0</v>
      </c>
      <c r="I4863">
        <v>1</v>
      </c>
      <c r="J4863">
        <v>0</v>
      </c>
      <c r="K4863">
        <v>0</v>
      </c>
      <c r="L4863">
        <f t="shared" si="150"/>
        <v>7.2</v>
      </c>
      <c r="M4863">
        <f t="shared" si="151"/>
        <v>1</v>
      </c>
    </row>
    <row r="4864" spans="1:13" x14ac:dyDescent="0.3">
      <c r="A4864">
        <v>4862</v>
      </c>
      <c r="B4864">
        <v>4863</v>
      </c>
      <c r="C4864" t="s">
        <v>4944</v>
      </c>
      <c r="D4864">
        <v>2020</v>
      </c>
      <c r="E4864" t="s">
        <v>22</v>
      </c>
      <c r="F4864" t="s">
        <v>440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f t="shared" si="150"/>
        <v>7.2</v>
      </c>
      <c r="M4864">
        <f t="shared" si="151"/>
        <v>1</v>
      </c>
    </row>
    <row r="4865" spans="1:13" x14ac:dyDescent="0.3">
      <c r="A4865">
        <v>4863</v>
      </c>
      <c r="B4865">
        <v>4864</v>
      </c>
      <c r="C4865" t="s">
        <v>4945</v>
      </c>
      <c r="D4865">
        <v>2019</v>
      </c>
      <c r="E4865" t="s">
        <v>22</v>
      </c>
      <c r="F4865" t="s">
        <v>440</v>
      </c>
      <c r="G4865">
        <v>0</v>
      </c>
      <c r="H4865">
        <v>0</v>
      </c>
      <c r="I4865">
        <v>1</v>
      </c>
      <c r="J4865">
        <v>1</v>
      </c>
      <c r="K4865">
        <v>0</v>
      </c>
      <c r="L4865">
        <f t="shared" si="150"/>
        <v>7.2</v>
      </c>
      <c r="M4865">
        <f t="shared" si="151"/>
        <v>2</v>
      </c>
    </row>
    <row r="4866" spans="1:13" x14ac:dyDescent="0.3">
      <c r="A4866">
        <v>4864</v>
      </c>
      <c r="B4866">
        <v>4865</v>
      </c>
      <c r="C4866" t="s">
        <v>4946</v>
      </c>
      <c r="D4866">
        <v>2020</v>
      </c>
      <c r="E4866" t="s">
        <v>22</v>
      </c>
      <c r="F4866" t="s">
        <v>440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f t="shared" si="150"/>
        <v>7.2</v>
      </c>
      <c r="M4866">
        <f t="shared" si="151"/>
        <v>1</v>
      </c>
    </row>
    <row r="4867" spans="1:13" x14ac:dyDescent="0.3">
      <c r="A4867">
        <v>4865</v>
      </c>
      <c r="B4867">
        <v>4866</v>
      </c>
      <c r="C4867" t="s">
        <v>4947</v>
      </c>
      <c r="D4867">
        <v>2011</v>
      </c>
      <c r="E4867" t="s">
        <v>22</v>
      </c>
      <c r="F4867" t="s">
        <v>440</v>
      </c>
      <c r="G4867">
        <v>0</v>
      </c>
      <c r="H4867">
        <v>0</v>
      </c>
      <c r="I4867">
        <v>1</v>
      </c>
      <c r="J4867">
        <v>0</v>
      </c>
      <c r="K4867">
        <v>0</v>
      </c>
      <c r="L4867">
        <f t="shared" ref="L4867:L4930" si="152">IFERROR(VALUE(LEFT(F4867,FIND("/",F4867)-1))/10,"")</f>
        <v>7.2</v>
      </c>
      <c r="M4867">
        <f t="shared" ref="M4867:M4930" si="153">SUM(G4867:J4867)</f>
        <v>1</v>
      </c>
    </row>
    <row r="4868" spans="1:13" x14ac:dyDescent="0.3">
      <c r="A4868">
        <v>4866</v>
      </c>
      <c r="B4868">
        <v>4867</v>
      </c>
      <c r="C4868" t="s">
        <v>4948</v>
      </c>
      <c r="D4868">
        <v>1996</v>
      </c>
      <c r="E4868" t="s">
        <v>22</v>
      </c>
      <c r="F4868" t="s">
        <v>440</v>
      </c>
      <c r="G4868">
        <v>0</v>
      </c>
      <c r="H4868">
        <v>0</v>
      </c>
      <c r="I4868">
        <v>1</v>
      </c>
      <c r="J4868">
        <v>0</v>
      </c>
      <c r="K4868">
        <v>0</v>
      </c>
      <c r="L4868">
        <f t="shared" si="152"/>
        <v>7.2</v>
      </c>
      <c r="M4868">
        <f t="shared" si="153"/>
        <v>1</v>
      </c>
    </row>
    <row r="4869" spans="1:13" x14ac:dyDescent="0.3">
      <c r="A4869">
        <v>4867</v>
      </c>
      <c r="B4869">
        <v>4868</v>
      </c>
      <c r="C4869" t="s">
        <v>4949</v>
      </c>
      <c r="D4869">
        <v>1969</v>
      </c>
      <c r="E4869" t="s">
        <v>36</v>
      </c>
      <c r="F4869" t="s">
        <v>440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f t="shared" si="152"/>
        <v>7.2</v>
      </c>
      <c r="M4869">
        <f t="shared" si="153"/>
        <v>1</v>
      </c>
    </row>
    <row r="4870" spans="1:13" x14ac:dyDescent="0.3">
      <c r="A4870">
        <v>4868</v>
      </c>
      <c r="B4870">
        <v>4869</v>
      </c>
      <c r="C4870" t="s">
        <v>4950</v>
      </c>
      <c r="D4870">
        <v>2017</v>
      </c>
      <c r="E4870" t="s">
        <v>14</v>
      </c>
      <c r="F4870" t="s">
        <v>440</v>
      </c>
      <c r="G4870">
        <v>0</v>
      </c>
      <c r="H4870">
        <v>0</v>
      </c>
      <c r="I4870">
        <v>1</v>
      </c>
      <c r="J4870">
        <v>0</v>
      </c>
      <c r="K4870">
        <v>0</v>
      </c>
      <c r="L4870">
        <f t="shared" si="152"/>
        <v>7.2</v>
      </c>
      <c r="M4870">
        <f t="shared" si="153"/>
        <v>1</v>
      </c>
    </row>
    <row r="4871" spans="1:13" x14ac:dyDescent="0.3">
      <c r="A4871">
        <v>4869</v>
      </c>
      <c r="B4871">
        <v>4870</v>
      </c>
      <c r="C4871" t="s">
        <v>4951</v>
      </c>
      <c r="D4871">
        <v>1953</v>
      </c>
      <c r="F4871" t="s">
        <v>440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f t="shared" si="152"/>
        <v>7.2</v>
      </c>
      <c r="M4871">
        <f t="shared" si="153"/>
        <v>1</v>
      </c>
    </row>
    <row r="4872" spans="1:13" x14ac:dyDescent="0.3">
      <c r="A4872">
        <v>4870</v>
      </c>
      <c r="B4872">
        <v>4871</v>
      </c>
      <c r="C4872" t="s">
        <v>4952</v>
      </c>
      <c r="D4872">
        <v>1972</v>
      </c>
      <c r="E4872" t="s">
        <v>14</v>
      </c>
      <c r="F4872" t="s">
        <v>440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f t="shared" si="152"/>
        <v>7.2</v>
      </c>
      <c r="M4872">
        <f t="shared" si="153"/>
        <v>1</v>
      </c>
    </row>
    <row r="4873" spans="1:13" x14ac:dyDescent="0.3">
      <c r="A4873">
        <v>4871</v>
      </c>
      <c r="B4873">
        <v>4872</v>
      </c>
      <c r="C4873" t="s">
        <v>4953</v>
      </c>
      <c r="D4873">
        <v>2001</v>
      </c>
      <c r="E4873" t="s">
        <v>11</v>
      </c>
      <c r="F4873" t="s">
        <v>440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f t="shared" si="152"/>
        <v>7.2</v>
      </c>
      <c r="M4873">
        <f t="shared" si="153"/>
        <v>1</v>
      </c>
    </row>
    <row r="4874" spans="1:13" x14ac:dyDescent="0.3">
      <c r="A4874">
        <v>4872</v>
      </c>
      <c r="B4874">
        <v>4873</v>
      </c>
      <c r="C4874" t="s">
        <v>4954</v>
      </c>
      <c r="D4874">
        <v>1950</v>
      </c>
      <c r="F4874" t="s">
        <v>440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f t="shared" si="152"/>
        <v>7.2</v>
      </c>
      <c r="M4874">
        <f t="shared" si="153"/>
        <v>1</v>
      </c>
    </row>
    <row r="4875" spans="1:13" x14ac:dyDescent="0.3">
      <c r="A4875">
        <v>4873</v>
      </c>
      <c r="B4875">
        <v>4874</v>
      </c>
      <c r="C4875" t="s">
        <v>4955</v>
      </c>
      <c r="D4875">
        <v>2011</v>
      </c>
      <c r="E4875" t="s">
        <v>22</v>
      </c>
      <c r="F4875" t="s">
        <v>440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f t="shared" si="152"/>
        <v>7.2</v>
      </c>
      <c r="M4875">
        <f t="shared" si="153"/>
        <v>1</v>
      </c>
    </row>
    <row r="4876" spans="1:13" x14ac:dyDescent="0.3">
      <c r="A4876">
        <v>4874</v>
      </c>
      <c r="B4876">
        <v>4875</v>
      </c>
      <c r="C4876" t="s">
        <v>4956</v>
      </c>
      <c r="D4876">
        <v>2006</v>
      </c>
      <c r="E4876" t="s">
        <v>22</v>
      </c>
      <c r="F4876" t="s">
        <v>440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f t="shared" si="152"/>
        <v>7.2</v>
      </c>
      <c r="M4876">
        <f t="shared" si="153"/>
        <v>1</v>
      </c>
    </row>
    <row r="4877" spans="1:13" x14ac:dyDescent="0.3">
      <c r="A4877">
        <v>4875</v>
      </c>
      <c r="B4877">
        <v>4876</v>
      </c>
      <c r="C4877" t="s">
        <v>4957</v>
      </c>
      <c r="D4877">
        <v>2010</v>
      </c>
      <c r="E4877" t="s">
        <v>22</v>
      </c>
      <c r="F4877" t="s">
        <v>440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f t="shared" si="152"/>
        <v>7.2</v>
      </c>
      <c r="M4877">
        <f t="shared" si="153"/>
        <v>1</v>
      </c>
    </row>
    <row r="4878" spans="1:13" x14ac:dyDescent="0.3">
      <c r="A4878">
        <v>4876</v>
      </c>
      <c r="B4878">
        <v>4877</v>
      </c>
      <c r="C4878" t="s">
        <v>4958</v>
      </c>
      <c r="D4878">
        <v>1996</v>
      </c>
      <c r="E4878" t="s">
        <v>11</v>
      </c>
      <c r="F4878" t="s">
        <v>440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f t="shared" si="152"/>
        <v>7.2</v>
      </c>
      <c r="M4878">
        <f t="shared" si="153"/>
        <v>1</v>
      </c>
    </row>
    <row r="4879" spans="1:13" x14ac:dyDescent="0.3">
      <c r="A4879">
        <v>4877</v>
      </c>
      <c r="B4879">
        <v>4878</v>
      </c>
      <c r="C4879" t="s">
        <v>4959</v>
      </c>
      <c r="D4879">
        <v>2017</v>
      </c>
      <c r="E4879" t="s">
        <v>14</v>
      </c>
      <c r="F4879" t="s">
        <v>440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f t="shared" si="152"/>
        <v>7.2</v>
      </c>
      <c r="M4879">
        <f t="shared" si="153"/>
        <v>1</v>
      </c>
    </row>
    <row r="4880" spans="1:13" x14ac:dyDescent="0.3">
      <c r="A4880">
        <v>4878</v>
      </c>
      <c r="B4880">
        <v>4879</v>
      </c>
      <c r="C4880" t="s">
        <v>4960</v>
      </c>
      <c r="D4880">
        <v>2008</v>
      </c>
      <c r="E4880" t="s">
        <v>22</v>
      </c>
      <c r="F4880" t="s">
        <v>440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f t="shared" si="152"/>
        <v>7.2</v>
      </c>
      <c r="M4880">
        <f t="shared" si="153"/>
        <v>1</v>
      </c>
    </row>
    <row r="4881" spans="1:13" x14ac:dyDescent="0.3">
      <c r="A4881">
        <v>4879</v>
      </c>
      <c r="B4881">
        <v>4880</v>
      </c>
      <c r="C4881" t="s">
        <v>4961</v>
      </c>
      <c r="D4881">
        <v>2017</v>
      </c>
      <c r="F4881" t="s">
        <v>440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f t="shared" si="152"/>
        <v>7.2</v>
      </c>
      <c r="M4881">
        <f t="shared" si="153"/>
        <v>1</v>
      </c>
    </row>
    <row r="4882" spans="1:13" x14ac:dyDescent="0.3">
      <c r="A4882">
        <v>4880</v>
      </c>
      <c r="B4882">
        <v>4881</v>
      </c>
      <c r="C4882" t="s">
        <v>4962</v>
      </c>
      <c r="D4882">
        <v>2002</v>
      </c>
      <c r="E4882" t="s">
        <v>22</v>
      </c>
      <c r="F4882" t="s">
        <v>440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f t="shared" si="152"/>
        <v>7.2</v>
      </c>
      <c r="M4882">
        <f t="shared" si="153"/>
        <v>1</v>
      </c>
    </row>
    <row r="4883" spans="1:13" x14ac:dyDescent="0.3">
      <c r="A4883">
        <v>4881</v>
      </c>
      <c r="B4883">
        <v>4882</v>
      </c>
      <c r="C4883" t="s">
        <v>4963</v>
      </c>
      <c r="D4883">
        <v>2015</v>
      </c>
      <c r="E4883" t="s">
        <v>11</v>
      </c>
      <c r="F4883" t="s">
        <v>440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f t="shared" si="152"/>
        <v>7.2</v>
      </c>
      <c r="M4883">
        <f t="shared" si="153"/>
        <v>1</v>
      </c>
    </row>
    <row r="4884" spans="1:13" x14ac:dyDescent="0.3">
      <c r="A4884">
        <v>4882</v>
      </c>
      <c r="B4884">
        <v>4883</v>
      </c>
      <c r="C4884" t="s">
        <v>4964</v>
      </c>
      <c r="D4884">
        <v>2002</v>
      </c>
      <c r="E4884" t="s">
        <v>22</v>
      </c>
      <c r="F4884" t="s">
        <v>440</v>
      </c>
      <c r="G4884">
        <v>0</v>
      </c>
      <c r="H4884">
        <v>0</v>
      </c>
      <c r="I4884">
        <v>1</v>
      </c>
      <c r="J4884">
        <v>0</v>
      </c>
      <c r="K4884">
        <v>0</v>
      </c>
      <c r="L4884">
        <f t="shared" si="152"/>
        <v>7.2</v>
      </c>
      <c r="M4884">
        <f t="shared" si="153"/>
        <v>1</v>
      </c>
    </row>
    <row r="4885" spans="1:13" x14ac:dyDescent="0.3">
      <c r="A4885">
        <v>4883</v>
      </c>
      <c r="B4885">
        <v>4884</v>
      </c>
      <c r="C4885" t="s">
        <v>4965</v>
      </c>
      <c r="D4885">
        <v>2005</v>
      </c>
      <c r="E4885" t="s">
        <v>22</v>
      </c>
      <c r="F4885" t="s">
        <v>493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f t="shared" si="152"/>
        <v>7.1</v>
      </c>
      <c r="M4885">
        <f t="shared" si="153"/>
        <v>1</v>
      </c>
    </row>
    <row r="4886" spans="1:13" x14ac:dyDescent="0.3">
      <c r="A4886">
        <v>4884</v>
      </c>
      <c r="B4886">
        <v>4885</v>
      </c>
      <c r="C4886" t="s">
        <v>4966</v>
      </c>
      <c r="D4886">
        <v>1952</v>
      </c>
      <c r="E4886" t="s">
        <v>36</v>
      </c>
      <c r="F4886" t="s">
        <v>493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f t="shared" si="152"/>
        <v>7.1</v>
      </c>
      <c r="M4886">
        <f t="shared" si="153"/>
        <v>1</v>
      </c>
    </row>
    <row r="4887" spans="1:13" x14ac:dyDescent="0.3">
      <c r="A4887">
        <v>4885</v>
      </c>
      <c r="B4887">
        <v>4886</v>
      </c>
      <c r="C4887" t="s">
        <v>4967</v>
      </c>
      <c r="D4887">
        <v>2008</v>
      </c>
      <c r="E4887" t="s">
        <v>22</v>
      </c>
      <c r="F4887" t="s">
        <v>493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f t="shared" si="152"/>
        <v>7.1</v>
      </c>
      <c r="M4887">
        <f t="shared" si="153"/>
        <v>1</v>
      </c>
    </row>
    <row r="4888" spans="1:13" x14ac:dyDescent="0.3">
      <c r="A4888">
        <v>4886</v>
      </c>
      <c r="B4888">
        <v>4887</v>
      </c>
      <c r="C4888" t="s">
        <v>4968</v>
      </c>
      <c r="D4888">
        <v>1960</v>
      </c>
      <c r="F4888" t="s">
        <v>493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f t="shared" si="152"/>
        <v>7.1</v>
      </c>
      <c r="M4888">
        <f t="shared" si="153"/>
        <v>1</v>
      </c>
    </row>
    <row r="4889" spans="1:13" x14ac:dyDescent="0.3">
      <c r="A4889">
        <v>4887</v>
      </c>
      <c r="B4889">
        <v>4888</v>
      </c>
      <c r="C4889" t="s">
        <v>4969</v>
      </c>
      <c r="D4889">
        <v>2019</v>
      </c>
      <c r="E4889" t="s">
        <v>22</v>
      </c>
      <c r="F4889" t="s">
        <v>493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f t="shared" si="152"/>
        <v>7.1</v>
      </c>
      <c r="M4889">
        <f t="shared" si="153"/>
        <v>1</v>
      </c>
    </row>
    <row r="4890" spans="1:13" x14ac:dyDescent="0.3">
      <c r="A4890">
        <v>4888</v>
      </c>
      <c r="B4890">
        <v>4889</v>
      </c>
      <c r="C4890" t="s">
        <v>4970</v>
      </c>
      <c r="D4890">
        <v>2009</v>
      </c>
      <c r="F4890" t="s">
        <v>493</v>
      </c>
      <c r="G4890">
        <v>0</v>
      </c>
      <c r="H4890">
        <v>0</v>
      </c>
      <c r="I4890">
        <v>1</v>
      </c>
      <c r="J4890">
        <v>0</v>
      </c>
      <c r="K4890">
        <v>0</v>
      </c>
      <c r="L4890">
        <f t="shared" si="152"/>
        <v>7.1</v>
      </c>
      <c r="M4890">
        <f t="shared" si="153"/>
        <v>1</v>
      </c>
    </row>
    <row r="4891" spans="1:13" x14ac:dyDescent="0.3">
      <c r="A4891">
        <v>4889</v>
      </c>
      <c r="B4891">
        <v>4890</v>
      </c>
      <c r="C4891" t="s">
        <v>4971</v>
      </c>
      <c r="D4891">
        <v>2005</v>
      </c>
      <c r="E4891" t="s">
        <v>22</v>
      </c>
      <c r="F4891" t="s">
        <v>493</v>
      </c>
      <c r="G4891">
        <v>0</v>
      </c>
      <c r="H4891">
        <v>0</v>
      </c>
      <c r="I4891">
        <v>1</v>
      </c>
      <c r="J4891">
        <v>0</v>
      </c>
      <c r="K4891">
        <v>0</v>
      </c>
      <c r="L4891">
        <f t="shared" si="152"/>
        <v>7.1</v>
      </c>
      <c r="M4891">
        <f t="shared" si="153"/>
        <v>1</v>
      </c>
    </row>
    <row r="4892" spans="1:13" x14ac:dyDescent="0.3">
      <c r="A4892">
        <v>4890</v>
      </c>
      <c r="B4892">
        <v>4891</v>
      </c>
      <c r="C4892" t="s">
        <v>4972</v>
      </c>
      <c r="D4892">
        <v>2014</v>
      </c>
      <c r="F4892" t="s">
        <v>493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f t="shared" si="152"/>
        <v>7.1</v>
      </c>
      <c r="M4892">
        <f t="shared" si="153"/>
        <v>1</v>
      </c>
    </row>
    <row r="4893" spans="1:13" x14ac:dyDescent="0.3">
      <c r="A4893">
        <v>4891</v>
      </c>
      <c r="B4893">
        <v>4892</v>
      </c>
      <c r="C4893" t="s">
        <v>4973</v>
      </c>
      <c r="D4893">
        <v>2011</v>
      </c>
      <c r="E4893" t="s">
        <v>22</v>
      </c>
      <c r="F4893" t="s">
        <v>493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f t="shared" si="152"/>
        <v>7.1</v>
      </c>
      <c r="M4893">
        <f t="shared" si="153"/>
        <v>1</v>
      </c>
    </row>
    <row r="4894" spans="1:13" x14ac:dyDescent="0.3">
      <c r="A4894">
        <v>4892</v>
      </c>
      <c r="B4894">
        <v>4893</v>
      </c>
      <c r="C4894" t="s">
        <v>4974</v>
      </c>
      <c r="D4894">
        <v>2007</v>
      </c>
      <c r="E4894" t="s">
        <v>22</v>
      </c>
      <c r="F4894" t="s">
        <v>493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f t="shared" si="152"/>
        <v>7.1</v>
      </c>
      <c r="M4894">
        <f t="shared" si="153"/>
        <v>1</v>
      </c>
    </row>
    <row r="4895" spans="1:13" x14ac:dyDescent="0.3">
      <c r="A4895">
        <v>4893</v>
      </c>
      <c r="B4895">
        <v>4894</v>
      </c>
      <c r="C4895" t="s">
        <v>4975</v>
      </c>
      <c r="D4895">
        <v>2014</v>
      </c>
      <c r="E4895" t="s">
        <v>22</v>
      </c>
      <c r="F4895" t="s">
        <v>493</v>
      </c>
      <c r="G4895">
        <v>0</v>
      </c>
      <c r="H4895">
        <v>0</v>
      </c>
      <c r="I4895">
        <v>1</v>
      </c>
      <c r="J4895">
        <v>0</v>
      </c>
      <c r="K4895">
        <v>0</v>
      </c>
      <c r="L4895">
        <f t="shared" si="152"/>
        <v>7.1</v>
      </c>
      <c r="M4895">
        <f t="shared" si="153"/>
        <v>1</v>
      </c>
    </row>
    <row r="4896" spans="1:13" x14ac:dyDescent="0.3">
      <c r="A4896">
        <v>4894</v>
      </c>
      <c r="B4896">
        <v>4895</v>
      </c>
      <c r="C4896" t="s">
        <v>4976</v>
      </c>
      <c r="D4896">
        <v>1974</v>
      </c>
      <c r="E4896" t="s">
        <v>11</v>
      </c>
      <c r="F4896" t="s">
        <v>493</v>
      </c>
      <c r="G4896">
        <v>0</v>
      </c>
      <c r="H4896">
        <v>0</v>
      </c>
      <c r="I4896">
        <v>1</v>
      </c>
      <c r="J4896">
        <v>0</v>
      </c>
      <c r="K4896">
        <v>0</v>
      </c>
      <c r="L4896">
        <f t="shared" si="152"/>
        <v>7.1</v>
      </c>
      <c r="M4896">
        <f t="shared" si="153"/>
        <v>1</v>
      </c>
    </row>
    <row r="4897" spans="1:13" x14ac:dyDescent="0.3">
      <c r="A4897">
        <v>4895</v>
      </c>
      <c r="B4897">
        <v>4896</v>
      </c>
      <c r="C4897" t="s">
        <v>4977</v>
      </c>
      <c r="D4897">
        <v>2003</v>
      </c>
      <c r="E4897" t="s">
        <v>11</v>
      </c>
      <c r="F4897" t="s">
        <v>493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f t="shared" si="152"/>
        <v>7.1</v>
      </c>
      <c r="M4897">
        <f t="shared" si="153"/>
        <v>1</v>
      </c>
    </row>
    <row r="4898" spans="1:13" x14ac:dyDescent="0.3">
      <c r="A4898">
        <v>4896</v>
      </c>
      <c r="B4898">
        <v>4897</v>
      </c>
      <c r="C4898" t="s">
        <v>4978</v>
      </c>
      <c r="D4898">
        <v>2018</v>
      </c>
      <c r="E4898" t="s">
        <v>22</v>
      </c>
      <c r="F4898" t="s">
        <v>493</v>
      </c>
      <c r="G4898">
        <v>0</v>
      </c>
      <c r="H4898">
        <v>0</v>
      </c>
      <c r="I4898">
        <v>1</v>
      </c>
      <c r="J4898">
        <v>0</v>
      </c>
      <c r="K4898">
        <v>0</v>
      </c>
      <c r="L4898">
        <f t="shared" si="152"/>
        <v>7.1</v>
      </c>
      <c r="M4898">
        <f t="shared" si="153"/>
        <v>1</v>
      </c>
    </row>
    <row r="4899" spans="1:13" x14ac:dyDescent="0.3">
      <c r="A4899">
        <v>4897</v>
      </c>
      <c r="B4899">
        <v>4898</v>
      </c>
      <c r="C4899" t="s">
        <v>4979</v>
      </c>
      <c r="D4899">
        <v>2019</v>
      </c>
      <c r="E4899" t="s">
        <v>11</v>
      </c>
      <c r="F4899" t="s">
        <v>493</v>
      </c>
      <c r="G4899">
        <v>0</v>
      </c>
      <c r="H4899">
        <v>0</v>
      </c>
      <c r="I4899">
        <v>1</v>
      </c>
      <c r="J4899">
        <v>0</v>
      </c>
      <c r="K4899">
        <v>0</v>
      </c>
      <c r="L4899">
        <f t="shared" si="152"/>
        <v>7.1</v>
      </c>
      <c r="M4899">
        <f t="shared" si="153"/>
        <v>1</v>
      </c>
    </row>
    <row r="4900" spans="1:13" x14ac:dyDescent="0.3">
      <c r="A4900">
        <v>4898</v>
      </c>
      <c r="B4900">
        <v>4899</v>
      </c>
      <c r="C4900" t="s">
        <v>4980</v>
      </c>
      <c r="D4900">
        <v>2012</v>
      </c>
      <c r="E4900" t="s">
        <v>11</v>
      </c>
      <c r="F4900" t="s">
        <v>493</v>
      </c>
      <c r="G4900">
        <v>0</v>
      </c>
      <c r="H4900">
        <v>0</v>
      </c>
      <c r="I4900">
        <v>1</v>
      </c>
      <c r="J4900">
        <v>0</v>
      </c>
      <c r="K4900">
        <v>0</v>
      </c>
      <c r="L4900">
        <f t="shared" si="152"/>
        <v>7.1</v>
      </c>
      <c r="M4900">
        <f t="shared" si="153"/>
        <v>1</v>
      </c>
    </row>
    <row r="4901" spans="1:13" x14ac:dyDescent="0.3">
      <c r="A4901">
        <v>4899</v>
      </c>
      <c r="B4901">
        <v>4900</v>
      </c>
      <c r="C4901" t="s">
        <v>4981</v>
      </c>
      <c r="D4901">
        <v>2011</v>
      </c>
      <c r="E4901" t="s">
        <v>11</v>
      </c>
      <c r="F4901" t="s">
        <v>493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f t="shared" si="152"/>
        <v>7.1</v>
      </c>
      <c r="M4901">
        <f t="shared" si="153"/>
        <v>1</v>
      </c>
    </row>
    <row r="4902" spans="1:13" x14ac:dyDescent="0.3">
      <c r="A4902">
        <v>4900</v>
      </c>
      <c r="B4902">
        <v>4901</v>
      </c>
      <c r="C4902" t="s">
        <v>4982</v>
      </c>
      <c r="D4902">
        <v>1968</v>
      </c>
      <c r="E4902" t="s">
        <v>36</v>
      </c>
      <c r="F4902" t="s">
        <v>537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f t="shared" si="152"/>
        <v>7</v>
      </c>
      <c r="M4902">
        <f t="shared" si="153"/>
        <v>1</v>
      </c>
    </row>
    <row r="4903" spans="1:13" x14ac:dyDescent="0.3">
      <c r="A4903">
        <v>4901</v>
      </c>
      <c r="B4903">
        <v>4902</v>
      </c>
      <c r="C4903" t="s">
        <v>4983</v>
      </c>
      <c r="D4903">
        <v>2009</v>
      </c>
      <c r="E4903" t="s">
        <v>11</v>
      </c>
      <c r="F4903" t="s">
        <v>537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f t="shared" si="152"/>
        <v>7</v>
      </c>
      <c r="M4903">
        <f t="shared" si="153"/>
        <v>1</v>
      </c>
    </row>
    <row r="4904" spans="1:13" x14ac:dyDescent="0.3">
      <c r="A4904">
        <v>4902</v>
      </c>
      <c r="B4904">
        <v>4903</v>
      </c>
      <c r="C4904" t="s">
        <v>4984</v>
      </c>
      <c r="D4904">
        <v>2019</v>
      </c>
      <c r="E4904" t="s">
        <v>11</v>
      </c>
      <c r="F4904" t="s">
        <v>537</v>
      </c>
      <c r="G4904">
        <v>0</v>
      </c>
      <c r="H4904">
        <v>0</v>
      </c>
      <c r="I4904">
        <v>1</v>
      </c>
      <c r="J4904">
        <v>0</v>
      </c>
      <c r="K4904">
        <v>0</v>
      </c>
      <c r="L4904">
        <f t="shared" si="152"/>
        <v>7</v>
      </c>
      <c r="M4904">
        <f t="shared" si="153"/>
        <v>1</v>
      </c>
    </row>
    <row r="4905" spans="1:13" x14ac:dyDescent="0.3">
      <c r="A4905">
        <v>4903</v>
      </c>
      <c r="B4905">
        <v>4904</v>
      </c>
      <c r="C4905" t="s">
        <v>4985</v>
      </c>
      <c r="D4905">
        <v>2014</v>
      </c>
      <c r="E4905" t="s">
        <v>11</v>
      </c>
      <c r="F4905" t="s">
        <v>537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f t="shared" si="152"/>
        <v>7</v>
      </c>
      <c r="M4905">
        <f t="shared" si="153"/>
        <v>1</v>
      </c>
    </row>
    <row r="4906" spans="1:13" x14ac:dyDescent="0.3">
      <c r="A4906">
        <v>4904</v>
      </c>
      <c r="B4906">
        <v>4905</v>
      </c>
      <c r="C4906" t="s">
        <v>4986</v>
      </c>
      <c r="D4906">
        <v>2009</v>
      </c>
      <c r="E4906" t="s">
        <v>11</v>
      </c>
      <c r="F4906" t="s">
        <v>537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f t="shared" si="152"/>
        <v>7</v>
      </c>
      <c r="M4906">
        <f t="shared" si="153"/>
        <v>1</v>
      </c>
    </row>
    <row r="4907" spans="1:13" x14ac:dyDescent="0.3">
      <c r="A4907">
        <v>4905</v>
      </c>
      <c r="B4907">
        <v>4906</v>
      </c>
      <c r="C4907" t="s">
        <v>4987</v>
      </c>
      <c r="D4907">
        <v>1989</v>
      </c>
      <c r="E4907" t="s">
        <v>11</v>
      </c>
      <c r="F4907" t="s">
        <v>537</v>
      </c>
      <c r="G4907">
        <v>0</v>
      </c>
      <c r="H4907">
        <v>0</v>
      </c>
      <c r="I4907">
        <v>1</v>
      </c>
      <c r="J4907">
        <v>0</v>
      </c>
      <c r="K4907">
        <v>0</v>
      </c>
      <c r="L4907">
        <f t="shared" si="152"/>
        <v>7</v>
      </c>
      <c r="M4907">
        <f t="shared" si="153"/>
        <v>1</v>
      </c>
    </row>
    <row r="4908" spans="1:13" x14ac:dyDescent="0.3">
      <c r="A4908">
        <v>4906</v>
      </c>
      <c r="B4908">
        <v>4907</v>
      </c>
      <c r="C4908" t="s">
        <v>4988</v>
      </c>
      <c r="D4908">
        <v>1968</v>
      </c>
      <c r="E4908" t="s">
        <v>14</v>
      </c>
      <c r="F4908" t="s">
        <v>537</v>
      </c>
      <c r="G4908">
        <v>0</v>
      </c>
      <c r="H4908">
        <v>0</v>
      </c>
      <c r="I4908">
        <v>1</v>
      </c>
      <c r="J4908">
        <v>0</v>
      </c>
      <c r="K4908">
        <v>0</v>
      </c>
      <c r="L4908">
        <f t="shared" si="152"/>
        <v>7</v>
      </c>
      <c r="M4908">
        <f t="shared" si="153"/>
        <v>1</v>
      </c>
    </row>
    <row r="4909" spans="1:13" x14ac:dyDescent="0.3">
      <c r="A4909">
        <v>4907</v>
      </c>
      <c r="B4909">
        <v>4908</v>
      </c>
      <c r="C4909" t="s">
        <v>4989</v>
      </c>
      <c r="D4909">
        <v>1974</v>
      </c>
      <c r="E4909" t="s">
        <v>14</v>
      </c>
      <c r="F4909" t="s">
        <v>537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f t="shared" si="152"/>
        <v>7</v>
      </c>
      <c r="M4909">
        <f t="shared" si="153"/>
        <v>1</v>
      </c>
    </row>
    <row r="4910" spans="1:13" x14ac:dyDescent="0.3">
      <c r="A4910">
        <v>4908</v>
      </c>
      <c r="B4910">
        <v>4909</v>
      </c>
      <c r="C4910" t="s">
        <v>4990</v>
      </c>
      <c r="D4910">
        <v>2004</v>
      </c>
      <c r="E4910" t="s">
        <v>22</v>
      </c>
      <c r="F4910" t="s">
        <v>537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f t="shared" si="152"/>
        <v>7</v>
      </c>
      <c r="M4910">
        <f t="shared" si="153"/>
        <v>1</v>
      </c>
    </row>
    <row r="4911" spans="1:13" x14ac:dyDescent="0.3">
      <c r="A4911">
        <v>4909</v>
      </c>
      <c r="B4911">
        <v>4910</v>
      </c>
      <c r="C4911" t="s">
        <v>4991</v>
      </c>
      <c r="D4911">
        <v>2007</v>
      </c>
      <c r="E4911" t="s">
        <v>22</v>
      </c>
      <c r="F4911" t="s">
        <v>537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f t="shared" si="152"/>
        <v>7</v>
      </c>
      <c r="M4911">
        <f t="shared" si="153"/>
        <v>1</v>
      </c>
    </row>
    <row r="4912" spans="1:13" x14ac:dyDescent="0.3">
      <c r="A4912">
        <v>4910</v>
      </c>
      <c r="B4912">
        <v>4911</v>
      </c>
      <c r="C4912" t="s">
        <v>4992</v>
      </c>
      <c r="D4912">
        <v>1992</v>
      </c>
      <c r="E4912" t="s">
        <v>22</v>
      </c>
      <c r="F4912" t="s">
        <v>537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f t="shared" si="152"/>
        <v>7</v>
      </c>
      <c r="M4912">
        <f t="shared" si="153"/>
        <v>1</v>
      </c>
    </row>
    <row r="4913" spans="1:13" x14ac:dyDescent="0.3">
      <c r="A4913">
        <v>4911</v>
      </c>
      <c r="B4913">
        <v>4912</v>
      </c>
      <c r="C4913" t="s">
        <v>4993</v>
      </c>
      <c r="D4913">
        <v>1951</v>
      </c>
      <c r="F4913" t="s">
        <v>537</v>
      </c>
      <c r="G4913">
        <v>0</v>
      </c>
      <c r="H4913">
        <v>0</v>
      </c>
      <c r="I4913">
        <v>1</v>
      </c>
      <c r="J4913">
        <v>0</v>
      </c>
      <c r="K4913">
        <v>0</v>
      </c>
      <c r="L4913">
        <f t="shared" si="152"/>
        <v>7</v>
      </c>
      <c r="M4913">
        <f t="shared" si="153"/>
        <v>1</v>
      </c>
    </row>
    <row r="4914" spans="1:13" x14ac:dyDescent="0.3">
      <c r="A4914">
        <v>4912</v>
      </c>
      <c r="B4914">
        <v>4913</v>
      </c>
      <c r="C4914" t="s">
        <v>4994</v>
      </c>
      <c r="D4914">
        <v>1969</v>
      </c>
      <c r="E4914" t="s">
        <v>36</v>
      </c>
      <c r="F4914" t="s">
        <v>537</v>
      </c>
      <c r="G4914">
        <v>0</v>
      </c>
      <c r="H4914">
        <v>0</v>
      </c>
      <c r="I4914">
        <v>1</v>
      </c>
      <c r="J4914">
        <v>0</v>
      </c>
      <c r="K4914">
        <v>0</v>
      </c>
      <c r="L4914">
        <f t="shared" si="152"/>
        <v>7</v>
      </c>
      <c r="M4914">
        <f t="shared" si="153"/>
        <v>1</v>
      </c>
    </row>
    <row r="4915" spans="1:13" x14ac:dyDescent="0.3">
      <c r="A4915">
        <v>4913</v>
      </c>
      <c r="B4915">
        <v>4914</v>
      </c>
      <c r="C4915" t="s">
        <v>4995</v>
      </c>
      <c r="D4915">
        <v>2018</v>
      </c>
      <c r="E4915" t="s">
        <v>11</v>
      </c>
      <c r="F4915" t="s">
        <v>537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f t="shared" si="152"/>
        <v>7</v>
      </c>
      <c r="M4915">
        <f t="shared" si="153"/>
        <v>1</v>
      </c>
    </row>
    <row r="4916" spans="1:13" x14ac:dyDescent="0.3">
      <c r="A4916">
        <v>4914</v>
      </c>
      <c r="B4916">
        <v>4915</v>
      </c>
      <c r="C4916" t="s">
        <v>4996</v>
      </c>
      <c r="D4916">
        <v>2017</v>
      </c>
      <c r="F4916" t="s">
        <v>537</v>
      </c>
      <c r="G4916">
        <v>0</v>
      </c>
      <c r="H4916">
        <v>0</v>
      </c>
      <c r="I4916">
        <v>1</v>
      </c>
      <c r="J4916">
        <v>0</v>
      </c>
      <c r="K4916">
        <v>0</v>
      </c>
      <c r="L4916">
        <f t="shared" si="152"/>
        <v>7</v>
      </c>
      <c r="M4916">
        <f t="shared" si="153"/>
        <v>1</v>
      </c>
    </row>
    <row r="4917" spans="1:13" x14ac:dyDescent="0.3">
      <c r="A4917">
        <v>4915</v>
      </c>
      <c r="B4917">
        <v>4916</v>
      </c>
      <c r="C4917" t="s">
        <v>4997</v>
      </c>
      <c r="D4917">
        <v>2016</v>
      </c>
      <c r="E4917" t="s">
        <v>11</v>
      </c>
      <c r="F4917" t="s">
        <v>537</v>
      </c>
      <c r="G4917">
        <v>0</v>
      </c>
      <c r="H4917">
        <v>0</v>
      </c>
      <c r="I4917">
        <v>1</v>
      </c>
      <c r="J4917">
        <v>0</v>
      </c>
      <c r="K4917">
        <v>0</v>
      </c>
      <c r="L4917">
        <f t="shared" si="152"/>
        <v>7</v>
      </c>
      <c r="M4917">
        <f t="shared" si="153"/>
        <v>1</v>
      </c>
    </row>
    <row r="4918" spans="1:13" x14ac:dyDescent="0.3">
      <c r="A4918">
        <v>4916</v>
      </c>
      <c r="B4918">
        <v>4917</v>
      </c>
      <c r="C4918" t="s">
        <v>4998</v>
      </c>
      <c r="D4918">
        <v>1982</v>
      </c>
      <c r="E4918" t="s">
        <v>36</v>
      </c>
      <c r="F4918" t="s">
        <v>537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f t="shared" si="152"/>
        <v>7</v>
      </c>
      <c r="M4918">
        <f t="shared" si="153"/>
        <v>1</v>
      </c>
    </row>
    <row r="4919" spans="1:13" x14ac:dyDescent="0.3">
      <c r="A4919">
        <v>4917</v>
      </c>
      <c r="B4919">
        <v>4918</v>
      </c>
      <c r="C4919" t="s">
        <v>4999</v>
      </c>
      <c r="D4919">
        <v>2016</v>
      </c>
      <c r="E4919" t="s">
        <v>11</v>
      </c>
      <c r="F4919" t="s">
        <v>537</v>
      </c>
      <c r="G4919">
        <v>0</v>
      </c>
      <c r="H4919">
        <v>0</v>
      </c>
      <c r="I4919">
        <v>1</v>
      </c>
      <c r="J4919">
        <v>0</v>
      </c>
      <c r="K4919">
        <v>0</v>
      </c>
      <c r="L4919">
        <f t="shared" si="152"/>
        <v>7</v>
      </c>
      <c r="M4919">
        <f t="shared" si="153"/>
        <v>1</v>
      </c>
    </row>
    <row r="4920" spans="1:13" x14ac:dyDescent="0.3">
      <c r="A4920">
        <v>4918</v>
      </c>
      <c r="B4920">
        <v>4919</v>
      </c>
      <c r="C4920" t="s">
        <v>5000</v>
      </c>
      <c r="D4920">
        <v>2019</v>
      </c>
      <c r="E4920" t="s">
        <v>11</v>
      </c>
      <c r="F4920" t="s">
        <v>537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f t="shared" si="152"/>
        <v>7</v>
      </c>
      <c r="M4920">
        <f t="shared" si="153"/>
        <v>1</v>
      </c>
    </row>
    <row r="4921" spans="1:13" x14ac:dyDescent="0.3">
      <c r="A4921">
        <v>4919</v>
      </c>
      <c r="B4921">
        <v>4920</v>
      </c>
      <c r="C4921" t="s">
        <v>5001</v>
      </c>
      <c r="D4921">
        <v>1996</v>
      </c>
      <c r="E4921" t="s">
        <v>11</v>
      </c>
      <c r="F4921" t="s">
        <v>537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f t="shared" si="152"/>
        <v>7</v>
      </c>
      <c r="M4921">
        <f t="shared" si="153"/>
        <v>1</v>
      </c>
    </row>
    <row r="4922" spans="1:13" x14ac:dyDescent="0.3">
      <c r="A4922">
        <v>4920</v>
      </c>
      <c r="B4922">
        <v>4921</v>
      </c>
      <c r="C4922" t="s">
        <v>5002</v>
      </c>
      <c r="D4922">
        <v>2014</v>
      </c>
      <c r="E4922" t="s">
        <v>11</v>
      </c>
      <c r="F4922" t="s">
        <v>537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f t="shared" si="152"/>
        <v>7</v>
      </c>
      <c r="M4922">
        <f t="shared" si="153"/>
        <v>1</v>
      </c>
    </row>
    <row r="4923" spans="1:13" x14ac:dyDescent="0.3">
      <c r="A4923">
        <v>4921</v>
      </c>
      <c r="B4923">
        <v>4922</v>
      </c>
      <c r="C4923" t="s">
        <v>5003</v>
      </c>
      <c r="D4923">
        <v>2021</v>
      </c>
      <c r="E4923" t="s">
        <v>22</v>
      </c>
      <c r="F4923" t="s">
        <v>537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f t="shared" si="152"/>
        <v>7</v>
      </c>
      <c r="M4923">
        <f t="shared" si="153"/>
        <v>1</v>
      </c>
    </row>
    <row r="4924" spans="1:13" x14ac:dyDescent="0.3">
      <c r="A4924">
        <v>4922</v>
      </c>
      <c r="B4924">
        <v>4923</v>
      </c>
      <c r="C4924" t="s">
        <v>5004</v>
      </c>
      <c r="D4924">
        <v>1993</v>
      </c>
      <c r="E4924" t="s">
        <v>14</v>
      </c>
      <c r="F4924" t="s">
        <v>537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f t="shared" si="152"/>
        <v>7</v>
      </c>
      <c r="M4924">
        <f t="shared" si="153"/>
        <v>1</v>
      </c>
    </row>
    <row r="4925" spans="1:13" x14ac:dyDescent="0.3">
      <c r="A4925">
        <v>4923</v>
      </c>
      <c r="B4925">
        <v>4924</v>
      </c>
      <c r="C4925" t="s">
        <v>5005</v>
      </c>
      <c r="D4925">
        <v>2017</v>
      </c>
      <c r="E4925" t="s">
        <v>14</v>
      </c>
      <c r="F4925" t="s">
        <v>537</v>
      </c>
      <c r="G4925">
        <v>0</v>
      </c>
      <c r="H4925">
        <v>0</v>
      </c>
      <c r="I4925">
        <v>1</v>
      </c>
      <c r="J4925">
        <v>0</v>
      </c>
      <c r="K4925">
        <v>0</v>
      </c>
      <c r="L4925">
        <f t="shared" si="152"/>
        <v>7</v>
      </c>
      <c r="M4925">
        <f t="shared" si="153"/>
        <v>1</v>
      </c>
    </row>
    <row r="4926" spans="1:13" x14ac:dyDescent="0.3">
      <c r="A4926">
        <v>4924</v>
      </c>
      <c r="B4926">
        <v>4925</v>
      </c>
      <c r="C4926" t="s">
        <v>5006</v>
      </c>
      <c r="D4926">
        <v>2013</v>
      </c>
      <c r="E4926" t="s">
        <v>11</v>
      </c>
      <c r="F4926" t="s">
        <v>537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f t="shared" si="152"/>
        <v>7</v>
      </c>
      <c r="M4926">
        <f t="shared" si="153"/>
        <v>1</v>
      </c>
    </row>
    <row r="4927" spans="1:13" x14ac:dyDescent="0.3">
      <c r="A4927">
        <v>4925</v>
      </c>
      <c r="B4927">
        <v>4926</v>
      </c>
      <c r="C4927" t="s">
        <v>5007</v>
      </c>
      <c r="D4927">
        <v>1970</v>
      </c>
      <c r="E4927" t="s">
        <v>28</v>
      </c>
      <c r="F4927" t="s">
        <v>537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f t="shared" si="152"/>
        <v>7</v>
      </c>
      <c r="M4927">
        <f t="shared" si="153"/>
        <v>1</v>
      </c>
    </row>
    <row r="4928" spans="1:13" x14ac:dyDescent="0.3">
      <c r="A4928">
        <v>4926</v>
      </c>
      <c r="B4928">
        <v>4927</v>
      </c>
      <c r="C4928" t="s">
        <v>5008</v>
      </c>
      <c r="D4928">
        <v>1947</v>
      </c>
      <c r="F4928" t="s">
        <v>537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f t="shared" si="152"/>
        <v>7</v>
      </c>
      <c r="M4928">
        <f t="shared" si="153"/>
        <v>1</v>
      </c>
    </row>
    <row r="4929" spans="1:13" x14ac:dyDescent="0.3">
      <c r="A4929">
        <v>4927</v>
      </c>
      <c r="B4929">
        <v>4928</v>
      </c>
      <c r="C4929" t="s">
        <v>5009</v>
      </c>
      <c r="D4929">
        <v>1972</v>
      </c>
      <c r="E4929" t="s">
        <v>11</v>
      </c>
      <c r="F4929" t="s">
        <v>595</v>
      </c>
      <c r="G4929">
        <v>0</v>
      </c>
      <c r="H4929">
        <v>0</v>
      </c>
      <c r="I4929">
        <v>1</v>
      </c>
      <c r="J4929">
        <v>0</v>
      </c>
      <c r="K4929">
        <v>0</v>
      </c>
      <c r="L4929">
        <f t="shared" si="152"/>
        <v>6.9</v>
      </c>
      <c r="M4929">
        <f t="shared" si="153"/>
        <v>1</v>
      </c>
    </row>
    <row r="4930" spans="1:13" x14ac:dyDescent="0.3">
      <c r="A4930">
        <v>4928</v>
      </c>
      <c r="B4930">
        <v>4929</v>
      </c>
      <c r="C4930" t="s">
        <v>5010</v>
      </c>
      <c r="D4930">
        <v>2009</v>
      </c>
      <c r="E4930" t="s">
        <v>22</v>
      </c>
      <c r="F4930" t="s">
        <v>595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f t="shared" si="152"/>
        <v>6.9</v>
      </c>
      <c r="M4930">
        <f t="shared" si="153"/>
        <v>1</v>
      </c>
    </row>
    <row r="4931" spans="1:13" x14ac:dyDescent="0.3">
      <c r="A4931">
        <v>4929</v>
      </c>
      <c r="B4931">
        <v>4930</v>
      </c>
      <c r="C4931" t="s">
        <v>5011</v>
      </c>
      <c r="D4931">
        <v>1987</v>
      </c>
      <c r="E4931" t="s">
        <v>22</v>
      </c>
      <c r="F4931" t="s">
        <v>595</v>
      </c>
      <c r="G4931">
        <v>0</v>
      </c>
      <c r="H4931">
        <v>0</v>
      </c>
      <c r="I4931">
        <v>1</v>
      </c>
      <c r="J4931">
        <v>0</v>
      </c>
      <c r="K4931">
        <v>0</v>
      </c>
      <c r="L4931">
        <f t="shared" ref="L4931:L4994" si="154">IFERROR(VALUE(LEFT(F4931,FIND("/",F4931)-1))/10,"")</f>
        <v>6.9</v>
      </c>
      <c r="M4931">
        <f t="shared" ref="M4931:M4994" si="155">SUM(G4931:J4931)</f>
        <v>1</v>
      </c>
    </row>
    <row r="4932" spans="1:13" x14ac:dyDescent="0.3">
      <c r="A4932">
        <v>4930</v>
      </c>
      <c r="B4932">
        <v>4931</v>
      </c>
      <c r="C4932" t="s">
        <v>5012</v>
      </c>
      <c r="D4932">
        <v>2020</v>
      </c>
      <c r="E4932" t="s">
        <v>36</v>
      </c>
      <c r="F4932" t="s">
        <v>595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f t="shared" si="154"/>
        <v>6.9</v>
      </c>
      <c r="M4932">
        <f t="shared" si="155"/>
        <v>1</v>
      </c>
    </row>
    <row r="4933" spans="1:13" x14ac:dyDescent="0.3">
      <c r="A4933">
        <v>4931</v>
      </c>
      <c r="B4933">
        <v>4932</v>
      </c>
      <c r="C4933" t="s">
        <v>5013</v>
      </c>
      <c r="D4933">
        <v>2006</v>
      </c>
      <c r="E4933" t="s">
        <v>11</v>
      </c>
      <c r="F4933" t="s">
        <v>595</v>
      </c>
      <c r="G4933">
        <v>0</v>
      </c>
      <c r="H4933">
        <v>0</v>
      </c>
      <c r="I4933">
        <v>1</v>
      </c>
      <c r="J4933">
        <v>0</v>
      </c>
      <c r="K4933">
        <v>0</v>
      </c>
      <c r="L4933">
        <f t="shared" si="154"/>
        <v>6.9</v>
      </c>
      <c r="M4933">
        <f t="shared" si="155"/>
        <v>1</v>
      </c>
    </row>
    <row r="4934" spans="1:13" x14ac:dyDescent="0.3">
      <c r="A4934">
        <v>4932</v>
      </c>
      <c r="B4934">
        <v>4933</v>
      </c>
      <c r="C4934" t="s">
        <v>5014</v>
      </c>
      <c r="D4934">
        <v>2013</v>
      </c>
      <c r="E4934" t="s">
        <v>22</v>
      </c>
      <c r="F4934" t="s">
        <v>595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f t="shared" si="154"/>
        <v>6.9</v>
      </c>
      <c r="M4934">
        <f t="shared" si="155"/>
        <v>1</v>
      </c>
    </row>
    <row r="4935" spans="1:13" x14ac:dyDescent="0.3">
      <c r="A4935">
        <v>4933</v>
      </c>
      <c r="B4935">
        <v>4934</v>
      </c>
      <c r="C4935" t="s">
        <v>5015</v>
      </c>
      <c r="D4935">
        <v>1936</v>
      </c>
      <c r="F4935" t="s">
        <v>595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f t="shared" si="154"/>
        <v>6.9</v>
      </c>
      <c r="M4935">
        <f t="shared" si="155"/>
        <v>1</v>
      </c>
    </row>
    <row r="4936" spans="1:13" x14ac:dyDescent="0.3">
      <c r="A4936">
        <v>4934</v>
      </c>
      <c r="B4936">
        <v>4935</v>
      </c>
      <c r="C4936" t="s">
        <v>5016</v>
      </c>
      <c r="D4936">
        <v>1968</v>
      </c>
      <c r="E4936" t="s">
        <v>14</v>
      </c>
      <c r="F4936" t="s">
        <v>595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f t="shared" si="154"/>
        <v>6.9</v>
      </c>
      <c r="M4936">
        <f t="shared" si="155"/>
        <v>1</v>
      </c>
    </row>
    <row r="4937" spans="1:13" x14ac:dyDescent="0.3">
      <c r="A4937">
        <v>4935</v>
      </c>
      <c r="B4937">
        <v>4936</v>
      </c>
      <c r="C4937" t="s">
        <v>5017</v>
      </c>
      <c r="D4937">
        <v>2015</v>
      </c>
      <c r="E4937" t="s">
        <v>11</v>
      </c>
      <c r="F4937" t="s">
        <v>595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f t="shared" si="154"/>
        <v>6.9</v>
      </c>
      <c r="M4937">
        <f t="shared" si="155"/>
        <v>1</v>
      </c>
    </row>
    <row r="4938" spans="1:13" x14ac:dyDescent="0.3">
      <c r="A4938">
        <v>4936</v>
      </c>
      <c r="B4938">
        <v>4937</v>
      </c>
      <c r="C4938" t="s">
        <v>5018</v>
      </c>
      <c r="D4938">
        <v>2014</v>
      </c>
      <c r="E4938" t="s">
        <v>11</v>
      </c>
      <c r="F4938" t="s">
        <v>595</v>
      </c>
      <c r="G4938">
        <v>0</v>
      </c>
      <c r="H4938">
        <v>0</v>
      </c>
      <c r="I4938">
        <v>1</v>
      </c>
      <c r="J4938">
        <v>0</v>
      </c>
      <c r="K4938">
        <v>0</v>
      </c>
      <c r="L4938">
        <f t="shared" si="154"/>
        <v>6.9</v>
      </c>
      <c r="M4938">
        <f t="shared" si="155"/>
        <v>1</v>
      </c>
    </row>
    <row r="4939" spans="1:13" x14ac:dyDescent="0.3">
      <c r="A4939">
        <v>4937</v>
      </c>
      <c r="B4939">
        <v>4938</v>
      </c>
      <c r="C4939" t="s">
        <v>5019</v>
      </c>
      <c r="D4939">
        <v>2008</v>
      </c>
      <c r="E4939" t="s">
        <v>22</v>
      </c>
      <c r="F4939" t="s">
        <v>595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f t="shared" si="154"/>
        <v>6.9</v>
      </c>
      <c r="M4939">
        <f t="shared" si="155"/>
        <v>1</v>
      </c>
    </row>
    <row r="4940" spans="1:13" x14ac:dyDescent="0.3">
      <c r="A4940">
        <v>4938</v>
      </c>
      <c r="B4940">
        <v>4939</v>
      </c>
      <c r="C4940" t="s">
        <v>5020</v>
      </c>
      <c r="D4940">
        <v>2009</v>
      </c>
      <c r="E4940" t="s">
        <v>22</v>
      </c>
      <c r="F4940" t="s">
        <v>595</v>
      </c>
      <c r="G4940">
        <v>0</v>
      </c>
      <c r="H4940">
        <v>0</v>
      </c>
      <c r="I4940">
        <v>1</v>
      </c>
      <c r="J4940">
        <v>0</v>
      </c>
      <c r="K4940">
        <v>0</v>
      </c>
      <c r="L4940">
        <f t="shared" si="154"/>
        <v>6.9</v>
      </c>
      <c r="M4940">
        <f t="shared" si="155"/>
        <v>1</v>
      </c>
    </row>
    <row r="4941" spans="1:13" x14ac:dyDescent="0.3">
      <c r="A4941">
        <v>4939</v>
      </c>
      <c r="B4941">
        <v>4940</v>
      </c>
      <c r="C4941" t="s">
        <v>5021</v>
      </c>
      <c r="D4941">
        <v>2004</v>
      </c>
      <c r="E4941" t="s">
        <v>11</v>
      </c>
      <c r="F4941" t="s">
        <v>595</v>
      </c>
      <c r="G4941">
        <v>0</v>
      </c>
      <c r="H4941">
        <v>0</v>
      </c>
      <c r="I4941">
        <v>1</v>
      </c>
      <c r="J4941">
        <v>0</v>
      </c>
      <c r="K4941">
        <v>0</v>
      </c>
      <c r="L4941">
        <f t="shared" si="154"/>
        <v>6.9</v>
      </c>
      <c r="M4941">
        <f t="shared" si="155"/>
        <v>1</v>
      </c>
    </row>
    <row r="4942" spans="1:13" x14ac:dyDescent="0.3">
      <c r="A4942">
        <v>4940</v>
      </c>
      <c r="B4942">
        <v>4941</v>
      </c>
      <c r="C4942" t="s">
        <v>5022</v>
      </c>
      <c r="D4942">
        <v>2021</v>
      </c>
      <c r="E4942" t="s">
        <v>22</v>
      </c>
      <c r="F4942" t="s">
        <v>595</v>
      </c>
      <c r="G4942">
        <v>0</v>
      </c>
      <c r="H4942">
        <v>0</v>
      </c>
      <c r="I4942">
        <v>1</v>
      </c>
      <c r="J4942">
        <v>0</v>
      </c>
      <c r="K4942">
        <v>0</v>
      </c>
      <c r="L4942">
        <f t="shared" si="154"/>
        <v>6.9</v>
      </c>
      <c r="M4942">
        <f t="shared" si="155"/>
        <v>1</v>
      </c>
    </row>
    <row r="4943" spans="1:13" x14ac:dyDescent="0.3">
      <c r="A4943">
        <v>4941</v>
      </c>
      <c r="B4943">
        <v>4942</v>
      </c>
      <c r="C4943" t="s">
        <v>5023</v>
      </c>
      <c r="D4943">
        <v>2003</v>
      </c>
      <c r="E4943" t="s">
        <v>11</v>
      </c>
      <c r="F4943" t="s">
        <v>595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f t="shared" si="154"/>
        <v>6.9</v>
      </c>
      <c r="M4943">
        <f t="shared" si="155"/>
        <v>1</v>
      </c>
    </row>
    <row r="4944" spans="1:13" x14ac:dyDescent="0.3">
      <c r="A4944">
        <v>4942</v>
      </c>
      <c r="B4944">
        <v>4943</v>
      </c>
      <c r="C4944" t="s">
        <v>5024</v>
      </c>
      <c r="D4944">
        <v>2011</v>
      </c>
      <c r="E4944" t="s">
        <v>28</v>
      </c>
      <c r="F4944" t="s">
        <v>595</v>
      </c>
      <c r="G4944">
        <v>0</v>
      </c>
      <c r="H4944">
        <v>0</v>
      </c>
      <c r="I4944">
        <v>1</v>
      </c>
      <c r="J4944">
        <v>0</v>
      </c>
      <c r="K4944">
        <v>0</v>
      </c>
      <c r="L4944">
        <f t="shared" si="154"/>
        <v>6.9</v>
      </c>
      <c r="M4944">
        <f t="shared" si="155"/>
        <v>1</v>
      </c>
    </row>
    <row r="4945" spans="1:13" x14ac:dyDescent="0.3">
      <c r="A4945">
        <v>4943</v>
      </c>
      <c r="B4945">
        <v>4944</v>
      </c>
      <c r="C4945" t="s">
        <v>5025</v>
      </c>
      <c r="D4945">
        <v>2003</v>
      </c>
      <c r="E4945" t="s">
        <v>22</v>
      </c>
      <c r="F4945" t="s">
        <v>595</v>
      </c>
      <c r="G4945">
        <v>0</v>
      </c>
      <c r="H4945">
        <v>0</v>
      </c>
      <c r="I4945">
        <v>1</v>
      </c>
      <c r="J4945">
        <v>0</v>
      </c>
      <c r="K4945">
        <v>0</v>
      </c>
      <c r="L4945">
        <f t="shared" si="154"/>
        <v>6.9</v>
      </c>
      <c r="M4945">
        <f t="shared" si="155"/>
        <v>1</v>
      </c>
    </row>
    <row r="4946" spans="1:13" x14ac:dyDescent="0.3">
      <c r="A4946">
        <v>4944</v>
      </c>
      <c r="B4946">
        <v>4945</v>
      </c>
      <c r="C4946" t="s">
        <v>5026</v>
      </c>
      <c r="D4946">
        <v>2012</v>
      </c>
      <c r="E4946" t="s">
        <v>22</v>
      </c>
      <c r="F4946" t="s">
        <v>595</v>
      </c>
      <c r="G4946">
        <v>0</v>
      </c>
      <c r="H4946">
        <v>0</v>
      </c>
      <c r="I4946">
        <v>1</v>
      </c>
      <c r="J4946">
        <v>0</v>
      </c>
      <c r="K4946">
        <v>0</v>
      </c>
      <c r="L4946">
        <f t="shared" si="154"/>
        <v>6.9</v>
      </c>
      <c r="M4946">
        <f t="shared" si="155"/>
        <v>1</v>
      </c>
    </row>
    <row r="4947" spans="1:13" x14ac:dyDescent="0.3">
      <c r="A4947">
        <v>4945</v>
      </c>
      <c r="B4947">
        <v>4946</v>
      </c>
      <c r="C4947" t="s">
        <v>5027</v>
      </c>
      <c r="D4947">
        <v>2010</v>
      </c>
      <c r="E4947" t="s">
        <v>22</v>
      </c>
      <c r="F4947" t="s">
        <v>595</v>
      </c>
      <c r="G4947">
        <v>0</v>
      </c>
      <c r="H4947">
        <v>0</v>
      </c>
      <c r="I4947">
        <v>1</v>
      </c>
      <c r="J4947">
        <v>0</v>
      </c>
      <c r="K4947">
        <v>0</v>
      </c>
      <c r="L4947">
        <f t="shared" si="154"/>
        <v>6.9</v>
      </c>
      <c r="M4947">
        <f t="shared" si="155"/>
        <v>1</v>
      </c>
    </row>
    <row r="4948" spans="1:13" x14ac:dyDescent="0.3">
      <c r="A4948">
        <v>4946</v>
      </c>
      <c r="B4948">
        <v>4947</v>
      </c>
      <c r="C4948" t="s">
        <v>5028</v>
      </c>
      <c r="D4948">
        <v>1979</v>
      </c>
      <c r="E4948" t="s">
        <v>11</v>
      </c>
      <c r="F4948" t="s">
        <v>595</v>
      </c>
      <c r="G4948">
        <v>0</v>
      </c>
      <c r="H4948">
        <v>0</v>
      </c>
      <c r="I4948">
        <v>1</v>
      </c>
      <c r="J4948">
        <v>0</v>
      </c>
      <c r="K4948">
        <v>0</v>
      </c>
      <c r="L4948">
        <f t="shared" si="154"/>
        <v>6.9</v>
      </c>
      <c r="M4948">
        <f t="shared" si="155"/>
        <v>1</v>
      </c>
    </row>
    <row r="4949" spans="1:13" x14ac:dyDescent="0.3">
      <c r="A4949">
        <v>4947</v>
      </c>
      <c r="B4949">
        <v>4948</v>
      </c>
      <c r="C4949" t="s">
        <v>5029</v>
      </c>
      <c r="D4949">
        <v>2016</v>
      </c>
      <c r="E4949" t="s">
        <v>22</v>
      </c>
      <c r="F4949" t="s">
        <v>595</v>
      </c>
      <c r="G4949">
        <v>0</v>
      </c>
      <c r="H4949">
        <v>0</v>
      </c>
      <c r="I4949">
        <v>1</v>
      </c>
      <c r="J4949">
        <v>0</v>
      </c>
      <c r="K4949">
        <v>0</v>
      </c>
      <c r="L4949">
        <f t="shared" si="154"/>
        <v>6.9</v>
      </c>
      <c r="M4949">
        <f t="shared" si="155"/>
        <v>1</v>
      </c>
    </row>
    <row r="4950" spans="1:13" x14ac:dyDescent="0.3">
      <c r="A4950">
        <v>4948</v>
      </c>
      <c r="B4950">
        <v>4949</v>
      </c>
      <c r="C4950" t="s">
        <v>5030</v>
      </c>
      <c r="D4950">
        <v>2011</v>
      </c>
      <c r="E4950" t="s">
        <v>22</v>
      </c>
      <c r="F4950" t="s">
        <v>595</v>
      </c>
      <c r="G4950">
        <v>0</v>
      </c>
      <c r="H4950">
        <v>0</v>
      </c>
      <c r="I4950">
        <v>1</v>
      </c>
      <c r="J4950">
        <v>0</v>
      </c>
      <c r="K4950">
        <v>0</v>
      </c>
      <c r="L4950">
        <f t="shared" si="154"/>
        <v>6.9</v>
      </c>
      <c r="M4950">
        <f t="shared" si="155"/>
        <v>1</v>
      </c>
    </row>
    <row r="4951" spans="1:13" x14ac:dyDescent="0.3">
      <c r="A4951">
        <v>4949</v>
      </c>
      <c r="B4951">
        <v>4950</v>
      </c>
      <c r="C4951" t="s">
        <v>5031</v>
      </c>
      <c r="D4951">
        <v>1998</v>
      </c>
      <c r="E4951" t="s">
        <v>22</v>
      </c>
      <c r="F4951" t="s">
        <v>595</v>
      </c>
      <c r="G4951">
        <v>0</v>
      </c>
      <c r="H4951">
        <v>0</v>
      </c>
      <c r="I4951">
        <v>1</v>
      </c>
      <c r="J4951">
        <v>0</v>
      </c>
      <c r="K4951">
        <v>0</v>
      </c>
      <c r="L4951">
        <f t="shared" si="154"/>
        <v>6.9</v>
      </c>
      <c r="M4951">
        <f t="shared" si="155"/>
        <v>1</v>
      </c>
    </row>
    <row r="4952" spans="1:13" x14ac:dyDescent="0.3">
      <c r="A4952">
        <v>4950</v>
      </c>
      <c r="B4952">
        <v>4951</v>
      </c>
      <c r="C4952" t="s">
        <v>5032</v>
      </c>
      <c r="D4952">
        <v>2019</v>
      </c>
      <c r="E4952" t="s">
        <v>11</v>
      </c>
      <c r="F4952" t="s">
        <v>595</v>
      </c>
      <c r="G4952">
        <v>0</v>
      </c>
      <c r="H4952">
        <v>0</v>
      </c>
      <c r="I4952">
        <v>1</v>
      </c>
      <c r="J4952">
        <v>0</v>
      </c>
      <c r="K4952">
        <v>0</v>
      </c>
      <c r="L4952">
        <f t="shared" si="154"/>
        <v>6.9</v>
      </c>
      <c r="M4952">
        <f t="shared" si="155"/>
        <v>1</v>
      </c>
    </row>
    <row r="4953" spans="1:13" x14ac:dyDescent="0.3">
      <c r="A4953">
        <v>4951</v>
      </c>
      <c r="B4953">
        <v>4952</v>
      </c>
      <c r="C4953" t="s">
        <v>5033</v>
      </c>
      <c r="D4953">
        <v>1999</v>
      </c>
      <c r="E4953" t="s">
        <v>11</v>
      </c>
      <c r="F4953" t="s">
        <v>595</v>
      </c>
      <c r="G4953">
        <v>0</v>
      </c>
      <c r="H4953">
        <v>0</v>
      </c>
      <c r="I4953">
        <v>1</v>
      </c>
      <c r="J4953">
        <v>0</v>
      </c>
      <c r="K4953">
        <v>0</v>
      </c>
      <c r="L4953">
        <f t="shared" si="154"/>
        <v>6.9</v>
      </c>
      <c r="M4953">
        <f t="shared" si="155"/>
        <v>1</v>
      </c>
    </row>
    <row r="4954" spans="1:13" x14ac:dyDescent="0.3">
      <c r="A4954">
        <v>4952</v>
      </c>
      <c r="B4954">
        <v>4953</v>
      </c>
      <c r="C4954" t="s">
        <v>5034</v>
      </c>
      <c r="D4954">
        <v>2004</v>
      </c>
      <c r="F4954" t="s">
        <v>595</v>
      </c>
      <c r="G4954">
        <v>0</v>
      </c>
      <c r="H4954">
        <v>0</v>
      </c>
      <c r="I4954">
        <v>1</v>
      </c>
      <c r="J4954">
        <v>0</v>
      </c>
      <c r="K4954">
        <v>0</v>
      </c>
      <c r="L4954">
        <f t="shared" si="154"/>
        <v>6.9</v>
      </c>
      <c r="M4954">
        <f t="shared" si="155"/>
        <v>1</v>
      </c>
    </row>
    <row r="4955" spans="1:13" x14ac:dyDescent="0.3">
      <c r="A4955">
        <v>4953</v>
      </c>
      <c r="B4955">
        <v>4954</v>
      </c>
      <c r="C4955" t="s">
        <v>5035</v>
      </c>
      <c r="D4955">
        <v>2017</v>
      </c>
      <c r="E4955" t="s">
        <v>11</v>
      </c>
      <c r="F4955" t="s">
        <v>595</v>
      </c>
      <c r="G4955">
        <v>0</v>
      </c>
      <c r="H4955">
        <v>0</v>
      </c>
      <c r="I4955">
        <v>1</v>
      </c>
      <c r="J4955">
        <v>0</v>
      </c>
      <c r="K4955">
        <v>0</v>
      </c>
      <c r="L4955">
        <f t="shared" si="154"/>
        <v>6.9</v>
      </c>
      <c r="M4955">
        <f t="shared" si="155"/>
        <v>1</v>
      </c>
    </row>
    <row r="4956" spans="1:13" x14ac:dyDescent="0.3">
      <c r="A4956">
        <v>4954</v>
      </c>
      <c r="B4956">
        <v>4955</v>
      </c>
      <c r="C4956" t="s">
        <v>5036</v>
      </c>
      <c r="D4956">
        <v>1968</v>
      </c>
      <c r="E4956" t="s">
        <v>36</v>
      </c>
      <c r="F4956" t="s">
        <v>595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f t="shared" si="154"/>
        <v>6.9</v>
      </c>
      <c r="M4956">
        <f t="shared" si="155"/>
        <v>1</v>
      </c>
    </row>
    <row r="4957" spans="1:13" x14ac:dyDescent="0.3">
      <c r="A4957">
        <v>4955</v>
      </c>
      <c r="B4957">
        <v>4956</v>
      </c>
      <c r="C4957" t="s">
        <v>5037</v>
      </c>
      <c r="D4957">
        <v>2015</v>
      </c>
      <c r="E4957" t="s">
        <v>22</v>
      </c>
      <c r="F4957" t="s">
        <v>595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f t="shared" si="154"/>
        <v>6.9</v>
      </c>
      <c r="M4957">
        <f t="shared" si="155"/>
        <v>1</v>
      </c>
    </row>
    <row r="4958" spans="1:13" x14ac:dyDescent="0.3">
      <c r="A4958">
        <v>4956</v>
      </c>
      <c r="B4958">
        <v>4957</v>
      </c>
      <c r="C4958" t="s">
        <v>5038</v>
      </c>
      <c r="D4958">
        <v>2017</v>
      </c>
      <c r="F4958" t="s">
        <v>595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f t="shared" si="154"/>
        <v>6.9</v>
      </c>
      <c r="M4958">
        <f t="shared" si="155"/>
        <v>1</v>
      </c>
    </row>
    <row r="4959" spans="1:13" x14ac:dyDescent="0.3">
      <c r="A4959">
        <v>4957</v>
      </c>
      <c r="B4959">
        <v>4958</v>
      </c>
      <c r="C4959" t="s">
        <v>5039</v>
      </c>
      <c r="D4959">
        <v>2019</v>
      </c>
      <c r="F4959" t="s">
        <v>595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f t="shared" si="154"/>
        <v>6.9</v>
      </c>
      <c r="M4959">
        <f t="shared" si="155"/>
        <v>1</v>
      </c>
    </row>
    <row r="4960" spans="1:13" x14ac:dyDescent="0.3">
      <c r="A4960">
        <v>4958</v>
      </c>
      <c r="B4960">
        <v>4959</v>
      </c>
      <c r="C4960" t="s">
        <v>5040</v>
      </c>
      <c r="D4960">
        <v>2004</v>
      </c>
      <c r="E4960" t="s">
        <v>14</v>
      </c>
      <c r="F4960" t="s">
        <v>595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f t="shared" si="154"/>
        <v>6.9</v>
      </c>
      <c r="M4960">
        <f t="shared" si="155"/>
        <v>1</v>
      </c>
    </row>
    <row r="4961" spans="1:13" x14ac:dyDescent="0.3">
      <c r="A4961">
        <v>4959</v>
      </c>
      <c r="B4961">
        <v>4960</v>
      </c>
      <c r="C4961" t="s">
        <v>5041</v>
      </c>
      <c r="D4961">
        <v>2005</v>
      </c>
      <c r="E4961" t="s">
        <v>11</v>
      </c>
      <c r="F4961" t="s">
        <v>595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f t="shared" si="154"/>
        <v>6.9</v>
      </c>
      <c r="M4961">
        <f t="shared" si="155"/>
        <v>1</v>
      </c>
    </row>
    <row r="4962" spans="1:13" x14ac:dyDescent="0.3">
      <c r="A4962">
        <v>4960</v>
      </c>
      <c r="B4962">
        <v>4961</v>
      </c>
      <c r="C4962" t="s">
        <v>5042</v>
      </c>
      <c r="D4962">
        <v>2006</v>
      </c>
      <c r="E4962" t="s">
        <v>14</v>
      </c>
      <c r="F4962" t="s">
        <v>595</v>
      </c>
      <c r="G4962">
        <v>0</v>
      </c>
      <c r="H4962">
        <v>0</v>
      </c>
      <c r="I4962">
        <v>1</v>
      </c>
      <c r="J4962">
        <v>0</v>
      </c>
      <c r="K4962">
        <v>0</v>
      </c>
      <c r="L4962">
        <f t="shared" si="154"/>
        <v>6.9</v>
      </c>
      <c r="M4962">
        <f t="shared" si="155"/>
        <v>1</v>
      </c>
    </row>
    <row r="4963" spans="1:13" x14ac:dyDescent="0.3">
      <c r="A4963">
        <v>4961</v>
      </c>
      <c r="B4963">
        <v>4962</v>
      </c>
      <c r="C4963" t="s">
        <v>5043</v>
      </c>
      <c r="D4963">
        <v>1999</v>
      </c>
      <c r="E4963" t="s">
        <v>11</v>
      </c>
      <c r="F4963" t="s">
        <v>595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f t="shared" si="154"/>
        <v>6.9</v>
      </c>
      <c r="M4963">
        <f t="shared" si="155"/>
        <v>1</v>
      </c>
    </row>
    <row r="4964" spans="1:13" x14ac:dyDescent="0.3">
      <c r="A4964">
        <v>4962</v>
      </c>
      <c r="B4964">
        <v>4963</v>
      </c>
      <c r="C4964" t="s">
        <v>5044</v>
      </c>
      <c r="D4964">
        <v>2020</v>
      </c>
      <c r="E4964" t="s">
        <v>11</v>
      </c>
      <c r="F4964" t="s">
        <v>595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f t="shared" si="154"/>
        <v>6.9</v>
      </c>
      <c r="M4964">
        <f t="shared" si="155"/>
        <v>1</v>
      </c>
    </row>
    <row r="4965" spans="1:13" x14ac:dyDescent="0.3">
      <c r="A4965">
        <v>4963</v>
      </c>
      <c r="B4965">
        <v>4964</v>
      </c>
      <c r="C4965" t="s">
        <v>5045</v>
      </c>
      <c r="D4965">
        <v>1936</v>
      </c>
      <c r="F4965" t="s">
        <v>595</v>
      </c>
      <c r="G4965">
        <v>0</v>
      </c>
      <c r="H4965">
        <v>0</v>
      </c>
      <c r="I4965">
        <v>1</v>
      </c>
      <c r="J4965">
        <v>0</v>
      </c>
      <c r="K4965">
        <v>0</v>
      </c>
      <c r="L4965">
        <f t="shared" si="154"/>
        <v>6.9</v>
      </c>
      <c r="M4965">
        <f t="shared" si="155"/>
        <v>1</v>
      </c>
    </row>
    <row r="4966" spans="1:13" x14ac:dyDescent="0.3">
      <c r="A4966">
        <v>4964</v>
      </c>
      <c r="B4966">
        <v>4965</v>
      </c>
      <c r="C4966" t="s">
        <v>5046</v>
      </c>
      <c r="D4966">
        <v>2018</v>
      </c>
      <c r="F4966" t="s">
        <v>595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f t="shared" si="154"/>
        <v>6.9</v>
      </c>
      <c r="M4966">
        <f t="shared" si="155"/>
        <v>1</v>
      </c>
    </row>
    <row r="4967" spans="1:13" x14ac:dyDescent="0.3">
      <c r="A4967">
        <v>4965</v>
      </c>
      <c r="B4967">
        <v>4966</v>
      </c>
      <c r="C4967" t="s">
        <v>5047</v>
      </c>
      <c r="D4967">
        <v>1992</v>
      </c>
      <c r="E4967" t="s">
        <v>11</v>
      </c>
      <c r="F4967" t="s">
        <v>595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f t="shared" si="154"/>
        <v>6.9</v>
      </c>
      <c r="M4967">
        <f t="shared" si="155"/>
        <v>1</v>
      </c>
    </row>
    <row r="4968" spans="1:13" x14ac:dyDescent="0.3">
      <c r="A4968">
        <v>4966</v>
      </c>
      <c r="B4968">
        <v>4967</v>
      </c>
      <c r="C4968" t="s">
        <v>5048</v>
      </c>
      <c r="D4968">
        <v>2009</v>
      </c>
      <c r="E4968" t="s">
        <v>11</v>
      </c>
      <c r="F4968" t="s">
        <v>595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f t="shared" si="154"/>
        <v>6.9</v>
      </c>
      <c r="M4968">
        <f t="shared" si="155"/>
        <v>1</v>
      </c>
    </row>
    <row r="4969" spans="1:13" x14ac:dyDescent="0.3">
      <c r="A4969">
        <v>4967</v>
      </c>
      <c r="B4969">
        <v>4968</v>
      </c>
      <c r="C4969" t="s">
        <v>5049</v>
      </c>
      <c r="D4969">
        <v>2009</v>
      </c>
      <c r="E4969" t="s">
        <v>22</v>
      </c>
      <c r="F4969" t="s">
        <v>595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f t="shared" si="154"/>
        <v>6.9</v>
      </c>
      <c r="M4969">
        <f t="shared" si="155"/>
        <v>1</v>
      </c>
    </row>
    <row r="4970" spans="1:13" x14ac:dyDescent="0.3">
      <c r="A4970">
        <v>4968</v>
      </c>
      <c r="B4970">
        <v>4969</v>
      </c>
      <c r="C4970" t="s">
        <v>5050</v>
      </c>
      <c r="D4970">
        <v>2021</v>
      </c>
      <c r="E4970" t="s">
        <v>11</v>
      </c>
      <c r="F4970" t="s">
        <v>595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f t="shared" si="154"/>
        <v>6.9</v>
      </c>
      <c r="M4970">
        <f t="shared" si="155"/>
        <v>1</v>
      </c>
    </row>
    <row r="4971" spans="1:13" x14ac:dyDescent="0.3">
      <c r="A4971">
        <v>4969</v>
      </c>
      <c r="B4971">
        <v>4970</v>
      </c>
      <c r="C4971" t="s">
        <v>5051</v>
      </c>
      <c r="D4971">
        <v>2019</v>
      </c>
      <c r="E4971" t="s">
        <v>22</v>
      </c>
      <c r="F4971" t="s">
        <v>644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f t="shared" si="154"/>
        <v>6.8</v>
      </c>
      <c r="M4971">
        <f t="shared" si="155"/>
        <v>1</v>
      </c>
    </row>
    <row r="4972" spans="1:13" x14ac:dyDescent="0.3">
      <c r="A4972">
        <v>4970</v>
      </c>
      <c r="B4972">
        <v>4971</v>
      </c>
      <c r="C4972" t="s">
        <v>5052</v>
      </c>
      <c r="D4972">
        <v>2004</v>
      </c>
      <c r="E4972" t="s">
        <v>14</v>
      </c>
      <c r="F4972" t="s">
        <v>644</v>
      </c>
      <c r="G4972">
        <v>0</v>
      </c>
      <c r="H4972">
        <v>0</v>
      </c>
      <c r="I4972">
        <v>1</v>
      </c>
      <c r="J4972">
        <v>0</v>
      </c>
      <c r="K4972">
        <v>0</v>
      </c>
      <c r="L4972">
        <f t="shared" si="154"/>
        <v>6.8</v>
      </c>
      <c r="M4972">
        <f t="shared" si="155"/>
        <v>1</v>
      </c>
    </row>
    <row r="4973" spans="1:13" x14ac:dyDescent="0.3">
      <c r="A4973">
        <v>4971</v>
      </c>
      <c r="B4973">
        <v>4972</v>
      </c>
      <c r="C4973" t="s">
        <v>5053</v>
      </c>
      <c r="D4973">
        <v>2014</v>
      </c>
      <c r="E4973" t="s">
        <v>22</v>
      </c>
      <c r="F4973" t="s">
        <v>644</v>
      </c>
      <c r="G4973">
        <v>0</v>
      </c>
      <c r="H4973">
        <v>0</v>
      </c>
      <c r="I4973">
        <v>1</v>
      </c>
      <c r="J4973">
        <v>0</v>
      </c>
      <c r="K4973">
        <v>0</v>
      </c>
      <c r="L4973">
        <f t="shared" si="154"/>
        <v>6.8</v>
      </c>
      <c r="M4973">
        <f t="shared" si="155"/>
        <v>1</v>
      </c>
    </row>
    <row r="4974" spans="1:13" x14ac:dyDescent="0.3">
      <c r="A4974">
        <v>4972</v>
      </c>
      <c r="B4974">
        <v>4973</v>
      </c>
      <c r="C4974" t="s">
        <v>5054</v>
      </c>
      <c r="D4974">
        <v>2005</v>
      </c>
      <c r="E4974" t="s">
        <v>22</v>
      </c>
      <c r="F4974" t="s">
        <v>644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f t="shared" si="154"/>
        <v>6.8</v>
      </c>
      <c r="M4974">
        <f t="shared" si="155"/>
        <v>1</v>
      </c>
    </row>
    <row r="4975" spans="1:13" x14ac:dyDescent="0.3">
      <c r="A4975">
        <v>4973</v>
      </c>
      <c r="B4975">
        <v>4974</v>
      </c>
      <c r="C4975" t="s">
        <v>5055</v>
      </c>
      <c r="D4975">
        <v>1957</v>
      </c>
      <c r="F4975" t="s">
        <v>644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f t="shared" si="154"/>
        <v>6.8</v>
      </c>
      <c r="M4975">
        <f t="shared" si="155"/>
        <v>1</v>
      </c>
    </row>
    <row r="4976" spans="1:13" x14ac:dyDescent="0.3">
      <c r="A4976">
        <v>4974</v>
      </c>
      <c r="B4976">
        <v>4975</v>
      </c>
      <c r="C4976" t="s">
        <v>5056</v>
      </c>
      <c r="D4976">
        <v>1973</v>
      </c>
      <c r="E4976" t="s">
        <v>14</v>
      </c>
      <c r="F4976" t="s">
        <v>644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f t="shared" si="154"/>
        <v>6.8</v>
      </c>
      <c r="M4976">
        <f t="shared" si="155"/>
        <v>1</v>
      </c>
    </row>
    <row r="4977" spans="1:13" x14ac:dyDescent="0.3">
      <c r="A4977">
        <v>4975</v>
      </c>
      <c r="B4977">
        <v>4976</v>
      </c>
      <c r="C4977" t="s">
        <v>5057</v>
      </c>
      <c r="D4977">
        <v>2012</v>
      </c>
      <c r="E4977" t="s">
        <v>11</v>
      </c>
      <c r="F4977" t="s">
        <v>644</v>
      </c>
      <c r="G4977">
        <v>0</v>
      </c>
      <c r="H4977">
        <v>0</v>
      </c>
      <c r="I4977">
        <v>1</v>
      </c>
      <c r="J4977">
        <v>0</v>
      </c>
      <c r="K4977">
        <v>0</v>
      </c>
      <c r="L4977">
        <f t="shared" si="154"/>
        <v>6.8</v>
      </c>
      <c r="M4977">
        <f t="shared" si="155"/>
        <v>1</v>
      </c>
    </row>
    <row r="4978" spans="1:13" x14ac:dyDescent="0.3">
      <c r="A4978">
        <v>4976</v>
      </c>
      <c r="B4978">
        <v>4977</v>
      </c>
      <c r="C4978" t="s">
        <v>5058</v>
      </c>
      <c r="D4978">
        <v>2005</v>
      </c>
      <c r="E4978" t="s">
        <v>22</v>
      </c>
      <c r="F4978" t="s">
        <v>644</v>
      </c>
      <c r="G4978">
        <v>0</v>
      </c>
      <c r="H4978">
        <v>0</v>
      </c>
      <c r="I4978">
        <v>1</v>
      </c>
      <c r="J4978">
        <v>0</v>
      </c>
      <c r="K4978">
        <v>0</v>
      </c>
      <c r="L4978">
        <f t="shared" si="154"/>
        <v>6.8</v>
      </c>
      <c r="M4978">
        <f t="shared" si="155"/>
        <v>1</v>
      </c>
    </row>
    <row r="4979" spans="1:13" x14ac:dyDescent="0.3">
      <c r="A4979">
        <v>4977</v>
      </c>
      <c r="B4979">
        <v>4978</v>
      </c>
      <c r="C4979" t="s">
        <v>5059</v>
      </c>
      <c r="D4979">
        <v>2012</v>
      </c>
      <c r="E4979" t="s">
        <v>11</v>
      </c>
      <c r="F4979" t="s">
        <v>644</v>
      </c>
      <c r="G4979">
        <v>0</v>
      </c>
      <c r="H4979">
        <v>0</v>
      </c>
      <c r="I4979">
        <v>1</v>
      </c>
      <c r="J4979">
        <v>0</v>
      </c>
      <c r="K4979">
        <v>0</v>
      </c>
      <c r="L4979">
        <f t="shared" si="154"/>
        <v>6.8</v>
      </c>
      <c r="M4979">
        <f t="shared" si="155"/>
        <v>1</v>
      </c>
    </row>
    <row r="4980" spans="1:13" x14ac:dyDescent="0.3">
      <c r="A4980">
        <v>4978</v>
      </c>
      <c r="B4980">
        <v>4979</v>
      </c>
      <c r="C4980" t="s">
        <v>5060</v>
      </c>
      <c r="D4980">
        <v>2012</v>
      </c>
      <c r="E4980" t="s">
        <v>11</v>
      </c>
      <c r="F4980" t="s">
        <v>644</v>
      </c>
      <c r="G4980">
        <v>0</v>
      </c>
      <c r="H4980">
        <v>0</v>
      </c>
      <c r="I4980">
        <v>1</v>
      </c>
      <c r="J4980">
        <v>0</v>
      </c>
      <c r="K4980">
        <v>0</v>
      </c>
      <c r="L4980">
        <f t="shared" si="154"/>
        <v>6.8</v>
      </c>
      <c r="M4980">
        <f t="shared" si="155"/>
        <v>1</v>
      </c>
    </row>
    <row r="4981" spans="1:13" x14ac:dyDescent="0.3">
      <c r="A4981">
        <v>4979</v>
      </c>
      <c r="B4981">
        <v>4980</v>
      </c>
      <c r="C4981" t="s">
        <v>5061</v>
      </c>
      <c r="D4981">
        <v>2004</v>
      </c>
      <c r="E4981" t="s">
        <v>14</v>
      </c>
      <c r="F4981" t="s">
        <v>644</v>
      </c>
      <c r="G4981">
        <v>0</v>
      </c>
      <c r="H4981">
        <v>0</v>
      </c>
      <c r="I4981">
        <v>1</v>
      </c>
      <c r="J4981">
        <v>0</v>
      </c>
      <c r="K4981">
        <v>0</v>
      </c>
      <c r="L4981">
        <f t="shared" si="154"/>
        <v>6.8</v>
      </c>
      <c r="M4981">
        <f t="shared" si="155"/>
        <v>1</v>
      </c>
    </row>
    <row r="4982" spans="1:13" x14ac:dyDescent="0.3">
      <c r="A4982">
        <v>4980</v>
      </c>
      <c r="B4982">
        <v>4981</v>
      </c>
      <c r="C4982" t="s">
        <v>5062</v>
      </c>
      <c r="D4982">
        <v>2020</v>
      </c>
      <c r="E4982" t="s">
        <v>22</v>
      </c>
      <c r="F4982" t="s">
        <v>644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f t="shared" si="154"/>
        <v>6.8</v>
      </c>
      <c r="M4982">
        <f t="shared" si="155"/>
        <v>1</v>
      </c>
    </row>
    <row r="4983" spans="1:13" x14ac:dyDescent="0.3">
      <c r="A4983">
        <v>4981</v>
      </c>
      <c r="B4983">
        <v>4982</v>
      </c>
      <c r="C4983" t="s">
        <v>5063</v>
      </c>
      <c r="D4983">
        <v>1998</v>
      </c>
      <c r="E4983" t="s">
        <v>14</v>
      </c>
      <c r="F4983" t="s">
        <v>644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f t="shared" si="154"/>
        <v>6.8</v>
      </c>
      <c r="M4983">
        <f t="shared" si="155"/>
        <v>1</v>
      </c>
    </row>
    <row r="4984" spans="1:13" x14ac:dyDescent="0.3">
      <c r="A4984">
        <v>4982</v>
      </c>
      <c r="B4984">
        <v>4983</v>
      </c>
      <c r="C4984" t="s">
        <v>5064</v>
      </c>
      <c r="D4984">
        <v>2010</v>
      </c>
      <c r="E4984" t="s">
        <v>11</v>
      </c>
      <c r="F4984" t="s">
        <v>644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f t="shared" si="154"/>
        <v>6.8</v>
      </c>
      <c r="M4984">
        <f t="shared" si="155"/>
        <v>1</v>
      </c>
    </row>
    <row r="4985" spans="1:13" x14ac:dyDescent="0.3">
      <c r="A4985">
        <v>4983</v>
      </c>
      <c r="B4985">
        <v>4984</v>
      </c>
      <c r="C4985" t="s">
        <v>5065</v>
      </c>
      <c r="D4985">
        <v>2017</v>
      </c>
      <c r="E4985" t="s">
        <v>11</v>
      </c>
      <c r="F4985" t="s">
        <v>644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f t="shared" si="154"/>
        <v>6.8</v>
      </c>
      <c r="M4985">
        <f t="shared" si="155"/>
        <v>1</v>
      </c>
    </row>
    <row r="4986" spans="1:13" x14ac:dyDescent="0.3">
      <c r="A4986">
        <v>4984</v>
      </c>
      <c r="B4986">
        <v>4985</v>
      </c>
      <c r="C4986" t="s">
        <v>5066</v>
      </c>
      <c r="D4986">
        <v>2016</v>
      </c>
      <c r="F4986" t="s">
        <v>644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f t="shared" si="154"/>
        <v>6.8</v>
      </c>
      <c r="M4986">
        <f t="shared" si="155"/>
        <v>1</v>
      </c>
    </row>
    <row r="4987" spans="1:13" x14ac:dyDescent="0.3">
      <c r="A4987">
        <v>4985</v>
      </c>
      <c r="B4987">
        <v>4986</v>
      </c>
      <c r="C4987" t="s">
        <v>5067</v>
      </c>
      <c r="D4987">
        <v>2011</v>
      </c>
      <c r="E4987" t="s">
        <v>22</v>
      </c>
      <c r="F4987" t="s">
        <v>644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f t="shared" si="154"/>
        <v>6.8</v>
      </c>
      <c r="M4987">
        <f t="shared" si="155"/>
        <v>1</v>
      </c>
    </row>
    <row r="4988" spans="1:13" x14ac:dyDescent="0.3">
      <c r="A4988">
        <v>4986</v>
      </c>
      <c r="B4988">
        <v>4987</v>
      </c>
      <c r="C4988" t="s">
        <v>5068</v>
      </c>
      <c r="D4988">
        <v>1992</v>
      </c>
      <c r="F4988" t="s">
        <v>644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f t="shared" si="154"/>
        <v>6.8</v>
      </c>
      <c r="M4988">
        <f t="shared" si="155"/>
        <v>1</v>
      </c>
    </row>
    <row r="4989" spans="1:13" x14ac:dyDescent="0.3">
      <c r="A4989">
        <v>4987</v>
      </c>
      <c r="B4989">
        <v>4988</v>
      </c>
      <c r="C4989" t="s">
        <v>5069</v>
      </c>
      <c r="D4989">
        <v>1978</v>
      </c>
      <c r="E4989" t="s">
        <v>11</v>
      </c>
      <c r="F4989" t="s">
        <v>644</v>
      </c>
      <c r="G4989">
        <v>0</v>
      </c>
      <c r="H4989">
        <v>0</v>
      </c>
      <c r="I4989">
        <v>1</v>
      </c>
      <c r="J4989">
        <v>0</v>
      </c>
      <c r="K4989">
        <v>0</v>
      </c>
      <c r="L4989">
        <f t="shared" si="154"/>
        <v>6.8</v>
      </c>
      <c r="M4989">
        <f t="shared" si="155"/>
        <v>1</v>
      </c>
    </row>
    <row r="4990" spans="1:13" x14ac:dyDescent="0.3">
      <c r="A4990">
        <v>4988</v>
      </c>
      <c r="B4990">
        <v>4989</v>
      </c>
      <c r="C4990" t="s">
        <v>5070</v>
      </c>
      <c r="D4990">
        <v>2002</v>
      </c>
      <c r="E4990" t="s">
        <v>11</v>
      </c>
      <c r="F4990" t="s">
        <v>644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f t="shared" si="154"/>
        <v>6.8</v>
      </c>
      <c r="M4990">
        <f t="shared" si="155"/>
        <v>1</v>
      </c>
    </row>
    <row r="4991" spans="1:13" x14ac:dyDescent="0.3">
      <c r="A4991">
        <v>4989</v>
      </c>
      <c r="B4991">
        <v>4990</v>
      </c>
      <c r="C4991" t="s">
        <v>5071</v>
      </c>
      <c r="D4991">
        <v>2015</v>
      </c>
      <c r="E4991" t="s">
        <v>22</v>
      </c>
      <c r="F4991" t="s">
        <v>644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f t="shared" si="154"/>
        <v>6.8</v>
      </c>
      <c r="M4991">
        <f t="shared" si="155"/>
        <v>1</v>
      </c>
    </row>
    <row r="4992" spans="1:13" x14ac:dyDescent="0.3">
      <c r="A4992">
        <v>4990</v>
      </c>
      <c r="B4992">
        <v>4991</v>
      </c>
      <c r="C4992" t="s">
        <v>5072</v>
      </c>
      <c r="D4992">
        <v>2016</v>
      </c>
      <c r="E4992" t="s">
        <v>11</v>
      </c>
      <c r="F4992" t="s">
        <v>644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f t="shared" si="154"/>
        <v>6.8</v>
      </c>
      <c r="M4992">
        <f t="shared" si="155"/>
        <v>1</v>
      </c>
    </row>
    <row r="4993" spans="1:13" x14ac:dyDescent="0.3">
      <c r="A4993">
        <v>4991</v>
      </c>
      <c r="B4993">
        <v>4992</v>
      </c>
      <c r="C4993" t="s">
        <v>5073</v>
      </c>
      <c r="D4993">
        <v>2018</v>
      </c>
      <c r="E4993" t="s">
        <v>11</v>
      </c>
      <c r="F4993" t="s">
        <v>644</v>
      </c>
      <c r="G4993">
        <v>0</v>
      </c>
      <c r="H4993">
        <v>0</v>
      </c>
      <c r="I4993">
        <v>1</v>
      </c>
      <c r="J4993">
        <v>0</v>
      </c>
      <c r="K4993">
        <v>0</v>
      </c>
      <c r="L4993">
        <f t="shared" si="154"/>
        <v>6.8</v>
      </c>
      <c r="M4993">
        <f t="shared" si="155"/>
        <v>1</v>
      </c>
    </row>
    <row r="4994" spans="1:13" x14ac:dyDescent="0.3">
      <c r="A4994">
        <v>4992</v>
      </c>
      <c r="B4994">
        <v>4993</v>
      </c>
      <c r="C4994" t="s">
        <v>5074</v>
      </c>
      <c r="D4994">
        <v>2015</v>
      </c>
      <c r="E4994" t="s">
        <v>14</v>
      </c>
      <c r="F4994" t="s">
        <v>644</v>
      </c>
      <c r="G4994">
        <v>0</v>
      </c>
      <c r="H4994">
        <v>0</v>
      </c>
      <c r="I4994">
        <v>1</v>
      </c>
      <c r="J4994">
        <v>0</v>
      </c>
      <c r="K4994">
        <v>0</v>
      </c>
      <c r="L4994">
        <f t="shared" si="154"/>
        <v>6.8</v>
      </c>
      <c r="M4994">
        <f t="shared" si="155"/>
        <v>1</v>
      </c>
    </row>
    <row r="4995" spans="1:13" x14ac:dyDescent="0.3">
      <c r="A4995">
        <v>4993</v>
      </c>
      <c r="B4995">
        <v>4994</v>
      </c>
      <c r="C4995" t="s">
        <v>5075</v>
      </c>
      <c r="D4995">
        <v>1976</v>
      </c>
      <c r="E4995" t="s">
        <v>14</v>
      </c>
      <c r="F4995" t="s">
        <v>644</v>
      </c>
      <c r="G4995">
        <v>0</v>
      </c>
      <c r="H4995">
        <v>0</v>
      </c>
      <c r="I4995">
        <v>1</v>
      </c>
      <c r="J4995">
        <v>0</v>
      </c>
      <c r="K4995">
        <v>0</v>
      </c>
      <c r="L4995">
        <f t="shared" ref="L4995:L5058" si="156">IFERROR(VALUE(LEFT(F4995,FIND("/",F4995)-1))/10,"")</f>
        <v>6.8</v>
      </c>
      <c r="M4995">
        <f t="shared" ref="M4995:M5058" si="157">SUM(G4995:J4995)</f>
        <v>1</v>
      </c>
    </row>
    <row r="4996" spans="1:13" x14ac:dyDescent="0.3">
      <c r="A4996">
        <v>4994</v>
      </c>
      <c r="B4996">
        <v>4995</v>
      </c>
      <c r="C4996" t="s">
        <v>5076</v>
      </c>
      <c r="D4996">
        <v>2008</v>
      </c>
      <c r="E4996" t="s">
        <v>22</v>
      </c>
      <c r="F4996" t="s">
        <v>644</v>
      </c>
      <c r="G4996">
        <v>0</v>
      </c>
      <c r="H4996">
        <v>0</v>
      </c>
      <c r="I4996">
        <v>1</v>
      </c>
      <c r="J4996">
        <v>0</v>
      </c>
      <c r="K4996">
        <v>0</v>
      </c>
      <c r="L4996">
        <f t="shared" si="156"/>
        <v>6.8</v>
      </c>
      <c r="M4996">
        <f t="shared" si="157"/>
        <v>1</v>
      </c>
    </row>
    <row r="4997" spans="1:13" x14ac:dyDescent="0.3">
      <c r="A4997">
        <v>4995</v>
      </c>
      <c r="B4997">
        <v>4996</v>
      </c>
      <c r="C4997" t="s">
        <v>5077</v>
      </c>
      <c r="D4997">
        <v>2020</v>
      </c>
      <c r="E4997" t="s">
        <v>11</v>
      </c>
      <c r="F4997" t="s">
        <v>644</v>
      </c>
      <c r="G4997">
        <v>0</v>
      </c>
      <c r="H4997">
        <v>0</v>
      </c>
      <c r="I4997">
        <v>1</v>
      </c>
      <c r="J4997">
        <v>0</v>
      </c>
      <c r="K4997">
        <v>0</v>
      </c>
      <c r="L4997">
        <f t="shared" si="156"/>
        <v>6.8</v>
      </c>
      <c r="M4997">
        <f t="shared" si="157"/>
        <v>1</v>
      </c>
    </row>
    <row r="4998" spans="1:13" x14ac:dyDescent="0.3">
      <c r="A4998">
        <v>4996</v>
      </c>
      <c r="B4998">
        <v>4997</v>
      </c>
      <c r="C4998" t="s">
        <v>5078</v>
      </c>
      <c r="D4998">
        <v>2008</v>
      </c>
      <c r="E4998" t="s">
        <v>11</v>
      </c>
      <c r="F4998" t="s">
        <v>644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f t="shared" si="156"/>
        <v>6.8</v>
      </c>
      <c r="M4998">
        <f t="shared" si="157"/>
        <v>1</v>
      </c>
    </row>
    <row r="4999" spans="1:13" x14ac:dyDescent="0.3">
      <c r="A4999">
        <v>4997</v>
      </c>
      <c r="B4999">
        <v>4998</v>
      </c>
      <c r="C4999" t="s">
        <v>5079</v>
      </c>
      <c r="D4999">
        <v>2010</v>
      </c>
      <c r="E4999" t="s">
        <v>11</v>
      </c>
      <c r="F4999" t="s">
        <v>644</v>
      </c>
      <c r="G4999">
        <v>0</v>
      </c>
      <c r="H4999">
        <v>0</v>
      </c>
      <c r="I4999">
        <v>1</v>
      </c>
      <c r="J4999">
        <v>0</v>
      </c>
      <c r="K4999">
        <v>0</v>
      </c>
      <c r="L4999">
        <f t="shared" si="156"/>
        <v>6.8</v>
      </c>
      <c r="M4999">
        <f t="shared" si="157"/>
        <v>1</v>
      </c>
    </row>
    <row r="5000" spans="1:13" x14ac:dyDescent="0.3">
      <c r="A5000">
        <v>4998</v>
      </c>
      <c r="B5000">
        <v>4999</v>
      </c>
      <c r="C5000" t="s">
        <v>5080</v>
      </c>
      <c r="D5000">
        <v>1988</v>
      </c>
      <c r="E5000" t="s">
        <v>11</v>
      </c>
      <c r="F5000" t="s">
        <v>644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f t="shared" si="156"/>
        <v>6.8</v>
      </c>
      <c r="M5000">
        <f t="shared" si="157"/>
        <v>1</v>
      </c>
    </row>
    <row r="5001" spans="1:13" x14ac:dyDescent="0.3">
      <c r="A5001">
        <v>4999</v>
      </c>
      <c r="B5001">
        <v>5000</v>
      </c>
      <c r="C5001" t="s">
        <v>5081</v>
      </c>
      <c r="D5001">
        <v>2014</v>
      </c>
      <c r="F5001" t="s">
        <v>644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f t="shared" si="156"/>
        <v>6.8</v>
      </c>
      <c r="M5001">
        <f t="shared" si="157"/>
        <v>1</v>
      </c>
    </row>
    <row r="5002" spans="1:13" x14ac:dyDescent="0.3">
      <c r="A5002">
        <v>5000</v>
      </c>
      <c r="B5002">
        <v>5001</v>
      </c>
      <c r="C5002" t="s">
        <v>5082</v>
      </c>
      <c r="D5002">
        <v>2014</v>
      </c>
      <c r="E5002" t="s">
        <v>11</v>
      </c>
      <c r="F5002" t="s">
        <v>644</v>
      </c>
      <c r="G5002">
        <v>0</v>
      </c>
      <c r="H5002">
        <v>0</v>
      </c>
      <c r="I5002">
        <v>1</v>
      </c>
      <c r="J5002">
        <v>0</v>
      </c>
      <c r="K5002">
        <v>0</v>
      </c>
      <c r="L5002">
        <f t="shared" si="156"/>
        <v>6.8</v>
      </c>
      <c r="M5002">
        <f t="shared" si="157"/>
        <v>1</v>
      </c>
    </row>
    <row r="5003" spans="1:13" x14ac:dyDescent="0.3">
      <c r="A5003">
        <v>5001</v>
      </c>
      <c r="B5003">
        <v>5002</v>
      </c>
      <c r="C5003" t="s">
        <v>5083</v>
      </c>
      <c r="D5003">
        <v>1956</v>
      </c>
      <c r="E5003" t="s">
        <v>22</v>
      </c>
      <c r="F5003" t="s">
        <v>644</v>
      </c>
      <c r="G5003">
        <v>0</v>
      </c>
      <c r="H5003">
        <v>0</v>
      </c>
      <c r="I5003">
        <v>1</v>
      </c>
      <c r="J5003">
        <v>0</v>
      </c>
      <c r="K5003">
        <v>0</v>
      </c>
      <c r="L5003">
        <f t="shared" si="156"/>
        <v>6.8</v>
      </c>
      <c r="M5003">
        <f t="shared" si="157"/>
        <v>1</v>
      </c>
    </row>
    <row r="5004" spans="1:13" x14ac:dyDescent="0.3">
      <c r="A5004">
        <v>5002</v>
      </c>
      <c r="B5004">
        <v>5003</v>
      </c>
      <c r="C5004" t="s">
        <v>5084</v>
      </c>
      <c r="D5004">
        <v>2001</v>
      </c>
      <c r="E5004" t="s">
        <v>11</v>
      </c>
      <c r="F5004" t="s">
        <v>644</v>
      </c>
      <c r="G5004">
        <v>0</v>
      </c>
      <c r="H5004">
        <v>0</v>
      </c>
      <c r="I5004">
        <v>1</v>
      </c>
      <c r="J5004">
        <v>0</v>
      </c>
      <c r="K5004">
        <v>0</v>
      </c>
      <c r="L5004">
        <f t="shared" si="156"/>
        <v>6.8</v>
      </c>
      <c r="M5004">
        <f t="shared" si="157"/>
        <v>1</v>
      </c>
    </row>
    <row r="5005" spans="1:13" x14ac:dyDescent="0.3">
      <c r="A5005">
        <v>5003</v>
      </c>
      <c r="B5005">
        <v>5004</v>
      </c>
      <c r="C5005" t="s">
        <v>5085</v>
      </c>
      <c r="D5005">
        <v>2016</v>
      </c>
      <c r="F5005" t="s">
        <v>644</v>
      </c>
      <c r="G5005">
        <v>0</v>
      </c>
      <c r="H5005">
        <v>0</v>
      </c>
      <c r="I5005">
        <v>1</v>
      </c>
      <c r="J5005">
        <v>0</v>
      </c>
      <c r="K5005">
        <v>0</v>
      </c>
      <c r="L5005">
        <f t="shared" si="156"/>
        <v>6.8</v>
      </c>
      <c r="M5005">
        <f t="shared" si="157"/>
        <v>1</v>
      </c>
    </row>
    <row r="5006" spans="1:13" x14ac:dyDescent="0.3">
      <c r="A5006">
        <v>5004</v>
      </c>
      <c r="B5006">
        <v>5005</v>
      </c>
      <c r="C5006" t="s">
        <v>5086</v>
      </c>
      <c r="D5006">
        <v>2006</v>
      </c>
      <c r="E5006" t="s">
        <v>22</v>
      </c>
      <c r="F5006" t="s">
        <v>644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f t="shared" si="156"/>
        <v>6.8</v>
      </c>
      <c r="M5006">
        <f t="shared" si="157"/>
        <v>1</v>
      </c>
    </row>
    <row r="5007" spans="1:13" x14ac:dyDescent="0.3">
      <c r="A5007">
        <v>5005</v>
      </c>
      <c r="B5007">
        <v>5006</v>
      </c>
      <c r="C5007" t="s">
        <v>5087</v>
      </c>
      <c r="D5007">
        <v>2009</v>
      </c>
      <c r="E5007" t="s">
        <v>11</v>
      </c>
      <c r="F5007" t="s">
        <v>644</v>
      </c>
      <c r="G5007">
        <v>0</v>
      </c>
      <c r="H5007">
        <v>0</v>
      </c>
      <c r="I5007">
        <v>1</v>
      </c>
      <c r="J5007">
        <v>0</v>
      </c>
      <c r="K5007">
        <v>0</v>
      </c>
      <c r="L5007">
        <f t="shared" si="156"/>
        <v>6.8</v>
      </c>
      <c r="M5007">
        <f t="shared" si="157"/>
        <v>1</v>
      </c>
    </row>
    <row r="5008" spans="1:13" x14ac:dyDescent="0.3">
      <c r="A5008">
        <v>5006</v>
      </c>
      <c r="B5008">
        <v>5007</v>
      </c>
      <c r="C5008" t="s">
        <v>5088</v>
      </c>
      <c r="D5008">
        <v>2018</v>
      </c>
      <c r="E5008" t="s">
        <v>11</v>
      </c>
      <c r="F5008" t="s">
        <v>644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f t="shared" si="156"/>
        <v>6.8</v>
      </c>
      <c r="M5008">
        <f t="shared" si="157"/>
        <v>1</v>
      </c>
    </row>
    <row r="5009" spans="1:13" x14ac:dyDescent="0.3">
      <c r="A5009">
        <v>5007</v>
      </c>
      <c r="B5009">
        <v>5008</v>
      </c>
      <c r="C5009" t="s">
        <v>5089</v>
      </c>
      <c r="D5009">
        <v>2008</v>
      </c>
      <c r="F5009" t="s">
        <v>644</v>
      </c>
      <c r="G5009">
        <v>0</v>
      </c>
      <c r="H5009">
        <v>0</v>
      </c>
      <c r="I5009">
        <v>1</v>
      </c>
      <c r="J5009">
        <v>0</v>
      </c>
      <c r="K5009">
        <v>0</v>
      </c>
      <c r="L5009">
        <f t="shared" si="156"/>
        <v>6.8</v>
      </c>
      <c r="M5009">
        <f t="shared" si="157"/>
        <v>1</v>
      </c>
    </row>
    <row r="5010" spans="1:13" x14ac:dyDescent="0.3">
      <c r="A5010">
        <v>5008</v>
      </c>
      <c r="B5010">
        <v>5009</v>
      </c>
      <c r="C5010" t="s">
        <v>5090</v>
      </c>
      <c r="D5010">
        <v>2011</v>
      </c>
      <c r="E5010" t="s">
        <v>11</v>
      </c>
      <c r="F5010" t="s">
        <v>644</v>
      </c>
      <c r="G5010">
        <v>0</v>
      </c>
      <c r="H5010">
        <v>0</v>
      </c>
      <c r="I5010">
        <v>1</v>
      </c>
      <c r="J5010">
        <v>0</v>
      </c>
      <c r="K5010">
        <v>0</v>
      </c>
      <c r="L5010">
        <f t="shared" si="156"/>
        <v>6.8</v>
      </c>
      <c r="M5010">
        <f t="shared" si="157"/>
        <v>1</v>
      </c>
    </row>
    <row r="5011" spans="1:13" x14ac:dyDescent="0.3">
      <c r="A5011">
        <v>5009</v>
      </c>
      <c r="B5011">
        <v>5010</v>
      </c>
      <c r="C5011" t="s">
        <v>5091</v>
      </c>
      <c r="D5011">
        <v>2014</v>
      </c>
      <c r="F5011" t="s">
        <v>644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f t="shared" si="156"/>
        <v>6.8</v>
      </c>
      <c r="M5011">
        <f t="shared" si="157"/>
        <v>1</v>
      </c>
    </row>
    <row r="5012" spans="1:13" x14ac:dyDescent="0.3">
      <c r="A5012">
        <v>5010</v>
      </c>
      <c r="B5012">
        <v>5011</v>
      </c>
      <c r="C5012" t="s">
        <v>5092</v>
      </c>
      <c r="D5012">
        <v>2018</v>
      </c>
      <c r="E5012" t="s">
        <v>11</v>
      </c>
      <c r="F5012" t="s">
        <v>644</v>
      </c>
      <c r="G5012">
        <v>0</v>
      </c>
      <c r="H5012">
        <v>0</v>
      </c>
      <c r="I5012">
        <v>1</v>
      </c>
      <c r="J5012">
        <v>0</v>
      </c>
      <c r="K5012">
        <v>0</v>
      </c>
      <c r="L5012">
        <f t="shared" si="156"/>
        <v>6.8</v>
      </c>
      <c r="M5012">
        <f t="shared" si="157"/>
        <v>1</v>
      </c>
    </row>
    <row r="5013" spans="1:13" x14ac:dyDescent="0.3">
      <c r="A5013">
        <v>5011</v>
      </c>
      <c r="B5013">
        <v>5012</v>
      </c>
      <c r="C5013" t="s">
        <v>5093</v>
      </c>
      <c r="D5013">
        <v>2017</v>
      </c>
      <c r="F5013" t="s">
        <v>644</v>
      </c>
      <c r="G5013">
        <v>0</v>
      </c>
      <c r="H5013">
        <v>0</v>
      </c>
      <c r="I5013">
        <v>1</v>
      </c>
      <c r="J5013">
        <v>0</v>
      </c>
      <c r="K5013">
        <v>0</v>
      </c>
      <c r="L5013">
        <f t="shared" si="156"/>
        <v>6.8</v>
      </c>
      <c r="M5013">
        <f t="shared" si="157"/>
        <v>1</v>
      </c>
    </row>
    <row r="5014" spans="1:13" x14ac:dyDescent="0.3">
      <c r="A5014">
        <v>5012</v>
      </c>
      <c r="B5014">
        <v>5013</v>
      </c>
      <c r="C5014" t="s">
        <v>5094</v>
      </c>
      <c r="D5014">
        <v>2011</v>
      </c>
      <c r="E5014" t="s">
        <v>22</v>
      </c>
      <c r="F5014" t="s">
        <v>687</v>
      </c>
      <c r="G5014">
        <v>0</v>
      </c>
      <c r="H5014">
        <v>0</v>
      </c>
      <c r="I5014">
        <v>1</v>
      </c>
      <c r="J5014">
        <v>0</v>
      </c>
      <c r="K5014">
        <v>0</v>
      </c>
      <c r="L5014">
        <f t="shared" si="156"/>
        <v>6.7</v>
      </c>
      <c r="M5014">
        <f t="shared" si="157"/>
        <v>1</v>
      </c>
    </row>
    <row r="5015" spans="1:13" x14ac:dyDescent="0.3">
      <c r="A5015">
        <v>5013</v>
      </c>
      <c r="B5015">
        <v>5014</v>
      </c>
      <c r="C5015" t="s">
        <v>5095</v>
      </c>
      <c r="D5015">
        <v>2020</v>
      </c>
      <c r="F5015" t="s">
        <v>687</v>
      </c>
      <c r="G5015">
        <v>0</v>
      </c>
      <c r="H5015">
        <v>0</v>
      </c>
      <c r="I5015">
        <v>1</v>
      </c>
      <c r="J5015">
        <v>0</v>
      </c>
      <c r="K5015">
        <v>0</v>
      </c>
      <c r="L5015">
        <f t="shared" si="156"/>
        <v>6.7</v>
      </c>
      <c r="M5015">
        <f t="shared" si="157"/>
        <v>1</v>
      </c>
    </row>
    <row r="5016" spans="1:13" x14ac:dyDescent="0.3">
      <c r="A5016">
        <v>5014</v>
      </c>
      <c r="B5016">
        <v>5015</v>
      </c>
      <c r="C5016" t="s">
        <v>5096</v>
      </c>
      <c r="D5016">
        <v>1977</v>
      </c>
      <c r="E5016" t="s">
        <v>14</v>
      </c>
      <c r="F5016" t="s">
        <v>687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f t="shared" si="156"/>
        <v>6.7</v>
      </c>
      <c r="M5016">
        <f t="shared" si="157"/>
        <v>1</v>
      </c>
    </row>
    <row r="5017" spans="1:13" x14ac:dyDescent="0.3">
      <c r="A5017">
        <v>5015</v>
      </c>
      <c r="B5017">
        <v>5016</v>
      </c>
      <c r="C5017" t="s">
        <v>5097</v>
      </c>
      <c r="D5017">
        <v>2008</v>
      </c>
      <c r="E5017" t="s">
        <v>11</v>
      </c>
      <c r="F5017" t="s">
        <v>687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f t="shared" si="156"/>
        <v>6.7</v>
      </c>
      <c r="M5017">
        <f t="shared" si="157"/>
        <v>1</v>
      </c>
    </row>
    <row r="5018" spans="1:13" x14ac:dyDescent="0.3">
      <c r="A5018">
        <v>5016</v>
      </c>
      <c r="B5018">
        <v>5017</v>
      </c>
      <c r="C5018" t="s">
        <v>5098</v>
      </c>
      <c r="D5018">
        <v>2015</v>
      </c>
      <c r="E5018" t="s">
        <v>11</v>
      </c>
      <c r="F5018" t="s">
        <v>687</v>
      </c>
      <c r="G5018">
        <v>0</v>
      </c>
      <c r="H5018">
        <v>0</v>
      </c>
      <c r="I5018">
        <v>1</v>
      </c>
      <c r="J5018">
        <v>0</v>
      </c>
      <c r="K5018">
        <v>0</v>
      </c>
      <c r="L5018">
        <f t="shared" si="156"/>
        <v>6.7</v>
      </c>
      <c r="M5018">
        <f t="shared" si="157"/>
        <v>1</v>
      </c>
    </row>
    <row r="5019" spans="1:13" x14ac:dyDescent="0.3">
      <c r="A5019">
        <v>5017</v>
      </c>
      <c r="B5019">
        <v>5018</v>
      </c>
      <c r="C5019" t="s">
        <v>5099</v>
      </c>
      <c r="D5019">
        <v>2013</v>
      </c>
      <c r="E5019" t="s">
        <v>22</v>
      </c>
      <c r="F5019" t="s">
        <v>687</v>
      </c>
      <c r="G5019">
        <v>0</v>
      </c>
      <c r="H5019">
        <v>0</v>
      </c>
      <c r="I5019">
        <v>1</v>
      </c>
      <c r="J5019">
        <v>0</v>
      </c>
      <c r="K5019">
        <v>0</v>
      </c>
      <c r="L5019">
        <f t="shared" si="156"/>
        <v>6.7</v>
      </c>
      <c r="M5019">
        <f t="shared" si="157"/>
        <v>1</v>
      </c>
    </row>
    <row r="5020" spans="1:13" x14ac:dyDescent="0.3">
      <c r="A5020">
        <v>5018</v>
      </c>
      <c r="B5020">
        <v>5019</v>
      </c>
      <c r="C5020" t="s">
        <v>5100</v>
      </c>
      <c r="D5020">
        <v>2018</v>
      </c>
      <c r="E5020" t="s">
        <v>14</v>
      </c>
      <c r="F5020" t="s">
        <v>687</v>
      </c>
      <c r="G5020">
        <v>0</v>
      </c>
      <c r="H5020">
        <v>0</v>
      </c>
      <c r="I5020">
        <v>1</v>
      </c>
      <c r="J5020">
        <v>0</v>
      </c>
      <c r="K5020">
        <v>0</v>
      </c>
      <c r="L5020">
        <f t="shared" si="156"/>
        <v>6.7</v>
      </c>
      <c r="M5020">
        <f t="shared" si="157"/>
        <v>1</v>
      </c>
    </row>
    <row r="5021" spans="1:13" x14ac:dyDescent="0.3">
      <c r="A5021">
        <v>5019</v>
      </c>
      <c r="B5021">
        <v>5020</v>
      </c>
      <c r="C5021" t="s">
        <v>5101</v>
      </c>
      <c r="D5021">
        <v>2002</v>
      </c>
      <c r="E5021" t="s">
        <v>11</v>
      </c>
      <c r="F5021" t="s">
        <v>687</v>
      </c>
      <c r="G5021">
        <v>0</v>
      </c>
      <c r="H5021">
        <v>0</v>
      </c>
      <c r="I5021">
        <v>1</v>
      </c>
      <c r="J5021">
        <v>0</v>
      </c>
      <c r="K5021">
        <v>0</v>
      </c>
      <c r="L5021">
        <f t="shared" si="156"/>
        <v>6.7</v>
      </c>
      <c r="M5021">
        <f t="shared" si="157"/>
        <v>1</v>
      </c>
    </row>
    <row r="5022" spans="1:13" x14ac:dyDescent="0.3">
      <c r="A5022">
        <v>5020</v>
      </c>
      <c r="B5022">
        <v>5021</v>
      </c>
      <c r="C5022" t="s">
        <v>5102</v>
      </c>
      <c r="D5022">
        <v>2018</v>
      </c>
      <c r="F5022" t="s">
        <v>687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f t="shared" si="156"/>
        <v>6.7</v>
      </c>
      <c r="M5022">
        <f t="shared" si="157"/>
        <v>1</v>
      </c>
    </row>
    <row r="5023" spans="1:13" x14ac:dyDescent="0.3">
      <c r="A5023">
        <v>5021</v>
      </c>
      <c r="B5023">
        <v>5022</v>
      </c>
      <c r="C5023" t="s">
        <v>5103</v>
      </c>
      <c r="D5023">
        <v>1981</v>
      </c>
      <c r="E5023" t="s">
        <v>11</v>
      </c>
      <c r="F5023" t="s">
        <v>687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f t="shared" si="156"/>
        <v>6.7</v>
      </c>
      <c r="M5023">
        <f t="shared" si="157"/>
        <v>1</v>
      </c>
    </row>
    <row r="5024" spans="1:13" x14ac:dyDescent="0.3">
      <c r="A5024">
        <v>5022</v>
      </c>
      <c r="B5024">
        <v>5023</v>
      </c>
      <c r="C5024" t="s">
        <v>5104</v>
      </c>
      <c r="D5024">
        <v>2007</v>
      </c>
      <c r="E5024" t="s">
        <v>14</v>
      </c>
      <c r="F5024" t="s">
        <v>687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f t="shared" si="156"/>
        <v>6.7</v>
      </c>
      <c r="M5024">
        <f t="shared" si="157"/>
        <v>1</v>
      </c>
    </row>
    <row r="5025" spans="1:13" x14ac:dyDescent="0.3">
      <c r="A5025">
        <v>5023</v>
      </c>
      <c r="B5025">
        <v>5024</v>
      </c>
      <c r="C5025" t="s">
        <v>5105</v>
      </c>
      <c r="D5025">
        <v>2001</v>
      </c>
      <c r="E5025" t="s">
        <v>11</v>
      </c>
      <c r="F5025" t="s">
        <v>687</v>
      </c>
      <c r="G5025">
        <v>0</v>
      </c>
      <c r="H5025">
        <v>0</v>
      </c>
      <c r="I5025">
        <v>1</v>
      </c>
      <c r="J5025">
        <v>0</v>
      </c>
      <c r="K5025">
        <v>0</v>
      </c>
      <c r="L5025">
        <f t="shared" si="156"/>
        <v>6.7</v>
      </c>
      <c r="M5025">
        <f t="shared" si="157"/>
        <v>1</v>
      </c>
    </row>
    <row r="5026" spans="1:13" x14ac:dyDescent="0.3">
      <c r="A5026">
        <v>5024</v>
      </c>
      <c r="B5026">
        <v>5025</v>
      </c>
      <c r="C5026" t="s">
        <v>5106</v>
      </c>
      <c r="D5026">
        <v>2008</v>
      </c>
      <c r="E5026" t="s">
        <v>11</v>
      </c>
      <c r="F5026" t="s">
        <v>687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f t="shared" si="156"/>
        <v>6.7</v>
      </c>
      <c r="M5026">
        <f t="shared" si="157"/>
        <v>1</v>
      </c>
    </row>
    <row r="5027" spans="1:13" x14ac:dyDescent="0.3">
      <c r="A5027">
        <v>5025</v>
      </c>
      <c r="B5027">
        <v>5026</v>
      </c>
      <c r="C5027" t="s">
        <v>5107</v>
      </c>
      <c r="D5027">
        <v>2008</v>
      </c>
      <c r="E5027" t="s">
        <v>11</v>
      </c>
      <c r="F5027" t="s">
        <v>687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f t="shared" si="156"/>
        <v>6.7</v>
      </c>
      <c r="M5027">
        <f t="shared" si="157"/>
        <v>1</v>
      </c>
    </row>
    <row r="5028" spans="1:13" x14ac:dyDescent="0.3">
      <c r="A5028">
        <v>5026</v>
      </c>
      <c r="B5028">
        <v>5027</v>
      </c>
      <c r="C5028" t="s">
        <v>5108</v>
      </c>
      <c r="D5028">
        <v>1945</v>
      </c>
      <c r="F5028" t="s">
        <v>687</v>
      </c>
      <c r="G5028">
        <v>0</v>
      </c>
      <c r="H5028">
        <v>0</v>
      </c>
      <c r="I5028">
        <v>1</v>
      </c>
      <c r="J5028">
        <v>0</v>
      </c>
      <c r="K5028">
        <v>0</v>
      </c>
      <c r="L5028">
        <f t="shared" si="156"/>
        <v>6.7</v>
      </c>
      <c r="M5028">
        <f t="shared" si="157"/>
        <v>1</v>
      </c>
    </row>
    <row r="5029" spans="1:13" x14ac:dyDescent="0.3">
      <c r="A5029">
        <v>5027</v>
      </c>
      <c r="B5029">
        <v>5028</v>
      </c>
      <c r="C5029" t="s">
        <v>5109</v>
      </c>
      <c r="D5029">
        <v>1999</v>
      </c>
      <c r="E5029" t="s">
        <v>11</v>
      </c>
      <c r="F5029" t="s">
        <v>687</v>
      </c>
      <c r="G5029">
        <v>0</v>
      </c>
      <c r="H5029">
        <v>0</v>
      </c>
      <c r="I5029">
        <v>1</v>
      </c>
      <c r="J5029">
        <v>0</v>
      </c>
      <c r="K5029">
        <v>0</v>
      </c>
      <c r="L5029">
        <f t="shared" si="156"/>
        <v>6.7</v>
      </c>
      <c r="M5029">
        <f t="shared" si="157"/>
        <v>1</v>
      </c>
    </row>
    <row r="5030" spans="1:13" x14ac:dyDescent="0.3">
      <c r="A5030">
        <v>5028</v>
      </c>
      <c r="B5030">
        <v>5029</v>
      </c>
      <c r="C5030" t="s">
        <v>5110</v>
      </c>
      <c r="D5030">
        <v>1973</v>
      </c>
      <c r="E5030" t="s">
        <v>11</v>
      </c>
      <c r="F5030" t="s">
        <v>687</v>
      </c>
      <c r="G5030">
        <v>0</v>
      </c>
      <c r="H5030">
        <v>0</v>
      </c>
      <c r="I5030">
        <v>1</v>
      </c>
      <c r="J5030">
        <v>0</v>
      </c>
      <c r="K5030">
        <v>0</v>
      </c>
      <c r="L5030">
        <f t="shared" si="156"/>
        <v>6.7</v>
      </c>
      <c r="M5030">
        <f t="shared" si="157"/>
        <v>1</v>
      </c>
    </row>
    <row r="5031" spans="1:13" x14ac:dyDescent="0.3">
      <c r="A5031">
        <v>5029</v>
      </c>
      <c r="B5031">
        <v>5030</v>
      </c>
      <c r="C5031" t="s">
        <v>5111</v>
      </c>
      <c r="D5031">
        <v>2007</v>
      </c>
      <c r="E5031" t="s">
        <v>22</v>
      </c>
      <c r="F5031" t="s">
        <v>687</v>
      </c>
      <c r="G5031">
        <v>0</v>
      </c>
      <c r="H5031">
        <v>0</v>
      </c>
      <c r="I5031">
        <v>1</v>
      </c>
      <c r="J5031">
        <v>0</v>
      </c>
      <c r="K5031">
        <v>0</v>
      </c>
      <c r="L5031">
        <f t="shared" si="156"/>
        <v>6.7</v>
      </c>
      <c r="M5031">
        <f t="shared" si="157"/>
        <v>1</v>
      </c>
    </row>
    <row r="5032" spans="1:13" x14ac:dyDescent="0.3">
      <c r="A5032">
        <v>5030</v>
      </c>
      <c r="B5032">
        <v>5031</v>
      </c>
      <c r="C5032" t="s">
        <v>5112</v>
      </c>
      <c r="D5032">
        <v>2012</v>
      </c>
      <c r="E5032" t="s">
        <v>22</v>
      </c>
      <c r="F5032" t="s">
        <v>687</v>
      </c>
      <c r="G5032">
        <v>0</v>
      </c>
      <c r="H5032">
        <v>0</v>
      </c>
      <c r="I5032">
        <v>1</v>
      </c>
      <c r="J5032">
        <v>0</v>
      </c>
      <c r="K5032">
        <v>0</v>
      </c>
      <c r="L5032">
        <f t="shared" si="156"/>
        <v>6.7</v>
      </c>
      <c r="M5032">
        <f t="shared" si="157"/>
        <v>1</v>
      </c>
    </row>
    <row r="5033" spans="1:13" x14ac:dyDescent="0.3">
      <c r="A5033">
        <v>5031</v>
      </c>
      <c r="B5033">
        <v>5032</v>
      </c>
      <c r="C5033" t="s">
        <v>5113</v>
      </c>
      <c r="D5033">
        <v>2018</v>
      </c>
      <c r="E5033" t="s">
        <v>11</v>
      </c>
      <c r="F5033" t="s">
        <v>687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f t="shared" si="156"/>
        <v>6.7</v>
      </c>
      <c r="M5033">
        <f t="shared" si="157"/>
        <v>1</v>
      </c>
    </row>
    <row r="5034" spans="1:13" x14ac:dyDescent="0.3">
      <c r="A5034">
        <v>5032</v>
      </c>
      <c r="B5034">
        <v>5033</v>
      </c>
      <c r="C5034" t="s">
        <v>5114</v>
      </c>
      <c r="D5034">
        <v>2009</v>
      </c>
      <c r="E5034" t="s">
        <v>22</v>
      </c>
      <c r="F5034" t="s">
        <v>687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f t="shared" si="156"/>
        <v>6.7</v>
      </c>
      <c r="M5034">
        <f t="shared" si="157"/>
        <v>1</v>
      </c>
    </row>
    <row r="5035" spans="1:13" x14ac:dyDescent="0.3">
      <c r="A5035">
        <v>5033</v>
      </c>
      <c r="B5035">
        <v>5034</v>
      </c>
      <c r="C5035" t="s">
        <v>5115</v>
      </c>
      <c r="D5035">
        <v>2011</v>
      </c>
      <c r="E5035" t="s">
        <v>11</v>
      </c>
      <c r="F5035" t="s">
        <v>687</v>
      </c>
      <c r="G5035">
        <v>0</v>
      </c>
      <c r="H5035">
        <v>0</v>
      </c>
      <c r="I5035">
        <v>1</v>
      </c>
      <c r="J5035">
        <v>0</v>
      </c>
      <c r="K5035">
        <v>0</v>
      </c>
      <c r="L5035">
        <f t="shared" si="156"/>
        <v>6.7</v>
      </c>
      <c r="M5035">
        <f t="shared" si="157"/>
        <v>1</v>
      </c>
    </row>
    <row r="5036" spans="1:13" x14ac:dyDescent="0.3">
      <c r="A5036">
        <v>5034</v>
      </c>
      <c r="B5036">
        <v>5035</v>
      </c>
      <c r="C5036" t="s">
        <v>5116</v>
      </c>
      <c r="D5036">
        <v>2010</v>
      </c>
      <c r="F5036" t="s">
        <v>687</v>
      </c>
      <c r="G5036">
        <v>0</v>
      </c>
      <c r="H5036">
        <v>0</v>
      </c>
      <c r="I5036">
        <v>1</v>
      </c>
      <c r="J5036">
        <v>0</v>
      </c>
      <c r="K5036">
        <v>0</v>
      </c>
      <c r="L5036">
        <f t="shared" si="156"/>
        <v>6.7</v>
      </c>
      <c r="M5036">
        <f t="shared" si="157"/>
        <v>1</v>
      </c>
    </row>
    <row r="5037" spans="1:13" x14ac:dyDescent="0.3">
      <c r="A5037">
        <v>5035</v>
      </c>
      <c r="B5037">
        <v>5036</v>
      </c>
      <c r="C5037" t="s">
        <v>5117</v>
      </c>
      <c r="D5037">
        <v>1959</v>
      </c>
      <c r="F5037" t="s">
        <v>687</v>
      </c>
      <c r="G5037">
        <v>0</v>
      </c>
      <c r="H5037">
        <v>0</v>
      </c>
      <c r="I5037">
        <v>1</v>
      </c>
      <c r="J5037">
        <v>0</v>
      </c>
      <c r="K5037">
        <v>0</v>
      </c>
      <c r="L5037">
        <f t="shared" si="156"/>
        <v>6.7</v>
      </c>
      <c r="M5037">
        <f t="shared" si="157"/>
        <v>1</v>
      </c>
    </row>
    <row r="5038" spans="1:13" x14ac:dyDescent="0.3">
      <c r="A5038">
        <v>5036</v>
      </c>
      <c r="B5038">
        <v>5037</v>
      </c>
      <c r="C5038" t="s">
        <v>5118</v>
      </c>
      <c r="D5038">
        <v>2021</v>
      </c>
      <c r="E5038" t="s">
        <v>11</v>
      </c>
      <c r="F5038" t="s">
        <v>687</v>
      </c>
      <c r="G5038">
        <v>0</v>
      </c>
      <c r="H5038">
        <v>0</v>
      </c>
      <c r="I5038">
        <v>1</v>
      </c>
      <c r="J5038">
        <v>0</v>
      </c>
      <c r="K5038">
        <v>0</v>
      </c>
      <c r="L5038">
        <f t="shared" si="156"/>
        <v>6.7</v>
      </c>
      <c r="M5038">
        <f t="shared" si="157"/>
        <v>1</v>
      </c>
    </row>
    <row r="5039" spans="1:13" x14ac:dyDescent="0.3">
      <c r="A5039">
        <v>5037</v>
      </c>
      <c r="B5039">
        <v>5038</v>
      </c>
      <c r="C5039" t="s">
        <v>5119</v>
      </c>
      <c r="D5039">
        <v>2016</v>
      </c>
      <c r="E5039" t="s">
        <v>11</v>
      </c>
      <c r="F5039" t="s">
        <v>687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f t="shared" si="156"/>
        <v>6.7</v>
      </c>
      <c r="M5039">
        <f t="shared" si="157"/>
        <v>1</v>
      </c>
    </row>
    <row r="5040" spans="1:13" x14ac:dyDescent="0.3">
      <c r="A5040">
        <v>5038</v>
      </c>
      <c r="B5040">
        <v>5039</v>
      </c>
      <c r="C5040" t="s">
        <v>5120</v>
      </c>
      <c r="D5040">
        <v>2000</v>
      </c>
      <c r="E5040" t="s">
        <v>14</v>
      </c>
      <c r="F5040" t="s">
        <v>687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f t="shared" si="156"/>
        <v>6.7</v>
      </c>
      <c r="M5040">
        <f t="shared" si="157"/>
        <v>1</v>
      </c>
    </row>
    <row r="5041" spans="1:13" x14ac:dyDescent="0.3">
      <c r="A5041">
        <v>5039</v>
      </c>
      <c r="B5041">
        <v>5040</v>
      </c>
      <c r="C5041" t="s">
        <v>5121</v>
      </c>
      <c r="D5041">
        <v>2001</v>
      </c>
      <c r="E5041" t="s">
        <v>22</v>
      </c>
      <c r="F5041" t="s">
        <v>687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f t="shared" si="156"/>
        <v>6.7</v>
      </c>
      <c r="M5041">
        <f t="shared" si="157"/>
        <v>1</v>
      </c>
    </row>
    <row r="5042" spans="1:13" x14ac:dyDescent="0.3">
      <c r="A5042">
        <v>5040</v>
      </c>
      <c r="B5042">
        <v>5041</v>
      </c>
      <c r="C5042" t="s">
        <v>5122</v>
      </c>
      <c r="D5042">
        <v>2009</v>
      </c>
      <c r="E5042" t="s">
        <v>11</v>
      </c>
      <c r="F5042" t="s">
        <v>687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f t="shared" si="156"/>
        <v>6.7</v>
      </c>
      <c r="M5042">
        <f t="shared" si="157"/>
        <v>1</v>
      </c>
    </row>
    <row r="5043" spans="1:13" x14ac:dyDescent="0.3">
      <c r="A5043">
        <v>5041</v>
      </c>
      <c r="B5043">
        <v>5042</v>
      </c>
      <c r="C5043" t="s">
        <v>5123</v>
      </c>
      <c r="D5043">
        <v>2012</v>
      </c>
      <c r="E5043" t="s">
        <v>11</v>
      </c>
      <c r="F5043" t="s">
        <v>687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f t="shared" si="156"/>
        <v>6.7</v>
      </c>
      <c r="M5043">
        <f t="shared" si="157"/>
        <v>1</v>
      </c>
    </row>
    <row r="5044" spans="1:13" x14ac:dyDescent="0.3">
      <c r="A5044">
        <v>5042</v>
      </c>
      <c r="B5044">
        <v>5043</v>
      </c>
      <c r="C5044" t="s">
        <v>5124</v>
      </c>
      <c r="D5044">
        <v>2003</v>
      </c>
      <c r="F5044" t="s">
        <v>687</v>
      </c>
      <c r="G5044">
        <v>0</v>
      </c>
      <c r="H5044">
        <v>0</v>
      </c>
      <c r="I5044">
        <v>1</v>
      </c>
      <c r="J5044">
        <v>0</v>
      </c>
      <c r="K5044">
        <v>0</v>
      </c>
      <c r="L5044">
        <f t="shared" si="156"/>
        <v>6.7</v>
      </c>
      <c r="M5044">
        <f t="shared" si="157"/>
        <v>1</v>
      </c>
    </row>
    <row r="5045" spans="1:13" x14ac:dyDescent="0.3">
      <c r="A5045">
        <v>5043</v>
      </c>
      <c r="B5045">
        <v>5044</v>
      </c>
      <c r="C5045" t="s">
        <v>5125</v>
      </c>
      <c r="D5045">
        <v>2017</v>
      </c>
      <c r="E5045" t="s">
        <v>11</v>
      </c>
      <c r="F5045" t="s">
        <v>687</v>
      </c>
      <c r="G5045">
        <v>0</v>
      </c>
      <c r="H5045">
        <v>0</v>
      </c>
      <c r="I5045">
        <v>1</v>
      </c>
      <c r="J5045">
        <v>0</v>
      </c>
      <c r="K5045">
        <v>0</v>
      </c>
      <c r="L5045">
        <f t="shared" si="156"/>
        <v>6.7</v>
      </c>
      <c r="M5045">
        <f t="shared" si="157"/>
        <v>1</v>
      </c>
    </row>
    <row r="5046" spans="1:13" x14ac:dyDescent="0.3">
      <c r="A5046">
        <v>5044</v>
      </c>
      <c r="B5046">
        <v>5045</v>
      </c>
      <c r="C5046" t="s">
        <v>5126</v>
      </c>
      <c r="D5046">
        <v>1948</v>
      </c>
      <c r="F5046" t="s">
        <v>687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f t="shared" si="156"/>
        <v>6.7</v>
      </c>
      <c r="M5046">
        <f t="shared" si="157"/>
        <v>1</v>
      </c>
    </row>
    <row r="5047" spans="1:13" x14ac:dyDescent="0.3">
      <c r="A5047">
        <v>5045</v>
      </c>
      <c r="B5047">
        <v>5046</v>
      </c>
      <c r="C5047" t="s">
        <v>5127</v>
      </c>
      <c r="D5047">
        <v>2015</v>
      </c>
      <c r="E5047" t="s">
        <v>11</v>
      </c>
      <c r="F5047" t="s">
        <v>687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f t="shared" si="156"/>
        <v>6.7</v>
      </c>
      <c r="M5047">
        <f t="shared" si="157"/>
        <v>1</v>
      </c>
    </row>
    <row r="5048" spans="1:13" x14ac:dyDescent="0.3">
      <c r="A5048">
        <v>5046</v>
      </c>
      <c r="B5048">
        <v>5047</v>
      </c>
      <c r="C5048" t="s">
        <v>5128</v>
      </c>
      <c r="D5048">
        <v>2019</v>
      </c>
      <c r="E5048" t="s">
        <v>11</v>
      </c>
      <c r="F5048" t="s">
        <v>687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f t="shared" si="156"/>
        <v>6.7</v>
      </c>
      <c r="M5048">
        <f t="shared" si="157"/>
        <v>1</v>
      </c>
    </row>
    <row r="5049" spans="1:13" x14ac:dyDescent="0.3">
      <c r="A5049">
        <v>5047</v>
      </c>
      <c r="B5049">
        <v>5048</v>
      </c>
      <c r="C5049" t="s">
        <v>5129</v>
      </c>
      <c r="D5049">
        <v>1976</v>
      </c>
      <c r="E5049" t="s">
        <v>11</v>
      </c>
      <c r="F5049" t="s">
        <v>687</v>
      </c>
      <c r="G5049">
        <v>0</v>
      </c>
      <c r="H5049">
        <v>0</v>
      </c>
      <c r="I5049">
        <v>1</v>
      </c>
      <c r="J5049">
        <v>0</v>
      </c>
      <c r="K5049">
        <v>0</v>
      </c>
      <c r="L5049">
        <f t="shared" si="156"/>
        <v>6.7</v>
      </c>
      <c r="M5049">
        <f t="shared" si="157"/>
        <v>1</v>
      </c>
    </row>
    <row r="5050" spans="1:13" x14ac:dyDescent="0.3">
      <c r="A5050">
        <v>5048</v>
      </c>
      <c r="B5050">
        <v>5049</v>
      </c>
      <c r="C5050" t="s">
        <v>5130</v>
      </c>
      <c r="D5050">
        <v>1925</v>
      </c>
      <c r="F5050" t="s">
        <v>687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f t="shared" si="156"/>
        <v>6.7</v>
      </c>
      <c r="M5050">
        <f t="shared" si="157"/>
        <v>1</v>
      </c>
    </row>
    <row r="5051" spans="1:13" x14ac:dyDescent="0.3">
      <c r="A5051">
        <v>5049</v>
      </c>
      <c r="B5051">
        <v>5050</v>
      </c>
      <c r="C5051" t="s">
        <v>5131</v>
      </c>
      <c r="D5051">
        <v>1947</v>
      </c>
      <c r="F5051" t="s">
        <v>687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f t="shared" si="156"/>
        <v>6.7</v>
      </c>
      <c r="M5051">
        <f t="shared" si="157"/>
        <v>1</v>
      </c>
    </row>
    <row r="5052" spans="1:13" x14ac:dyDescent="0.3">
      <c r="A5052">
        <v>5050</v>
      </c>
      <c r="B5052">
        <v>5051</v>
      </c>
      <c r="C5052" t="s">
        <v>5132</v>
      </c>
      <c r="D5052">
        <v>2015</v>
      </c>
      <c r="E5052" t="s">
        <v>11</v>
      </c>
      <c r="F5052" t="s">
        <v>687</v>
      </c>
      <c r="G5052">
        <v>0</v>
      </c>
      <c r="H5052">
        <v>0</v>
      </c>
      <c r="I5052">
        <v>1</v>
      </c>
      <c r="J5052">
        <v>0</v>
      </c>
      <c r="K5052">
        <v>0</v>
      </c>
      <c r="L5052">
        <f t="shared" si="156"/>
        <v>6.7</v>
      </c>
      <c r="M5052">
        <f t="shared" si="157"/>
        <v>1</v>
      </c>
    </row>
    <row r="5053" spans="1:13" x14ac:dyDescent="0.3">
      <c r="A5053">
        <v>5051</v>
      </c>
      <c r="B5053">
        <v>5052</v>
      </c>
      <c r="C5053" t="s">
        <v>5133</v>
      </c>
      <c r="D5053">
        <v>1974</v>
      </c>
      <c r="E5053" t="s">
        <v>11</v>
      </c>
      <c r="F5053" t="s">
        <v>687</v>
      </c>
      <c r="G5053">
        <v>0</v>
      </c>
      <c r="H5053">
        <v>0</v>
      </c>
      <c r="I5053">
        <v>1</v>
      </c>
      <c r="J5053">
        <v>0</v>
      </c>
      <c r="K5053">
        <v>0</v>
      </c>
      <c r="L5053">
        <f t="shared" si="156"/>
        <v>6.7</v>
      </c>
      <c r="M5053">
        <f t="shared" si="157"/>
        <v>1</v>
      </c>
    </row>
    <row r="5054" spans="1:13" x14ac:dyDescent="0.3">
      <c r="A5054">
        <v>5052</v>
      </c>
      <c r="B5054">
        <v>5053</v>
      </c>
      <c r="C5054" t="s">
        <v>5134</v>
      </c>
      <c r="D5054">
        <v>1939</v>
      </c>
      <c r="F5054" t="s">
        <v>687</v>
      </c>
      <c r="G5054">
        <v>0</v>
      </c>
      <c r="H5054">
        <v>0</v>
      </c>
      <c r="I5054">
        <v>1</v>
      </c>
      <c r="J5054">
        <v>0</v>
      </c>
      <c r="K5054">
        <v>0</v>
      </c>
      <c r="L5054">
        <f t="shared" si="156"/>
        <v>6.7</v>
      </c>
      <c r="M5054">
        <f t="shared" si="157"/>
        <v>1</v>
      </c>
    </row>
    <row r="5055" spans="1:13" x14ac:dyDescent="0.3">
      <c r="A5055">
        <v>5053</v>
      </c>
      <c r="B5055">
        <v>5054</v>
      </c>
      <c r="C5055" t="s">
        <v>5135</v>
      </c>
      <c r="D5055">
        <v>1985</v>
      </c>
      <c r="E5055" t="s">
        <v>14</v>
      </c>
      <c r="F5055" t="s">
        <v>687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f t="shared" si="156"/>
        <v>6.7</v>
      </c>
      <c r="M5055">
        <f t="shared" si="157"/>
        <v>1</v>
      </c>
    </row>
    <row r="5056" spans="1:13" x14ac:dyDescent="0.3">
      <c r="A5056">
        <v>5054</v>
      </c>
      <c r="B5056">
        <v>5055</v>
      </c>
      <c r="C5056" t="s">
        <v>5136</v>
      </c>
      <c r="D5056">
        <v>2014</v>
      </c>
      <c r="E5056" t="s">
        <v>11</v>
      </c>
      <c r="F5056" t="s">
        <v>758</v>
      </c>
      <c r="G5056">
        <v>0</v>
      </c>
      <c r="H5056">
        <v>0</v>
      </c>
      <c r="I5056">
        <v>1</v>
      </c>
      <c r="J5056">
        <v>0</v>
      </c>
      <c r="K5056">
        <v>0</v>
      </c>
      <c r="L5056">
        <f t="shared" si="156"/>
        <v>6.6</v>
      </c>
      <c r="M5056">
        <f t="shared" si="157"/>
        <v>1</v>
      </c>
    </row>
    <row r="5057" spans="1:13" x14ac:dyDescent="0.3">
      <c r="A5057">
        <v>5055</v>
      </c>
      <c r="B5057">
        <v>5056</v>
      </c>
      <c r="C5057" t="s">
        <v>5137</v>
      </c>
      <c r="D5057">
        <v>2005</v>
      </c>
      <c r="E5057" t="s">
        <v>11</v>
      </c>
      <c r="F5057" t="s">
        <v>758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f t="shared" si="156"/>
        <v>6.6</v>
      </c>
      <c r="M5057">
        <f t="shared" si="157"/>
        <v>1</v>
      </c>
    </row>
    <row r="5058" spans="1:13" x14ac:dyDescent="0.3">
      <c r="A5058">
        <v>5056</v>
      </c>
      <c r="B5058">
        <v>5057</v>
      </c>
      <c r="C5058" t="s">
        <v>5138</v>
      </c>
      <c r="D5058">
        <v>2020</v>
      </c>
      <c r="E5058" t="s">
        <v>11</v>
      </c>
      <c r="F5058" t="s">
        <v>758</v>
      </c>
      <c r="G5058">
        <v>0</v>
      </c>
      <c r="H5058">
        <v>0</v>
      </c>
      <c r="I5058">
        <v>1</v>
      </c>
      <c r="J5058">
        <v>0</v>
      </c>
      <c r="K5058">
        <v>0</v>
      </c>
      <c r="L5058">
        <f t="shared" si="156"/>
        <v>6.6</v>
      </c>
      <c r="M5058">
        <f t="shared" si="157"/>
        <v>1</v>
      </c>
    </row>
    <row r="5059" spans="1:13" x14ac:dyDescent="0.3">
      <c r="A5059">
        <v>5057</v>
      </c>
      <c r="B5059">
        <v>5058</v>
      </c>
      <c r="C5059" t="s">
        <v>5139</v>
      </c>
      <c r="D5059">
        <v>2005</v>
      </c>
      <c r="F5059" t="s">
        <v>758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f t="shared" ref="L5059:L5122" si="158">IFERROR(VALUE(LEFT(F5059,FIND("/",F5059)-1))/10,"")</f>
        <v>6.6</v>
      </c>
      <c r="M5059">
        <f t="shared" ref="M5059:M5122" si="159">SUM(G5059:J5059)</f>
        <v>1</v>
      </c>
    </row>
    <row r="5060" spans="1:13" x14ac:dyDescent="0.3">
      <c r="A5060">
        <v>5058</v>
      </c>
      <c r="B5060">
        <v>5059</v>
      </c>
      <c r="C5060" t="s">
        <v>5140</v>
      </c>
      <c r="D5060">
        <v>2005</v>
      </c>
      <c r="E5060" t="s">
        <v>22</v>
      </c>
      <c r="F5060" t="s">
        <v>758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f t="shared" si="158"/>
        <v>6.6</v>
      </c>
      <c r="M5060">
        <f t="shared" si="159"/>
        <v>1</v>
      </c>
    </row>
    <row r="5061" spans="1:13" x14ac:dyDescent="0.3">
      <c r="A5061">
        <v>5059</v>
      </c>
      <c r="B5061">
        <v>5060</v>
      </c>
      <c r="C5061" t="s">
        <v>5141</v>
      </c>
      <c r="D5061">
        <v>1954</v>
      </c>
      <c r="F5061" t="s">
        <v>758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f t="shared" si="158"/>
        <v>6.6</v>
      </c>
      <c r="M5061">
        <f t="shared" si="159"/>
        <v>1</v>
      </c>
    </row>
    <row r="5062" spans="1:13" x14ac:dyDescent="0.3">
      <c r="A5062">
        <v>5060</v>
      </c>
      <c r="B5062">
        <v>5061</v>
      </c>
      <c r="C5062" t="s">
        <v>5142</v>
      </c>
      <c r="D5062">
        <v>2013</v>
      </c>
      <c r="F5062" t="s">
        <v>758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f t="shared" si="158"/>
        <v>6.6</v>
      </c>
      <c r="M5062">
        <f t="shared" si="159"/>
        <v>1</v>
      </c>
    </row>
    <row r="5063" spans="1:13" x14ac:dyDescent="0.3">
      <c r="A5063">
        <v>5061</v>
      </c>
      <c r="B5063">
        <v>5062</v>
      </c>
      <c r="C5063" t="s">
        <v>5143</v>
      </c>
      <c r="D5063">
        <v>2018</v>
      </c>
      <c r="E5063" t="s">
        <v>11</v>
      </c>
      <c r="F5063" t="s">
        <v>758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f t="shared" si="158"/>
        <v>6.6</v>
      </c>
      <c r="M5063">
        <f t="shared" si="159"/>
        <v>1</v>
      </c>
    </row>
    <row r="5064" spans="1:13" x14ac:dyDescent="0.3">
      <c r="A5064">
        <v>5062</v>
      </c>
      <c r="B5064">
        <v>5063</v>
      </c>
      <c r="C5064" t="s">
        <v>5144</v>
      </c>
      <c r="D5064">
        <v>1999</v>
      </c>
      <c r="E5064" t="s">
        <v>11</v>
      </c>
      <c r="F5064" t="s">
        <v>758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f t="shared" si="158"/>
        <v>6.6</v>
      </c>
      <c r="M5064">
        <f t="shared" si="159"/>
        <v>1</v>
      </c>
    </row>
    <row r="5065" spans="1:13" x14ac:dyDescent="0.3">
      <c r="A5065">
        <v>5063</v>
      </c>
      <c r="B5065">
        <v>5064</v>
      </c>
      <c r="C5065" t="s">
        <v>5145</v>
      </c>
      <c r="D5065">
        <v>1984</v>
      </c>
      <c r="E5065" t="s">
        <v>11</v>
      </c>
      <c r="F5065" t="s">
        <v>758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f t="shared" si="158"/>
        <v>6.6</v>
      </c>
      <c r="M5065">
        <f t="shared" si="159"/>
        <v>1</v>
      </c>
    </row>
    <row r="5066" spans="1:13" x14ac:dyDescent="0.3">
      <c r="A5066">
        <v>5064</v>
      </c>
      <c r="B5066">
        <v>5065</v>
      </c>
      <c r="C5066" t="s">
        <v>5146</v>
      </c>
      <c r="D5066">
        <v>2013</v>
      </c>
      <c r="E5066" t="s">
        <v>11</v>
      </c>
      <c r="F5066" t="s">
        <v>758</v>
      </c>
      <c r="G5066">
        <v>0</v>
      </c>
      <c r="H5066">
        <v>0</v>
      </c>
      <c r="I5066">
        <v>1</v>
      </c>
      <c r="J5066">
        <v>0</v>
      </c>
      <c r="K5066">
        <v>0</v>
      </c>
      <c r="L5066">
        <f t="shared" si="158"/>
        <v>6.6</v>
      </c>
      <c r="M5066">
        <f t="shared" si="159"/>
        <v>1</v>
      </c>
    </row>
    <row r="5067" spans="1:13" x14ac:dyDescent="0.3">
      <c r="A5067">
        <v>5065</v>
      </c>
      <c r="B5067">
        <v>5066</v>
      </c>
      <c r="C5067" t="s">
        <v>5147</v>
      </c>
      <c r="D5067">
        <v>1960</v>
      </c>
      <c r="F5067" t="s">
        <v>758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f t="shared" si="158"/>
        <v>6.6</v>
      </c>
      <c r="M5067">
        <f t="shared" si="159"/>
        <v>1</v>
      </c>
    </row>
    <row r="5068" spans="1:13" x14ac:dyDescent="0.3">
      <c r="A5068">
        <v>5066</v>
      </c>
      <c r="B5068">
        <v>5067</v>
      </c>
      <c r="C5068" t="s">
        <v>5148</v>
      </c>
      <c r="D5068">
        <v>1981</v>
      </c>
      <c r="E5068" t="s">
        <v>14</v>
      </c>
      <c r="F5068" t="s">
        <v>758</v>
      </c>
      <c r="G5068">
        <v>0</v>
      </c>
      <c r="H5068">
        <v>0</v>
      </c>
      <c r="I5068">
        <v>1</v>
      </c>
      <c r="J5068">
        <v>0</v>
      </c>
      <c r="K5068">
        <v>0</v>
      </c>
      <c r="L5068">
        <f t="shared" si="158"/>
        <v>6.6</v>
      </c>
      <c r="M5068">
        <f t="shared" si="159"/>
        <v>1</v>
      </c>
    </row>
    <row r="5069" spans="1:13" x14ac:dyDescent="0.3">
      <c r="A5069">
        <v>5067</v>
      </c>
      <c r="B5069">
        <v>5068</v>
      </c>
      <c r="C5069" t="s">
        <v>5149</v>
      </c>
      <c r="D5069">
        <v>2008</v>
      </c>
      <c r="F5069" t="s">
        <v>758</v>
      </c>
      <c r="G5069">
        <v>0</v>
      </c>
      <c r="H5069">
        <v>0</v>
      </c>
      <c r="I5069">
        <v>1</v>
      </c>
      <c r="J5069">
        <v>0</v>
      </c>
      <c r="K5069">
        <v>0</v>
      </c>
      <c r="L5069">
        <f t="shared" si="158"/>
        <v>6.6</v>
      </c>
      <c r="M5069">
        <f t="shared" si="159"/>
        <v>1</v>
      </c>
    </row>
    <row r="5070" spans="1:13" x14ac:dyDescent="0.3">
      <c r="A5070">
        <v>5068</v>
      </c>
      <c r="B5070">
        <v>5069</v>
      </c>
      <c r="C5070" t="s">
        <v>5150</v>
      </c>
      <c r="D5070">
        <v>1945</v>
      </c>
      <c r="F5070" t="s">
        <v>758</v>
      </c>
      <c r="G5070">
        <v>0</v>
      </c>
      <c r="H5070">
        <v>0</v>
      </c>
      <c r="I5070">
        <v>1</v>
      </c>
      <c r="J5070">
        <v>0</v>
      </c>
      <c r="K5070">
        <v>0</v>
      </c>
      <c r="L5070">
        <f t="shared" si="158"/>
        <v>6.6</v>
      </c>
      <c r="M5070">
        <f t="shared" si="159"/>
        <v>1</v>
      </c>
    </row>
    <row r="5071" spans="1:13" x14ac:dyDescent="0.3">
      <c r="A5071">
        <v>5069</v>
      </c>
      <c r="B5071">
        <v>5070</v>
      </c>
      <c r="C5071" t="s">
        <v>5151</v>
      </c>
      <c r="D5071">
        <v>1955</v>
      </c>
      <c r="F5071" t="s">
        <v>758</v>
      </c>
      <c r="G5071">
        <v>0</v>
      </c>
      <c r="H5071">
        <v>0</v>
      </c>
      <c r="I5071">
        <v>1</v>
      </c>
      <c r="J5071">
        <v>0</v>
      </c>
      <c r="K5071">
        <v>0</v>
      </c>
      <c r="L5071">
        <f t="shared" si="158"/>
        <v>6.6</v>
      </c>
      <c r="M5071">
        <f t="shared" si="159"/>
        <v>1</v>
      </c>
    </row>
    <row r="5072" spans="1:13" x14ac:dyDescent="0.3">
      <c r="A5072">
        <v>5070</v>
      </c>
      <c r="B5072">
        <v>5071</v>
      </c>
      <c r="C5072" t="s">
        <v>5152</v>
      </c>
      <c r="D5072">
        <v>2013</v>
      </c>
      <c r="F5072" t="s">
        <v>758</v>
      </c>
      <c r="G5072">
        <v>0</v>
      </c>
      <c r="H5072">
        <v>0</v>
      </c>
      <c r="I5072">
        <v>1</v>
      </c>
      <c r="J5072">
        <v>0</v>
      </c>
      <c r="K5072">
        <v>0</v>
      </c>
      <c r="L5072">
        <f t="shared" si="158"/>
        <v>6.6</v>
      </c>
      <c r="M5072">
        <f t="shared" si="159"/>
        <v>1</v>
      </c>
    </row>
    <row r="5073" spans="1:13" x14ac:dyDescent="0.3">
      <c r="A5073">
        <v>5071</v>
      </c>
      <c r="B5073">
        <v>5072</v>
      </c>
      <c r="C5073" t="s">
        <v>5153</v>
      </c>
      <c r="D5073">
        <v>2014</v>
      </c>
      <c r="E5073" t="s">
        <v>11</v>
      </c>
      <c r="F5073" t="s">
        <v>758</v>
      </c>
      <c r="G5073">
        <v>0</v>
      </c>
      <c r="H5073">
        <v>0</v>
      </c>
      <c r="I5073">
        <v>1</v>
      </c>
      <c r="J5073">
        <v>0</v>
      </c>
      <c r="K5073">
        <v>0</v>
      </c>
      <c r="L5073">
        <f t="shared" si="158"/>
        <v>6.6</v>
      </c>
      <c r="M5073">
        <f t="shared" si="159"/>
        <v>1</v>
      </c>
    </row>
    <row r="5074" spans="1:13" x14ac:dyDescent="0.3">
      <c r="A5074">
        <v>5072</v>
      </c>
      <c r="B5074">
        <v>5073</v>
      </c>
      <c r="C5074" t="s">
        <v>5154</v>
      </c>
      <c r="D5074">
        <v>2012</v>
      </c>
      <c r="F5074" t="s">
        <v>758</v>
      </c>
      <c r="G5074">
        <v>0</v>
      </c>
      <c r="H5074">
        <v>0</v>
      </c>
      <c r="I5074">
        <v>1</v>
      </c>
      <c r="J5074">
        <v>0</v>
      </c>
      <c r="K5074">
        <v>0</v>
      </c>
      <c r="L5074">
        <f t="shared" si="158"/>
        <v>6.6</v>
      </c>
      <c r="M5074">
        <f t="shared" si="159"/>
        <v>1</v>
      </c>
    </row>
    <row r="5075" spans="1:13" x14ac:dyDescent="0.3">
      <c r="A5075">
        <v>5073</v>
      </c>
      <c r="B5075">
        <v>5074</v>
      </c>
      <c r="C5075" t="s">
        <v>5155</v>
      </c>
      <c r="D5075">
        <v>1992</v>
      </c>
      <c r="E5075" t="s">
        <v>22</v>
      </c>
      <c r="F5075" t="s">
        <v>758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f t="shared" si="158"/>
        <v>6.6</v>
      </c>
      <c r="M5075">
        <f t="shared" si="159"/>
        <v>1</v>
      </c>
    </row>
    <row r="5076" spans="1:13" x14ac:dyDescent="0.3">
      <c r="A5076">
        <v>5074</v>
      </c>
      <c r="B5076">
        <v>5075</v>
      </c>
      <c r="C5076" t="s">
        <v>5156</v>
      </c>
      <c r="D5076">
        <v>2001</v>
      </c>
      <c r="E5076" t="s">
        <v>11</v>
      </c>
      <c r="F5076" t="s">
        <v>758</v>
      </c>
      <c r="G5076">
        <v>0</v>
      </c>
      <c r="H5076">
        <v>0</v>
      </c>
      <c r="I5076">
        <v>1</v>
      </c>
      <c r="J5076">
        <v>0</v>
      </c>
      <c r="K5076">
        <v>0</v>
      </c>
      <c r="L5076">
        <f t="shared" si="158"/>
        <v>6.6</v>
      </c>
      <c r="M5076">
        <f t="shared" si="159"/>
        <v>1</v>
      </c>
    </row>
    <row r="5077" spans="1:13" x14ac:dyDescent="0.3">
      <c r="A5077">
        <v>5075</v>
      </c>
      <c r="B5077">
        <v>5076</v>
      </c>
      <c r="C5077" t="s">
        <v>5157</v>
      </c>
      <c r="D5077">
        <v>2008</v>
      </c>
      <c r="E5077" t="s">
        <v>11</v>
      </c>
      <c r="F5077" t="s">
        <v>758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f t="shared" si="158"/>
        <v>6.6</v>
      </c>
      <c r="M5077">
        <f t="shared" si="159"/>
        <v>1</v>
      </c>
    </row>
    <row r="5078" spans="1:13" x14ac:dyDescent="0.3">
      <c r="A5078">
        <v>5076</v>
      </c>
      <c r="B5078">
        <v>5077</v>
      </c>
      <c r="C5078" t="s">
        <v>5158</v>
      </c>
      <c r="D5078">
        <v>2014</v>
      </c>
      <c r="E5078" t="s">
        <v>11</v>
      </c>
      <c r="F5078" t="s">
        <v>758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f t="shared" si="158"/>
        <v>6.6</v>
      </c>
      <c r="M5078">
        <f t="shared" si="159"/>
        <v>1</v>
      </c>
    </row>
    <row r="5079" spans="1:13" x14ac:dyDescent="0.3">
      <c r="A5079">
        <v>5077</v>
      </c>
      <c r="B5079">
        <v>5078</v>
      </c>
      <c r="C5079" t="s">
        <v>5159</v>
      </c>
      <c r="D5079">
        <v>2017</v>
      </c>
      <c r="E5079" t="s">
        <v>11</v>
      </c>
      <c r="F5079" t="s">
        <v>758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f t="shared" si="158"/>
        <v>6.6</v>
      </c>
      <c r="M5079">
        <f t="shared" si="159"/>
        <v>1</v>
      </c>
    </row>
    <row r="5080" spans="1:13" x14ac:dyDescent="0.3">
      <c r="A5080">
        <v>5078</v>
      </c>
      <c r="B5080">
        <v>5079</v>
      </c>
      <c r="C5080" t="s">
        <v>5160</v>
      </c>
      <c r="D5080">
        <v>2020</v>
      </c>
      <c r="E5080" t="s">
        <v>22</v>
      </c>
      <c r="F5080" t="s">
        <v>758</v>
      </c>
      <c r="G5080">
        <v>0</v>
      </c>
      <c r="H5080">
        <v>0</v>
      </c>
      <c r="I5080">
        <v>1</v>
      </c>
      <c r="J5080">
        <v>0</v>
      </c>
      <c r="K5080">
        <v>0</v>
      </c>
      <c r="L5080">
        <f t="shared" si="158"/>
        <v>6.6</v>
      </c>
      <c r="M5080">
        <f t="shared" si="159"/>
        <v>1</v>
      </c>
    </row>
    <row r="5081" spans="1:13" x14ac:dyDescent="0.3">
      <c r="A5081">
        <v>5079</v>
      </c>
      <c r="B5081">
        <v>5080</v>
      </c>
      <c r="C5081" t="s">
        <v>5161</v>
      </c>
      <c r="D5081">
        <v>1955</v>
      </c>
      <c r="F5081" t="s">
        <v>758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f t="shared" si="158"/>
        <v>6.6</v>
      </c>
      <c r="M5081">
        <f t="shared" si="159"/>
        <v>1</v>
      </c>
    </row>
    <row r="5082" spans="1:13" x14ac:dyDescent="0.3">
      <c r="A5082">
        <v>5080</v>
      </c>
      <c r="B5082">
        <v>5081</v>
      </c>
      <c r="C5082" t="s">
        <v>5162</v>
      </c>
      <c r="D5082">
        <v>2016</v>
      </c>
      <c r="E5082" t="s">
        <v>22</v>
      </c>
      <c r="F5082" t="s">
        <v>758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f t="shared" si="158"/>
        <v>6.6</v>
      </c>
      <c r="M5082">
        <f t="shared" si="159"/>
        <v>1</v>
      </c>
    </row>
    <row r="5083" spans="1:13" x14ac:dyDescent="0.3">
      <c r="A5083">
        <v>5081</v>
      </c>
      <c r="B5083">
        <v>5082</v>
      </c>
      <c r="C5083" t="s">
        <v>5163</v>
      </c>
      <c r="D5083">
        <v>1941</v>
      </c>
      <c r="F5083" t="s">
        <v>758</v>
      </c>
      <c r="G5083">
        <v>0</v>
      </c>
      <c r="H5083">
        <v>0</v>
      </c>
      <c r="I5083">
        <v>1</v>
      </c>
      <c r="J5083">
        <v>0</v>
      </c>
      <c r="K5083">
        <v>0</v>
      </c>
      <c r="L5083">
        <f t="shared" si="158"/>
        <v>6.6</v>
      </c>
      <c r="M5083">
        <f t="shared" si="159"/>
        <v>1</v>
      </c>
    </row>
    <row r="5084" spans="1:13" x14ac:dyDescent="0.3">
      <c r="A5084">
        <v>5082</v>
      </c>
      <c r="B5084">
        <v>5083</v>
      </c>
      <c r="C5084" t="s">
        <v>5164</v>
      </c>
      <c r="D5084">
        <v>2001</v>
      </c>
      <c r="E5084" t="s">
        <v>22</v>
      </c>
      <c r="F5084" t="s">
        <v>758</v>
      </c>
      <c r="G5084">
        <v>0</v>
      </c>
      <c r="H5084">
        <v>0</v>
      </c>
      <c r="I5084">
        <v>1</v>
      </c>
      <c r="J5084">
        <v>0</v>
      </c>
      <c r="K5084">
        <v>0</v>
      </c>
      <c r="L5084">
        <f t="shared" si="158"/>
        <v>6.6</v>
      </c>
      <c r="M5084">
        <f t="shared" si="159"/>
        <v>1</v>
      </c>
    </row>
    <row r="5085" spans="1:13" x14ac:dyDescent="0.3">
      <c r="A5085">
        <v>5083</v>
      </c>
      <c r="B5085">
        <v>5084</v>
      </c>
      <c r="C5085" t="s">
        <v>5165</v>
      </c>
      <c r="D5085">
        <v>2011</v>
      </c>
      <c r="E5085" t="s">
        <v>11</v>
      </c>
      <c r="F5085" t="s">
        <v>758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f t="shared" si="158"/>
        <v>6.6</v>
      </c>
      <c r="M5085">
        <f t="shared" si="159"/>
        <v>1</v>
      </c>
    </row>
    <row r="5086" spans="1:13" x14ac:dyDescent="0.3">
      <c r="A5086">
        <v>5084</v>
      </c>
      <c r="B5086">
        <v>5085</v>
      </c>
      <c r="C5086" t="s">
        <v>5166</v>
      </c>
      <c r="D5086">
        <v>2008</v>
      </c>
      <c r="E5086" t="s">
        <v>11</v>
      </c>
      <c r="F5086" t="s">
        <v>758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f t="shared" si="158"/>
        <v>6.6</v>
      </c>
      <c r="M5086">
        <f t="shared" si="159"/>
        <v>1</v>
      </c>
    </row>
    <row r="5087" spans="1:13" x14ac:dyDescent="0.3">
      <c r="A5087">
        <v>5085</v>
      </c>
      <c r="B5087">
        <v>5086</v>
      </c>
      <c r="C5087" t="s">
        <v>5167</v>
      </c>
      <c r="D5087">
        <v>2001</v>
      </c>
      <c r="E5087" t="s">
        <v>11</v>
      </c>
      <c r="F5087" t="s">
        <v>758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f t="shared" si="158"/>
        <v>6.6</v>
      </c>
      <c r="M5087">
        <f t="shared" si="159"/>
        <v>1</v>
      </c>
    </row>
    <row r="5088" spans="1:13" x14ac:dyDescent="0.3">
      <c r="A5088">
        <v>5086</v>
      </c>
      <c r="B5088">
        <v>5087</v>
      </c>
      <c r="C5088" t="s">
        <v>5168</v>
      </c>
      <c r="D5088">
        <v>2017</v>
      </c>
      <c r="E5088" t="s">
        <v>11</v>
      </c>
      <c r="F5088" t="s">
        <v>758</v>
      </c>
      <c r="G5088">
        <v>0</v>
      </c>
      <c r="H5088">
        <v>0</v>
      </c>
      <c r="I5088">
        <v>1</v>
      </c>
      <c r="J5088">
        <v>0</v>
      </c>
      <c r="K5088">
        <v>0</v>
      </c>
      <c r="L5088">
        <f t="shared" si="158"/>
        <v>6.6</v>
      </c>
      <c r="M5088">
        <f t="shared" si="159"/>
        <v>1</v>
      </c>
    </row>
    <row r="5089" spans="1:13" x14ac:dyDescent="0.3">
      <c r="A5089">
        <v>5087</v>
      </c>
      <c r="B5089">
        <v>5088</v>
      </c>
      <c r="C5089" t="s">
        <v>5169</v>
      </c>
      <c r="D5089">
        <v>1983</v>
      </c>
      <c r="E5089" t="s">
        <v>11</v>
      </c>
      <c r="F5089" t="s">
        <v>758</v>
      </c>
      <c r="G5089">
        <v>0</v>
      </c>
      <c r="H5089">
        <v>0</v>
      </c>
      <c r="I5089">
        <v>1</v>
      </c>
      <c r="J5089">
        <v>0</v>
      </c>
      <c r="K5089">
        <v>0</v>
      </c>
      <c r="L5089">
        <f t="shared" si="158"/>
        <v>6.6</v>
      </c>
      <c r="M5089">
        <f t="shared" si="159"/>
        <v>1</v>
      </c>
    </row>
    <row r="5090" spans="1:13" x14ac:dyDescent="0.3">
      <c r="A5090">
        <v>5088</v>
      </c>
      <c r="B5090">
        <v>5089</v>
      </c>
      <c r="C5090" t="s">
        <v>5170</v>
      </c>
      <c r="D5090">
        <v>2007</v>
      </c>
      <c r="E5090" t="s">
        <v>36</v>
      </c>
      <c r="F5090" t="s">
        <v>758</v>
      </c>
      <c r="G5090">
        <v>0</v>
      </c>
      <c r="H5090">
        <v>0</v>
      </c>
      <c r="I5090">
        <v>1</v>
      </c>
      <c r="J5090">
        <v>0</v>
      </c>
      <c r="K5090">
        <v>0</v>
      </c>
      <c r="L5090">
        <f t="shared" si="158"/>
        <v>6.6</v>
      </c>
      <c r="M5090">
        <f t="shared" si="159"/>
        <v>1</v>
      </c>
    </row>
    <row r="5091" spans="1:13" x14ac:dyDescent="0.3">
      <c r="A5091">
        <v>5089</v>
      </c>
      <c r="B5091">
        <v>5090</v>
      </c>
      <c r="C5091" t="s">
        <v>5171</v>
      </c>
      <c r="D5091">
        <v>2019</v>
      </c>
      <c r="E5091" t="s">
        <v>11</v>
      </c>
      <c r="F5091" t="s">
        <v>758</v>
      </c>
      <c r="G5091">
        <v>0</v>
      </c>
      <c r="H5091">
        <v>0</v>
      </c>
      <c r="I5091">
        <v>1</v>
      </c>
      <c r="J5091">
        <v>0</v>
      </c>
      <c r="K5091">
        <v>0</v>
      </c>
      <c r="L5091">
        <f t="shared" si="158"/>
        <v>6.6</v>
      </c>
      <c r="M5091">
        <f t="shared" si="159"/>
        <v>1</v>
      </c>
    </row>
    <row r="5092" spans="1:13" x14ac:dyDescent="0.3">
      <c r="A5092">
        <v>5090</v>
      </c>
      <c r="B5092">
        <v>5091</v>
      </c>
      <c r="C5092" t="s">
        <v>5172</v>
      </c>
      <c r="D5092">
        <v>1960</v>
      </c>
      <c r="F5092" t="s">
        <v>758</v>
      </c>
      <c r="G5092">
        <v>0</v>
      </c>
      <c r="H5092">
        <v>0</v>
      </c>
      <c r="I5092">
        <v>1</v>
      </c>
      <c r="J5092">
        <v>0</v>
      </c>
      <c r="K5092">
        <v>0</v>
      </c>
      <c r="L5092">
        <f t="shared" si="158"/>
        <v>6.6</v>
      </c>
      <c r="M5092">
        <f t="shared" si="159"/>
        <v>1</v>
      </c>
    </row>
    <row r="5093" spans="1:13" x14ac:dyDescent="0.3">
      <c r="A5093">
        <v>5091</v>
      </c>
      <c r="B5093">
        <v>5092</v>
      </c>
      <c r="C5093" t="s">
        <v>5173</v>
      </c>
      <c r="D5093">
        <v>2013</v>
      </c>
      <c r="E5093" t="s">
        <v>11</v>
      </c>
      <c r="F5093" t="s">
        <v>758</v>
      </c>
      <c r="G5093">
        <v>0</v>
      </c>
      <c r="H5093">
        <v>0</v>
      </c>
      <c r="I5093">
        <v>1</v>
      </c>
      <c r="J5093">
        <v>0</v>
      </c>
      <c r="K5093">
        <v>0</v>
      </c>
      <c r="L5093">
        <f t="shared" si="158"/>
        <v>6.6</v>
      </c>
      <c r="M5093">
        <f t="shared" si="159"/>
        <v>1</v>
      </c>
    </row>
    <row r="5094" spans="1:13" x14ac:dyDescent="0.3">
      <c r="A5094">
        <v>5092</v>
      </c>
      <c r="B5094">
        <v>5093</v>
      </c>
      <c r="C5094" t="s">
        <v>5174</v>
      </c>
      <c r="D5094">
        <v>2011</v>
      </c>
      <c r="E5094" t="s">
        <v>11</v>
      </c>
      <c r="F5094" t="s">
        <v>758</v>
      </c>
      <c r="G5094">
        <v>0</v>
      </c>
      <c r="H5094">
        <v>0</v>
      </c>
      <c r="I5094">
        <v>1</v>
      </c>
      <c r="J5094">
        <v>0</v>
      </c>
      <c r="K5094">
        <v>0</v>
      </c>
      <c r="L5094">
        <f t="shared" si="158"/>
        <v>6.6</v>
      </c>
      <c r="M5094">
        <f t="shared" si="159"/>
        <v>1</v>
      </c>
    </row>
    <row r="5095" spans="1:13" x14ac:dyDescent="0.3">
      <c r="A5095">
        <v>5093</v>
      </c>
      <c r="B5095">
        <v>5094</v>
      </c>
      <c r="C5095" t="s">
        <v>5175</v>
      </c>
      <c r="D5095">
        <v>2007</v>
      </c>
      <c r="E5095" t="s">
        <v>11</v>
      </c>
      <c r="F5095" t="s">
        <v>758</v>
      </c>
      <c r="G5095">
        <v>0</v>
      </c>
      <c r="H5095">
        <v>0</v>
      </c>
      <c r="I5095">
        <v>1</v>
      </c>
      <c r="J5095">
        <v>0</v>
      </c>
      <c r="K5095">
        <v>0</v>
      </c>
      <c r="L5095">
        <f t="shared" si="158"/>
        <v>6.6</v>
      </c>
      <c r="M5095">
        <f t="shared" si="159"/>
        <v>1</v>
      </c>
    </row>
    <row r="5096" spans="1:13" x14ac:dyDescent="0.3">
      <c r="A5096">
        <v>5094</v>
      </c>
      <c r="B5096">
        <v>5095</v>
      </c>
      <c r="C5096" t="s">
        <v>5176</v>
      </c>
      <c r="D5096">
        <v>2007</v>
      </c>
      <c r="E5096" t="s">
        <v>11</v>
      </c>
      <c r="F5096" t="s">
        <v>758</v>
      </c>
      <c r="G5096">
        <v>0</v>
      </c>
      <c r="H5096">
        <v>0</v>
      </c>
      <c r="I5096">
        <v>1</v>
      </c>
      <c r="J5096">
        <v>0</v>
      </c>
      <c r="K5096">
        <v>0</v>
      </c>
      <c r="L5096">
        <f t="shared" si="158"/>
        <v>6.6</v>
      </c>
      <c r="M5096">
        <f t="shared" si="159"/>
        <v>1</v>
      </c>
    </row>
    <row r="5097" spans="1:13" x14ac:dyDescent="0.3">
      <c r="A5097">
        <v>5095</v>
      </c>
      <c r="B5097">
        <v>5096</v>
      </c>
      <c r="C5097" t="s">
        <v>5177</v>
      </c>
      <c r="D5097">
        <v>2019</v>
      </c>
      <c r="E5097" t="s">
        <v>11</v>
      </c>
      <c r="F5097" t="s">
        <v>758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f t="shared" si="158"/>
        <v>6.6</v>
      </c>
      <c r="M5097">
        <f t="shared" si="159"/>
        <v>1</v>
      </c>
    </row>
    <row r="5098" spans="1:13" x14ac:dyDescent="0.3">
      <c r="A5098">
        <v>5096</v>
      </c>
      <c r="B5098">
        <v>5097</v>
      </c>
      <c r="C5098" t="s">
        <v>5178</v>
      </c>
      <c r="D5098">
        <v>2005</v>
      </c>
      <c r="E5098" t="s">
        <v>11</v>
      </c>
      <c r="F5098" t="s">
        <v>814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f t="shared" si="158"/>
        <v>6.5</v>
      </c>
      <c r="M5098">
        <f t="shared" si="159"/>
        <v>1</v>
      </c>
    </row>
    <row r="5099" spans="1:13" x14ac:dyDescent="0.3">
      <c r="A5099">
        <v>5097</v>
      </c>
      <c r="B5099">
        <v>5098</v>
      </c>
      <c r="C5099" t="s">
        <v>5179</v>
      </c>
      <c r="D5099">
        <v>2010</v>
      </c>
      <c r="E5099" t="s">
        <v>11</v>
      </c>
      <c r="F5099" t="s">
        <v>814</v>
      </c>
      <c r="G5099">
        <v>0</v>
      </c>
      <c r="H5099">
        <v>0</v>
      </c>
      <c r="I5099">
        <v>1</v>
      </c>
      <c r="J5099">
        <v>0</v>
      </c>
      <c r="K5099">
        <v>0</v>
      </c>
      <c r="L5099">
        <f t="shared" si="158"/>
        <v>6.5</v>
      </c>
      <c r="M5099">
        <f t="shared" si="159"/>
        <v>1</v>
      </c>
    </row>
    <row r="5100" spans="1:13" x14ac:dyDescent="0.3">
      <c r="A5100">
        <v>5098</v>
      </c>
      <c r="B5100">
        <v>5099</v>
      </c>
      <c r="C5100" t="s">
        <v>5180</v>
      </c>
      <c r="D5100">
        <v>2019</v>
      </c>
      <c r="E5100" t="s">
        <v>11</v>
      </c>
      <c r="F5100" t="s">
        <v>814</v>
      </c>
      <c r="G5100">
        <v>0</v>
      </c>
      <c r="H5100">
        <v>0</v>
      </c>
      <c r="I5100">
        <v>1</v>
      </c>
      <c r="J5100">
        <v>0</v>
      </c>
      <c r="K5100">
        <v>0</v>
      </c>
      <c r="L5100">
        <f t="shared" si="158"/>
        <v>6.5</v>
      </c>
      <c r="M5100">
        <f t="shared" si="159"/>
        <v>1</v>
      </c>
    </row>
    <row r="5101" spans="1:13" x14ac:dyDescent="0.3">
      <c r="A5101">
        <v>5099</v>
      </c>
      <c r="B5101">
        <v>5100</v>
      </c>
      <c r="C5101" t="s">
        <v>5181</v>
      </c>
      <c r="D5101">
        <v>1976</v>
      </c>
      <c r="E5101" t="s">
        <v>14</v>
      </c>
      <c r="F5101" t="s">
        <v>814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f t="shared" si="158"/>
        <v>6.5</v>
      </c>
      <c r="M5101">
        <f t="shared" si="159"/>
        <v>1</v>
      </c>
    </row>
    <row r="5102" spans="1:13" x14ac:dyDescent="0.3">
      <c r="A5102">
        <v>5100</v>
      </c>
      <c r="B5102">
        <v>5101</v>
      </c>
      <c r="C5102" t="s">
        <v>5182</v>
      </c>
      <c r="D5102">
        <v>1981</v>
      </c>
      <c r="E5102" t="s">
        <v>14</v>
      </c>
      <c r="F5102" t="s">
        <v>814</v>
      </c>
      <c r="G5102">
        <v>0</v>
      </c>
      <c r="H5102">
        <v>0</v>
      </c>
      <c r="I5102">
        <v>1</v>
      </c>
      <c r="J5102">
        <v>0</v>
      </c>
      <c r="K5102">
        <v>0</v>
      </c>
      <c r="L5102">
        <f t="shared" si="158"/>
        <v>6.5</v>
      </c>
      <c r="M5102">
        <f t="shared" si="159"/>
        <v>1</v>
      </c>
    </row>
    <row r="5103" spans="1:13" x14ac:dyDescent="0.3">
      <c r="A5103">
        <v>5101</v>
      </c>
      <c r="B5103">
        <v>5102</v>
      </c>
      <c r="C5103" t="s">
        <v>5183</v>
      </c>
      <c r="D5103">
        <v>1968</v>
      </c>
      <c r="E5103" t="s">
        <v>14</v>
      </c>
      <c r="F5103" t="s">
        <v>814</v>
      </c>
      <c r="G5103">
        <v>0</v>
      </c>
      <c r="H5103">
        <v>0</v>
      </c>
      <c r="I5103">
        <v>1</v>
      </c>
      <c r="J5103">
        <v>0</v>
      </c>
      <c r="K5103">
        <v>0</v>
      </c>
      <c r="L5103">
        <f t="shared" si="158"/>
        <v>6.5</v>
      </c>
      <c r="M5103">
        <f t="shared" si="159"/>
        <v>1</v>
      </c>
    </row>
    <row r="5104" spans="1:13" x14ac:dyDescent="0.3">
      <c r="A5104">
        <v>5102</v>
      </c>
      <c r="B5104">
        <v>5103</v>
      </c>
      <c r="C5104" t="s">
        <v>5184</v>
      </c>
      <c r="D5104">
        <v>2006</v>
      </c>
      <c r="E5104" t="s">
        <v>14</v>
      </c>
      <c r="F5104" t="s">
        <v>814</v>
      </c>
      <c r="G5104">
        <v>0</v>
      </c>
      <c r="H5104">
        <v>0</v>
      </c>
      <c r="I5104">
        <v>1</v>
      </c>
      <c r="J5104">
        <v>0</v>
      </c>
      <c r="K5104">
        <v>0</v>
      </c>
      <c r="L5104">
        <f t="shared" si="158"/>
        <v>6.5</v>
      </c>
      <c r="M5104">
        <f t="shared" si="159"/>
        <v>1</v>
      </c>
    </row>
    <row r="5105" spans="1:13" x14ac:dyDescent="0.3">
      <c r="A5105">
        <v>5103</v>
      </c>
      <c r="B5105">
        <v>5104</v>
      </c>
      <c r="C5105" t="s">
        <v>5185</v>
      </c>
      <c r="D5105">
        <v>2009</v>
      </c>
      <c r="E5105" t="s">
        <v>22</v>
      </c>
      <c r="F5105" t="s">
        <v>814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f t="shared" si="158"/>
        <v>6.5</v>
      </c>
      <c r="M5105">
        <f t="shared" si="159"/>
        <v>1</v>
      </c>
    </row>
    <row r="5106" spans="1:13" x14ac:dyDescent="0.3">
      <c r="A5106">
        <v>5104</v>
      </c>
      <c r="B5106">
        <v>5105</v>
      </c>
      <c r="C5106" t="s">
        <v>5186</v>
      </c>
      <c r="D5106">
        <v>2004</v>
      </c>
      <c r="E5106" t="s">
        <v>14</v>
      </c>
      <c r="F5106" t="s">
        <v>814</v>
      </c>
      <c r="G5106">
        <v>0</v>
      </c>
      <c r="H5106">
        <v>0</v>
      </c>
      <c r="I5106">
        <v>1</v>
      </c>
      <c r="J5106">
        <v>0</v>
      </c>
      <c r="K5106">
        <v>0</v>
      </c>
      <c r="L5106">
        <f t="shared" si="158"/>
        <v>6.5</v>
      </c>
      <c r="M5106">
        <f t="shared" si="159"/>
        <v>1</v>
      </c>
    </row>
    <row r="5107" spans="1:13" x14ac:dyDescent="0.3">
      <c r="A5107">
        <v>5105</v>
      </c>
      <c r="B5107">
        <v>5106</v>
      </c>
      <c r="C5107" t="s">
        <v>5187</v>
      </c>
      <c r="D5107">
        <v>1942</v>
      </c>
      <c r="F5107" t="s">
        <v>814</v>
      </c>
      <c r="G5107">
        <v>0</v>
      </c>
      <c r="H5107">
        <v>0</v>
      </c>
      <c r="I5107">
        <v>1</v>
      </c>
      <c r="J5107">
        <v>0</v>
      </c>
      <c r="K5107">
        <v>0</v>
      </c>
      <c r="L5107">
        <f t="shared" si="158"/>
        <v>6.5</v>
      </c>
      <c r="M5107">
        <f t="shared" si="159"/>
        <v>1</v>
      </c>
    </row>
    <row r="5108" spans="1:13" x14ac:dyDescent="0.3">
      <c r="A5108">
        <v>5106</v>
      </c>
      <c r="B5108">
        <v>5107</v>
      </c>
      <c r="C5108" t="s">
        <v>5188</v>
      </c>
      <c r="D5108">
        <v>2016</v>
      </c>
      <c r="E5108" t="s">
        <v>22</v>
      </c>
      <c r="F5108" t="s">
        <v>814</v>
      </c>
      <c r="G5108">
        <v>0</v>
      </c>
      <c r="H5108">
        <v>0</v>
      </c>
      <c r="I5108">
        <v>1</v>
      </c>
      <c r="J5108">
        <v>0</v>
      </c>
      <c r="K5108">
        <v>0</v>
      </c>
      <c r="L5108">
        <f t="shared" si="158"/>
        <v>6.5</v>
      </c>
      <c r="M5108">
        <f t="shared" si="159"/>
        <v>1</v>
      </c>
    </row>
    <row r="5109" spans="1:13" x14ac:dyDescent="0.3">
      <c r="A5109">
        <v>5107</v>
      </c>
      <c r="B5109">
        <v>5108</v>
      </c>
      <c r="C5109" t="s">
        <v>5189</v>
      </c>
      <c r="D5109">
        <v>2010</v>
      </c>
      <c r="E5109" t="s">
        <v>36</v>
      </c>
      <c r="F5109" t="s">
        <v>814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f t="shared" si="158"/>
        <v>6.5</v>
      </c>
      <c r="M5109">
        <f t="shared" si="159"/>
        <v>1</v>
      </c>
    </row>
    <row r="5110" spans="1:13" x14ac:dyDescent="0.3">
      <c r="A5110">
        <v>5108</v>
      </c>
      <c r="B5110">
        <v>5109</v>
      </c>
      <c r="C5110" t="s">
        <v>5190</v>
      </c>
      <c r="D5110">
        <v>2018</v>
      </c>
      <c r="F5110" t="s">
        <v>814</v>
      </c>
      <c r="G5110">
        <v>0</v>
      </c>
      <c r="H5110">
        <v>0</v>
      </c>
      <c r="I5110">
        <v>1</v>
      </c>
      <c r="J5110">
        <v>0</v>
      </c>
      <c r="K5110">
        <v>0</v>
      </c>
      <c r="L5110">
        <f t="shared" si="158"/>
        <v>6.5</v>
      </c>
      <c r="M5110">
        <f t="shared" si="159"/>
        <v>1</v>
      </c>
    </row>
    <row r="5111" spans="1:13" x14ac:dyDescent="0.3">
      <c r="A5111">
        <v>5109</v>
      </c>
      <c r="B5111">
        <v>5110</v>
      </c>
      <c r="C5111" t="s">
        <v>5191</v>
      </c>
      <c r="D5111">
        <v>2011</v>
      </c>
      <c r="E5111" t="s">
        <v>22</v>
      </c>
      <c r="F5111" t="s">
        <v>814</v>
      </c>
      <c r="G5111">
        <v>0</v>
      </c>
      <c r="H5111">
        <v>0</v>
      </c>
      <c r="I5111">
        <v>1</v>
      </c>
      <c r="J5111">
        <v>0</v>
      </c>
      <c r="K5111">
        <v>0</v>
      </c>
      <c r="L5111">
        <f t="shared" si="158"/>
        <v>6.5</v>
      </c>
      <c r="M5111">
        <f t="shared" si="159"/>
        <v>1</v>
      </c>
    </row>
    <row r="5112" spans="1:13" x14ac:dyDescent="0.3">
      <c r="A5112">
        <v>5110</v>
      </c>
      <c r="B5112">
        <v>5111</v>
      </c>
      <c r="C5112" t="s">
        <v>5192</v>
      </c>
      <c r="D5112">
        <v>2015</v>
      </c>
      <c r="E5112" t="s">
        <v>11</v>
      </c>
      <c r="F5112" t="s">
        <v>814</v>
      </c>
      <c r="G5112">
        <v>0</v>
      </c>
      <c r="H5112">
        <v>0</v>
      </c>
      <c r="I5112">
        <v>1</v>
      </c>
      <c r="J5112">
        <v>0</v>
      </c>
      <c r="K5112">
        <v>0</v>
      </c>
      <c r="L5112">
        <f t="shared" si="158"/>
        <v>6.5</v>
      </c>
      <c r="M5112">
        <f t="shared" si="159"/>
        <v>1</v>
      </c>
    </row>
    <row r="5113" spans="1:13" x14ac:dyDescent="0.3">
      <c r="A5113">
        <v>5111</v>
      </c>
      <c r="B5113">
        <v>5112</v>
      </c>
      <c r="C5113" t="s">
        <v>5193</v>
      </c>
      <c r="D5113">
        <v>1996</v>
      </c>
      <c r="E5113" t="s">
        <v>22</v>
      </c>
      <c r="F5113" t="s">
        <v>814</v>
      </c>
      <c r="G5113">
        <v>0</v>
      </c>
      <c r="H5113">
        <v>0</v>
      </c>
      <c r="I5113">
        <v>1</v>
      </c>
      <c r="J5113">
        <v>0</v>
      </c>
      <c r="K5113">
        <v>0</v>
      </c>
      <c r="L5113">
        <f t="shared" si="158"/>
        <v>6.5</v>
      </c>
      <c r="M5113">
        <f t="shared" si="159"/>
        <v>1</v>
      </c>
    </row>
    <row r="5114" spans="1:13" x14ac:dyDescent="0.3">
      <c r="A5114">
        <v>5112</v>
      </c>
      <c r="B5114">
        <v>5113</v>
      </c>
      <c r="C5114" t="s">
        <v>5194</v>
      </c>
      <c r="D5114">
        <v>2017</v>
      </c>
      <c r="E5114" t="s">
        <v>11</v>
      </c>
      <c r="F5114" t="s">
        <v>814</v>
      </c>
      <c r="G5114">
        <v>0</v>
      </c>
      <c r="H5114">
        <v>0</v>
      </c>
      <c r="I5114">
        <v>1</v>
      </c>
      <c r="J5114">
        <v>0</v>
      </c>
      <c r="K5114">
        <v>0</v>
      </c>
      <c r="L5114">
        <f t="shared" si="158"/>
        <v>6.5</v>
      </c>
      <c r="M5114">
        <f t="shared" si="159"/>
        <v>1</v>
      </c>
    </row>
    <row r="5115" spans="1:13" x14ac:dyDescent="0.3">
      <c r="A5115">
        <v>5113</v>
      </c>
      <c r="B5115">
        <v>5114</v>
      </c>
      <c r="C5115" t="s">
        <v>5195</v>
      </c>
      <c r="D5115">
        <v>2018</v>
      </c>
      <c r="F5115" t="s">
        <v>814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f t="shared" si="158"/>
        <v>6.5</v>
      </c>
      <c r="M5115">
        <f t="shared" si="159"/>
        <v>1</v>
      </c>
    </row>
    <row r="5116" spans="1:13" x14ac:dyDescent="0.3">
      <c r="A5116">
        <v>5114</v>
      </c>
      <c r="B5116">
        <v>5115</v>
      </c>
      <c r="C5116" t="s">
        <v>5196</v>
      </c>
      <c r="D5116">
        <v>1990</v>
      </c>
      <c r="E5116" t="s">
        <v>11</v>
      </c>
      <c r="F5116" t="s">
        <v>814</v>
      </c>
      <c r="G5116">
        <v>0</v>
      </c>
      <c r="H5116">
        <v>0</v>
      </c>
      <c r="I5116">
        <v>1</v>
      </c>
      <c r="J5116">
        <v>0</v>
      </c>
      <c r="K5116">
        <v>0</v>
      </c>
      <c r="L5116">
        <f t="shared" si="158"/>
        <v>6.5</v>
      </c>
      <c r="M5116">
        <f t="shared" si="159"/>
        <v>1</v>
      </c>
    </row>
    <row r="5117" spans="1:13" x14ac:dyDescent="0.3">
      <c r="A5117">
        <v>5115</v>
      </c>
      <c r="B5117">
        <v>5116</v>
      </c>
      <c r="C5117" t="s">
        <v>5197</v>
      </c>
      <c r="D5117">
        <v>2017</v>
      </c>
      <c r="E5117" t="s">
        <v>11</v>
      </c>
      <c r="F5117" t="s">
        <v>814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f t="shared" si="158"/>
        <v>6.5</v>
      </c>
      <c r="M5117">
        <f t="shared" si="159"/>
        <v>1</v>
      </c>
    </row>
    <row r="5118" spans="1:13" x14ac:dyDescent="0.3">
      <c r="A5118">
        <v>5116</v>
      </c>
      <c r="B5118">
        <v>5117</v>
      </c>
      <c r="C5118" t="s">
        <v>5198</v>
      </c>
      <c r="D5118">
        <v>2014</v>
      </c>
      <c r="F5118" t="s">
        <v>814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f t="shared" si="158"/>
        <v>6.5</v>
      </c>
      <c r="M5118">
        <f t="shared" si="159"/>
        <v>1</v>
      </c>
    </row>
    <row r="5119" spans="1:13" x14ac:dyDescent="0.3">
      <c r="A5119">
        <v>5117</v>
      </c>
      <c r="B5119">
        <v>5118</v>
      </c>
      <c r="C5119" t="s">
        <v>5199</v>
      </c>
      <c r="D5119">
        <v>1967</v>
      </c>
      <c r="E5119" t="s">
        <v>36</v>
      </c>
      <c r="F5119" t="s">
        <v>814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f t="shared" si="158"/>
        <v>6.5</v>
      </c>
      <c r="M5119">
        <f t="shared" si="159"/>
        <v>1</v>
      </c>
    </row>
    <row r="5120" spans="1:13" x14ac:dyDescent="0.3">
      <c r="A5120">
        <v>5118</v>
      </c>
      <c r="B5120">
        <v>5119</v>
      </c>
      <c r="C5120" t="s">
        <v>5200</v>
      </c>
      <c r="D5120">
        <v>2019</v>
      </c>
      <c r="E5120" t="s">
        <v>11</v>
      </c>
      <c r="F5120" t="s">
        <v>814</v>
      </c>
      <c r="G5120">
        <v>0</v>
      </c>
      <c r="H5120">
        <v>0</v>
      </c>
      <c r="I5120">
        <v>1</v>
      </c>
      <c r="J5120">
        <v>0</v>
      </c>
      <c r="K5120">
        <v>0</v>
      </c>
      <c r="L5120">
        <f t="shared" si="158"/>
        <v>6.5</v>
      </c>
      <c r="M5120">
        <f t="shared" si="159"/>
        <v>1</v>
      </c>
    </row>
    <row r="5121" spans="1:13" x14ac:dyDescent="0.3">
      <c r="A5121">
        <v>5119</v>
      </c>
      <c r="B5121">
        <v>5120</v>
      </c>
      <c r="C5121" t="s">
        <v>5201</v>
      </c>
      <c r="D5121">
        <v>1999</v>
      </c>
      <c r="E5121" t="s">
        <v>11</v>
      </c>
      <c r="F5121" t="s">
        <v>814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f t="shared" si="158"/>
        <v>6.5</v>
      </c>
      <c r="M5121">
        <f t="shared" si="159"/>
        <v>1</v>
      </c>
    </row>
    <row r="5122" spans="1:13" x14ac:dyDescent="0.3">
      <c r="A5122">
        <v>5120</v>
      </c>
      <c r="B5122">
        <v>5121</v>
      </c>
      <c r="C5122" t="s">
        <v>5202</v>
      </c>
      <c r="D5122">
        <v>2017</v>
      </c>
      <c r="F5122" t="s">
        <v>814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f t="shared" si="158"/>
        <v>6.5</v>
      </c>
      <c r="M5122">
        <f t="shared" si="159"/>
        <v>1</v>
      </c>
    </row>
    <row r="5123" spans="1:13" x14ac:dyDescent="0.3">
      <c r="A5123">
        <v>5121</v>
      </c>
      <c r="B5123">
        <v>5122</v>
      </c>
      <c r="C5123" t="s">
        <v>5203</v>
      </c>
      <c r="D5123">
        <v>2017</v>
      </c>
      <c r="E5123" t="s">
        <v>22</v>
      </c>
      <c r="F5123" t="s">
        <v>814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f t="shared" ref="L5123:L5186" si="160">IFERROR(VALUE(LEFT(F5123,FIND("/",F5123)-1))/10,"")</f>
        <v>6.5</v>
      </c>
      <c r="M5123">
        <f t="shared" ref="M5123:M5186" si="161">SUM(G5123:J5123)</f>
        <v>1</v>
      </c>
    </row>
    <row r="5124" spans="1:13" x14ac:dyDescent="0.3">
      <c r="A5124">
        <v>5122</v>
      </c>
      <c r="B5124">
        <v>5123</v>
      </c>
      <c r="C5124" t="s">
        <v>5204</v>
      </c>
      <c r="D5124">
        <v>2016</v>
      </c>
      <c r="E5124" t="s">
        <v>14</v>
      </c>
      <c r="F5124" t="s">
        <v>814</v>
      </c>
      <c r="G5124">
        <v>0</v>
      </c>
      <c r="H5124">
        <v>0</v>
      </c>
      <c r="I5124">
        <v>1</v>
      </c>
      <c r="J5124">
        <v>0</v>
      </c>
      <c r="K5124">
        <v>0</v>
      </c>
      <c r="L5124">
        <f t="shared" si="160"/>
        <v>6.5</v>
      </c>
      <c r="M5124">
        <f t="shared" si="161"/>
        <v>1</v>
      </c>
    </row>
    <row r="5125" spans="1:13" x14ac:dyDescent="0.3">
      <c r="A5125">
        <v>5123</v>
      </c>
      <c r="B5125">
        <v>5124</v>
      </c>
      <c r="C5125" t="s">
        <v>5205</v>
      </c>
      <c r="D5125">
        <v>2019</v>
      </c>
      <c r="E5125" t="s">
        <v>11</v>
      </c>
      <c r="F5125" t="s">
        <v>814</v>
      </c>
      <c r="G5125">
        <v>0</v>
      </c>
      <c r="H5125">
        <v>0</v>
      </c>
      <c r="I5125">
        <v>1</v>
      </c>
      <c r="J5125">
        <v>0</v>
      </c>
      <c r="K5125">
        <v>0</v>
      </c>
      <c r="L5125">
        <f t="shared" si="160"/>
        <v>6.5</v>
      </c>
      <c r="M5125">
        <f t="shared" si="161"/>
        <v>1</v>
      </c>
    </row>
    <row r="5126" spans="1:13" x14ac:dyDescent="0.3">
      <c r="A5126">
        <v>5124</v>
      </c>
      <c r="B5126">
        <v>5125</v>
      </c>
      <c r="C5126" t="s">
        <v>5206</v>
      </c>
      <c r="D5126">
        <v>1966</v>
      </c>
      <c r="E5126" t="s">
        <v>14</v>
      </c>
      <c r="F5126" t="s">
        <v>814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f t="shared" si="160"/>
        <v>6.5</v>
      </c>
      <c r="M5126">
        <f t="shared" si="161"/>
        <v>1</v>
      </c>
    </row>
    <row r="5127" spans="1:13" x14ac:dyDescent="0.3">
      <c r="A5127">
        <v>5125</v>
      </c>
      <c r="B5127">
        <v>5126</v>
      </c>
      <c r="C5127" t="s">
        <v>5207</v>
      </c>
      <c r="D5127">
        <v>2018</v>
      </c>
      <c r="E5127" t="s">
        <v>11</v>
      </c>
      <c r="F5127" t="s">
        <v>814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f t="shared" si="160"/>
        <v>6.5</v>
      </c>
      <c r="M5127">
        <f t="shared" si="161"/>
        <v>1</v>
      </c>
    </row>
    <row r="5128" spans="1:13" x14ac:dyDescent="0.3">
      <c r="A5128">
        <v>5126</v>
      </c>
      <c r="B5128">
        <v>5127</v>
      </c>
      <c r="C5128" t="s">
        <v>5208</v>
      </c>
      <c r="D5128">
        <v>2019</v>
      </c>
      <c r="E5128" t="s">
        <v>11</v>
      </c>
      <c r="F5128" t="s">
        <v>814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f t="shared" si="160"/>
        <v>6.5</v>
      </c>
      <c r="M5128">
        <f t="shared" si="161"/>
        <v>1</v>
      </c>
    </row>
    <row r="5129" spans="1:13" x14ac:dyDescent="0.3">
      <c r="A5129">
        <v>5127</v>
      </c>
      <c r="B5129">
        <v>5128</v>
      </c>
      <c r="C5129" t="s">
        <v>5209</v>
      </c>
      <c r="D5129">
        <v>2020</v>
      </c>
      <c r="F5129" t="s">
        <v>814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f t="shared" si="160"/>
        <v>6.5</v>
      </c>
      <c r="M5129">
        <f t="shared" si="161"/>
        <v>1</v>
      </c>
    </row>
    <row r="5130" spans="1:13" x14ac:dyDescent="0.3">
      <c r="A5130">
        <v>5128</v>
      </c>
      <c r="B5130">
        <v>5129</v>
      </c>
      <c r="C5130" t="s">
        <v>5210</v>
      </c>
      <c r="D5130">
        <v>2016</v>
      </c>
      <c r="E5130" t="s">
        <v>11</v>
      </c>
      <c r="F5130" t="s">
        <v>814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f t="shared" si="160"/>
        <v>6.5</v>
      </c>
      <c r="M5130">
        <f t="shared" si="161"/>
        <v>1</v>
      </c>
    </row>
    <row r="5131" spans="1:13" x14ac:dyDescent="0.3">
      <c r="A5131">
        <v>5129</v>
      </c>
      <c r="B5131">
        <v>5130</v>
      </c>
      <c r="C5131" t="s">
        <v>5211</v>
      </c>
      <c r="D5131">
        <v>2017</v>
      </c>
      <c r="E5131" t="s">
        <v>11</v>
      </c>
      <c r="F5131" t="s">
        <v>814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f t="shared" si="160"/>
        <v>6.5</v>
      </c>
      <c r="M5131">
        <f t="shared" si="161"/>
        <v>1</v>
      </c>
    </row>
    <row r="5132" spans="1:13" x14ac:dyDescent="0.3">
      <c r="A5132">
        <v>5130</v>
      </c>
      <c r="B5132">
        <v>5131</v>
      </c>
      <c r="C5132" t="s">
        <v>5212</v>
      </c>
      <c r="D5132">
        <v>2020</v>
      </c>
      <c r="E5132" t="s">
        <v>22</v>
      </c>
      <c r="F5132" t="s">
        <v>814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f t="shared" si="160"/>
        <v>6.5</v>
      </c>
      <c r="M5132">
        <f t="shared" si="161"/>
        <v>1</v>
      </c>
    </row>
    <row r="5133" spans="1:13" x14ac:dyDescent="0.3">
      <c r="A5133">
        <v>5131</v>
      </c>
      <c r="B5133">
        <v>5132</v>
      </c>
      <c r="C5133" t="s">
        <v>5213</v>
      </c>
      <c r="D5133">
        <v>2020</v>
      </c>
      <c r="E5133" t="s">
        <v>11</v>
      </c>
      <c r="F5133" t="s">
        <v>814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f t="shared" si="160"/>
        <v>6.5</v>
      </c>
      <c r="M5133">
        <f t="shared" si="161"/>
        <v>1</v>
      </c>
    </row>
    <row r="5134" spans="1:13" x14ac:dyDescent="0.3">
      <c r="A5134">
        <v>5132</v>
      </c>
      <c r="B5134">
        <v>5133</v>
      </c>
      <c r="C5134" t="s">
        <v>5214</v>
      </c>
      <c r="D5134">
        <v>2010</v>
      </c>
      <c r="E5134" t="s">
        <v>11</v>
      </c>
      <c r="F5134" t="s">
        <v>814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f t="shared" si="160"/>
        <v>6.5</v>
      </c>
      <c r="M5134">
        <f t="shared" si="161"/>
        <v>1</v>
      </c>
    </row>
    <row r="5135" spans="1:13" x14ac:dyDescent="0.3">
      <c r="A5135">
        <v>5133</v>
      </c>
      <c r="B5135">
        <v>5134</v>
      </c>
      <c r="C5135" t="s">
        <v>5215</v>
      </c>
      <c r="D5135">
        <v>2011</v>
      </c>
      <c r="E5135" t="s">
        <v>11</v>
      </c>
      <c r="F5135" t="s">
        <v>814</v>
      </c>
      <c r="G5135">
        <v>0</v>
      </c>
      <c r="H5135">
        <v>0</v>
      </c>
      <c r="I5135">
        <v>1</v>
      </c>
      <c r="J5135">
        <v>0</v>
      </c>
      <c r="K5135">
        <v>0</v>
      </c>
      <c r="L5135">
        <f t="shared" si="160"/>
        <v>6.5</v>
      </c>
      <c r="M5135">
        <f t="shared" si="161"/>
        <v>1</v>
      </c>
    </row>
    <row r="5136" spans="1:13" x14ac:dyDescent="0.3">
      <c r="A5136">
        <v>5134</v>
      </c>
      <c r="B5136">
        <v>5135</v>
      </c>
      <c r="C5136" t="s">
        <v>5216</v>
      </c>
      <c r="D5136">
        <v>2018</v>
      </c>
      <c r="E5136" t="s">
        <v>28</v>
      </c>
      <c r="F5136" t="s">
        <v>814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f t="shared" si="160"/>
        <v>6.5</v>
      </c>
      <c r="M5136">
        <f t="shared" si="161"/>
        <v>1</v>
      </c>
    </row>
    <row r="5137" spans="1:13" x14ac:dyDescent="0.3">
      <c r="A5137">
        <v>5135</v>
      </c>
      <c r="B5137">
        <v>5136</v>
      </c>
      <c r="C5137" t="s">
        <v>5217</v>
      </c>
      <c r="D5137">
        <v>2007</v>
      </c>
      <c r="E5137" t="s">
        <v>11</v>
      </c>
      <c r="F5137" t="s">
        <v>814</v>
      </c>
      <c r="G5137">
        <v>0</v>
      </c>
      <c r="H5137">
        <v>0</v>
      </c>
      <c r="I5137">
        <v>1</v>
      </c>
      <c r="J5137">
        <v>0</v>
      </c>
      <c r="K5137">
        <v>0</v>
      </c>
      <c r="L5137">
        <f t="shared" si="160"/>
        <v>6.5</v>
      </c>
      <c r="M5137">
        <f t="shared" si="161"/>
        <v>1</v>
      </c>
    </row>
    <row r="5138" spans="1:13" x14ac:dyDescent="0.3">
      <c r="A5138">
        <v>5136</v>
      </c>
      <c r="B5138">
        <v>5137</v>
      </c>
      <c r="C5138" t="s">
        <v>5218</v>
      </c>
      <c r="D5138">
        <v>2018</v>
      </c>
      <c r="E5138" t="s">
        <v>11</v>
      </c>
      <c r="F5138" t="s">
        <v>814</v>
      </c>
      <c r="G5138">
        <v>0</v>
      </c>
      <c r="H5138">
        <v>0</v>
      </c>
      <c r="I5138">
        <v>1</v>
      </c>
      <c r="J5138">
        <v>0</v>
      </c>
      <c r="K5138">
        <v>0</v>
      </c>
      <c r="L5138">
        <f t="shared" si="160"/>
        <v>6.5</v>
      </c>
      <c r="M5138">
        <f t="shared" si="161"/>
        <v>1</v>
      </c>
    </row>
    <row r="5139" spans="1:13" x14ac:dyDescent="0.3">
      <c r="A5139">
        <v>5137</v>
      </c>
      <c r="B5139">
        <v>5138</v>
      </c>
      <c r="C5139" t="s">
        <v>5219</v>
      </c>
      <c r="D5139">
        <v>1997</v>
      </c>
      <c r="E5139" t="s">
        <v>36</v>
      </c>
      <c r="F5139" t="s">
        <v>814</v>
      </c>
      <c r="G5139">
        <v>0</v>
      </c>
      <c r="H5139">
        <v>0</v>
      </c>
      <c r="I5139">
        <v>1</v>
      </c>
      <c r="J5139">
        <v>0</v>
      </c>
      <c r="K5139">
        <v>0</v>
      </c>
      <c r="L5139">
        <f t="shared" si="160"/>
        <v>6.5</v>
      </c>
      <c r="M5139">
        <f t="shared" si="161"/>
        <v>1</v>
      </c>
    </row>
    <row r="5140" spans="1:13" x14ac:dyDescent="0.3">
      <c r="A5140">
        <v>5138</v>
      </c>
      <c r="B5140">
        <v>5139</v>
      </c>
      <c r="C5140" t="s">
        <v>5220</v>
      </c>
      <c r="D5140">
        <v>2019</v>
      </c>
      <c r="F5140" t="s">
        <v>814</v>
      </c>
      <c r="G5140">
        <v>0</v>
      </c>
      <c r="H5140">
        <v>0</v>
      </c>
      <c r="I5140">
        <v>1</v>
      </c>
      <c r="J5140">
        <v>0</v>
      </c>
      <c r="K5140">
        <v>0</v>
      </c>
      <c r="L5140">
        <f t="shared" si="160"/>
        <v>6.5</v>
      </c>
      <c r="M5140">
        <f t="shared" si="161"/>
        <v>1</v>
      </c>
    </row>
    <row r="5141" spans="1:13" x14ac:dyDescent="0.3">
      <c r="A5141">
        <v>5139</v>
      </c>
      <c r="B5141">
        <v>5140</v>
      </c>
      <c r="C5141" t="s">
        <v>5221</v>
      </c>
      <c r="D5141">
        <v>1932</v>
      </c>
      <c r="E5141" t="s">
        <v>22</v>
      </c>
      <c r="F5141" t="s">
        <v>814</v>
      </c>
      <c r="G5141">
        <v>0</v>
      </c>
      <c r="H5141">
        <v>0</v>
      </c>
      <c r="I5141">
        <v>1</v>
      </c>
      <c r="J5141">
        <v>0</v>
      </c>
      <c r="K5141">
        <v>0</v>
      </c>
      <c r="L5141">
        <f t="shared" si="160"/>
        <v>6.5</v>
      </c>
      <c r="M5141">
        <f t="shared" si="161"/>
        <v>1</v>
      </c>
    </row>
    <row r="5142" spans="1:13" x14ac:dyDescent="0.3">
      <c r="A5142">
        <v>5140</v>
      </c>
      <c r="B5142">
        <v>5141</v>
      </c>
      <c r="C5142" t="s">
        <v>5222</v>
      </c>
      <c r="D5142">
        <v>2006</v>
      </c>
      <c r="E5142" t="s">
        <v>14</v>
      </c>
      <c r="F5142" t="s">
        <v>814</v>
      </c>
      <c r="G5142">
        <v>0</v>
      </c>
      <c r="H5142">
        <v>0</v>
      </c>
      <c r="I5142">
        <v>1</v>
      </c>
      <c r="J5142">
        <v>0</v>
      </c>
      <c r="K5142">
        <v>0</v>
      </c>
      <c r="L5142">
        <f t="shared" si="160"/>
        <v>6.5</v>
      </c>
      <c r="M5142">
        <f t="shared" si="161"/>
        <v>1</v>
      </c>
    </row>
    <row r="5143" spans="1:13" x14ac:dyDescent="0.3">
      <c r="A5143">
        <v>5141</v>
      </c>
      <c r="B5143">
        <v>5142</v>
      </c>
      <c r="C5143" t="s">
        <v>5223</v>
      </c>
      <c r="D5143">
        <v>2020</v>
      </c>
      <c r="E5143" t="s">
        <v>11</v>
      </c>
      <c r="F5143" t="s">
        <v>814</v>
      </c>
      <c r="G5143">
        <v>0</v>
      </c>
      <c r="H5143">
        <v>0</v>
      </c>
      <c r="I5143">
        <v>1</v>
      </c>
      <c r="J5143">
        <v>0</v>
      </c>
      <c r="K5143">
        <v>0</v>
      </c>
      <c r="L5143">
        <f t="shared" si="160"/>
        <v>6.5</v>
      </c>
      <c r="M5143">
        <f t="shared" si="161"/>
        <v>1</v>
      </c>
    </row>
    <row r="5144" spans="1:13" x14ac:dyDescent="0.3">
      <c r="A5144">
        <v>5142</v>
      </c>
      <c r="B5144">
        <v>5143</v>
      </c>
      <c r="C5144" t="s">
        <v>5224</v>
      </c>
      <c r="D5144">
        <v>2007</v>
      </c>
      <c r="E5144" t="s">
        <v>36</v>
      </c>
      <c r="F5144" t="s">
        <v>814</v>
      </c>
      <c r="G5144">
        <v>0</v>
      </c>
      <c r="H5144">
        <v>0</v>
      </c>
      <c r="I5144">
        <v>1</v>
      </c>
      <c r="J5144">
        <v>0</v>
      </c>
      <c r="K5144">
        <v>0</v>
      </c>
      <c r="L5144">
        <f t="shared" si="160"/>
        <v>6.5</v>
      </c>
      <c r="M5144">
        <f t="shared" si="161"/>
        <v>1</v>
      </c>
    </row>
    <row r="5145" spans="1:13" x14ac:dyDescent="0.3">
      <c r="A5145">
        <v>5143</v>
      </c>
      <c r="B5145">
        <v>5144</v>
      </c>
      <c r="C5145" t="s">
        <v>5225</v>
      </c>
      <c r="D5145">
        <v>1986</v>
      </c>
      <c r="E5145" t="s">
        <v>11</v>
      </c>
      <c r="F5145" t="s">
        <v>814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f t="shared" si="160"/>
        <v>6.5</v>
      </c>
      <c r="M5145">
        <f t="shared" si="161"/>
        <v>1</v>
      </c>
    </row>
    <row r="5146" spans="1:13" x14ac:dyDescent="0.3">
      <c r="A5146">
        <v>5144</v>
      </c>
      <c r="B5146">
        <v>5145</v>
      </c>
      <c r="C5146" t="s">
        <v>5226</v>
      </c>
      <c r="D5146">
        <v>2014</v>
      </c>
      <c r="E5146" t="s">
        <v>14</v>
      </c>
      <c r="F5146" t="s">
        <v>814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f t="shared" si="160"/>
        <v>6.5</v>
      </c>
      <c r="M5146">
        <f t="shared" si="161"/>
        <v>1</v>
      </c>
    </row>
    <row r="5147" spans="1:13" x14ac:dyDescent="0.3">
      <c r="A5147">
        <v>5145</v>
      </c>
      <c r="B5147">
        <v>5146</v>
      </c>
      <c r="C5147" t="s">
        <v>5227</v>
      </c>
      <c r="D5147">
        <v>2011</v>
      </c>
      <c r="E5147" t="s">
        <v>11</v>
      </c>
      <c r="F5147" t="s">
        <v>814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f t="shared" si="160"/>
        <v>6.5</v>
      </c>
      <c r="M5147">
        <f t="shared" si="161"/>
        <v>1</v>
      </c>
    </row>
    <row r="5148" spans="1:13" x14ac:dyDescent="0.3">
      <c r="A5148">
        <v>5146</v>
      </c>
      <c r="B5148">
        <v>5147</v>
      </c>
      <c r="C5148" t="s">
        <v>5228</v>
      </c>
      <c r="D5148">
        <v>2008</v>
      </c>
      <c r="E5148" t="s">
        <v>11</v>
      </c>
      <c r="F5148" t="s">
        <v>814</v>
      </c>
      <c r="G5148">
        <v>0</v>
      </c>
      <c r="H5148">
        <v>0</v>
      </c>
      <c r="I5148">
        <v>1</v>
      </c>
      <c r="J5148">
        <v>0</v>
      </c>
      <c r="K5148">
        <v>0</v>
      </c>
      <c r="L5148">
        <f t="shared" si="160"/>
        <v>6.5</v>
      </c>
      <c r="M5148">
        <f t="shared" si="161"/>
        <v>1</v>
      </c>
    </row>
    <row r="5149" spans="1:13" x14ac:dyDescent="0.3">
      <c r="A5149">
        <v>5147</v>
      </c>
      <c r="B5149">
        <v>5148</v>
      </c>
      <c r="C5149" t="s">
        <v>5229</v>
      </c>
      <c r="D5149">
        <v>2015</v>
      </c>
      <c r="E5149" t="s">
        <v>22</v>
      </c>
      <c r="F5149" t="s">
        <v>814</v>
      </c>
      <c r="G5149">
        <v>0</v>
      </c>
      <c r="H5149">
        <v>0</v>
      </c>
      <c r="I5149">
        <v>1</v>
      </c>
      <c r="J5149">
        <v>0</v>
      </c>
      <c r="K5149">
        <v>0</v>
      </c>
      <c r="L5149">
        <f t="shared" si="160"/>
        <v>6.5</v>
      </c>
      <c r="M5149">
        <f t="shared" si="161"/>
        <v>1</v>
      </c>
    </row>
    <row r="5150" spans="1:13" x14ac:dyDescent="0.3">
      <c r="A5150">
        <v>5148</v>
      </c>
      <c r="B5150">
        <v>5149</v>
      </c>
      <c r="C5150" t="s">
        <v>5230</v>
      </c>
      <c r="D5150">
        <v>2007</v>
      </c>
      <c r="E5150" t="s">
        <v>11</v>
      </c>
      <c r="F5150" t="s">
        <v>814</v>
      </c>
      <c r="G5150">
        <v>0</v>
      </c>
      <c r="H5150">
        <v>0</v>
      </c>
      <c r="I5150">
        <v>1</v>
      </c>
      <c r="J5150">
        <v>0</v>
      </c>
      <c r="K5150">
        <v>0</v>
      </c>
      <c r="L5150">
        <f t="shared" si="160"/>
        <v>6.5</v>
      </c>
      <c r="M5150">
        <f t="shared" si="161"/>
        <v>1</v>
      </c>
    </row>
    <row r="5151" spans="1:13" x14ac:dyDescent="0.3">
      <c r="A5151">
        <v>5149</v>
      </c>
      <c r="B5151">
        <v>5150</v>
      </c>
      <c r="C5151" t="s">
        <v>5231</v>
      </c>
      <c r="D5151">
        <v>2018</v>
      </c>
      <c r="E5151" t="s">
        <v>28</v>
      </c>
      <c r="F5151" t="s">
        <v>814</v>
      </c>
      <c r="G5151">
        <v>0</v>
      </c>
      <c r="H5151">
        <v>0</v>
      </c>
      <c r="I5151">
        <v>1</v>
      </c>
      <c r="J5151">
        <v>0</v>
      </c>
      <c r="K5151">
        <v>0</v>
      </c>
      <c r="L5151">
        <f t="shared" si="160"/>
        <v>6.5</v>
      </c>
      <c r="M5151">
        <f t="shared" si="161"/>
        <v>1</v>
      </c>
    </row>
    <row r="5152" spans="1:13" x14ac:dyDescent="0.3">
      <c r="A5152">
        <v>5150</v>
      </c>
      <c r="B5152">
        <v>5151</v>
      </c>
      <c r="C5152" t="s">
        <v>5232</v>
      </c>
      <c r="D5152">
        <v>2012</v>
      </c>
      <c r="E5152" t="s">
        <v>11</v>
      </c>
      <c r="F5152" t="s">
        <v>814</v>
      </c>
      <c r="G5152">
        <v>0</v>
      </c>
      <c r="H5152">
        <v>0</v>
      </c>
      <c r="I5152">
        <v>1</v>
      </c>
      <c r="J5152">
        <v>0</v>
      </c>
      <c r="K5152">
        <v>0</v>
      </c>
      <c r="L5152">
        <f t="shared" si="160"/>
        <v>6.5</v>
      </c>
      <c r="M5152">
        <f t="shared" si="161"/>
        <v>1</v>
      </c>
    </row>
    <row r="5153" spans="1:13" x14ac:dyDescent="0.3">
      <c r="A5153">
        <v>5151</v>
      </c>
      <c r="B5153">
        <v>5152</v>
      </c>
      <c r="C5153" t="s">
        <v>5233</v>
      </c>
      <c r="D5153">
        <v>2018</v>
      </c>
      <c r="F5153" t="s">
        <v>814</v>
      </c>
      <c r="G5153">
        <v>0</v>
      </c>
      <c r="H5153">
        <v>0</v>
      </c>
      <c r="I5153">
        <v>1</v>
      </c>
      <c r="J5153">
        <v>0</v>
      </c>
      <c r="K5153">
        <v>0</v>
      </c>
      <c r="L5153">
        <f t="shared" si="160"/>
        <v>6.5</v>
      </c>
      <c r="M5153">
        <f t="shared" si="161"/>
        <v>1</v>
      </c>
    </row>
    <row r="5154" spans="1:13" x14ac:dyDescent="0.3">
      <c r="A5154">
        <v>5152</v>
      </c>
      <c r="B5154">
        <v>5153</v>
      </c>
      <c r="C5154" t="s">
        <v>5234</v>
      </c>
      <c r="D5154">
        <v>2017</v>
      </c>
      <c r="E5154" t="s">
        <v>11</v>
      </c>
      <c r="F5154" t="s">
        <v>814</v>
      </c>
      <c r="G5154">
        <v>0</v>
      </c>
      <c r="H5154">
        <v>0</v>
      </c>
      <c r="I5154">
        <v>1</v>
      </c>
      <c r="J5154">
        <v>0</v>
      </c>
      <c r="K5154">
        <v>0</v>
      </c>
      <c r="L5154">
        <f t="shared" si="160"/>
        <v>6.5</v>
      </c>
      <c r="M5154">
        <f t="shared" si="161"/>
        <v>1</v>
      </c>
    </row>
    <row r="5155" spans="1:13" x14ac:dyDescent="0.3">
      <c r="A5155">
        <v>5153</v>
      </c>
      <c r="B5155">
        <v>5154</v>
      </c>
      <c r="C5155" t="s">
        <v>5235</v>
      </c>
      <c r="D5155">
        <v>2004</v>
      </c>
      <c r="E5155" t="s">
        <v>22</v>
      </c>
      <c r="F5155" t="s">
        <v>814</v>
      </c>
      <c r="G5155">
        <v>0</v>
      </c>
      <c r="H5155">
        <v>0</v>
      </c>
      <c r="I5155">
        <v>1</v>
      </c>
      <c r="J5155">
        <v>0</v>
      </c>
      <c r="K5155">
        <v>0</v>
      </c>
      <c r="L5155">
        <f t="shared" si="160"/>
        <v>6.5</v>
      </c>
      <c r="M5155">
        <f t="shared" si="161"/>
        <v>1</v>
      </c>
    </row>
    <row r="5156" spans="1:13" x14ac:dyDescent="0.3">
      <c r="A5156">
        <v>5154</v>
      </c>
      <c r="B5156">
        <v>5155</v>
      </c>
      <c r="C5156" t="s">
        <v>5236</v>
      </c>
      <c r="D5156">
        <v>1995</v>
      </c>
      <c r="E5156" t="s">
        <v>11</v>
      </c>
      <c r="F5156" t="s">
        <v>814</v>
      </c>
      <c r="G5156">
        <v>0</v>
      </c>
      <c r="H5156">
        <v>0</v>
      </c>
      <c r="I5156">
        <v>1</v>
      </c>
      <c r="J5156">
        <v>0</v>
      </c>
      <c r="K5156">
        <v>0</v>
      </c>
      <c r="L5156">
        <f t="shared" si="160"/>
        <v>6.5</v>
      </c>
      <c r="M5156">
        <f t="shared" si="161"/>
        <v>1</v>
      </c>
    </row>
    <row r="5157" spans="1:13" x14ac:dyDescent="0.3">
      <c r="A5157">
        <v>5155</v>
      </c>
      <c r="B5157">
        <v>5156</v>
      </c>
      <c r="C5157" t="s">
        <v>5237</v>
      </c>
      <c r="D5157">
        <v>1950</v>
      </c>
      <c r="F5157" t="s">
        <v>814</v>
      </c>
      <c r="G5157">
        <v>0</v>
      </c>
      <c r="H5157">
        <v>0</v>
      </c>
      <c r="I5157">
        <v>1</v>
      </c>
      <c r="J5157">
        <v>0</v>
      </c>
      <c r="K5157">
        <v>0</v>
      </c>
      <c r="L5157">
        <f t="shared" si="160"/>
        <v>6.5</v>
      </c>
      <c r="M5157">
        <f t="shared" si="161"/>
        <v>1</v>
      </c>
    </row>
    <row r="5158" spans="1:13" x14ac:dyDescent="0.3">
      <c r="A5158">
        <v>5156</v>
      </c>
      <c r="B5158">
        <v>5157</v>
      </c>
      <c r="C5158" t="s">
        <v>5238</v>
      </c>
      <c r="D5158">
        <v>2013</v>
      </c>
      <c r="F5158" t="s">
        <v>814</v>
      </c>
      <c r="G5158">
        <v>0</v>
      </c>
      <c r="H5158">
        <v>0</v>
      </c>
      <c r="I5158">
        <v>1</v>
      </c>
      <c r="J5158">
        <v>0</v>
      </c>
      <c r="K5158">
        <v>0</v>
      </c>
      <c r="L5158">
        <f t="shared" si="160"/>
        <v>6.5</v>
      </c>
      <c r="M5158">
        <f t="shared" si="161"/>
        <v>1</v>
      </c>
    </row>
    <row r="5159" spans="1:13" x14ac:dyDescent="0.3">
      <c r="A5159">
        <v>5157</v>
      </c>
      <c r="B5159">
        <v>5158</v>
      </c>
      <c r="C5159" t="s">
        <v>5239</v>
      </c>
      <c r="D5159">
        <v>2002</v>
      </c>
      <c r="E5159" t="s">
        <v>22</v>
      </c>
      <c r="F5159" t="s">
        <v>814</v>
      </c>
      <c r="G5159">
        <v>0</v>
      </c>
      <c r="H5159">
        <v>0</v>
      </c>
      <c r="I5159">
        <v>1</v>
      </c>
      <c r="J5159">
        <v>0</v>
      </c>
      <c r="K5159">
        <v>0</v>
      </c>
      <c r="L5159">
        <f t="shared" si="160"/>
        <v>6.5</v>
      </c>
      <c r="M5159">
        <f t="shared" si="161"/>
        <v>1</v>
      </c>
    </row>
    <row r="5160" spans="1:13" x14ac:dyDescent="0.3">
      <c r="A5160">
        <v>5158</v>
      </c>
      <c r="B5160">
        <v>5159</v>
      </c>
      <c r="C5160" t="s">
        <v>5240</v>
      </c>
      <c r="D5160">
        <v>1998</v>
      </c>
      <c r="E5160" t="s">
        <v>11</v>
      </c>
      <c r="F5160" t="s">
        <v>876</v>
      </c>
      <c r="G5160">
        <v>0</v>
      </c>
      <c r="H5160">
        <v>0</v>
      </c>
      <c r="I5160">
        <v>1</v>
      </c>
      <c r="J5160">
        <v>0</v>
      </c>
      <c r="K5160">
        <v>0</v>
      </c>
      <c r="L5160">
        <f t="shared" si="160"/>
        <v>6.4</v>
      </c>
      <c r="M5160">
        <f t="shared" si="161"/>
        <v>1</v>
      </c>
    </row>
    <row r="5161" spans="1:13" x14ac:dyDescent="0.3">
      <c r="A5161">
        <v>5159</v>
      </c>
      <c r="B5161">
        <v>5160</v>
      </c>
      <c r="C5161" t="s">
        <v>5241</v>
      </c>
      <c r="D5161">
        <v>2019</v>
      </c>
      <c r="F5161" t="s">
        <v>876</v>
      </c>
      <c r="G5161">
        <v>0</v>
      </c>
      <c r="H5161">
        <v>0</v>
      </c>
      <c r="I5161">
        <v>1</v>
      </c>
      <c r="J5161">
        <v>0</v>
      </c>
      <c r="K5161">
        <v>0</v>
      </c>
      <c r="L5161">
        <f t="shared" si="160"/>
        <v>6.4</v>
      </c>
      <c r="M5161">
        <f t="shared" si="161"/>
        <v>1</v>
      </c>
    </row>
    <row r="5162" spans="1:13" x14ac:dyDescent="0.3">
      <c r="A5162">
        <v>5160</v>
      </c>
      <c r="B5162">
        <v>5161</v>
      </c>
      <c r="C5162" t="s">
        <v>5242</v>
      </c>
      <c r="D5162">
        <v>1981</v>
      </c>
      <c r="E5162" t="s">
        <v>11</v>
      </c>
      <c r="F5162" t="s">
        <v>876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f t="shared" si="160"/>
        <v>6.4</v>
      </c>
      <c r="M5162">
        <f t="shared" si="161"/>
        <v>1</v>
      </c>
    </row>
    <row r="5163" spans="1:13" x14ac:dyDescent="0.3">
      <c r="A5163">
        <v>5161</v>
      </c>
      <c r="B5163">
        <v>5162</v>
      </c>
      <c r="C5163" t="s">
        <v>5243</v>
      </c>
      <c r="D5163">
        <v>2016</v>
      </c>
      <c r="F5163" t="s">
        <v>876</v>
      </c>
      <c r="G5163">
        <v>0</v>
      </c>
      <c r="H5163">
        <v>0</v>
      </c>
      <c r="I5163">
        <v>1</v>
      </c>
      <c r="J5163">
        <v>0</v>
      </c>
      <c r="K5163">
        <v>0</v>
      </c>
      <c r="L5163">
        <f t="shared" si="160"/>
        <v>6.4</v>
      </c>
      <c r="M5163">
        <f t="shared" si="161"/>
        <v>1</v>
      </c>
    </row>
    <row r="5164" spans="1:13" x14ac:dyDescent="0.3">
      <c r="A5164">
        <v>5162</v>
      </c>
      <c r="B5164">
        <v>5163</v>
      </c>
      <c r="C5164" t="s">
        <v>5244</v>
      </c>
      <c r="D5164">
        <v>2015</v>
      </c>
      <c r="F5164" t="s">
        <v>876</v>
      </c>
      <c r="G5164">
        <v>0</v>
      </c>
      <c r="H5164">
        <v>0</v>
      </c>
      <c r="I5164">
        <v>1</v>
      </c>
      <c r="J5164">
        <v>0</v>
      </c>
      <c r="K5164">
        <v>0</v>
      </c>
      <c r="L5164">
        <f t="shared" si="160"/>
        <v>6.4</v>
      </c>
      <c r="M5164">
        <f t="shared" si="161"/>
        <v>1</v>
      </c>
    </row>
    <row r="5165" spans="1:13" x14ac:dyDescent="0.3">
      <c r="A5165">
        <v>5163</v>
      </c>
      <c r="B5165">
        <v>5164</v>
      </c>
      <c r="C5165" t="s">
        <v>5245</v>
      </c>
      <c r="D5165">
        <v>2012</v>
      </c>
      <c r="E5165" t="s">
        <v>11</v>
      </c>
      <c r="F5165" t="s">
        <v>876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f t="shared" si="160"/>
        <v>6.4</v>
      </c>
      <c r="M5165">
        <f t="shared" si="161"/>
        <v>1</v>
      </c>
    </row>
    <row r="5166" spans="1:13" x14ac:dyDescent="0.3">
      <c r="A5166">
        <v>5164</v>
      </c>
      <c r="B5166">
        <v>5165</v>
      </c>
      <c r="C5166" t="s">
        <v>5246</v>
      </c>
      <c r="D5166">
        <v>2008</v>
      </c>
      <c r="E5166" t="s">
        <v>22</v>
      </c>
      <c r="F5166" t="s">
        <v>876</v>
      </c>
      <c r="G5166">
        <v>0</v>
      </c>
      <c r="H5166">
        <v>0</v>
      </c>
      <c r="I5166">
        <v>1</v>
      </c>
      <c r="J5166">
        <v>0</v>
      </c>
      <c r="K5166">
        <v>0</v>
      </c>
      <c r="L5166">
        <f t="shared" si="160"/>
        <v>6.4</v>
      </c>
      <c r="M5166">
        <f t="shared" si="161"/>
        <v>1</v>
      </c>
    </row>
    <row r="5167" spans="1:13" x14ac:dyDescent="0.3">
      <c r="A5167">
        <v>5165</v>
      </c>
      <c r="B5167">
        <v>5166</v>
      </c>
      <c r="C5167" t="s">
        <v>5247</v>
      </c>
      <c r="D5167">
        <v>2019</v>
      </c>
      <c r="E5167" t="s">
        <v>14</v>
      </c>
      <c r="F5167" t="s">
        <v>876</v>
      </c>
      <c r="G5167">
        <v>0</v>
      </c>
      <c r="H5167">
        <v>0</v>
      </c>
      <c r="I5167">
        <v>1</v>
      </c>
      <c r="J5167">
        <v>0</v>
      </c>
      <c r="K5167">
        <v>0</v>
      </c>
      <c r="L5167">
        <f t="shared" si="160"/>
        <v>6.4</v>
      </c>
      <c r="M5167">
        <f t="shared" si="161"/>
        <v>1</v>
      </c>
    </row>
    <row r="5168" spans="1:13" x14ac:dyDescent="0.3">
      <c r="A5168">
        <v>5166</v>
      </c>
      <c r="B5168">
        <v>5167</v>
      </c>
      <c r="C5168" s="2">
        <v>9.8611111111111108E-2</v>
      </c>
      <c r="D5168">
        <v>2017</v>
      </c>
      <c r="E5168" t="s">
        <v>22</v>
      </c>
      <c r="F5168" t="s">
        <v>876</v>
      </c>
      <c r="G5168">
        <v>0</v>
      </c>
      <c r="H5168">
        <v>0</v>
      </c>
      <c r="I5168">
        <v>1</v>
      </c>
      <c r="J5168">
        <v>0</v>
      </c>
      <c r="K5168">
        <v>0</v>
      </c>
      <c r="L5168">
        <f t="shared" si="160"/>
        <v>6.4</v>
      </c>
      <c r="M5168">
        <f t="shared" si="161"/>
        <v>1</v>
      </c>
    </row>
    <row r="5169" spans="1:13" x14ac:dyDescent="0.3">
      <c r="A5169">
        <v>5167</v>
      </c>
      <c r="B5169">
        <v>5168</v>
      </c>
      <c r="C5169" t="s">
        <v>5248</v>
      </c>
      <c r="D5169">
        <v>1995</v>
      </c>
      <c r="E5169" t="s">
        <v>11</v>
      </c>
      <c r="F5169" t="s">
        <v>876</v>
      </c>
      <c r="G5169">
        <v>0</v>
      </c>
      <c r="H5169">
        <v>0</v>
      </c>
      <c r="I5169">
        <v>1</v>
      </c>
      <c r="J5169">
        <v>0</v>
      </c>
      <c r="K5169">
        <v>0</v>
      </c>
      <c r="L5169">
        <f t="shared" si="160"/>
        <v>6.4</v>
      </c>
      <c r="M5169">
        <f t="shared" si="161"/>
        <v>1</v>
      </c>
    </row>
    <row r="5170" spans="1:13" x14ac:dyDescent="0.3">
      <c r="A5170">
        <v>5168</v>
      </c>
      <c r="B5170">
        <v>5169</v>
      </c>
      <c r="C5170" t="s">
        <v>5249</v>
      </c>
      <c r="D5170">
        <v>1996</v>
      </c>
      <c r="E5170" t="s">
        <v>11</v>
      </c>
      <c r="F5170" t="s">
        <v>876</v>
      </c>
      <c r="G5170">
        <v>0</v>
      </c>
      <c r="H5170">
        <v>0</v>
      </c>
      <c r="I5170">
        <v>1</v>
      </c>
      <c r="J5170">
        <v>0</v>
      </c>
      <c r="K5170">
        <v>0</v>
      </c>
      <c r="L5170">
        <f t="shared" si="160"/>
        <v>6.4</v>
      </c>
      <c r="M5170">
        <f t="shared" si="161"/>
        <v>1</v>
      </c>
    </row>
    <row r="5171" spans="1:13" x14ac:dyDescent="0.3">
      <c r="A5171">
        <v>5169</v>
      </c>
      <c r="B5171">
        <v>5170</v>
      </c>
      <c r="C5171" t="s">
        <v>5250</v>
      </c>
      <c r="D5171">
        <v>2019</v>
      </c>
      <c r="E5171" t="s">
        <v>11</v>
      </c>
      <c r="F5171" t="s">
        <v>876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f t="shared" si="160"/>
        <v>6.4</v>
      </c>
      <c r="M5171">
        <f t="shared" si="161"/>
        <v>1</v>
      </c>
    </row>
    <row r="5172" spans="1:13" x14ac:dyDescent="0.3">
      <c r="A5172">
        <v>5170</v>
      </c>
      <c r="B5172">
        <v>5171</v>
      </c>
      <c r="C5172" t="s">
        <v>5251</v>
      </c>
      <c r="D5172">
        <v>2002</v>
      </c>
      <c r="E5172" t="s">
        <v>11</v>
      </c>
      <c r="F5172" t="s">
        <v>876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f t="shared" si="160"/>
        <v>6.4</v>
      </c>
      <c r="M5172">
        <f t="shared" si="161"/>
        <v>1</v>
      </c>
    </row>
    <row r="5173" spans="1:13" x14ac:dyDescent="0.3">
      <c r="A5173">
        <v>5171</v>
      </c>
      <c r="B5173">
        <v>5172</v>
      </c>
      <c r="C5173" t="s">
        <v>5252</v>
      </c>
      <c r="D5173">
        <v>1992</v>
      </c>
      <c r="E5173" t="s">
        <v>22</v>
      </c>
      <c r="F5173" t="s">
        <v>876</v>
      </c>
      <c r="G5173">
        <v>0</v>
      </c>
      <c r="H5173">
        <v>0</v>
      </c>
      <c r="I5173">
        <v>1</v>
      </c>
      <c r="J5173">
        <v>0</v>
      </c>
      <c r="K5173">
        <v>0</v>
      </c>
      <c r="L5173">
        <f t="shared" si="160"/>
        <v>6.4</v>
      </c>
      <c r="M5173">
        <f t="shared" si="161"/>
        <v>1</v>
      </c>
    </row>
    <row r="5174" spans="1:13" x14ac:dyDescent="0.3">
      <c r="A5174">
        <v>5172</v>
      </c>
      <c r="B5174">
        <v>5173</v>
      </c>
      <c r="C5174" t="s">
        <v>5253</v>
      </c>
      <c r="D5174">
        <v>2008</v>
      </c>
      <c r="E5174" t="s">
        <v>11</v>
      </c>
      <c r="F5174" t="s">
        <v>876</v>
      </c>
      <c r="G5174">
        <v>0</v>
      </c>
      <c r="H5174">
        <v>0</v>
      </c>
      <c r="I5174">
        <v>1</v>
      </c>
      <c r="J5174">
        <v>0</v>
      </c>
      <c r="K5174">
        <v>0</v>
      </c>
      <c r="L5174">
        <f t="shared" si="160"/>
        <v>6.4</v>
      </c>
      <c r="M5174">
        <f t="shared" si="161"/>
        <v>1</v>
      </c>
    </row>
    <row r="5175" spans="1:13" x14ac:dyDescent="0.3">
      <c r="A5175">
        <v>5173</v>
      </c>
      <c r="B5175">
        <v>5174</v>
      </c>
      <c r="C5175" t="s">
        <v>5254</v>
      </c>
      <c r="D5175">
        <v>2014</v>
      </c>
      <c r="E5175" t="s">
        <v>11</v>
      </c>
      <c r="F5175" t="s">
        <v>876</v>
      </c>
      <c r="G5175">
        <v>0</v>
      </c>
      <c r="H5175">
        <v>0</v>
      </c>
      <c r="I5175">
        <v>1</v>
      </c>
      <c r="J5175">
        <v>0</v>
      </c>
      <c r="K5175">
        <v>0</v>
      </c>
      <c r="L5175">
        <f t="shared" si="160"/>
        <v>6.4</v>
      </c>
      <c r="M5175">
        <f t="shared" si="161"/>
        <v>1</v>
      </c>
    </row>
    <row r="5176" spans="1:13" x14ac:dyDescent="0.3">
      <c r="A5176">
        <v>5174</v>
      </c>
      <c r="B5176">
        <v>5175</v>
      </c>
      <c r="C5176" t="s">
        <v>5255</v>
      </c>
      <c r="D5176">
        <v>2014</v>
      </c>
      <c r="F5176" t="s">
        <v>876</v>
      </c>
      <c r="G5176">
        <v>0</v>
      </c>
      <c r="H5176">
        <v>0</v>
      </c>
      <c r="I5176">
        <v>1</v>
      </c>
      <c r="J5176">
        <v>0</v>
      </c>
      <c r="K5176">
        <v>0</v>
      </c>
      <c r="L5176">
        <f t="shared" si="160"/>
        <v>6.4</v>
      </c>
      <c r="M5176">
        <f t="shared" si="161"/>
        <v>1</v>
      </c>
    </row>
    <row r="5177" spans="1:13" x14ac:dyDescent="0.3">
      <c r="A5177">
        <v>5175</v>
      </c>
      <c r="B5177">
        <v>5176</v>
      </c>
      <c r="C5177" t="s">
        <v>5256</v>
      </c>
      <c r="D5177">
        <v>2020</v>
      </c>
      <c r="E5177" t="s">
        <v>14</v>
      </c>
      <c r="F5177" t="s">
        <v>876</v>
      </c>
      <c r="G5177">
        <v>0</v>
      </c>
      <c r="H5177">
        <v>0</v>
      </c>
      <c r="I5177">
        <v>1</v>
      </c>
      <c r="J5177">
        <v>0</v>
      </c>
      <c r="K5177">
        <v>0</v>
      </c>
      <c r="L5177">
        <f t="shared" si="160"/>
        <v>6.4</v>
      </c>
      <c r="M5177">
        <f t="shared" si="161"/>
        <v>1</v>
      </c>
    </row>
    <row r="5178" spans="1:13" x14ac:dyDescent="0.3">
      <c r="A5178">
        <v>5176</v>
      </c>
      <c r="B5178">
        <v>5177</v>
      </c>
      <c r="C5178" t="s">
        <v>5257</v>
      </c>
      <c r="D5178">
        <v>1981</v>
      </c>
      <c r="E5178" t="s">
        <v>11</v>
      </c>
      <c r="F5178" t="s">
        <v>876</v>
      </c>
      <c r="G5178">
        <v>0</v>
      </c>
      <c r="H5178">
        <v>0</v>
      </c>
      <c r="I5178">
        <v>1</v>
      </c>
      <c r="J5178">
        <v>0</v>
      </c>
      <c r="K5178">
        <v>0</v>
      </c>
      <c r="L5178">
        <f t="shared" si="160"/>
        <v>6.4</v>
      </c>
      <c r="M5178">
        <f t="shared" si="161"/>
        <v>1</v>
      </c>
    </row>
    <row r="5179" spans="1:13" x14ac:dyDescent="0.3">
      <c r="A5179">
        <v>5177</v>
      </c>
      <c r="B5179">
        <v>5178</v>
      </c>
      <c r="C5179" t="s">
        <v>5258</v>
      </c>
      <c r="D5179">
        <v>2020</v>
      </c>
      <c r="E5179" t="s">
        <v>11</v>
      </c>
      <c r="F5179" t="s">
        <v>876</v>
      </c>
      <c r="G5179">
        <v>0</v>
      </c>
      <c r="H5179">
        <v>0</v>
      </c>
      <c r="I5179">
        <v>1</v>
      </c>
      <c r="J5179">
        <v>0</v>
      </c>
      <c r="K5179">
        <v>0</v>
      </c>
      <c r="L5179">
        <f t="shared" si="160"/>
        <v>6.4</v>
      </c>
      <c r="M5179">
        <f t="shared" si="161"/>
        <v>1</v>
      </c>
    </row>
    <row r="5180" spans="1:13" x14ac:dyDescent="0.3">
      <c r="A5180">
        <v>5178</v>
      </c>
      <c r="B5180">
        <v>5179</v>
      </c>
      <c r="C5180" t="s">
        <v>5259</v>
      </c>
      <c r="D5180">
        <v>1987</v>
      </c>
      <c r="E5180" t="s">
        <v>11</v>
      </c>
      <c r="F5180" t="s">
        <v>876</v>
      </c>
      <c r="G5180">
        <v>0</v>
      </c>
      <c r="H5180">
        <v>0</v>
      </c>
      <c r="I5180">
        <v>1</v>
      </c>
      <c r="J5180">
        <v>0</v>
      </c>
      <c r="K5180">
        <v>0</v>
      </c>
      <c r="L5180">
        <f t="shared" si="160"/>
        <v>6.4</v>
      </c>
      <c r="M5180">
        <f t="shared" si="161"/>
        <v>1</v>
      </c>
    </row>
    <row r="5181" spans="1:13" x14ac:dyDescent="0.3">
      <c r="A5181">
        <v>5179</v>
      </c>
      <c r="B5181">
        <v>5180</v>
      </c>
      <c r="C5181" t="s">
        <v>5260</v>
      </c>
      <c r="D5181">
        <v>2005</v>
      </c>
      <c r="E5181" t="s">
        <v>11</v>
      </c>
      <c r="F5181" t="s">
        <v>876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f t="shared" si="160"/>
        <v>6.4</v>
      </c>
      <c r="M5181">
        <f t="shared" si="161"/>
        <v>1</v>
      </c>
    </row>
    <row r="5182" spans="1:13" x14ac:dyDescent="0.3">
      <c r="A5182">
        <v>5180</v>
      </c>
      <c r="B5182">
        <v>5181</v>
      </c>
      <c r="C5182" t="s">
        <v>5261</v>
      </c>
      <c r="D5182">
        <v>2017</v>
      </c>
      <c r="E5182" t="s">
        <v>11</v>
      </c>
      <c r="F5182" t="s">
        <v>876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f t="shared" si="160"/>
        <v>6.4</v>
      </c>
      <c r="M5182">
        <f t="shared" si="161"/>
        <v>1</v>
      </c>
    </row>
    <row r="5183" spans="1:13" x14ac:dyDescent="0.3">
      <c r="A5183">
        <v>5181</v>
      </c>
      <c r="B5183">
        <v>5182</v>
      </c>
      <c r="C5183" t="s">
        <v>5262</v>
      </c>
      <c r="D5183">
        <v>1941</v>
      </c>
      <c r="F5183" t="s">
        <v>876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f t="shared" si="160"/>
        <v>6.4</v>
      </c>
      <c r="M5183">
        <f t="shared" si="161"/>
        <v>1</v>
      </c>
    </row>
    <row r="5184" spans="1:13" x14ac:dyDescent="0.3">
      <c r="A5184">
        <v>5182</v>
      </c>
      <c r="B5184">
        <v>5183</v>
      </c>
      <c r="C5184" t="s">
        <v>5263</v>
      </c>
      <c r="D5184">
        <v>1978</v>
      </c>
      <c r="E5184" t="s">
        <v>11</v>
      </c>
      <c r="F5184" t="s">
        <v>876</v>
      </c>
      <c r="G5184">
        <v>0</v>
      </c>
      <c r="H5184">
        <v>0</v>
      </c>
      <c r="I5184">
        <v>1</v>
      </c>
      <c r="J5184">
        <v>0</v>
      </c>
      <c r="K5184">
        <v>0</v>
      </c>
      <c r="L5184">
        <f t="shared" si="160"/>
        <v>6.4</v>
      </c>
      <c r="M5184">
        <f t="shared" si="161"/>
        <v>1</v>
      </c>
    </row>
    <row r="5185" spans="1:13" x14ac:dyDescent="0.3">
      <c r="A5185">
        <v>5183</v>
      </c>
      <c r="B5185">
        <v>5184</v>
      </c>
      <c r="C5185" t="s">
        <v>5264</v>
      </c>
      <c r="D5185">
        <v>1977</v>
      </c>
      <c r="E5185" t="s">
        <v>11</v>
      </c>
      <c r="F5185" t="s">
        <v>876</v>
      </c>
      <c r="G5185">
        <v>0</v>
      </c>
      <c r="H5185">
        <v>0</v>
      </c>
      <c r="I5185">
        <v>1</v>
      </c>
      <c r="J5185">
        <v>0</v>
      </c>
      <c r="K5185">
        <v>0</v>
      </c>
      <c r="L5185">
        <f t="shared" si="160"/>
        <v>6.4</v>
      </c>
      <c r="M5185">
        <f t="shared" si="161"/>
        <v>1</v>
      </c>
    </row>
    <row r="5186" spans="1:13" x14ac:dyDescent="0.3">
      <c r="A5186">
        <v>5184</v>
      </c>
      <c r="B5186">
        <v>5185</v>
      </c>
      <c r="C5186" t="s">
        <v>5265</v>
      </c>
      <c r="D5186">
        <v>2011</v>
      </c>
      <c r="E5186" t="s">
        <v>11</v>
      </c>
      <c r="F5186" t="s">
        <v>876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f t="shared" si="160"/>
        <v>6.4</v>
      </c>
      <c r="M5186">
        <f t="shared" si="161"/>
        <v>1</v>
      </c>
    </row>
    <row r="5187" spans="1:13" x14ac:dyDescent="0.3">
      <c r="A5187">
        <v>5185</v>
      </c>
      <c r="B5187">
        <v>5186</v>
      </c>
      <c r="C5187" t="s">
        <v>5266</v>
      </c>
      <c r="D5187">
        <v>1966</v>
      </c>
      <c r="F5187" t="s">
        <v>876</v>
      </c>
      <c r="G5187">
        <v>0</v>
      </c>
      <c r="H5187">
        <v>0</v>
      </c>
      <c r="I5187">
        <v>1</v>
      </c>
      <c r="J5187">
        <v>0</v>
      </c>
      <c r="K5187">
        <v>0</v>
      </c>
      <c r="L5187">
        <f t="shared" ref="L5187:L5250" si="162">IFERROR(VALUE(LEFT(F5187,FIND("/",F5187)-1))/10,"")</f>
        <v>6.4</v>
      </c>
      <c r="M5187">
        <f t="shared" ref="M5187:M5250" si="163">SUM(G5187:J5187)</f>
        <v>1</v>
      </c>
    </row>
    <row r="5188" spans="1:13" x14ac:dyDescent="0.3">
      <c r="A5188">
        <v>5186</v>
      </c>
      <c r="B5188">
        <v>5187</v>
      </c>
      <c r="C5188" t="s">
        <v>5267</v>
      </c>
      <c r="D5188">
        <v>1953</v>
      </c>
      <c r="E5188" t="s">
        <v>14</v>
      </c>
      <c r="F5188" t="s">
        <v>876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f t="shared" si="162"/>
        <v>6.4</v>
      </c>
      <c r="M5188">
        <f t="shared" si="163"/>
        <v>1</v>
      </c>
    </row>
    <row r="5189" spans="1:13" x14ac:dyDescent="0.3">
      <c r="A5189">
        <v>5187</v>
      </c>
      <c r="B5189">
        <v>5188</v>
      </c>
      <c r="C5189" t="s">
        <v>5268</v>
      </c>
      <c r="D5189">
        <v>2013</v>
      </c>
      <c r="F5189" t="s">
        <v>876</v>
      </c>
      <c r="G5189">
        <v>0</v>
      </c>
      <c r="H5189">
        <v>0</v>
      </c>
      <c r="I5189">
        <v>1</v>
      </c>
      <c r="J5189">
        <v>0</v>
      </c>
      <c r="K5189">
        <v>0</v>
      </c>
      <c r="L5189">
        <f t="shared" si="162"/>
        <v>6.4</v>
      </c>
      <c r="M5189">
        <f t="shared" si="163"/>
        <v>1</v>
      </c>
    </row>
    <row r="5190" spans="1:13" x14ac:dyDescent="0.3">
      <c r="A5190">
        <v>5188</v>
      </c>
      <c r="B5190">
        <v>5189</v>
      </c>
      <c r="C5190" t="s">
        <v>5269</v>
      </c>
      <c r="D5190">
        <v>2015</v>
      </c>
      <c r="E5190" t="s">
        <v>11</v>
      </c>
      <c r="F5190" t="s">
        <v>876</v>
      </c>
      <c r="G5190">
        <v>0</v>
      </c>
      <c r="H5190">
        <v>0</v>
      </c>
      <c r="I5190">
        <v>1</v>
      </c>
      <c r="J5190">
        <v>0</v>
      </c>
      <c r="K5190">
        <v>0</v>
      </c>
      <c r="L5190">
        <f t="shared" si="162"/>
        <v>6.4</v>
      </c>
      <c r="M5190">
        <f t="shared" si="163"/>
        <v>1</v>
      </c>
    </row>
    <row r="5191" spans="1:13" x14ac:dyDescent="0.3">
      <c r="A5191">
        <v>5189</v>
      </c>
      <c r="B5191">
        <v>5190</v>
      </c>
      <c r="C5191" t="s">
        <v>5270</v>
      </c>
      <c r="D5191">
        <v>2014</v>
      </c>
      <c r="F5191" t="s">
        <v>876</v>
      </c>
      <c r="G5191">
        <v>0</v>
      </c>
      <c r="H5191">
        <v>0</v>
      </c>
      <c r="I5191">
        <v>1</v>
      </c>
      <c r="J5191">
        <v>0</v>
      </c>
      <c r="K5191">
        <v>0</v>
      </c>
      <c r="L5191">
        <f t="shared" si="162"/>
        <v>6.4</v>
      </c>
      <c r="M5191">
        <f t="shared" si="163"/>
        <v>1</v>
      </c>
    </row>
    <row r="5192" spans="1:13" x14ac:dyDescent="0.3">
      <c r="A5192">
        <v>5190</v>
      </c>
      <c r="B5192">
        <v>5191</v>
      </c>
      <c r="C5192" t="s">
        <v>5271</v>
      </c>
      <c r="D5192">
        <v>1960</v>
      </c>
      <c r="F5192" t="s">
        <v>876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f t="shared" si="162"/>
        <v>6.4</v>
      </c>
      <c r="M5192">
        <f t="shared" si="163"/>
        <v>1</v>
      </c>
    </row>
    <row r="5193" spans="1:13" x14ac:dyDescent="0.3">
      <c r="A5193">
        <v>5191</v>
      </c>
      <c r="B5193">
        <v>5192</v>
      </c>
      <c r="C5193" t="s">
        <v>5272</v>
      </c>
      <c r="D5193">
        <v>2015</v>
      </c>
      <c r="E5193" t="s">
        <v>11</v>
      </c>
      <c r="F5193" t="s">
        <v>876</v>
      </c>
      <c r="G5193">
        <v>0</v>
      </c>
      <c r="H5193">
        <v>0</v>
      </c>
      <c r="I5193">
        <v>1</v>
      </c>
      <c r="J5193">
        <v>0</v>
      </c>
      <c r="K5193">
        <v>0</v>
      </c>
      <c r="L5193">
        <f t="shared" si="162"/>
        <v>6.4</v>
      </c>
      <c r="M5193">
        <f t="shared" si="163"/>
        <v>1</v>
      </c>
    </row>
    <row r="5194" spans="1:13" x14ac:dyDescent="0.3">
      <c r="A5194">
        <v>5192</v>
      </c>
      <c r="B5194">
        <v>5193</v>
      </c>
      <c r="C5194" t="s">
        <v>5273</v>
      </c>
      <c r="D5194">
        <v>1950</v>
      </c>
      <c r="F5194" t="s">
        <v>876</v>
      </c>
      <c r="G5194">
        <v>0</v>
      </c>
      <c r="H5194">
        <v>0</v>
      </c>
      <c r="I5194">
        <v>1</v>
      </c>
      <c r="J5194">
        <v>0</v>
      </c>
      <c r="K5194">
        <v>0</v>
      </c>
      <c r="L5194">
        <f t="shared" si="162"/>
        <v>6.4</v>
      </c>
      <c r="M5194">
        <f t="shared" si="163"/>
        <v>1</v>
      </c>
    </row>
    <row r="5195" spans="1:13" x14ac:dyDescent="0.3">
      <c r="A5195">
        <v>5193</v>
      </c>
      <c r="B5195">
        <v>5194</v>
      </c>
      <c r="C5195" t="s">
        <v>5274</v>
      </c>
      <c r="D5195">
        <v>2013</v>
      </c>
      <c r="E5195" t="s">
        <v>22</v>
      </c>
      <c r="F5195" t="s">
        <v>876</v>
      </c>
      <c r="G5195">
        <v>0</v>
      </c>
      <c r="H5195">
        <v>0</v>
      </c>
      <c r="I5195">
        <v>1</v>
      </c>
      <c r="J5195">
        <v>0</v>
      </c>
      <c r="K5195">
        <v>0</v>
      </c>
      <c r="L5195">
        <f t="shared" si="162"/>
        <v>6.4</v>
      </c>
      <c r="M5195">
        <f t="shared" si="163"/>
        <v>1</v>
      </c>
    </row>
    <row r="5196" spans="1:13" x14ac:dyDescent="0.3">
      <c r="A5196">
        <v>5194</v>
      </c>
      <c r="B5196">
        <v>5195</v>
      </c>
      <c r="C5196" t="s">
        <v>5275</v>
      </c>
      <c r="D5196">
        <v>1989</v>
      </c>
      <c r="E5196" t="s">
        <v>11</v>
      </c>
      <c r="F5196" t="s">
        <v>876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f t="shared" si="162"/>
        <v>6.4</v>
      </c>
      <c r="M5196">
        <f t="shared" si="163"/>
        <v>1</v>
      </c>
    </row>
    <row r="5197" spans="1:13" x14ac:dyDescent="0.3">
      <c r="A5197">
        <v>5195</v>
      </c>
      <c r="B5197">
        <v>5196</v>
      </c>
      <c r="C5197" t="s">
        <v>5276</v>
      </c>
      <c r="D5197">
        <v>2005</v>
      </c>
      <c r="E5197" t="s">
        <v>11</v>
      </c>
      <c r="F5197" t="s">
        <v>876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f t="shared" si="162"/>
        <v>6.4</v>
      </c>
      <c r="M5197">
        <f t="shared" si="163"/>
        <v>1</v>
      </c>
    </row>
    <row r="5198" spans="1:13" x14ac:dyDescent="0.3">
      <c r="A5198">
        <v>5196</v>
      </c>
      <c r="B5198">
        <v>5197</v>
      </c>
      <c r="C5198" t="s">
        <v>5277</v>
      </c>
      <c r="D5198">
        <v>1971</v>
      </c>
      <c r="E5198" t="s">
        <v>14</v>
      </c>
      <c r="F5198" t="s">
        <v>876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f t="shared" si="162"/>
        <v>6.4</v>
      </c>
      <c r="M5198">
        <f t="shared" si="163"/>
        <v>1</v>
      </c>
    </row>
    <row r="5199" spans="1:13" x14ac:dyDescent="0.3">
      <c r="A5199">
        <v>5197</v>
      </c>
      <c r="B5199">
        <v>5198</v>
      </c>
      <c r="C5199" t="s">
        <v>5278</v>
      </c>
      <c r="D5199">
        <v>2012</v>
      </c>
      <c r="E5199" t="s">
        <v>11</v>
      </c>
      <c r="F5199" t="s">
        <v>876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f t="shared" si="162"/>
        <v>6.4</v>
      </c>
      <c r="M5199">
        <f t="shared" si="163"/>
        <v>1</v>
      </c>
    </row>
    <row r="5200" spans="1:13" x14ac:dyDescent="0.3">
      <c r="A5200">
        <v>5198</v>
      </c>
      <c r="B5200">
        <v>5199</v>
      </c>
      <c r="C5200" t="s">
        <v>5279</v>
      </c>
      <c r="D5200">
        <v>2013</v>
      </c>
      <c r="E5200" t="s">
        <v>22</v>
      </c>
      <c r="F5200" t="s">
        <v>876</v>
      </c>
      <c r="G5200">
        <v>0</v>
      </c>
      <c r="H5200">
        <v>0</v>
      </c>
      <c r="I5200">
        <v>1</v>
      </c>
      <c r="J5200">
        <v>0</v>
      </c>
      <c r="K5200">
        <v>0</v>
      </c>
      <c r="L5200">
        <f t="shared" si="162"/>
        <v>6.4</v>
      </c>
      <c r="M5200">
        <f t="shared" si="163"/>
        <v>1</v>
      </c>
    </row>
    <row r="5201" spans="1:13" x14ac:dyDescent="0.3">
      <c r="A5201">
        <v>5199</v>
      </c>
      <c r="B5201">
        <v>5200</v>
      </c>
      <c r="C5201" t="s">
        <v>5280</v>
      </c>
      <c r="D5201">
        <v>2011</v>
      </c>
      <c r="E5201" t="s">
        <v>22</v>
      </c>
      <c r="F5201" t="s">
        <v>876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f t="shared" si="162"/>
        <v>6.4</v>
      </c>
      <c r="M5201">
        <f t="shared" si="163"/>
        <v>1</v>
      </c>
    </row>
    <row r="5202" spans="1:13" x14ac:dyDescent="0.3">
      <c r="A5202">
        <v>5200</v>
      </c>
      <c r="B5202">
        <v>5201</v>
      </c>
      <c r="C5202" t="s">
        <v>5281</v>
      </c>
      <c r="D5202">
        <v>2016</v>
      </c>
      <c r="E5202" t="s">
        <v>11</v>
      </c>
      <c r="F5202" t="s">
        <v>876</v>
      </c>
      <c r="G5202">
        <v>0</v>
      </c>
      <c r="H5202">
        <v>0</v>
      </c>
      <c r="I5202">
        <v>1</v>
      </c>
      <c r="J5202">
        <v>0</v>
      </c>
      <c r="K5202">
        <v>0</v>
      </c>
      <c r="L5202">
        <f t="shared" si="162"/>
        <v>6.4</v>
      </c>
      <c r="M5202">
        <f t="shared" si="163"/>
        <v>1</v>
      </c>
    </row>
    <row r="5203" spans="1:13" x14ac:dyDescent="0.3">
      <c r="A5203">
        <v>5201</v>
      </c>
      <c r="B5203">
        <v>5202</v>
      </c>
      <c r="C5203" t="s">
        <v>5282</v>
      </c>
      <c r="D5203">
        <v>2013</v>
      </c>
      <c r="E5203" t="s">
        <v>11</v>
      </c>
      <c r="F5203" t="s">
        <v>876</v>
      </c>
      <c r="G5203">
        <v>0</v>
      </c>
      <c r="H5203">
        <v>0</v>
      </c>
      <c r="I5203">
        <v>1</v>
      </c>
      <c r="J5203">
        <v>0</v>
      </c>
      <c r="K5203">
        <v>0</v>
      </c>
      <c r="L5203">
        <f t="shared" si="162"/>
        <v>6.4</v>
      </c>
      <c r="M5203">
        <f t="shared" si="163"/>
        <v>1</v>
      </c>
    </row>
    <row r="5204" spans="1:13" x14ac:dyDescent="0.3">
      <c r="A5204">
        <v>5202</v>
      </c>
      <c r="B5204">
        <v>5203</v>
      </c>
      <c r="C5204" t="s">
        <v>5283</v>
      </c>
      <c r="D5204">
        <v>1971</v>
      </c>
      <c r="E5204" t="s">
        <v>11</v>
      </c>
      <c r="F5204" t="s">
        <v>876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f t="shared" si="162"/>
        <v>6.4</v>
      </c>
      <c r="M5204">
        <f t="shared" si="163"/>
        <v>1</v>
      </c>
    </row>
    <row r="5205" spans="1:13" x14ac:dyDescent="0.3">
      <c r="A5205">
        <v>5203</v>
      </c>
      <c r="B5205">
        <v>5204</v>
      </c>
      <c r="C5205" t="s">
        <v>5284</v>
      </c>
      <c r="D5205">
        <v>2017</v>
      </c>
      <c r="E5205" t="s">
        <v>22</v>
      </c>
      <c r="F5205" t="s">
        <v>876</v>
      </c>
      <c r="G5205">
        <v>0</v>
      </c>
      <c r="H5205">
        <v>0</v>
      </c>
      <c r="I5205">
        <v>1</v>
      </c>
      <c r="J5205">
        <v>0</v>
      </c>
      <c r="K5205">
        <v>0</v>
      </c>
      <c r="L5205">
        <f t="shared" si="162"/>
        <v>6.4</v>
      </c>
      <c r="M5205">
        <f t="shared" si="163"/>
        <v>1</v>
      </c>
    </row>
    <row r="5206" spans="1:13" x14ac:dyDescent="0.3">
      <c r="A5206">
        <v>5204</v>
      </c>
      <c r="B5206">
        <v>5205</v>
      </c>
      <c r="C5206" t="s">
        <v>5285</v>
      </c>
      <c r="D5206">
        <v>2013</v>
      </c>
      <c r="E5206" t="s">
        <v>11</v>
      </c>
      <c r="F5206" t="s">
        <v>876</v>
      </c>
      <c r="G5206">
        <v>0</v>
      </c>
      <c r="H5206">
        <v>0</v>
      </c>
      <c r="I5206">
        <v>1</v>
      </c>
      <c r="J5206">
        <v>0</v>
      </c>
      <c r="K5206">
        <v>0</v>
      </c>
      <c r="L5206">
        <f t="shared" si="162"/>
        <v>6.4</v>
      </c>
      <c r="M5206">
        <f t="shared" si="163"/>
        <v>1</v>
      </c>
    </row>
    <row r="5207" spans="1:13" x14ac:dyDescent="0.3">
      <c r="A5207">
        <v>5205</v>
      </c>
      <c r="B5207">
        <v>5206</v>
      </c>
      <c r="C5207" t="s">
        <v>5286</v>
      </c>
      <c r="D5207">
        <v>2014</v>
      </c>
      <c r="E5207" t="s">
        <v>11</v>
      </c>
      <c r="F5207" t="s">
        <v>876</v>
      </c>
      <c r="G5207">
        <v>0</v>
      </c>
      <c r="H5207">
        <v>0</v>
      </c>
      <c r="I5207">
        <v>1</v>
      </c>
      <c r="J5207">
        <v>0</v>
      </c>
      <c r="K5207">
        <v>0</v>
      </c>
      <c r="L5207">
        <f t="shared" si="162"/>
        <v>6.4</v>
      </c>
      <c r="M5207">
        <f t="shared" si="163"/>
        <v>1</v>
      </c>
    </row>
    <row r="5208" spans="1:13" x14ac:dyDescent="0.3">
      <c r="A5208">
        <v>5206</v>
      </c>
      <c r="B5208">
        <v>5207</v>
      </c>
      <c r="C5208" t="s">
        <v>5287</v>
      </c>
      <c r="D5208">
        <v>2018</v>
      </c>
      <c r="E5208" t="s">
        <v>11</v>
      </c>
      <c r="F5208" t="s">
        <v>876</v>
      </c>
      <c r="G5208">
        <v>0</v>
      </c>
      <c r="H5208">
        <v>0</v>
      </c>
      <c r="I5208">
        <v>1</v>
      </c>
      <c r="J5208">
        <v>0</v>
      </c>
      <c r="K5208">
        <v>0</v>
      </c>
      <c r="L5208">
        <f t="shared" si="162"/>
        <v>6.4</v>
      </c>
      <c r="M5208">
        <f t="shared" si="163"/>
        <v>1</v>
      </c>
    </row>
    <row r="5209" spans="1:13" x14ac:dyDescent="0.3">
      <c r="A5209">
        <v>5207</v>
      </c>
      <c r="B5209">
        <v>5208</v>
      </c>
      <c r="C5209" t="s">
        <v>5288</v>
      </c>
      <c r="D5209">
        <v>2015</v>
      </c>
      <c r="E5209" t="s">
        <v>22</v>
      </c>
      <c r="F5209" t="s">
        <v>876</v>
      </c>
      <c r="G5209">
        <v>0</v>
      </c>
      <c r="H5209">
        <v>0</v>
      </c>
      <c r="I5209">
        <v>1</v>
      </c>
      <c r="J5209">
        <v>0</v>
      </c>
      <c r="K5209">
        <v>0</v>
      </c>
      <c r="L5209">
        <f t="shared" si="162"/>
        <v>6.4</v>
      </c>
      <c r="M5209">
        <f t="shared" si="163"/>
        <v>1</v>
      </c>
    </row>
    <row r="5210" spans="1:13" x14ac:dyDescent="0.3">
      <c r="A5210">
        <v>5208</v>
      </c>
      <c r="B5210">
        <v>5209</v>
      </c>
      <c r="C5210" t="s">
        <v>5289</v>
      </c>
      <c r="D5210">
        <v>1983</v>
      </c>
      <c r="E5210" t="s">
        <v>11</v>
      </c>
      <c r="F5210" t="s">
        <v>876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f t="shared" si="162"/>
        <v>6.4</v>
      </c>
      <c r="M5210">
        <f t="shared" si="163"/>
        <v>1</v>
      </c>
    </row>
    <row r="5211" spans="1:13" x14ac:dyDescent="0.3">
      <c r="A5211">
        <v>5209</v>
      </c>
      <c r="B5211">
        <v>5210</v>
      </c>
      <c r="C5211" t="s">
        <v>5290</v>
      </c>
      <c r="D5211">
        <v>2013</v>
      </c>
      <c r="F5211" t="s">
        <v>876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f t="shared" si="162"/>
        <v>6.4</v>
      </c>
      <c r="M5211">
        <f t="shared" si="163"/>
        <v>1</v>
      </c>
    </row>
    <row r="5212" spans="1:13" x14ac:dyDescent="0.3">
      <c r="A5212">
        <v>5210</v>
      </c>
      <c r="B5212">
        <v>5211</v>
      </c>
      <c r="C5212" t="s">
        <v>5291</v>
      </c>
      <c r="D5212">
        <v>1982</v>
      </c>
      <c r="E5212" t="s">
        <v>14</v>
      </c>
      <c r="F5212" t="s">
        <v>876</v>
      </c>
      <c r="G5212">
        <v>0</v>
      </c>
      <c r="H5212">
        <v>0</v>
      </c>
      <c r="I5212">
        <v>1</v>
      </c>
      <c r="J5212">
        <v>0</v>
      </c>
      <c r="K5212">
        <v>0</v>
      </c>
      <c r="L5212">
        <f t="shared" si="162"/>
        <v>6.4</v>
      </c>
      <c r="M5212">
        <f t="shared" si="163"/>
        <v>1</v>
      </c>
    </row>
    <row r="5213" spans="1:13" x14ac:dyDescent="0.3">
      <c r="A5213">
        <v>5211</v>
      </c>
      <c r="B5213">
        <v>5212</v>
      </c>
      <c r="C5213" t="s">
        <v>5292</v>
      </c>
      <c r="D5213">
        <v>2020</v>
      </c>
      <c r="E5213" t="s">
        <v>11</v>
      </c>
      <c r="F5213" t="s">
        <v>876</v>
      </c>
      <c r="G5213">
        <v>0</v>
      </c>
      <c r="H5213">
        <v>0</v>
      </c>
      <c r="I5213">
        <v>1</v>
      </c>
      <c r="J5213">
        <v>0</v>
      </c>
      <c r="K5213">
        <v>0</v>
      </c>
      <c r="L5213">
        <f t="shared" si="162"/>
        <v>6.4</v>
      </c>
      <c r="M5213">
        <f t="shared" si="163"/>
        <v>1</v>
      </c>
    </row>
    <row r="5214" spans="1:13" x14ac:dyDescent="0.3">
      <c r="A5214">
        <v>5212</v>
      </c>
      <c r="B5214">
        <v>5213</v>
      </c>
      <c r="C5214" t="s">
        <v>5293</v>
      </c>
      <c r="D5214">
        <v>2009</v>
      </c>
      <c r="E5214" t="s">
        <v>11</v>
      </c>
      <c r="F5214" t="s">
        <v>876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f t="shared" si="162"/>
        <v>6.4</v>
      </c>
      <c r="M5214">
        <f t="shared" si="163"/>
        <v>1</v>
      </c>
    </row>
    <row r="5215" spans="1:13" x14ac:dyDescent="0.3">
      <c r="A5215">
        <v>5213</v>
      </c>
      <c r="B5215">
        <v>5214</v>
      </c>
      <c r="C5215" t="s">
        <v>5294</v>
      </c>
      <c r="D5215">
        <v>1963</v>
      </c>
      <c r="F5215" t="s">
        <v>876</v>
      </c>
      <c r="G5215">
        <v>0</v>
      </c>
      <c r="H5215">
        <v>0</v>
      </c>
      <c r="I5215">
        <v>1</v>
      </c>
      <c r="J5215">
        <v>0</v>
      </c>
      <c r="K5215">
        <v>0</v>
      </c>
      <c r="L5215">
        <f t="shared" si="162"/>
        <v>6.4</v>
      </c>
      <c r="M5215">
        <f t="shared" si="163"/>
        <v>1</v>
      </c>
    </row>
    <row r="5216" spans="1:13" x14ac:dyDescent="0.3">
      <c r="A5216">
        <v>5214</v>
      </c>
      <c r="B5216">
        <v>5215</v>
      </c>
      <c r="C5216" t="s">
        <v>5295</v>
      </c>
      <c r="D5216">
        <v>2019</v>
      </c>
      <c r="F5216" t="s">
        <v>876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f t="shared" si="162"/>
        <v>6.4</v>
      </c>
      <c r="M5216">
        <f t="shared" si="163"/>
        <v>1</v>
      </c>
    </row>
    <row r="5217" spans="1:13" x14ac:dyDescent="0.3">
      <c r="A5217">
        <v>5215</v>
      </c>
      <c r="B5217">
        <v>5216</v>
      </c>
      <c r="C5217" t="s">
        <v>5296</v>
      </c>
      <c r="D5217">
        <v>2007</v>
      </c>
      <c r="F5217" t="s">
        <v>876</v>
      </c>
      <c r="G5217">
        <v>0</v>
      </c>
      <c r="H5217">
        <v>0</v>
      </c>
      <c r="I5217">
        <v>1</v>
      </c>
      <c r="J5217">
        <v>0</v>
      </c>
      <c r="K5217">
        <v>0</v>
      </c>
      <c r="L5217">
        <f t="shared" si="162"/>
        <v>6.4</v>
      </c>
      <c r="M5217">
        <f t="shared" si="163"/>
        <v>1</v>
      </c>
    </row>
    <row r="5218" spans="1:13" x14ac:dyDescent="0.3">
      <c r="A5218">
        <v>5216</v>
      </c>
      <c r="B5218">
        <v>5217</v>
      </c>
      <c r="C5218" t="s">
        <v>5297</v>
      </c>
      <c r="D5218">
        <v>1986</v>
      </c>
      <c r="E5218" t="s">
        <v>14</v>
      </c>
      <c r="F5218" t="s">
        <v>955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f t="shared" si="162"/>
        <v>6.3</v>
      </c>
      <c r="M5218">
        <f t="shared" si="163"/>
        <v>1</v>
      </c>
    </row>
    <row r="5219" spans="1:13" x14ac:dyDescent="0.3">
      <c r="A5219">
        <v>5217</v>
      </c>
      <c r="B5219">
        <v>5218</v>
      </c>
      <c r="C5219" t="s">
        <v>5298</v>
      </c>
      <c r="D5219">
        <v>1994</v>
      </c>
      <c r="E5219" t="s">
        <v>14</v>
      </c>
      <c r="F5219" t="s">
        <v>955</v>
      </c>
      <c r="G5219">
        <v>0</v>
      </c>
      <c r="H5219">
        <v>0</v>
      </c>
      <c r="I5219">
        <v>1</v>
      </c>
      <c r="J5219">
        <v>0</v>
      </c>
      <c r="K5219">
        <v>0</v>
      </c>
      <c r="L5219">
        <f t="shared" si="162"/>
        <v>6.3</v>
      </c>
      <c r="M5219">
        <f t="shared" si="163"/>
        <v>1</v>
      </c>
    </row>
    <row r="5220" spans="1:13" x14ac:dyDescent="0.3">
      <c r="A5220">
        <v>5218</v>
      </c>
      <c r="B5220">
        <v>5219</v>
      </c>
      <c r="C5220" t="s">
        <v>5299</v>
      </c>
      <c r="D5220">
        <v>1978</v>
      </c>
      <c r="E5220" t="s">
        <v>14</v>
      </c>
      <c r="F5220" t="s">
        <v>955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f t="shared" si="162"/>
        <v>6.3</v>
      </c>
      <c r="M5220">
        <f t="shared" si="163"/>
        <v>1</v>
      </c>
    </row>
    <row r="5221" spans="1:13" x14ac:dyDescent="0.3">
      <c r="A5221">
        <v>5219</v>
      </c>
      <c r="B5221">
        <v>5220</v>
      </c>
      <c r="C5221" t="s">
        <v>5300</v>
      </c>
      <c r="D5221">
        <v>2017</v>
      </c>
      <c r="E5221" t="s">
        <v>22</v>
      </c>
      <c r="F5221" t="s">
        <v>955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f t="shared" si="162"/>
        <v>6.3</v>
      </c>
      <c r="M5221">
        <f t="shared" si="163"/>
        <v>1</v>
      </c>
    </row>
    <row r="5222" spans="1:13" x14ac:dyDescent="0.3">
      <c r="A5222">
        <v>5220</v>
      </c>
      <c r="B5222">
        <v>5221</v>
      </c>
      <c r="C5222" t="s">
        <v>5301</v>
      </c>
      <c r="D5222">
        <v>2011</v>
      </c>
      <c r="F5222" t="s">
        <v>955</v>
      </c>
      <c r="G5222">
        <v>0</v>
      </c>
      <c r="H5222">
        <v>0</v>
      </c>
      <c r="I5222">
        <v>1</v>
      </c>
      <c r="J5222">
        <v>0</v>
      </c>
      <c r="K5222">
        <v>0</v>
      </c>
      <c r="L5222">
        <f t="shared" si="162"/>
        <v>6.3</v>
      </c>
      <c r="M5222">
        <f t="shared" si="163"/>
        <v>1</v>
      </c>
    </row>
    <row r="5223" spans="1:13" x14ac:dyDescent="0.3">
      <c r="A5223">
        <v>5221</v>
      </c>
      <c r="B5223">
        <v>5222</v>
      </c>
      <c r="C5223" t="s">
        <v>5302</v>
      </c>
      <c r="D5223">
        <v>2000</v>
      </c>
      <c r="E5223" t="s">
        <v>11</v>
      </c>
      <c r="F5223" t="s">
        <v>955</v>
      </c>
      <c r="G5223">
        <v>0</v>
      </c>
      <c r="H5223">
        <v>0</v>
      </c>
      <c r="I5223">
        <v>1</v>
      </c>
      <c r="J5223">
        <v>0</v>
      </c>
      <c r="K5223">
        <v>0</v>
      </c>
      <c r="L5223">
        <f t="shared" si="162"/>
        <v>6.3</v>
      </c>
      <c r="M5223">
        <f t="shared" si="163"/>
        <v>1</v>
      </c>
    </row>
    <row r="5224" spans="1:13" x14ac:dyDescent="0.3">
      <c r="A5224">
        <v>5222</v>
      </c>
      <c r="B5224">
        <v>5223</v>
      </c>
      <c r="C5224" t="s">
        <v>5303</v>
      </c>
      <c r="D5224">
        <v>2018</v>
      </c>
      <c r="F5224" t="s">
        <v>955</v>
      </c>
      <c r="G5224">
        <v>0</v>
      </c>
      <c r="H5224">
        <v>0</v>
      </c>
      <c r="I5224">
        <v>1</v>
      </c>
      <c r="J5224">
        <v>0</v>
      </c>
      <c r="K5224">
        <v>0</v>
      </c>
      <c r="L5224">
        <f t="shared" si="162"/>
        <v>6.3</v>
      </c>
      <c r="M5224">
        <f t="shared" si="163"/>
        <v>1</v>
      </c>
    </row>
    <row r="5225" spans="1:13" x14ac:dyDescent="0.3">
      <c r="A5225">
        <v>5223</v>
      </c>
      <c r="B5225">
        <v>5224</v>
      </c>
      <c r="C5225" t="s">
        <v>5304</v>
      </c>
      <c r="D5225">
        <v>1989</v>
      </c>
      <c r="E5225" t="s">
        <v>11</v>
      </c>
      <c r="F5225" t="s">
        <v>955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f t="shared" si="162"/>
        <v>6.3</v>
      </c>
      <c r="M5225">
        <f t="shared" si="163"/>
        <v>1</v>
      </c>
    </row>
    <row r="5226" spans="1:13" x14ac:dyDescent="0.3">
      <c r="A5226">
        <v>5224</v>
      </c>
      <c r="B5226">
        <v>5225</v>
      </c>
      <c r="C5226" t="s">
        <v>5305</v>
      </c>
      <c r="D5226">
        <v>1972</v>
      </c>
      <c r="E5226" t="s">
        <v>14</v>
      </c>
      <c r="F5226" t="s">
        <v>955</v>
      </c>
      <c r="G5226">
        <v>0</v>
      </c>
      <c r="H5226">
        <v>0</v>
      </c>
      <c r="I5226">
        <v>1</v>
      </c>
      <c r="J5226">
        <v>0</v>
      </c>
      <c r="K5226">
        <v>0</v>
      </c>
      <c r="L5226">
        <f t="shared" si="162"/>
        <v>6.3</v>
      </c>
      <c r="M5226">
        <f t="shared" si="163"/>
        <v>1</v>
      </c>
    </row>
    <row r="5227" spans="1:13" x14ac:dyDescent="0.3">
      <c r="A5227">
        <v>5225</v>
      </c>
      <c r="B5227">
        <v>5226</v>
      </c>
      <c r="C5227" t="s">
        <v>5306</v>
      </c>
      <c r="D5227">
        <v>2020</v>
      </c>
      <c r="E5227" t="s">
        <v>11</v>
      </c>
      <c r="F5227" t="s">
        <v>955</v>
      </c>
      <c r="G5227">
        <v>0</v>
      </c>
      <c r="H5227">
        <v>0</v>
      </c>
      <c r="I5227">
        <v>1</v>
      </c>
      <c r="J5227">
        <v>0</v>
      </c>
      <c r="K5227">
        <v>0</v>
      </c>
      <c r="L5227">
        <f t="shared" si="162"/>
        <v>6.3</v>
      </c>
      <c r="M5227">
        <f t="shared" si="163"/>
        <v>1</v>
      </c>
    </row>
    <row r="5228" spans="1:13" x14ac:dyDescent="0.3">
      <c r="A5228">
        <v>5226</v>
      </c>
      <c r="B5228">
        <v>5227</v>
      </c>
      <c r="C5228" t="s">
        <v>5307</v>
      </c>
      <c r="D5228">
        <v>1955</v>
      </c>
      <c r="F5228" t="s">
        <v>955</v>
      </c>
      <c r="G5228">
        <v>0</v>
      </c>
      <c r="H5228">
        <v>0</v>
      </c>
      <c r="I5228">
        <v>1</v>
      </c>
      <c r="J5228">
        <v>0</v>
      </c>
      <c r="K5228">
        <v>0</v>
      </c>
      <c r="L5228">
        <f t="shared" si="162"/>
        <v>6.3</v>
      </c>
      <c r="M5228">
        <f t="shared" si="163"/>
        <v>1</v>
      </c>
    </row>
    <row r="5229" spans="1:13" x14ac:dyDescent="0.3">
      <c r="A5229">
        <v>5227</v>
      </c>
      <c r="B5229">
        <v>5228</v>
      </c>
      <c r="C5229" t="s">
        <v>5308</v>
      </c>
      <c r="D5229">
        <v>2016</v>
      </c>
      <c r="E5229" t="s">
        <v>11</v>
      </c>
      <c r="F5229" t="s">
        <v>955</v>
      </c>
      <c r="G5229">
        <v>0</v>
      </c>
      <c r="H5229">
        <v>0</v>
      </c>
      <c r="I5229">
        <v>1</v>
      </c>
      <c r="J5229">
        <v>0</v>
      </c>
      <c r="K5229">
        <v>0</v>
      </c>
      <c r="L5229">
        <f t="shared" si="162"/>
        <v>6.3</v>
      </c>
      <c r="M5229">
        <f t="shared" si="163"/>
        <v>1</v>
      </c>
    </row>
    <row r="5230" spans="1:13" x14ac:dyDescent="0.3">
      <c r="A5230">
        <v>5228</v>
      </c>
      <c r="B5230">
        <v>5229</v>
      </c>
      <c r="C5230" t="s">
        <v>5309</v>
      </c>
      <c r="D5230">
        <v>1988</v>
      </c>
      <c r="E5230" t="s">
        <v>11</v>
      </c>
      <c r="F5230" t="s">
        <v>955</v>
      </c>
      <c r="G5230">
        <v>0</v>
      </c>
      <c r="H5230">
        <v>0</v>
      </c>
      <c r="I5230">
        <v>1</v>
      </c>
      <c r="J5230">
        <v>0</v>
      </c>
      <c r="K5230">
        <v>0</v>
      </c>
      <c r="L5230">
        <f t="shared" si="162"/>
        <v>6.3</v>
      </c>
      <c r="M5230">
        <f t="shared" si="163"/>
        <v>1</v>
      </c>
    </row>
    <row r="5231" spans="1:13" x14ac:dyDescent="0.3">
      <c r="A5231">
        <v>5229</v>
      </c>
      <c r="B5231">
        <v>5230</v>
      </c>
      <c r="C5231" t="s">
        <v>5310</v>
      </c>
      <c r="D5231">
        <v>2017</v>
      </c>
      <c r="E5231" t="s">
        <v>11</v>
      </c>
      <c r="F5231" t="s">
        <v>955</v>
      </c>
      <c r="G5231">
        <v>0</v>
      </c>
      <c r="H5231">
        <v>0</v>
      </c>
      <c r="I5231">
        <v>1</v>
      </c>
      <c r="J5231">
        <v>0</v>
      </c>
      <c r="K5231">
        <v>0</v>
      </c>
      <c r="L5231">
        <f t="shared" si="162"/>
        <v>6.3</v>
      </c>
      <c r="M5231">
        <f t="shared" si="163"/>
        <v>1</v>
      </c>
    </row>
    <row r="5232" spans="1:13" x14ac:dyDescent="0.3">
      <c r="A5232">
        <v>5230</v>
      </c>
      <c r="B5232">
        <v>5231</v>
      </c>
      <c r="C5232" t="s">
        <v>5311</v>
      </c>
      <c r="D5232">
        <v>1952</v>
      </c>
      <c r="F5232" t="s">
        <v>955</v>
      </c>
      <c r="G5232">
        <v>0</v>
      </c>
      <c r="H5232">
        <v>0</v>
      </c>
      <c r="I5232">
        <v>1</v>
      </c>
      <c r="J5232">
        <v>0</v>
      </c>
      <c r="K5232">
        <v>0</v>
      </c>
      <c r="L5232">
        <f t="shared" si="162"/>
        <v>6.3</v>
      </c>
      <c r="M5232">
        <f t="shared" si="163"/>
        <v>1</v>
      </c>
    </row>
    <row r="5233" spans="1:13" x14ac:dyDescent="0.3">
      <c r="A5233">
        <v>5231</v>
      </c>
      <c r="B5233">
        <v>5232</v>
      </c>
      <c r="C5233" t="s">
        <v>5312</v>
      </c>
      <c r="D5233">
        <v>1975</v>
      </c>
      <c r="E5233" t="s">
        <v>14</v>
      </c>
      <c r="F5233" t="s">
        <v>955</v>
      </c>
      <c r="G5233">
        <v>0</v>
      </c>
      <c r="H5233">
        <v>0</v>
      </c>
      <c r="I5233">
        <v>1</v>
      </c>
      <c r="J5233">
        <v>0</v>
      </c>
      <c r="K5233">
        <v>0</v>
      </c>
      <c r="L5233">
        <f t="shared" si="162"/>
        <v>6.3</v>
      </c>
      <c r="M5233">
        <f t="shared" si="163"/>
        <v>1</v>
      </c>
    </row>
    <row r="5234" spans="1:13" x14ac:dyDescent="0.3">
      <c r="A5234">
        <v>5232</v>
      </c>
      <c r="B5234">
        <v>5233</v>
      </c>
      <c r="C5234" t="s">
        <v>5313</v>
      </c>
      <c r="D5234">
        <v>2016</v>
      </c>
      <c r="E5234" t="s">
        <v>11</v>
      </c>
      <c r="F5234" t="s">
        <v>955</v>
      </c>
      <c r="G5234">
        <v>0</v>
      </c>
      <c r="H5234">
        <v>0</v>
      </c>
      <c r="I5234">
        <v>1</v>
      </c>
      <c r="J5234">
        <v>0</v>
      </c>
      <c r="K5234">
        <v>0</v>
      </c>
      <c r="L5234">
        <f t="shared" si="162"/>
        <v>6.3</v>
      </c>
      <c r="M5234">
        <f t="shared" si="163"/>
        <v>1</v>
      </c>
    </row>
    <row r="5235" spans="1:13" x14ac:dyDescent="0.3">
      <c r="A5235">
        <v>5233</v>
      </c>
      <c r="B5235">
        <v>5234</v>
      </c>
      <c r="C5235" t="s">
        <v>5314</v>
      </c>
      <c r="D5235">
        <v>1992</v>
      </c>
      <c r="E5235" t="s">
        <v>11</v>
      </c>
      <c r="F5235" t="s">
        <v>955</v>
      </c>
      <c r="G5235">
        <v>0</v>
      </c>
      <c r="H5235">
        <v>0</v>
      </c>
      <c r="I5235">
        <v>1</v>
      </c>
      <c r="J5235">
        <v>0</v>
      </c>
      <c r="K5235">
        <v>0</v>
      </c>
      <c r="L5235">
        <f t="shared" si="162"/>
        <v>6.3</v>
      </c>
      <c r="M5235">
        <f t="shared" si="163"/>
        <v>1</v>
      </c>
    </row>
    <row r="5236" spans="1:13" x14ac:dyDescent="0.3">
      <c r="A5236">
        <v>5234</v>
      </c>
      <c r="B5236">
        <v>5235</v>
      </c>
      <c r="C5236" t="s">
        <v>5315</v>
      </c>
      <c r="D5236">
        <v>2012</v>
      </c>
      <c r="E5236" t="s">
        <v>11</v>
      </c>
      <c r="F5236" t="s">
        <v>955</v>
      </c>
      <c r="G5236">
        <v>0</v>
      </c>
      <c r="H5236">
        <v>0</v>
      </c>
      <c r="I5236">
        <v>1</v>
      </c>
      <c r="J5236">
        <v>0</v>
      </c>
      <c r="K5236">
        <v>0</v>
      </c>
      <c r="L5236">
        <f t="shared" si="162"/>
        <v>6.3</v>
      </c>
      <c r="M5236">
        <f t="shared" si="163"/>
        <v>1</v>
      </c>
    </row>
    <row r="5237" spans="1:13" x14ac:dyDescent="0.3">
      <c r="A5237">
        <v>5235</v>
      </c>
      <c r="B5237">
        <v>5236</v>
      </c>
      <c r="C5237" t="s">
        <v>5316</v>
      </c>
      <c r="D5237">
        <v>2019</v>
      </c>
      <c r="E5237" t="s">
        <v>22</v>
      </c>
      <c r="F5237" t="s">
        <v>955</v>
      </c>
      <c r="G5237">
        <v>0</v>
      </c>
      <c r="H5237">
        <v>0</v>
      </c>
      <c r="I5237">
        <v>1</v>
      </c>
      <c r="J5237">
        <v>0</v>
      </c>
      <c r="K5237">
        <v>0</v>
      </c>
      <c r="L5237">
        <f t="shared" si="162"/>
        <v>6.3</v>
      </c>
      <c r="M5237">
        <f t="shared" si="163"/>
        <v>1</v>
      </c>
    </row>
    <row r="5238" spans="1:13" x14ac:dyDescent="0.3">
      <c r="A5238">
        <v>5236</v>
      </c>
      <c r="B5238">
        <v>5237</v>
      </c>
      <c r="C5238" t="s">
        <v>5317</v>
      </c>
      <c r="D5238">
        <v>2008</v>
      </c>
      <c r="E5238" t="s">
        <v>22</v>
      </c>
      <c r="F5238" t="s">
        <v>955</v>
      </c>
      <c r="G5238">
        <v>0</v>
      </c>
      <c r="H5238">
        <v>0</v>
      </c>
      <c r="I5238">
        <v>1</v>
      </c>
      <c r="J5238">
        <v>0</v>
      </c>
      <c r="K5238">
        <v>0</v>
      </c>
      <c r="L5238">
        <f t="shared" si="162"/>
        <v>6.3</v>
      </c>
      <c r="M5238">
        <f t="shared" si="163"/>
        <v>1</v>
      </c>
    </row>
    <row r="5239" spans="1:13" x14ac:dyDescent="0.3">
      <c r="A5239">
        <v>5237</v>
      </c>
      <c r="B5239">
        <v>5238</v>
      </c>
      <c r="C5239" t="s">
        <v>5318</v>
      </c>
      <c r="D5239">
        <v>2012</v>
      </c>
      <c r="E5239" t="s">
        <v>11</v>
      </c>
      <c r="F5239" t="s">
        <v>955</v>
      </c>
      <c r="G5239">
        <v>0</v>
      </c>
      <c r="H5239">
        <v>0</v>
      </c>
      <c r="I5239">
        <v>1</v>
      </c>
      <c r="J5239">
        <v>0</v>
      </c>
      <c r="K5239">
        <v>0</v>
      </c>
      <c r="L5239">
        <f t="shared" si="162"/>
        <v>6.3</v>
      </c>
      <c r="M5239">
        <f t="shared" si="163"/>
        <v>1</v>
      </c>
    </row>
    <row r="5240" spans="1:13" x14ac:dyDescent="0.3">
      <c r="A5240">
        <v>5238</v>
      </c>
      <c r="B5240">
        <v>5239</v>
      </c>
      <c r="C5240" t="s">
        <v>5319</v>
      </c>
      <c r="D5240">
        <v>1994</v>
      </c>
      <c r="E5240" t="s">
        <v>14</v>
      </c>
      <c r="F5240" t="s">
        <v>955</v>
      </c>
      <c r="G5240">
        <v>0</v>
      </c>
      <c r="H5240">
        <v>0</v>
      </c>
      <c r="I5240">
        <v>1</v>
      </c>
      <c r="J5240">
        <v>0</v>
      </c>
      <c r="K5240">
        <v>0</v>
      </c>
      <c r="L5240">
        <f t="shared" si="162"/>
        <v>6.3</v>
      </c>
      <c r="M5240">
        <f t="shared" si="163"/>
        <v>1</v>
      </c>
    </row>
    <row r="5241" spans="1:13" x14ac:dyDescent="0.3">
      <c r="A5241">
        <v>5239</v>
      </c>
      <c r="B5241">
        <v>5240</v>
      </c>
      <c r="C5241" t="s">
        <v>5320</v>
      </c>
      <c r="D5241">
        <v>2008</v>
      </c>
      <c r="E5241" t="s">
        <v>14</v>
      </c>
      <c r="F5241" t="s">
        <v>955</v>
      </c>
      <c r="G5241">
        <v>0</v>
      </c>
      <c r="H5241">
        <v>0</v>
      </c>
      <c r="I5241">
        <v>1</v>
      </c>
      <c r="J5241">
        <v>0</v>
      </c>
      <c r="K5241">
        <v>0</v>
      </c>
      <c r="L5241">
        <f t="shared" si="162"/>
        <v>6.3</v>
      </c>
      <c r="M5241">
        <f t="shared" si="163"/>
        <v>1</v>
      </c>
    </row>
    <row r="5242" spans="1:13" x14ac:dyDescent="0.3">
      <c r="A5242">
        <v>5240</v>
      </c>
      <c r="B5242">
        <v>5241</v>
      </c>
      <c r="C5242" t="s">
        <v>5321</v>
      </c>
      <c r="D5242">
        <v>2012</v>
      </c>
      <c r="E5242" t="s">
        <v>11</v>
      </c>
      <c r="F5242" t="s">
        <v>955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f t="shared" si="162"/>
        <v>6.3</v>
      </c>
      <c r="M5242">
        <f t="shared" si="163"/>
        <v>1</v>
      </c>
    </row>
    <row r="5243" spans="1:13" x14ac:dyDescent="0.3">
      <c r="A5243">
        <v>5241</v>
      </c>
      <c r="B5243">
        <v>5242</v>
      </c>
      <c r="C5243" t="s">
        <v>5322</v>
      </c>
      <c r="D5243">
        <v>1976</v>
      </c>
      <c r="E5243" t="s">
        <v>14</v>
      </c>
      <c r="F5243" t="s">
        <v>955</v>
      </c>
      <c r="G5243">
        <v>0</v>
      </c>
      <c r="H5243">
        <v>0</v>
      </c>
      <c r="I5243">
        <v>1</v>
      </c>
      <c r="J5243">
        <v>0</v>
      </c>
      <c r="K5243">
        <v>0</v>
      </c>
      <c r="L5243">
        <f t="shared" si="162"/>
        <v>6.3</v>
      </c>
      <c r="M5243">
        <f t="shared" si="163"/>
        <v>1</v>
      </c>
    </row>
    <row r="5244" spans="1:13" x14ac:dyDescent="0.3">
      <c r="A5244">
        <v>5242</v>
      </c>
      <c r="B5244">
        <v>5243</v>
      </c>
      <c r="C5244" t="s">
        <v>5323</v>
      </c>
      <c r="D5244">
        <v>2007</v>
      </c>
      <c r="E5244" t="s">
        <v>22</v>
      </c>
      <c r="F5244" t="s">
        <v>955</v>
      </c>
      <c r="G5244">
        <v>0</v>
      </c>
      <c r="H5244">
        <v>0</v>
      </c>
      <c r="I5244">
        <v>1</v>
      </c>
      <c r="J5244">
        <v>0</v>
      </c>
      <c r="K5244">
        <v>0</v>
      </c>
      <c r="L5244">
        <f t="shared" si="162"/>
        <v>6.3</v>
      </c>
      <c r="M5244">
        <f t="shared" si="163"/>
        <v>1</v>
      </c>
    </row>
    <row r="5245" spans="1:13" x14ac:dyDescent="0.3">
      <c r="A5245">
        <v>5243</v>
      </c>
      <c r="B5245">
        <v>5244</v>
      </c>
      <c r="C5245" t="s">
        <v>5324</v>
      </c>
      <c r="D5245">
        <v>2015</v>
      </c>
      <c r="E5245" t="s">
        <v>22</v>
      </c>
      <c r="F5245" t="s">
        <v>955</v>
      </c>
      <c r="G5245">
        <v>0</v>
      </c>
      <c r="H5245">
        <v>0</v>
      </c>
      <c r="I5245">
        <v>1</v>
      </c>
      <c r="J5245">
        <v>0</v>
      </c>
      <c r="K5245">
        <v>0</v>
      </c>
      <c r="L5245">
        <f t="shared" si="162"/>
        <v>6.3</v>
      </c>
      <c r="M5245">
        <f t="shared" si="163"/>
        <v>1</v>
      </c>
    </row>
    <row r="5246" spans="1:13" x14ac:dyDescent="0.3">
      <c r="A5246">
        <v>5244</v>
      </c>
      <c r="B5246">
        <v>5245</v>
      </c>
      <c r="C5246" t="s">
        <v>5325</v>
      </c>
      <c r="D5246">
        <v>1946</v>
      </c>
      <c r="F5246" t="s">
        <v>955</v>
      </c>
      <c r="G5246">
        <v>0</v>
      </c>
      <c r="H5246">
        <v>0</v>
      </c>
      <c r="I5246">
        <v>1</v>
      </c>
      <c r="J5246">
        <v>0</v>
      </c>
      <c r="K5246">
        <v>0</v>
      </c>
      <c r="L5246">
        <f t="shared" si="162"/>
        <v>6.3</v>
      </c>
      <c r="M5246">
        <f t="shared" si="163"/>
        <v>1</v>
      </c>
    </row>
    <row r="5247" spans="1:13" x14ac:dyDescent="0.3">
      <c r="A5247">
        <v>5245</v>
      </c>
      <c r="B5247">
        <v>5246</v>
      </c>
      <c r="C5247" t="s">
        <v>5326</v>
      </c>
      <c r="D5247">
        <v>2019</v>
      </c>
      <c r="E5247" t="s">
        <v>11</v>
      </c>
      <c r="F5247" t="s">
        <v>955</v>
      </c>
      <c r="G5247">
        <v>0</v>
      </c>
      <c r="H5247">
        <v>0</v>
      </c>
      <c r="I5247">
        <v>1</v>
      </c>
      <c r="J5247">
        <v>0</v>
      </c>
      <c r="K5247">
        <v>0</v>
      </c>
      <c r="L5247">
        <f t="shared" si="162"/>
        <v>6.3</v>
      </c>
      <c r="M5247">
        <f t="shared" si="163"/>
        <v>1</v>
      </c>
    </row>
    <row r="5248" spans="1:13" x14ac:dyDescent="0.3">
      <c r="A5248">
        <v>5246</v>
      </c>
      <c r="B5248">
        <v>5247</v>
      </c>
      <c r="C5248" t="s">
        <v>5327</v>
      </c>
      <c r="D5248">
        <v>1991</v>
      </c>
      <c r="E5248" t="s">
        <v>22</v>
      </c>
      <c r="F5248" t="s">
        <v>955</v>
      </c>
      <c r="G5248">
        <v>0</v>
      </c>
      <c r="H5248">
        <v>0</v>
      </c>
      <c r="I5248">
        <v>1</v>
      </c>
      <c r="J5248">
        <v>0</v>
      </c>
      <c r="K5248">
        <v>0</v>
      </c>
      <c r="L5248">
        <f t="shared" si="162"/>
        <v>6.3</v>
      </c>
      <c r="M5248">
        <f t="shared" si="163"/>
        <v>1</v>
      </c>
    </row>
    <row r="5249" spans="1:13" x14ac:dyDescent="0.3">
      <c r="A5249">
        <v>5247</v>
      </c>
      <c r="B5249">
        <v>5248</v>
      </c>
      <c r="C5249" t="s">
        <v>5328</v>
      </c>
      <c r="D5249">
        <v>1979</v>
      </c>
      <c r="E5249" t="s">
        <v>28</v>
      </c>
      <c r="F5249" t="s">
        <v>955</v>
      </c>
      <c r="G5249">
        <v>0</v>
      </c>
      <c r="H5249">
        <v>0</v>
      </c>
      <c r="I5249">
        <v>1</v>
      </c>
      <c r="J5249">
        <v>0</v>
      </c>
      <c r="K5249">
        <v>0</v>
      </c>
      <c r="L5249">
        <f t="shared" si="162"/>
        <v>6.3</v>
      </c>
      <c r="M5249">
        <f t="shared" si="163"/>
        <v>1</v>
      </c>
    </row>
    <row r="5250" spans="1:13" x14ac:dyDescent="0.3">
      <c r="A5250">
        <v>5248</v>
      </c>
      <c r="B5250">
        <v>5249</v>
      </c>
      <c r="C5250" t="s">
        <v>5329</v>
      </c>
      <c r="D5250">
        <v>1982</v>
      </c>
      <c r="E5250" t="s">
        <v>11</v>
      </c>
      <c r="F5250" t="s">
        <v>955</v>
      </c>
      <c r="G5250">
        <v>0</v>
      </c>
      <c r="H5250">
        <v>0</v>
      </c>
      <c r="I5250">
        <v>1</v>
      </c>
      <c r="J5250">
        <v>0</v>
      </c>
      <c r="K5250">
        <v>0</v>
      </c>
      <c r="L5250">
        <f t="shared" si="162"/>
        <v>6.3</v>
      </c>
      <c r="M5250">
        <f t="shared" si="163"/>
        <v>1</v>
      </c>
    </row>
    <row r="5251" spans="1:13" x14ac:dyDescent="0.3">
      <c r="A5251">
        <v>5249</v>
      </c>
      <c r="B5251">
        <v>5250</v>
      </c>
      <c r="C5251" t="s">
        <v>5330</v>
      </c>
      <c r="D5251">
        <v>2016</v>
      </c>
      <c r="F5251" t="s">
        <v>955</v>
      </c>
      <c r="G5251">
        <v>0</v>
      </c>
      <c r="H5251">
        <v>0</v>
      </c>
      <c r="I5251">
        <v>1</v>
      </c>
      <c r="J5251">
        <v>0</v>
      </c>
      <c r="K5251">
        <v>0</v>
      </c>
      <c r="L5251">
        <f t="shared" ref="L5251:L5314" si="164">IFERROR(VALUE(LEFT(F5251,FIND("/",F5251)-1))/10,"")</f>
        <v>6.3</v>
      </c>
      <c r="M5251">
        <f t="shared" ref="M5251:M5314" si="165">SUM(G5251:J5251)</f>
        <v>1</v>
      </c>
    </row>
    <row r="5252" spans="1:13" x14ac:dyDescent="0.3">
      <c r="A5252">
        <v>5250</v>
      </c>
      <c r="B5252">
        <v>5251</v>
      </c>
      <c r="C5252" t="s">
        <v>5331</v>
      </c>
      <c r="D5252">
        <v>1937</v>
      </c>
      <c r="F5252" t="s">
        <v>955</v>
      </c>
      <c r="G5252">
        <v>0</v>
      </c>
      <c r="H5252">
        <v>0</v>
      </c>
      <c r="I5252">
        <v>1</v>
      </c>
      <c r="J5252">
        <v>0</v>
      </c>
      <c r="K5252">
        <v>0</v>
      </c>
      <c r="L5252">
        <f t="shared" si="164"/>
        <v>6.3</v>
      </c>
      <c r="M5252">
        <f t="shared" si="165"/>
        <v>1</v>
      </c>
    </row>
    <row r="5253" spans="1:13" x14ac:dyDescent="0.3">
      <c r="A5253">
        <v>5251</v>
      </c>
      <c r="B5253">
        <v>5252</v>
      </c>
      <c r="C5253" t="s">
        <v>5332</v>
      </c>
      <c r="D5253">
        <v>2010</v>
      </c>
      <c r="E5253" t="s">
        <v>11</v>
      </c>
      <c r="F5253" t="s">
        <v>955</v>
      </c>
      <c r="G5253">
        <v>0</v>
      </c>
      <c r="H5253">
        <v>0</v>
      </c>
      <c r="I5253">
        <v>1</v>
      </c>
      <c r="J5253">
        <v>0</v>
      </c>
      <c r="K5253">
        <v>0</v>
      </c>
      <c r="L5253">
        <f t="shared" si="164"/>
        <v>6.3</v>
      </c>
      <c r="M5253">
        <f t="shared" si="165"/>
        <v>1</v>
      </c>
    </row>
    <row r="5254" spans="1:13" x14ac:dyDescent="0.3">
      <c r="A5254">
        <v>5252</v>
      </c>
      <c r="B5254">
        <v>5253</v>
      </c>
      <c r="C5254" t="s">
        <v>5333</v>
      </c>
      <c r="D5254">
        <v>2001</v>
      </c>
      <c r="E5254" t="s">
        <v>22</v>
      </c>
      <c r="F5254" t="s">
        <v>955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f t="shared" si="164"/>
        <v>6.3</v>
      </c>
      <c r="M5254">
        <f t="shared" si="165"/>
        <v>1</v>
      </c>
    </row>
    <row r="5255" spans="1:13" x14ac:dyDescent="0.3">
      <c r="A5255">
        <v>5253</v>
      </c>
      <c r="B5255">
        <v>5254</v>
      </c>
      <c r="C5255" t="s">
        <v>5334</v>
      </c>
      <c r="D5255">
        <v>1976</v>
      </c>
      <c r="E5255" t="s">
        <v>11</v>
      </c>
      <c r="F5255" t="s">
        <v>955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f t="shared" si="164"/>
        <v>6.3</v>
      </c>
      <c r="M5255">
        <f t="shared" si="165"/>
        <v>1</v>
      </c>
    </row>
    <row r="5256" spans="1:13" x14ac:dyDescent="0.3">
      <c r="A5256">
        <v>5254</v>
      </c>
      <c r="B5256">
        <v>5255</v>
      </c>
      <c r="C5256" t="s">
        <v>5335</v>
      </c>
      <c r="D5256">
        <v>2006</v>
      </c>
      <c r="E5256" t="s">
        <v>11</v>
      </c>
      <c r="F5256" t="s">
        <v>955</v>
      </c>
      <c r="G5256">
        <v>0</v>
      </c>
      <c r="H5256">
        <v>0</v>
      </c>
      <c r="I5256">
        <v>1</v>
      </c>
      <c r="J5256">
        <v>0</v>
      </c>
      <c r="K5256">
        <v>0</v>
      </c>
      <c r="L5256">
        <f t="shared" si="164"/>
        <v>6.3</v>
      </c>
      <c r="M5256">
        <f t="shared" si="165"/>
        <v>1</v>
      </c>
    </row>
    <row r="5257" spans="1:13" x14ac:dyDescent="0.3">
      <c r="A5257">
        <v>5255</v>
      </c>
      <c r="B5257">
        <v>5256</v>
      </c>
      <c r="C5257" t="s">
        <v>5336</v>
      </c>
      <c r="D5257">
        <v>1985</v>
      </c>
      <c r="E5257" t="s">
        <v>11</v>
      </c>
      <c r="F5257" t="s">
        <v>955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f t="shared" si="164"/>
        <v>6.3</v>
      </c>
      <c r="M5257">
        <f t="shared" si="165"/>
        <v>1</v>
      </c>
    </row>
    <row r="5258" spans="1:13" x14ac:dyDescent="0.3">
      <c r="A5258">
        <v>5256</v>
      </c>
      <c r="B5258">
        <v>5257</v>
      </c>
      <c r="C5258" t="s">
        <v>5337</v>
      </c>
      <c r="D5258">
        <v>2006</v>
      </c>
      <c r="E5258" t="s">
        <v>11</v>
      </c>
      <c r="F5258" t="s">
        <v>955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f t="shared" si="164"/>
        <v>6.3</v>
      </c>
      <c r="M5258">
        <f t="shared" si="165"/>
        <v>1</v>
      </c>
    </row>
    <row r="5259" spans="1:13" x14ac:dyDescent="0.3">
      <c r="A5259">
        <v>5257</v>
      </c>
      <c r="B5259">
        <v>5258</v>
      </c>
      <c r="C5259" t="s">
        <v>5338</v>
      </c>
      <c r="D5259">
        <v>2017</v>
      </c>
      <c r="E5259" t="s">
        <v>28</v>
      </c>
      <c r="F5259" t="s">
        <v>955</v>
      </c>
      <c r="G5259">
        <v>0</v>
      </c>
      <c r="H5259">
        <v>0</v>
      </c>
      <c r="I5259">
        <v>1</v>
      </c>
      <c r="J5259">
        <v>0</v>
      </c>
      <c r="K5259">
        <v>0</v>
      </c>
      <c r="L5259">
        <f t="shared" si="164"/>
        <v>6.3</v>
      </c>
      <c r="M5259">
        <f t="shared" si="165"/>
        <v>1</v>
      </c>
    </row>
    <row r="5260" spans="1:13" x14ac:dyDescent="0.3">
      <c r="A5260">
        <v>5258</v>
      </c>
      <c r="B5260">
        <v>5259</v>
      </c>
      <c r="C5260" t="s">
        <v>5339</v>
      </c>
      <c r="D5260">
        <v>1986</v>
      </c>
      <c r="E5260" t="s">
        <v>11</v>
      </c>
      <c r="F5260" t="s">
        <v>955</v>
      </c>
      <c r="G5260">
        <v>0</v>
      </c>
      <c r="H5260">
        <v>0</v>
      </c>
      <c r="I5260">
        <v>1</v>
      </c>
      <c r="J5260">
        <v>0</v>
      </c>
      <c r="K5260">
        <v>0</v>
      </c>
      <c r="L5260">
        <f t="shared" si="164"/>
        <v>6.3</v>
      </c>
      <c r="M5260">
        <f t="shared" si="165"/>
        <v>1</v>
      </c>
    </row>
    <row r="5261" spans="1:13" x14ac:dyDescent="0.3">
      <c r="A5261">
        <v>5259</v>
      </c>
      <c r="B5261">
        <v>5260</v>
      </c>
      <c r="C5261" t="s">
        <v>5340</v>
      </c>
      <c r="D5261">
        <v>2018</v>
      </c>
      <c r="F5261" t="s">
        <v>955</v>
      </c>
      <c r="G5261">
        <v>0</v>
      </c>
      <c r="H5261">
        <v>0</v>
      </c>
      <c r="I5261">
        <v>1</v>
      </c>
      <c r="J5261">
        <v>0</v>
      </c>
      <c r="K5261">
        <v>0</v>
      </c>
      <c r="L5261">
        <f t="shared" si="164"/>
        <v>6.3</v>
      </c>
      <c r="M5261">
        <f t="shared" si="165"/>
        <v>1</v>
      </c>
    </row>
    <row r="5262" spans="1:13" x14ac:dyDescent="0.3">
      <c r="A5262">
        <v>5260</v>
      </c>
      <c r="B5262">
        <v>5261</v>
      </c>
      <c r="C5262" t="s">
        <v>5341</v>
      </c>
      <c r="D5262">
        <v>2006</v>
      </c>
      <c r="E5262" t="s">
        <v>11</v>
      </c>
      <c r="F5262" t="s">
        <v>955</v>
      </c>
      <c r="G5262">
        <v>0</v>
      </c>
      <c r="H5262">
        <v>0</v>
      </c>
      <c r="I5262">
        <v>1</v>
      </c>
      <c r="J5262">
        <v>0</v>
      </c>
      <c r="K5262">
        <v>0</v>
      </c>
      <c r="L5262">
        <f t="shared" si="164"/>
        <v>6.3</v>
      </c>
      <c r="M5262">
        <f t="shared" si="165"/>
        <v>1</v>
      </c>
    </row>
    <row r="5263" spans="1:13" x14ac:dyDescent="0.3">
      <c r="A5263">
        <v>5261</v>
      </c>
      <c r="B5263">
        <v>5262</v>
      </c>
      <c r="C5263" t="s">
        <v>5342</v>
      </c>
      <c r="D5263">
        <v>2009</v>
      </c>
      <c r="E5263" t="s">
        <v>11</v>
      </c>
      <c r="F5263" t="s">
        <v>955</v>
      </c>
      <c r="G5263">
        <v>0</v>
      </c>
      <c r="H5263">
        <v>0</v>
      </c>
      <c r="I5263">
        <v>1</v>
      </c>
      <c r="J5263">
        <v>0</v>
      </c>
      <c r="K5263">
        <v>0</v>
      </c>
      <c r="L5263">
        <f t="shared" si="164"/>
        <v>6.3</v>
      </c>
      <c r="M5263">
        <f t="shared" si="165"/>
        <v>1</v>
      </c>
    </row>
    <row r="5264" spans="1:13" x14ac:dyDescent="0.3">
      <c r="A5264">
        <v>5262</v>
      </c>
      <c r="B5264">
        <v>5263</v>
      </c>
      <c r="C5264" t="s">
        <v>5343</v>
      </c>
      <c r="D5264">
        <v>2011</v>
      </c>
      <c r="F5264" t="s">
        <v>955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f t="shared" si="164"/>
        <v>6.3</v>
      </c>
      <c r="M5264">
        <f t="shared" si="165"/>
        <v>1</v>
      </c>
    </row>
    <row r="5265" spans="1:13" x14ac:dyDescent="0.3">
      <c r="A5265">
        <v>5263</v>
      </c>
      <c r="B5265">
        <v>5264</v>
      </c>
      <c r="C5265" t="s">
        <v>5344</v>
      </c>
      <c r="D5265">
        <v>2015</v>
      </c>
      <c r="E5265" t="s">
        <v>11</v>
      </c>
      <c r="F5265" t="s">
        <v>955</v>
      </c>
      <c r="G5265">
        <v>0</v>
      </c>
      <c r="H5265">
        <v>0</v>
      </c>
      <c r="I5265">
        <v>1</v>
      </c>
      <c r="J5265">
        <v>0</v>
      </c>
      <c r="K5265">
        <v>0</v>
      </c>
      <c r="L5265">
        <f t="shared" si="164"/>
        <v>6.3</v>
      </c>
      <c r="M5265">
        <f t="shared" si="165"/>
        <v>1</v>
      </c>
    </row>
    <row r="5266" spans="1:13" x14ac:dyDescent="0.3">
      <c r="A5266">
        <v>5264</v>
      </c>
      <c r="B5266">
        <v>5265</v>
      </c>
      <c r="C5266" t="s">
        <v>5345</v>
      </c>
      <c r="D5266">
        <v>1997</v>
      </c>
      <c r="E5266" t="s">
        <v>11</v>
      </c>
      <c r="F5266" t="s">
        <v>955</v>
      </c>
      <c r="G5266">
        <v>0</v>
      </c>
      <c r="H5266">
        <v>0</v>
      </c>
      <c r="I5266">
        <v>1</v>
      </c>
      <c r="J5266">
        <v>0</v>
      </c>
      <c r="K5266">
        <v>0</v>
      </c>
      <c r="L5266">
        <f t="shared" si="164"/>
        <v>6.3</v>
      </c>
      <c r="M5266">
        <f t="shared" si="165"/>
        <v>1</v>
      </c>
    </row>
    <row r="5267" spans="1:13" x14ac:dyDescent="0.3">
      <c r="A5267">
        <v>5265</v>
      </c>
      <c r="B5267">
        <v>5266</v>
      </c>
      <c r="C5267" t="s">
        <v>5346</v>
      </c>
      <c r="D5267">
        <v>2006</v>
      </c>
      <c r="E5267" t="s">
        <v>22</v>
      </c>
      <c r="F5267" t="s">
        <v>955</v>
      </c>
      <c r="G5267">
        <v>0</v>
      </c>
      <c r="H5267">
        <v>0</v>
      </c>
      <c r="I5267">
        <v>1</v>
      </c>
      <c r="J5267">
        <v>0</v>
      </c>
      <c r="K5267">
        <v>0</v>
      </c>
      <c r="L5267">
        <f t="shared" si="164"/>
        <v>6.3</v>
      </c>
      <c r="M5267">
        <f t="shared" si="165"/>
        <v>1</v>
      </c>
    </row>
    <row r="5268" spans="1:13" x14ac:dyDescent="0.3">
      <c r="A5268">
        <v>5266</v>
      </c>
      <c r="B5268">
        <v>5267</v>
      </c>
      <c r="C5268" t="s">
        <v>5347</v>
      </c>
      <c r="D5268">
        <v>2014</v>
      </c>
      <c r="E5268" t="s">
        <v>22</v>
      </c>
      <c r="F5268" t="s">
        <v>955</v>
      </c>
      <c r="G5268">
        <v>0</v>
      </c>
      <c r="H5268">
        <v>0</v>
      </c>
      <c r="I5268">
        <v>1</v>
      </c>
      <c r="J5268">
        <v>0</v>
      </c>
      <c r="K5268">
        <v>0</v>
      </c>
      <c r="L5268">
        <f t="shared" si="164"/>
        <v>6.3</v>
      </c>
      <c r="M5268">
        <f t="shared" si="165"/>
        <v>1</v>
      </c>
    </row>
    <row r="5269" spans="1:13" x14ac:dyDescent="0.3">
      <c r="A5269">
        <v>5267</v>
      </c>
      <c r="B5269">
        <v>5268</v>
      </c>
      <c r="C5269" t="s">
        <v>5348</v>
      </c>
      <c r="D5269">
        <v>2017</v>
      </c>
      <c r="E5269" t="s">
        <v>14</v>
      </c>
      <c r="F5269" t="s">
        <v>955</v>
      </c>
      <c r="G5269">
        <v>0</v>
      </c>
      <c r="H5269">
        <v>0</v>
      </c>
      <c r="I5269">
        <v>1</v>
      </c>
      <c r="J5269">
        <v>0</v>
      </c>
      <c r="K5269">
        <v>0</v>
      </c>
      <c r="L5269">
        <f t="shared" si="164"/>
        <v>6.3</v>
      </c>
      <c r="M5269">
        <f t="shared" si="165"/>
        <v>1</v>
      </c>
    </row>
    <row r="5270" spans="1:13" x14ac:dyDescent="0.3">
      <c r="A5270">
        <v>5268</v>
      </c>
      <c r="B5270">
        <v>5269</v>
      </c>
      <c r="C5270" t="s">
        <v>5349</v>
      </c>
      <c r="D5270">
        <v>1992</v>
      </c>
      <c r="E5270" t="s">
        <v>11</v>
      </c>
      <c r="F5270" t="s">
        <v>955</v>
      </c>
      <c r="G5270">
        <v>0</v>
      </c>
      <c r="H5270">
        <v>0</v>
      </c>
      <c r="I5270">
        <v>1</v>
      </c>
      <c r="J5270">
        <v>0</v>
      </c>
      <c r="K5270">
        <v>0</v>
      </c>
      <c r="L5270">
        <f t="shared" si="164"/>
        <v>6.3</v>
      </c>
      <c r="M5270">
        <f t="shared" si="165"/>
        <v>1</v>
      </c>
    </row>
    <row r="5271" spans="1:13" x14ac:dyDescent="0.3">
      <c r="A5271">
        <v>5269</v>
      </c>
      <c r="B5271">
        <v>5270</v>
      </c>
      <c r="C5271" t="s">
        <v>5350</v>
      </c>
      <c r="D5271">
        <v>2004</v>
      </c>
      <c r="E5271" t="s">
        <v>22</v>
      </c>
      <c r="F5271" t="s">
        <v>955</v>
      </c>
      <c r="G5271">
        <v>0</v>
      </c>
      <c r="H5271">
        <v>0</v>
      </c>
      <c r="I5271">
        <v>1</v>
      </c>
      <c r="J5271">
        <v>0</v>
      </c>
      <c r="K5271">
        <v>0</v>
      </c>
      <c r="L5271">
        <f t="shared" si="164"/>
        <v>6.3</v>
      </c>
      <c r="M5271">
        <f t="shared" si="165"/>
        <v>1</v>
      </c>
    </row>
    <row r="5272" spans="1:13" x14ac:dyDescent="0.3">
      <c r="A5272">
        <v>5270</v>
      </c>
      <c r="B5272">
        <v>5271</v>
      </c>
      <c r="C5272" t="s">
        <v>5351</v>
      </c>
      <c r="D5272">
        <v>2011</v>
      </c>
      <c r="E5272" t="s">
        <v>36</v>
      </c>
      <c r="F5272" t="s">
        <v>955</v>
      </c>
      <c r="G5272">
        <v>0</v>
      </c>
      <c r="H5272">
        <v>0</v>
      </c>
      <c r="I5272">
        <v>1</v>
      </c>
      <c r="J5272">
        <v>0</v>
      </c>
      <c r="K5272">
        <v>0</v>
      </c>
      <c r="L5272">
        <f t="shared" si="164"/>
        <v>6.3</v>
      </c>
      <c r="M5272">
        <f t="shared" si="165"/>
        <v>1</v>
      </c>
    </row>
    <row r="5273" spans="1:13" x14ac:dyDescent="0.3">
      <c r="A5273">
        <v>5271</v>
      </c>
      <c r="B5273">
        <v>5272</v>
      </c>
      <c r="C5273" t="s">
        <v>5352</v>
      </c>
      <c r="D5273">
        <v>2017</v>
      </c>
      <c r="E5273" t="s">
        <v>11</v>
      </c>
      <c r="F5273" t="s">
        <v>955</v>
      </c>
      <c r="G5273">
        <v>0</v>
      </c>
      <c r="H5273">
        <v>0</v>
      </c>
      <c r="I5273">
        <v>1</v>
      </c>
      <c r="J5273">
        <v>0</v>
      </c>
      <c r="K5273">
        <v>0</v>
      </c>
      <c r="L5273">
        <f t="shared" si="164"/>
        <v>6.3</v>
      </c>
      <c r="M5273">
        <f t="shared" si="165"/>
        <v>1</v>
      </c>
    </row>
    <row r="5274" spans="1:13" x14ac:dyDescent="0.3">
      <c r="A5274">
        <v>5272</v>
      </c>
      <c r="B5274">
        <v>5273</v>
      </c>
      <c r="C5274" t="s">
        <v>5353</v>
      </c>
      <c r="D5274">
        <v>2008</v>
      </c>
      <c r="F5274" t="s">
        <v>955</v>
      </c>
      <c r="G5274">
        <v>0</v>
      </c>
      <c r="H5274">
        <v>0</v>
      </c>
      <c r="I5274">
        <v>1</v>
      </c>
      <c r="J5274">
        <v>0</v>
      </c>
      <c r="K5274">
        <v>0</v>
      </c>
      <c r="L5274">
        <f t="shared" si="164"/>
        <v>6.3</v>
      </c>
      <c r="M5274">
        <f t="shared" si="165"/>
        <v>1</v>
      </c>
    </row>
    <row r="5275" spans="1:13" x14ac:dyDescent="0.3">
      <c r="A5275">
        <v>5273</v>
      </c>
      <c r="B5275">
        <v>5274</v>
      </c>
      <c r="C5275" t="s">
        <v>5354</v>
      </c>
      <c r="D5275">
        <v>2010</v>
      </c>
      <c r="E5275" t="s">
        <v>11</v>
      </c>
      <c r="F5275" t="s">
        <v>1038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f t="shared" si="164"/>
        <v>6.2</v>
      </c>
      <c r="M5275">
        <f t="shared" si="165"/>
        <v>1</v>
      </c>
    </row>
    <row r="5276" spans="1:13" x14ac:dyDescent="0.3">
      <c r="A5276">
        <v>5274</v>
      </c>
      <c r="B5276">
        <v>5275</v>
      </c>
      <c r="C5276" t="s">
        <v>5355</v>
      </c>
      <c r="D5276">
        <v>2019</v>
      </c>
      <c r="E5276" t="s">
        <v>11</v>
      </c>
      <c r="F5276" t="s">
        <v>1038</v>
      </c>
      <c r="G5276">
        <v>0</v>
      </c>
      <c r="H5276">
        <v>0</v>
      </c>
      <c r="I5276">
        <v>1</v>
      </c>
      <c r="J5276">
        <v>0</v>
      </c>
      <c r="K5276">
        <v>0</v>
      </c>
      <c r="L5276">
        <f t="shared" si="164"/>
        <v>6.2</v>
      </c>
      <c r="M5276">
        <f t="shared" si="165"/>
        <v>1</v>
      </c>
    </row>
    <row r="5277" spans="1:13" x14ac:dyDescent="0.3">
      <c r="A5277">
        <v>5275</v>
      </c>
      <c r="B5277">
        <v>5276</v>
      </c>
      <c r="C5277" t="s">
        <v>5356</v>
      </c>
      <c r="D5277">
        <v>2012</v>
      </c>
      <c r="E5277" t="s">
        <v>22</v>
      </c>
      <c r="F5277" t="s">
        <v>1038</v>
      </c>
      <c r="G5277">
        <v>0</v>
      </c>
      <c r="H5277">
        <v>0</v>
      </c>
      <c r="I5277">
        <v>1</v>
      </c>
      <c r="J5277">
        <v>0</v>
      </c>
      <c r="K5277">
        <v>0</v>
      </c>
      <c r="L5277">
        <f t="shared" si="164"/>
        <v>6.2</v>
      </c>
      <c r="M5277">
        <f t="shared" si="165"/>
        <v>1</v>
      </c>
    </row>
    <row r="5278" spans="1:13" x14ac:dyDescent="0.3">
      <c r="A5278">
        <v>5276</v>
      </c>
      <c r="B5278">
        <v>5277</v>
      </c>
      <c r="C5278" t="s">
        <v>5357</v>
      </c>
      <c r="D5278">
        <v>2007</v>
      </c>
      <c r="E5278" t="s">
        <v>11</v>
      </c>
      <c r="F5278" t="s">
        <v>1038</v>
      </c>
      <c r="G5278">
        <v>0</v>
      </c>
      <c r="H5278">
        <v>0</v>
      </c>
      <c r="I5278">
        <v>1</v>
      </c>
      <c r="J5278">
        <v>0</v>
      </c>
      <c r="K5278">
        <v>0</v>
      </c>
      <c r="L5278">
        <f t="shared" si="164"/>
        <v>6.2</v>
      </c>
      <c r="M5278">
        <f t="shared" si="165"/>
        <v>1</v>
      </c>
    </row>
    <row r="5279" spans="1:13" x14ac:dyDescent="0.3">
      <c r="A5279">
        <v>5277</v>
      </c>
      <c r="B5279">
        <v>5278</v>
      </c>
      <c r="C5279" t="s">
        <v>5358</v>
      </c>
      <c r="D5279">
        <v>2016</v>
      </c>
      <c r="F5279" t="s">
        <v>1038</v>
      </c>
      <c r="G5279">
        <v>0</v>
      </c>
      <c r="H5279">
        <v>0</v>
      </c>
      <c r="I5279">
        <v>1</v>
      </c>
      <c r="J5279">
        <v>0</v>
      </c>
      <c r="K5279">
        <v>0</v>
      </c>
      <c r="L5279">
        <f t="shared" si="164"/>
        <v>6.2</v>
      </c>
      <c r="M5279">
        <f t="shared" si="165"/>
        <v>1</v>
      </c>
    </row>
    <row r="5280" spans="1:13" x14ac:dyDescent="0.3">
      <c r="A5280">
        <v>5278</v>
      </c>
      <c r="B5280">
        <v>5279</v>
      </c>
      <c r="C5280" t="s">
        <v>5359</v>
      </c>
      <c r="D5280">
        <v>2017</v>
      </c>
      <c r="F5280" t="s">
        <v>1038</v>
      </c>
      <c r="G5280">
        <v>0</v>
      </c>
      <c r="H5280">
        <v>0</v>
      </c>
      <c r="I5280">
        <v>1</v>
      </c>
      <c r="J5280">
        <v>0</v>
      </c>
      <c r="K5280">
        <v>0</v>
      </c>
      <c r="L5280">
        <f t="shared" si="164"/>
        <v>6.2</v>
      </c>
      <c r="M5280">
        <f t="shared" si="165"/>
        <v>1</v>
      </c>
    </row>
    <row r="5281" spans="1:13" x14ac:dyDescent="0.3">
      <c r="A5281">
        <v>5279</v>
      </c>
      <c r="B5281">
        <v>5280</v>
      </c>
      <c r="C5281" t="s">
        <v>5360</v>
      </c>
      <c r="D5281">
        <v>2016</v>
      </c>
      <c r="E5281" t="s">
        <v>11</v>
      </c>
      <c r="F5281" t="s">
        <v>1038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f t="shared" si="164"/>
        <v>6.2</v>
      </c>
      <c r="M5281">
        <f t="shared" si="165"/>
        <v>1</v>
      </c>
    </row>
    <row r="5282" spans="1:13" x14ac:dyDescent="0.3">
      <c r="A5282">
        <v>5280</v>
      </c>
      <c r="B5282">
        <v>5281</v>
      </c>
      <c r="C5282" t="s">
        <v>5361</v>
      </c>
      <c r="D5282">
        <v>2017</v>
      </c>
      <c r="E5282" t="s">
        <v>11</v>
      </c>
      <c r="F5282" t="s">
        <v>1038</v>
      </c>
      <c r="G5282">
        <v>0</v>
      </c>
      <c r="H5282">
        <v>0</v>
      </c>
      <c r="I5282">
        <v>1</v>
      </c>
      <c r="J5282">
        <v>0</v>
      </c>
      <c r="K5282">
        <v>0</v>
      </c>
      <c r="L5282">
        <f t="shared" si="164"/>
        <v>6.2</v>
      </c>
      <c r="M5282">
        <f t="shared" si="165"/>
        <v>1</v>
      </c>
    </row>
    <row r="5283" spans="1:13" x14ac:dyDescent="0.3">
      <c r="A5283">
        <v>5281</v>
      </c>
      <c r="B5283">
        <v>5282</v>
      </c>
      <c r="C5283" t="s">
        <v>5362</v>
      </c>
      <c r="D5283">
        <v>1919</v>
      </c>
      <c r="E5283" t="s">
        <v>22</v>
      </c>
      <c r="F5283" t="s">
        <v>1038</v>
      </c>
      <c r="G5283">
        <v>0</v>
      </c>
      <c r="H5283">
        <v>0</v>
      </c>
      <c r="I5283">
        <v>1</v>
      </c>
      <c r="J5283">
        <v>0</v>
      </c>
      <c r="K5283">
        <v>0</v>
      </c>
      <c r="L5283">
        <f t="shared" si="164"/>
        <v>6.2</v>
      </c>
      <c r="M5283">
        <f t="shared" si="165"/>
        <v>1</v>
      </c>
    </row>
    <row r="5284" spans="1:13" x14ac:dyDescent="0.3">
      <c r="A5284">
        <v>5282</v>
      </c>
      <c r="B5284">
        <v>5283</v>
      </c>
      <c r="C5284" t="s">
        <v>5363</v>
      </c>
      <c r="D5284">
        <v>2012</v>
      </c>
      <c r="F5284" t="s">
        <v>1038</v>
      </c>
      <c r="G5284">
        <v>0</v>
      </c>
      <c r="H5284">
        <v>0</v>
      </c>
      <c r="I5284">
        <v>1</v>
      </c>
      <c r="J5284">
        <v>0</v>
      </c>
      <c r="K5284">
        <v>0</v>
      </c>
      <c r="L5284">
        <f t="shared" si="164"/>
        <v>6.2</v>
      </c>
      <c r="M5284">
        <f t="shared" si="165"/>
        <v>1</v>
      </c>
    </row>
    <row r="5285" spans="1:13" x14ac:dyDescent="0.3">
      <c r="A5285">
        <v>5283</v>
      </c>
      <c r="B5285">
        <v>5284</v>
      </c>
      <c r="C5285" t="s">
        <v>5364</v>
      </c>
      <c r="D5285">
        <v>2005</v>
      </c>
      <c r="E5285" t="s">
        <v>11</v>
      </c>
      <c r="F5285" t="s">
        <v>1038</v>
      </c>
      <c r="G5285">
        <v>0</v>
      </c>
      <c r="H5285">
        <v>0</v>
      </c>
      <c r="I5285">
        <v>1</v>
      </c>
      <c r="J5285">
        <v>0</v>
      </c>
      <c r="K5285">
        <v>0</v>
      </c>
      <c r="L5285">
        <f t="shared" si="164"/>
        <v>6.2</v>
      </c>
      <c r="M5285">
        <f t="shared" si="165"/>
        <v>1</v>
      </c>
    </row>
    <row r="5286" spans="1:13" x14ac:dyDescent="0.3">
      <c r="A5286">
        <v>5284</v>
      </c>
      <c r="B5286">
        <v>5285</v>
      </c>
      <c r="C5286" t="s">
        <v>5365</v>
      </c>
      <c r="D5286">
        <v>1937</v>
      </c>
      <c r="F5286" t="s">
        <v>1038</v>
      </c>
      <c r="G5286">
        <v>0</v>
      </c>
      <c r="H5286">
        <v>0</v>
      </c>
      <c r="I5286">
        <v>1</v>
      </c>
      <c r="J5286">
        <v>0</v>
      </c>
      <c r="K5286">
        <v>0</v>
      </c>
      <c r="L5286">
        <f t="shared" si="164"/>
        <v>6.2</v>
      </c>
      <c r="M5286">
        <f t="shared" si="165"/>
        <v>1</v>
      </c>
    </row>
    <row r="5287" spans="1:13" x14ac:dyDescent="0.3">
      <c r="A5287">
        <v>5285</v>
      </c>
      <c r="B5287">
        <v>5286</v>
      </c>
      <c r="C5287" t="s">
        <v>5366</v>
      </c>
      <c r="D5287">
        <v>2018</v>
      </c>
      <c r="F5287" t="s">
        <v>1038</v>
      </c>
      <c r="G5287">
        <v>0</v>
      </c>
      <c r="H5287">
        <v>0</v>
      </c>
      <c r="I5287">
        <v>1</v>
      </c>
      <c r="J5287">
        <v>0</v>
      </c>
      <c r="K5287">
        <v>0</v>
      </c>
      <c r="L5287">
        <f t="shared" si="164"/>
        <v>6.2</v>
      </c>
      <c r="M5287">
        <f t="shared" si="165"/>
        <v>1</v>
      </c>
    </row>
    <row r="5288" spans="1:13" x14ac:dyDescent="0.3">
      <c r="A5288">
        <v>5286</v>
      </c>
      <c r="B5288">
        <v>5287</v>
      </c>
      <c r="C5288" t="s">
        <v>5367</v>
      </c>
      <c r="D5288">
        <v>1974</v>
      </c>
      <c r="E5288" t="s">
        <v>14</v>
      </c>
      <c r="F5288" t="s">
        <v>1038</v>
      </c>
      <c r="G5288">
        <v>0</v>
      </c>
      <c r="H5288">
        <v>0</v>
      </c>
      <c r="I5288">
        <v>1</v>
      </c>
      <c r="J5288">
        <v>0</v>
      </c>
      <c r="K5288">
        <v>0</v>
      </c>
      <c r="L5288">
        <f t="shared" si="164"/>
        <v>6.2</v>
      </c>
      <c r="M5288">
        <f t="shared" si="165"/>
        <v>1</v>
      </c>
    </row>
    <row r="5289" spans="1:13" x14ac:dyDescent="0.3">
      <c r="A5289">
        <v>5287</v>
      </c>
      <c r="B5289">
        <v>5288</v>
      </c>
      <c r="C5289" t="s">
        <v>5368</v>
      </c>
      <c r="D5289">
        <v>1997</v>
      </c>
      <c r="E5289" t="s">
        <v>11</v>
      </c>
      <c r="F5289" t="s">
        <v>1038</v>
      </c>
      <c r="G5289">
        <v>0</v>
      </c>
      <c r="H5289">
        <v>0</v>
      </c>
      <c r="I5289">
        <v>1</v>
      </c>
      <c r="J5289">
        <v>0</v>
      </c>
      <c r="K5289">
        <v>0</v>
      </c>
      <c r="L5289">
        <f t="shared" si="164"/>
        <v>6.2</v>
      </c>
      <c r="M5289">
        <f t="shared" si="165"/>
        <v>1</v>
      </c>
    </row>
    <row r="5290" spans="1:13" x14ac:dyDescent="0.3">
      <c r="A5290">
        <v>5288</v>
      </c>
      <c r="B5290">
        <v>5289</v>
      </c>
      <c r="C5290" t="s">
        <v>5369</v>
      </c>
      <c r="D5290">
        <v>1964</v>
      </c>
      <c r="F5290" t="s">
        <v>1038</v>
      </c>
      <c r="G5290">
        <v>0</v>
      </c>
      <c r="H5290">
        <v>0</v>
      </c>
      <c r="I5290">
        <v>1</v>
      </c>
      <c r="J5290">
        <v>0</v>
      </c>
      <c r="K5290">
        <v>0</v>
      </c>
      <c r="L5290">
        <f t="shared" si="164"/>
        <v>6.2</v>
      </c>
      <c r="M5290">
        <f t="shared" si="165"/>
        <v>1</v>
      </c>
    </row>
    <row r="5291" spans="1:13" x14ac:dyDescent="0.3">
      <c r="A5291">
        <v>5289</v>
      </c>
      <c r="B5291">
        <v>5290</v>
      </c>
      <c r="C5291" t="s">
        <v>5370</v>
      </c>
      <c r="D5291">
        <v>2016</v>
      </c>
      <c r="E5291" t="s">
        <v>11</v>
      </c>
      <c r="F5291" t="s">
        <v>1038</v>
      </c>
      <c r="G5291">
        <v>0</v>
      </c>
      <c r="H5291">
        <v>0</v>
      </c>
      <c r="I5291">
        <v>1</v>
      </c>
      <c r="J5291">
        <v>0</v>
      </c>
      <c r="K5291">
        <v>0</v>
      </c>
      <c r="L5291">
        <f t="shared" si="164"/>
        <v>6.2</v>
      </c>
      <c r="M5291">
        <f t="shared" si="165"/>
        <v>1</v>
      </c>
    </row>
    <row r="5292" spans="1:13" x14ac:dyDescent="0.3">
      <c r="A5292">
        <v>5290</v>
      </c>
      <c r="B5292">
        <v>5291</v>
      </c>
      <c r="C5292" t="s">
        <v>5371</v>
      </c>
      <c r="D5292">
        <v>2018</v>
      </c>
      <c r="E5292" t="s">
        <v>14</v>
      </c>
      <c r="F5292" t="s">
        <v>1038</v>
      </c>
      <c r="G5292">
        <v>0</v>
      </c>
      <c r="H5292">
        <v>0</v>
      </c>
      <c r="I5292">
        <v>1</v>
      </c>
      <c r="J5292">
        <v>0</v>
      </c>
      <c r="K5292">
        <v>0</v>
      </c>
      <c r="L5292">
        <f t="shared" si="164"/>
        <v>6.2</v>
      </c>
      <c r="M5292">
        <f t="shared" si="165"/>
        <v>1</v>
      </c>
    </row>
    <row r="5293" spans="1:13" x14ac:dyDescent="0.3">
      <c r="A5293">
        <v>5291</v>
      </c>
      <c r="B5293">
        <v>5292</v>
      </c>
      <c r="C5293" t="s">
        <v>5372</v>
      </c>
      <c r="D5293">
        <v>2015</v>
      </c>
      <c r="E5293" t="s">
        <v>11</v>
      </c>
      <c r="F5293" t="s">
        <v>1038</v>
      </c>
      <c r="G5293">
        <v>0</v>
      </c>
      <c r="H5293">
        <v>0</v>
      </c>
      <c r="I5293">
        <v>1</v>
      </c>
      <c r="J5293">
        <v>0</v>
      </c>
      <c r="K5293">
        <v>0</v>
      </c>
      <c r="L5293">
        <f t="shared" si="164"/>
        <v>6.2</v>
      </c>
      <c r="M5293">
        <f t="shared" si="165"/>
        <v>1</v>
      </c>
    </row>
    <row r="5294" spans="1:13" x14ac:dyDescent="0.3">
      <c r="A5294">
        <v>5292</v>
      </c>
      <c r="B5294">
        <v>5293</v>
      </c>
      <c r="C5294" t="s">
        <v>5373</v>
      </c>
      <c r="D5294">
        <v>2005</v>
      </c>
      <c r="E5294" t="s">
        <v>22</v>
      </c>
      <c r="F5294" t="s">
        <v>1038</v>
      </c>
      <c r="G5294">
        <v>0</v>
      </c>
      <c r="H5294">
        <v>0</v>
      </c>
      <c r="I5294">
        <v>1</v>
      </c>
      <c r="J5294">
        <v>0</v>
      </c>
      <c r="K5294">
        <v>0</v>
      </c>
      <c r="L5294">
        <f t="shared" si="164"/>
        <v>6.2</v>
      </c>
      <c r="M5294">
        <f t="shared" si="165"/>
        <v>1</v>
      </c>
    </row>
    <row r="5295" spans="1:13" x14ac:dyDescent="0.3">
      <c r="A5295">
        <v>5293</v>
      </c>
      <c r="B5295">
        <v>5294</v>
      </c>
      <c r="C5295" t="s">
        <v>5374</v>
      </c>
      <c r="D5295">
        <v>2015</v>
      </c>
      <c r="E5295" t="s">
        <v>11</v>
      </c>
      <c r="F5295" t="s">
        <v>1038</v>
      </c>
      <c r="G5295">
        <v>0</v>
      </c>
      <c r="H5295">
        <v>0</v>
      </c>
      <c r="I5295">
        <v>1</v>
      </c>
      <c r="J5295">
        <v>0</v>
      </c>
      <c r="K5295">
        <v>0</v>
      </c>
      <c r="L5295">
        <f t="shared" si="164"/>
        <v>6.2</v>
      </c>
      <c r="M5295">
        <f t="shared" si="165"/>
        <v>1</v>
      </c>
    </row>
    <row r="5296" spans="1:13" x14ac:dyDescent="0.3">
      <c r="A5296">
        <v>5294</v>
      </c>
      <c r="B5296">
        <v>5295</v>
      </c>
      <c r="C5296" t="s">
        <v>5375</v>
      </c>
      <c r="D5296">
        <v>2018</v>
      </c>
      <c r="F5296" t="s">
        <v>1038</v>
      </c>
      <c r="G5296">
        <v>0</v>
      </c>
      <c r="H5296">
        <v>0</v>
      </c>
      <c r="I5296">
        <v>1</v>
      </c>
      <c r="J5296">
        <v>0</v>
      </c>
      <c r="K5296">
        <v>0</v>
      </c>
      <c r="L5296">
        <f t="shared" si="164"/>
        <v>6.2</v>
      </c>
      <c r="M5296">
        <f t="shared" si="165"/>
        <v>1</v>
      </c>
    </row>
    <row r="5297" spans="1:13" x14ac:dyDescent="0.3">
      <c r="A5297">
        <v>5295</v>
      </c>
      <c r="B5297">
        <v>5296</v>
      </c>
      <c r="C5297" t="s">
        <v>5376</v>
      </c>
      <c r="D5297">
        <v>2018</v>
      </c>
      <c r="F5297" t="s">
        <v>1038</v>
      </c>
      <c r="G5297">
        <v>0</v>
      </c>
      <c r="H5297">
        <v>0</v>
      </c>
      <c r="I5297">
        <v>1</v>
      </c>
      <c r="J5297">
        <v>0</v>
      </c>
      <c r="K5297">
        <v>0</v>
      </c>
      <c r="L5297">
        <f t="shared" si="164"/>
        <v>6.2</v>
      </c>
      <c r="M5297">
        <f t="shared" si="165"/>
        <v>1</v>
      </c>
    </row>
    <row r="5298" spans="1:13" x14ac:dyDescent="0.3">
      <c r="A5298">
        <v>5296</v>
      </c>
      <c r="B5298">
        <v>5297</v>
      </c>
      <c r="C5298" t="s">
        <v>5377</v>
      </c>
      <c r="D5298">
        <v>1953</v>
      </c>
      <c r="F5298" t="s">
        <v>1038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f t="shared" si="164"/>
        <v>6.2</v>
      </c>
      <c r="M5298">
        <f t="shared" si="165"/>
        <v>1</v>
      </c>
    </row>
    <row r="5299" spans="1:13" x14ac:dyDescent="0.3">
      <c r="A5299">
        <v>5297</v>
      </c>
      <c r="B5299">
        <v>5298</v>
      </c>
      <c r="C5299" t="s">
        <v>5378</v>
      </c>
      <c r="D5299">
        <v>1972</v>
      </c>
      <c r="E5299" t="s">
        <v>11</v>
      </c>
      <c r="F5299" t="s">
        <v>1038</v>
      </c>
      <c r="G5299">
        <v>0</v>
      </c>
      <c r="H5299">
        <v>0</v>
      </c>
      <c r="I5299">
        <v>1</v>
      </c>
      <c r="J5299">
        <v>0</v>
      </c>
      <c r="K5299">
        <v>0</v>
      </c>
      <c r="L5299">
        <f t="shared" si="164"/>
        <v>6.2</v>
      </c>
      <c r="M5299">
        <f t="shared" si="165"/>
        <v>1</v>
      </c>
    </row>
    <row r="5300" spans="1:13" x14ac:dyDescent="0.3">
      <c r="A5300">
        <v>5298</v>
      </c>
      <c r="B5300">
        <v>5299</v>
      </c>
      <c r="C5300" t="s">
        <v>5379</v>
      </c>
      <c r="D5300">
        <v>2014</v>
      </c>
      <c r="E5300" t="s">
        <v>14</v>
      </c>
      <c r="F5300" t="s">
        <v>1038</v>
      </c>
      <c r="G5300">
        <v>0</v>
      </c>
      <c r="H5300">
        <v>0</v>
      </c>
      <c r="I5300">
        <v>1</v>
      </c>
      <c r="J5300">
        <v>0</v>
      </c>
      <c r="K5300">
        <v>0</v>
      </c>
      <c r="L5300">
        <f t="shared" si="164"/>
        <v>6.2</v>
      </c>
      <c r="M5300">
        <f t="shared" si="165"/>
        <v>1</v>
      </c>
    </row>
    <row r="5301" spans="1:13" x14ac:dyDescent="0.3">
      <c r="A5301">
        <v>5299</v>
      </c>
      <c r="B5301">
        <v>5300</v>
      </c>
      <c r="C5301" t="s">
        <v>5380</v>
      </c>
      <c r="D5301">
        <v>1998</v>
      </c>
      <c r="F5301" t="s">
        <v>1038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f t="shared" si="164"/>
        <v>6.2</v>
      </c>
      <c r="M5301">
        <f t="shared" si="165"/>
        <v>1</v>
      </c>
    </row>
    <row r="5302" spans="1:13" x14ac:dyDescent="0.3">
      <c r="A5302">
        <v>5300</v>
      </c>
      <c r="B5302">
        <v>5301</v>
      </c>
      <c r="C5302" t="s">
        <v>5381</v>
      </c>
      <c r="D5302">
        <v>2002</v>
      </c>
      <c r="E5302" t="s">
        <v>11</v>
      </c>
      <c r="F5302" t="s">
        <v>1038</v>
      </c>
      <c r="G5302">
        <v>0</v>
      </c>
      <c r="H5302">
        <v>0</v>
      </c>
      <c r="I5302">
        <v>1</v>
      </c>
      <c r="J5302">
        <v>0</v>
      </c>
      <c r="K5302">
        <v>0</v>
      </c>
      <c r="L5302">
        <f t="shared" si="164"/>
        <v>6.2</v>
      </c>
      <c r="M5302">
        <f t="shared" si="165"/>
        <v>1</v>
      </c>
    </row>
    <row r="5303" spans="1:13" x14ac:dyDescent="0.3">
      <c r="A5303">
        <v>5301</v>
      </c>
      <c r="B5303">
        <v>5302</v>
      </c>
      <c r="C5303" t="s">
        <v>5382</v>
      </c>
      <c r="D5303">
        <v>1952</v>
      </c>
      <c r="F5303" t="s">
        <v>1038</v>
      </c>
      <c r="G5303">
        <v>0</v>
      </c>
      <c r="H5303">
        <v>0</v>
      </c>
      <c r="I5303">
        <v>1</v>
      </c>
      <c r="J5303">
        <v>0</v>
      </c>
      <c r="K5303">
        <v>0</v>
      </c>
      <c r="L5303">
        <f t="shared" si="164"/>
        <v>6.2</v>
      </c>
      <c r="M5303">
        <f t="shared" si="165"/>
        <v>1</v>
      </c>
    </row>
    <row r="5304" spans="1:13" x14ac:dyDescent="0.3">
      <c r="A5304">
        <v>5302</v>
      </c>
      <c r="B5304">
        <v>5303</v>
      </c>
      <c r="C5304" t="s">
        <v>5383</v>
      </c>
      <c r="D5304">
        <v>2018</v>
      </c>
      <c r="E5304" t="s">
        <v>11</v>
      </c>
      <c r="F5304" t="s">
        <v>1038</v>
      </c>
      <c r="G5304">
        <v>0</v>
      </c>
      <c r="H5304">
        <v>0</v>
      </c>
      <c r="I5304">
        <v>1</v>
      </c>
      <c r="J5304">
        <v>0</v>
      </c>
      <c r="K5304">
        <v>0</v>
      </c>
      <c r="L5304">
        <f t="shared" si="164"/>
        <v>6.2</v>
      </c>
      <c r="M5304">
        <f t="shared" si="165"/>
        <v>1</v>
      </c>
    </row>
    <row r="5305" spans="1:13" x14ac:dyDescent="0.3">
      <c r="A5305">
        <v>5303</v>
      </c>
      <c r="B5305">
        <v>5304</v>
      </c>
      <c r="C5305" t="s">
        <v>5384</v>
      </c>
      <c r="D5305">
        <v>1989</v>
      </c>
      <c r="E5305" t="s">
        <v>36</v>
      </c>
      <c r="F5305" t="s">
        <v>1038</v>
      </c>
      <c r="G5305">
        <v>0</v>
      </c>
      <c r="H5305">
        <v>0</v>
      </c>
      <c r="I5305">
        <v>1</v>
      </c>
      <c r="J5305">
        <v>0</v>
      </c>
      <c r="K5305">
        <v>0</v>
      </c>
      <c r="L5305">
        <f t="shared" si="164"/>
        <v>6.2</v>
      </c>
      <c r="M5305">
        <f t="shared" si="165"/>
        <v>1</v>
      </c>
    </row>
    <row r="5306" spans="1:13" x14ac:dyDescent="0.3">
      <c r="A5306">
        <v>5304</v>
      </c>
      <c r="B5306">
        <v>5305</v>
      </c>
      <c r="C5306" t="s">
        <v>5385</v>
      </c>
      <c r="D5306">
        <v>1985</v>
      </c>
      <c r="E5306" t="s">
        <v>22</v>
      </c>
      <c r="F5306" t="s">
        <v>1038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f t="shared" si="164"/>
        <v>6.2</v>
      </c>
      <c r="M5306">
        <f t="shared" si="165"/>
        <v>1</v>
      </c>
    </row>
    <row r="5307" spans="1:13" x14ac:dyDescent="0.3">
      <c r="A5307">
        <v>5305</v>
      </c>
      <c r="B5307">
        <v>5306</v>
      </c>
      <c r="C5307" t="s">
        <v>5386</v>
      </c>
      <c r="D5307">
        <v>2016</v>
      </c>
      <c r="E5307" t="s">
        <v>11</v>
      </c>
      <c r="F5307" t="s">
        <v>1038</v>
      </c>
      <c r="G5307">
        <v>0</v>
      </c>
      <c r="H5307">
        <v>0</v>
      </c>
      <c r="I5307">
        <v>1</v>
      </c>
      <c r="J5307">
        <v>0</v>
      </c>
      <c r="K5307">
        <v>0</v>
      </c>
      <c r="L5307">
        <f t="shared" si="164"/>
        <v>6.2</v>
      </c>
      <c r="M5307">
        <f t="shared" si="165"/>
        <v>1</v>
      </c>
    </row>
    <row r="5308" spans="1:13" x14ac:dyDescent="0.3">
      <c r="A5308">
        <v>5306</v>
      </c>
      <c r="B5308">
        <v>5307</v>
      </c>
      <c r="C5308" t="s">
        <v>5387</v>
      </c>
      <c r="D5308">
        <v>2016</v>
      </c>
      <c r="E5308" t="s">
        <v>11</v>
      </c>
      <c r="F5308" t="s">
        <v>1038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f t="shared" si="164"/>
        <v>6.2</v>
      </c>
      <c r="M5308">
        <f t="shared" si="165"/>
        <v>1</v>
      </c>
    </row>
    <row r="5309" spans="1:13" x14ac:dyDescent="0.3">
      <c r="A5309">
        <v>5307</v>
      </c>
      <c r="B5309">
        <v>5308</v>
      </c>
      <c r="C5309" t="s">
        <v>5388</v>
      </c>
      <c r="D5309">
        <v>2013</v>
      </c>
      <c r="E5309" t="s">
        <v>11</v>
      </c>
      <c r="F5309" t="s">
        <v>1038</v>
      </c>
      <c r="G5309">
        <v>0</v>
      </c>
      <c r="H5309">
        <v>0</v>
      </c>
      <c r="I5309">
        <v>1</v>
      </c>
      <c r="J5309">
        <v>0</v>
      </c>
      <c r="K5309">
        <v>0</v>
      </c>
      <c r="L5309">
        <f t="shared" si="164"/>
        <v>6.2</v>
      </c>
      <c r="M5309">
        <f t="shared" si="165"/>
        <v>1</v>
      </c>
    </row>
    <row r="5310" spans="1:13" x14ac:dyDescent="0.3">
      <c r="A5310">
        <v>5308</v>
      </c>
      <c r="B5310">
        <v>5309</v>
      </c>
      <c r="C5310" t="s">
        <v>5389</v>
      </c>
      <c r="D5310">
        <v>2010</v>
      </c>
      <c r="E5310" t="s">
        <v>11</v>
      </c>
      <c r="F5310" t="s">
        <v>1038</v>
      </c>
      <c r="G5310">
        <v>0</v>
      </c>
      <c r="H5310">
        <v>0</v>
      </c>
      <c r="I5310">
        <v>1</v>
      </c>
      <c r="J5310">
        <v>0</v>
      </c>
      <c r="K5310">
        <v>0</v>
      </c>
      <c r="L5310">
        <f t="shared" si="164"/>
        <v>6.2</v>
      </c>
      <c r="M5310">
        <f t="shared" si="165"/>
        <v>1</v>
      </c>
    </row>
    <row r="5311" spans="1:13" x14ac:dyDescent="0.3">
      <c r="A5311">
        <v>5309</v>
      </c>
      <c r="B5311">
        <v>5310</v>
      </c>
      <c r="C5311" t="s">
        <v>5390</v>
      </c>
      <c r="D5311">
        <v>1974</v>
      </c>
      <c r="E5311" t="s">
        <v>11</v>
      </c>
      <c r="F5311" t="s">
        <v>1038</v>
      </c>
      <c r="G5311">
        <v>0</v>
      </c>
      <c r="H5311">
        <v>0</v>
      </c>
      <c r="I5311">
        <v>1</v>
      </c>
      <c r="J5311">
        <v>0</v>
      </c>
      <c r="K5311">
        <v>0</v>
      </c>
      <c r="L5311">
        <f t="shared" si="164"/>
        <v>6.2</v>
      </c>
      <c r="M5311">
        <f t="shared" si="165"/>
        <v>1</v>
      </c>
    </row>
    <row r="5312" spans="1:13" x14ac:dyDescent="0.3">
      <c r="A5312">
        <v>5310</v>
      </c>
      <c r="B5312">
        <v>5311</v>
      </c>
      <c r="C5312" t="s">
        <v>5391</v>
      </c>
      <c r="D5312">
        <v>2017</v>
      </c>
      <c r="F5312" t="s">
        <v>1038</v>
      </c>
      <c r="G5312">
        <v>0</v>
      </c>
      <c r="H5312">
        <v>0</v>
      </c>
      <c r="I5312">
        <v>1</v>
      </c>
      <c r="J5312">
        <v>0</v>
      </c>
      <c r="K5312">
        <v>0</v>
      </c>
      <c r="L5312">
        <f t="shared" si="164"/>
        <v>6.2</v>
      </c>
      <c r="M5312">
        <f t="shared" si="165"/>
        <v>1</v>
      </c>
    </row>
    <row r="5313" spans="1:13" x14ac:dyDescent="0.3">
      <c r="A5313">
        <v>5311</v>
      </c>
      <c r="B5313">
        <v>5312</v>
      </c>
      <c r="C5313" t="s">
        <v>5392</v>
      </c>
      <c r="D5313">
        <v>2004</v>
      </c>
      <c r="E5313" t="s">
        <v>22</v>
      </c>
      <c r="F5313" t="s">
        <v>1038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f t="shared" si="164"/>
        <v>6.2</v>
      </c>
      <c r="M5313">
        <f t="shared" si="165"/>
        <v>1</v>
      </c>
    </row>
    <row r="5314" spans="1:13" x14ac:dyDescent="0.3">
      <c r="A5314">
        <v>5312</v>
      </c>
      <c r="B5314">
        <v>5313</v>
      </c>
      <c r="C5314" t="s">
        <v>5393</v>
      </c>
      <c r="D5314">
        <v>2015</v>
      </c>
      <c r="E5314" t="s">
        <v>11</v>
      </c>
      <c r="F5314" t="s">
        <v>1038</v>
      </c>
      <c r="G5314">
        <v>0</v>
      </c>
      <c r="H5314">
        <v>0</v>
      </c>
      <c r="I5314">
        <v>1</v>
      </c>
      <c r="J5314">
        <v>0</v>
      </c>
      <c r="K5314">
        <v>0</v>
      </c>
      <c r="L5314">
        <f t="shared" si="164"/>
        <v>6.2</v>
      </c>
      <c r="M5314">
        <f t="shared" si="165"/>
        <v>1</v>
      </c>
    </row>
    <row r="5315" spans="1:13" x14ac:dyDescent="0.3">
      <c r="A5315">
        <v>5313</v>
      </c>
      <c r="B5315">
        <v>5314</v>
      </c>
      <c r="C5315" t="s">
        <v>5394</v>
      </c>
      <c r="D5315">
        <v>2011</v>
      </c>
      <c r="E5315" t="s">
        <v>14</v>
      </c>
      <c r="F5315" t="s">
        <v>1038</v>
      </c>
      <c r="G5315">
        <v>0</v>
      </c>
      <c r="H5315">
        <v>0</v>
      </c>
      <c r="I5315">
        <v>1</v>
      </c>
      <c r="J5315">
        <v>0</v>
      </c>
      <c r="K5315">
        <v>0</v>
      </c>
      <c r="L5315">
        <f t="shared" ref="L5315:L5378" si="166">IFERROR(VALUE(LEFT(F5315,FIND("/",F5315)-1))/10,"")</f>
        <v>6.2</v>
      </c>
      <c r="M5315">
        <f t="shared" ref="M5315:M5378" si="167">SUM(G5315:J5315)</f>
        <v>1</v>
      </c>
    </row>
    <row r="5316" spans="1:13" x14ac:dyDescent="0.3">
      <c r="A5316">
        <v>5314</v>
      </c>
      <c r="B5316">
        <v>5315</v>
      </c>
      <c r="C5316">
        <v>360</v>
      </c>
      <c r="D5316">
        <v>2012</v>
      </c>
      <c r="E5316" t="s">
        <v>11</v>
      </c>
      <c r="F5316" t="s">
        <v>1038</v>
      </c>
      <c r="G5316">
        <v>0</v>
      </c>
      <c r="H5316">
        <v>0</v>
      </c>
      <c r="I5316">
        <v>1</v>
      </c>
      <c r="J5316">
        <v>0</v>
      </c>
      <c r="K5316">
        <v>0</v>
      </c>
      <c r="L5316">
        <f t="shared" si="166"/>
        <v>6.2</v>
      </c>
      <c r="M5316">
        <f t="shared" si="167"/>
        <v>1</v>
      </c>
    </row>
    <row r="5317" spans="1:13" x14ac:dyDescent="0.3">
      <c r="A5317">
        <v>5315</v>
      </c>
      <c r="B5317">
        <v>5316</v>
      </c>
      <c r="C5317" t="s">
        <v>5395</v>
      </c>
      <c r="D5317">
        <v>2011</v>
      </c>
      <c r="F5317" t="s">
        <v>1038</v>
      </c>
      <c r="G5317">
        <v>0</v>
      </c>
      <c r="H5317">
        <v>0</v>
      </c>
      <c r="I5317">
        <v>1</v>
      </c>
      <c r="J5317">
        <v>0</v>
      </c>
      <c r="K5317">
        <v>0</v>
      </c>
      <c r="L5317">
        <f t="shared" si="166"/>
        <v>6.2</v>
      </c>
      <c r="M5317">
        <f t="shared" si="167"/>
        <v>1</v>
      </c>
    </row>
    <row r="5318" spans="1:13" x14ac:dyDescent="0.3">
      <c r="A5318">
        <v>5316</v>
      </c>
      <c r="B5318">
        <v>5317</v>
      </c>
      <c r="C5318" t="s">
        <v>5396</v>
      </c>
      <c r="D5318">
        <v>1980</v>
      </c>
      <c r="E5318" t="s">
        <v>11</v>
      </c>
      <c r="F5318" t="s">
        <v>1038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f t="shared" si="166"/>
        <v>6.2</v>
      </c>
      <c r="M5318">
        <f t="shared" si="167"/>
        <v>1</v>
      </c>
    </row>
    <row r="5319" spans="1:13" x14ac:dyDescent="0.3">
      <c r="A5319">
        <v>5317</v>
      </c>
      <c r="B5319">
        <v>5318</v>
      </c>
      <c r="C5319" t="s">
        <v>5397</v>
      </c>
      <c r="D5319">
        <v>2009</v>
      </c>
      <c r="E5319" t="s">
        <v>14</v>
      </c>
      <c r="F5319" t="s">
        <v>1038</v>
      </c>
      <c r="G5319">
        <v>0</v>
      </c>
      <c r="H5319">
        <v>0</v>
      </c>
      <c r="I5319">
        <v>1</v>
      </c>
      <c r="J5319">
        <v>0</v>
      </c>
      <c r="K5319">
        <v>0</v>
      </c>
      <c r="L5319">
        <f t="shared" si="166"/>
        <v>6.2</v>
      </c>
      <c r="M5319">
        <f t="shared" si="167"/>
        <v>1</v>
      </c>
    </row>
    <row r="5320" spans="1:13" x14ac:dyDescent="0.3">
      <c r="A5320">
        <v>5318</v>
      </c>
      <c r="B5320">
        <v>5319</v>
      </c>
      <c r="C5320" t="s">
        <v>5398</v>
      </c>
      <c r="D5320">
        <v>2015</v>
      </c>
      <c r="F5320" t="s">
        <v>1038</v>
      </c>
      <c r="G5320">
        <v>0</v>
      </c>
      <c r="H5320">
        <v>0</v>
      </c>
      <c r="I5320">
        <v>1</v>
      </c>
      <c r="J5320">
        <v>0</v>
      </c>
      <c r="K5320">
        <v>0</v>
      </c>
      <c r="L5320">
        <f t="shared" si="166"/>
        <v>6.2</v>
      </c>
      <c r="M5320">
        <f t="shared" si="167"/>
        <v>1</v>
      </c>
    </row>
    <row r="5321" spans="1:13" x14ac:dyDescent="0.3">
      <c r="A5321">
        <v>5319</v>
      </c>
      <c r="B5321">
        <v>5320</v>
      </c>
      <c r="C5321" t="s">
        <v>5399</v>
      </c>
      <c r="D5321">
        <v>2009</v>
      </c>
      <c r="E5321" t="s">
        <v>11</v>
      </c>
      <c r="F5321" t="s">
        <v>1038</v>
      </c>
      <c r="G5321">
        <v>0</v>
      </c>
      <c r="H5321">
        <v>0</v>
      </c>
      <c r="I5321">
        <v>1</v>
      </c>
      <c r="J5321">
        <v>0</v>
      </c>
      <c r="K5321">
        <v>0</v>
      </c>
      <c r="L5321">
        <f t="shared" si="166"/>
        <v>6.2</v>
      </c>
      <c r="M5321">
        <f t="shared" si="167"/>
        <v>1</v>
      </c>
    </row>
    <row r="5322" spans="1:13" x14ac:dyDescent="0.3">
      <c r="A5322">
        <v>5320</v>
      </c>
      <c r="B5322">
        <v>5321</v>
      </c>
      <c r="C5322" t="s">
        <v>5400</v>
      </c>
      <c r="D5322">
        <v>2015</v>
      </c>
      <c r="E5322" t="s">
        <v>11</v>
      </c>
      <c r="F5322" t="s">
        <v>1038</v>
      </c>
      <c r="G5322">
        <v>0</v>
      </c>
      <c r="H5322">
        <v>0</v>
      </c>
      <c r="I5322">
        <v>1</v>
      </c>
      <c r="J5322">
        <v>0</v>
      </c>
      <c r="K5322">
        <v>0</v>
      </c>
      <c r="L5322">
        <f t="shared" si="166"/>
        <v>6.2</v>
      </c>
      <c r="M5322">
        <f t="shared" si="167"/>
        <v>1</v>
      </c>
    </row>
    <row r="5323" spans="1:13" x14ac:dyDescent="0.3">
      <c r="A5323">
        <v>5321</v>
      </c>
      <c r="B5323">
        <v>5322</v>
      </c>
      <c r="C5323" t="s">
        <v>5401</v>
      </c>
      <c r="D5323">
        <v>2005</v>
      </c>
      <c r="E5323" t="s">
        <v>11</v>
      </c>
      <c r="F5323" t="s">
        <v>1038</v>
      </c>
      <c r="G5323">
        <v>0</v>
      </c>
      <c r="H5323">
        <v>0</v>
      </c>
      <c r="I5323">
        <v>1</v>
      </c>
      <c r="J5323">
        <v>0</v>
      </c>
      <c r="K5323">
        <v>0</v>
      </c>
      <c r="L5323">
        <f t="shared" si="166"/>
        <v>6.2</v>
      </c>
      <c r="M5323">
        <f t="shared" si="167"/>
        <v>1</v>
      </c>
    </row>
    <row r="5324" spans="1:13" x14ac:dyDescent="0.3">
      <c r="A5324">
        <v>5322</v>
      </c>
      <c r="B5324">
        <v>5323</v>
      </c>
      <c r="C5324" t="s">
        <v>5402</v>
      </c>
      <c r="D5324">
        <v>1963</v>
      </c>
      <c r="E5324" t="s">
        <v>36</v>
      </c>
      <c r="F5324" t="s">
        <v>1038</v>
      </c>
      <c r="G5324">
        <v>0</v>
      </c>
      <c r="H5324">
        <v>0</v>
      </c>
      <c r="I5324">
        <v>1</v>
      </c>
      <c r="J5324">
        <v>0</v>
      </c>
      <c r="K5324">
        <v>0</v>
      </c>
      <c r="L5324">
        <f t="shared" si="166"/>
        <v>6.2</v>
      </c>
      <c r="M5324">
        <f t="shared" si="167"/>
        <v>1</v>
      </c>
    </row>
    <row r="5325" spans="1:13" x14ac:dyDescent="0.3">
      <c r="A5325">
        <v>5323</v>
      </c>
      <c r="B5325">
        <v>5324</v>
      </c>
      <c r="C5325" t="s">
        <v>5403</v>
      </c>
      <c r="D5325">
        <v>2009</v>
      </c>
      <c r="E5325" t="s">
        <v>14</v>
      </c>
      <c r="F5325" t="s">
        <v>1038</v>
      </c>
      <c r="G5325">
        <v>0</v>
      </c>
      <c r="H5325">
        <v>0</v>
      </c>
      <c r="I5325">
        <v>1</v>
      </c>
      <c r="J5325">
        <v>0</v>
      </c>
      <c r="K5325">
        <v>0</v>
      </c>
      <c r="L5325">
        <f t="shared" si="166"/>
        <v>6.2</v>
      </c>
      <c r="M5325">
        <f t="shared" si="167"/>
        <v>1</v>
      </c>
    </row>
    <row r="5326" spans="1:13" x14ac:dyDescent="0.3">
      <c r="A5326">
        <v>5324</v>
      </c>
      <c r="B5326">
        <v>5325</v>
      </c>
      <c r="C5326" t="s">
        <v>5404</v>
      </c>
      <c r="D5326">
        <v>1949</v>
      </c>
      <c r="F5326" t="s">
        <v>1105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f t="shared" si="166"/>
        <v>6.1</v>
      </c>
      <c r="M5326">
        <f t="shared" si="167"/>
        <v>1</v>
      </c>
    </row>
    <row r="5327" spans="1:13" x14ac:dyDescent="0.3">
      <c r="A5327">
        <v>5325</v>
      </c>
      <c r="B5327">
        <v>5326</v>
      </c>
      <c r="C5327" t="s">
        <v>5405</v>
      </c>
      <c r="D5327">
        <v>1990</v>
      </c>
      <c r="E5327" t="s">
        <v>11</v>
      </c>
      <c r="F5327" t="s">
        <v>1105</v>
      </c>
      <c r="G5327">
        <v>0</v>
      </c>
      <c r="H5327">
        <v>0</v>
      </c>
      <c r="I5327">
        <v>1</v>
      </c>
      <c r="J5327">
        <v>0</v>
      </c>
      <c r="K5327">
        <v>0</v>
      </c>
      <c r="L5327">
        <f t="shared" si="166"/>
        <v>6.1</v>
      </c>
      <c r="M5327">
        <f t="shared" si="167"/>
        <v>1</v>
      </c>
    </row>
    <row r="5328" spans="1:13" x14ac:dyDescent="0.3">
      <c r="A5328">
        <v>5326</v>
      </c>
      <c r="B5328">
        <v>5327</v>
      </c>
      <c r="C5328" t="s">
        <v>5406</v>
      </c>
      <c r="D5328">
        <v>2013</v>
      </c>
      <c r="E5328" t="s">
        <v>11</v>
      </c>
      <c r="F5328" t="s">
        <v>1105</v>
      </c>
      <c r="G5328">
        <v>0</v>
      </c>
      <c r="H5328">
        <v>0</v>
      </c>
      <c r="I5328">
        <v>1</v>
      </c>
      <c r="J5328">
        <v>0</v>
      </c>
      <c r="K5328">
        <v>0</v>
      </c>
      <c r="L5328">
        <f t="shared" si="166"/>
        <v>6.1</v>
      </c>
      <c r="M5328">
        <f t="shared" si="167"/>
        <v>1</v>
      </c>
    </row>
    <row r="5329" spans="1:13" x14ac:dyDescent="0.3">
      <c r="A5329">
        <v>5327</v>
      </c>
      <c r="B5329">
        <v>5328</v>
      </c>
      <c r="C5329" t="s">
        <v>5407</v>
      </c>
      <c r="D5329">
        <v>2020</v>
      </c>
      <c r="E5329" t="s">
        <v>11</v>
      </c>
      <c r="F5329" t="s">
        <v>1105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f t="shared" si="166"/>
        <v>6.1</v>
      </c>
      <c r="M5329">
        <f t="shared" si="167"/>
        <v>1</v>
      </c>
    </row>
    <row r="5330" spans="1:13" x14ac:dyDescent="0.3">
      <c r="A5330">
        <v>5328</v>
      </c>
      <c r="B5330">
        <v>5329</v>
      </c>
      <c r="C5330" t="s">
        <v>5408</v>
      </c>
      <c r="D5330">
        <v>2017</v>
      </c>
      <c r="E5330" t="s">
        <v>11</v>
      </c>
      <c r="F5330" t="s">
        <v>1105</v>
      </c>
      <c r="G5330">
        <v>0</v>
      </c>
      <c r="H5330">
        <v>0</v>
      </c>
      <c r="I5330">
        <v>1</v>
      </c>
      <c r="J5330">
        <v>0</v>
      </c>
      <c r="K5330">
        <v>0</v>
      </c>
      <c r="L5330">
        <f t="shared" si="166"/>
        <v>6.1</v>
      </c>
      <c r="M5330">
        <f t="shared" si="167"/>
        <v>1</v>
      </c>
    </row>
    <row r="5331" spans="1:13" x14ac:dyDescent="0.3">
      <c r="A5331">
        <v>5329</v>
      </c>
      <c r="B5331">
        <v>5330</v>
      </c>
      <c r="C5331" t="s">
        <v>5409</v>
      </c>
      <c r="D5331">
        <v>2014</v>
      </c>
      <c r="F5331" t="s">
        <v>1105</v>
      </c>
      <c r="G5331">
        <v>0</v>
      </c>
      <c r="H5331">
        <v>0</v>
      </c>
      <c r="I5331">
        <v>1</v>
      </c>
      <c r="J5331">
        <v>0</v>
      </c>
      <c r="K5331">
        <v>0</v>
      </c>
      <c r="L5331">
        <f t="shared" si="166"/>
        <v>6.1</v>
      </c>
      <c r="M5331">
        <f t="shared" si="167"/>
        <v>1</v>
      </c>
    </row>
    <row r="5332" spans="1:13" x14ac:dyDescent="0.3">
      <c r="A5332">
        <v>5330</v>
      </c>
      <c r="B5332">
        <v>5331</v>
      </c>
      <c r="C5332" t="s">
        <v>5410</v>
      </c>
      <c r="D5332">
        <v>2006</v>
      </c>
      <c r="E5332" t="s">
        <v>22</v>
      </c>
      <c r="F5332" t="s">
        <v>1105</v>
      </c>
      <c r="G5332">
        <v>0</v>
      </c>
      <c r="H5332">
        <v>0</v>
      </c>
      <c r="I5332">
        <v>1</v>
      </c>
      <c r="J5332">
        <v>0</v>
      </c>
      <c r="K5332">
        <v>0</v>
      </c>
      <c r="L5332">
        <f t="shared" si="166"/>
        <v>6.1</v>
      </c>
      <c r="M5332">
        <f t="shared" si="167"/>
        <v>1</v>
      </c>
    </row>
    <row r="5333" spans="1:13" x14ac:dyDescent="0.3">
      <c r="A5333">
        <v>5331</v>
      </c>
      <c r="B5333">
        <v>5332</v>
      </c>
      <c r="C5333" t="s">
        <v>5411</v>
      </c>
      <c r="D5333">
        <v>1995</v>
      </c>
      <c r="E5333" t="s">
        <v>22</v>
      </c>
      <c r="F5333" t="s">
        <v>1105</v>
      </c>
      <c r="G5333">
        <v>0</v>
      </c>
      <c r="H5333">
        <v>0</v>
      </c>
      <c r="I5333">
        <v>1</v>
      </c>
      <c r="J5333">
        <v>0</v>
      </c>
      <c r="K5333">
        <v>0</v>
      </c>
      <c r="L5333">
        <f t="shared" si="166"/>
        <v>6.1</v>
      </c>
      <c r="M5333">
        <f t="shared" si="167"/>
        <v>1</v>
      </c>
    </row>
    <row r="5334" spans="1:13" x14ac:dyDescent="0.3">
      <c r="A5334">
        <v>5332</v>
      </c>
      <c r="B5334">
        <v>5333</v>
      </c>
      <c r="C5334" t="s">
        <v>5412</v>
      </c>
      <c r="D5334">
        <v>2013</v>
      </c>
      <c r="E5334" t="s">
        <v>11</v>
      </c>
      <c r="F5334" t="s">
        <v>1105</v>
      </c>
      <c r="G5334">
        <v>0</v>
      </c>
      <c r="H5334">
        <v>0</v>
      </c>
      <c r="I5334">
        <v>1</v>
      </c>
      <c r="J5334">
        <v>0</v>
      </c>
      <c r="K5334">
        <v>0</v>
      </c>
      <c r="L5334">
        <f t="shared" si="166"/>
        <v>6.1</v>
      </c>
      <c r="M5334">
        <f t="shared" si="167"/>
        <v>1</v>
      </c>
    </row>
    <row r="5335" spans="1:13" x14ac:dyDescent="0.3">
      <c r="A5335">
        <v>5333</v>
      </c>
      <c r="B5335">
        <v>5334</v>
      </c>
      <c r="C5335" t="s">
        <v>5413</v>
      </c>
      <c r="D5335">
        <v>2021</v>
      </c>
      <c r="F5335" t="s">
        <v>1105</v>
      </c>
      <c r="G5335">
        <v>0</v>
      </c>
      <c r="H5335">
        <v>0</v>
      </c>
      <c r="I5335">
        <v>1</v>
      </c>
      <c r="J5335">
        <v>0</v>
      </c>
      <c r="K5335">
        <v>0</v>
      </c>
      <c r="L5335">
        <f t="shared" si="166"/>
        <v>6.1</v>
      </c>
      <c r="M5335">
        <f t="shared" si="167"/>
        <v>1</v>
      </c>
    </row>
    <row r="5336" spans="1:13" x14ac:dyDescent="0.3">
      <c r="A5336">
        <v>5334</v>
      </c>
      <c r="B5336">
        <v>5335</v>
      </c>
      <c r="C5336" t="s">
        <v>5414</v>
      </c>
      <c r="D5336">
        <v>2013</v>
      </c>
      <c r="E5336" t="s">
        <v>11</v>
      </c>
      <c r="F5336" t="s">
        <v>1105</v>
      </c>
      <c r="G5336">
        <v>0</v>
      </c>
      <c r="H5336">
        <v>0</v>
      </c>
      <c r="I5336">
        <v>1</v>
      </c>
      <c r="J5336">
        <v>0</v>
      </c>
      <c r="K5336">
        <v>0</v>
      </c>
      <c r="L5336">
        <f t="shared" si="166"/>
        <v>6.1</v>
      </c>
      <c r="M5336">
        <f t="shared" si="167"/>
        <v>1</v>
      </c>
    </row>
    <row r="5337" spans="1:13" x14ac:dyDescent="0.3">
      <c r="A5337">
        <v>5335</v>
      </c>
      <c r="B5337">
        <v>5336</v>
      </c>
      <c r="C5337" t="s">
        <v>5415</v>
      </c>
      <c r="D5337">
        <v>2019</v>
      </c>
      <c r="F5337" t="s">
        <v>1105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f t="shared" si="166"/>
        <v>6.1</v>
      </c>
      <c r="M5337">
        <f t="shared" si="167"/>
        <v>1</v>
      </c>
    </row>
    <row r="5338" spans="1:13" x14ac:dyDescent="0.3">
      <c r="A5338">
        <v>5336</v>
      </c>
      <c r="B5338">
        <v>5337</v>
      </c>
      <c r="C5338" t="s">
        <v>5416</v>
      </c>
      <c r="D5338">
        <v>1971</v>
      </c>
      <c r="E5338" t="s">
        <v>11</v>
      </c>
      <c r="F5338" t="s">
        <v>1105</v>
      </c>
      <c r="G5338">
        <v>0</v>
      </c>
      <c r="H5338">
        <v>0</v>
      </c>
      <c r="I5338">
        <v>1</v>
      </c>
      <c r="J5338">
        <v>0</v>
      </c>
      <c r="K5338">
        <v>0</v>
      </c>
      <c r="L5338">
        <f t="shared" si="166"/>
        <v>6.1</v>
      </c>
      <c r="M5338">
        <f t="shared" si="167"/>
        <v>1</v>
      </c>
    </row>
    <row r="5339" spans="1:13" x14ac:dyDescent="0.3">
      <c r="A5339">
        <v>5337</v>
      </c>
      <c r="B5339">
        <v>5338</v>
      </c>
      <c r="C5339" t="s">
        <v>5417</v>
      </c>
      <c r="D5339">
        <v>2019</v>
      </c>
      <c r="F5339" t="s">
        <v>1105</v>
      </c>
      <c r="G5339">
        <v>0</v>
      </c>
      <c r="H5339">
        <v>0</v>
      </c>
      <c r="I5339">
        <v>1</v>
      </c>
      <c r="J5339">
        <v>0</v>
      </c>
      <c r="K5339">
        <v>0</v>
      </c>
      <c r="L5339">
        <f t="shared" si="166"/>
        <v>6.1</v>
      </c>
      <c r="M5339">
        <f t="shared" si="167"/>
        <v>1</v>
      </c>
    </row>
    <row r="5340" spans="1:13" x14ac:dyDescent="0.3">
      <c r="A5340">
        <v>5338</v>
      </c>
      <c r="B5340">
        <v>5339</v>
      </c>
      <c r="C5340" t="s">
        <v>5418</v>
      </c>
      <c r="D5340">
        <v>2015</v>
      </c>
      <c r="E5340" t="s">
        <v>11</v>
      </c>
      <c r="F5340" t="s">
        <v>1105</v>
      </c>
      <c r="G5340">
        <v>0</v>
      </c>
      <c r="H5340">
        <v>0</v>
      </c>
      <c r="I5340">
        <v>1</v>
      </c>
      <c r="J5340">
        <v>0</v>
      </c>
      <c r="K5340">
        <v>0</v>
      </c>
      <c r="L5340">
        <f t="shared" si="166"/>
        <v>6.1</v>
      </c>
      <c r="M5340">
        <f t="shared" si="167"/>
        <v>1</v>
      </c>
    </row>
    <row r="5341" spans="1:13" x14ac:dyDescent="0.3">
      <c r="A5341">
        <v>5339</v>
      </c>
      <c r="B5341">
        <v>5340</v>
      </c>
      <c r="C5341" t="s">
        <v>5419</v>
      </c>
      <c r="D5341">
        <v>2018</v>
      </c>
      <c r="F5341" t="s">
        <v>1105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f t="shared" si="166"/>
        <v>6.1</v>
      </c>
      <c r="M5341">
        <f t="shared" si="167"/>
        <v>1</v>
      </c>
    </row>
    <row r="5342" spans="1:13" x14ac:dyDescent="0.3">
      <c r="A5342">
        <v>5340</v>
      </c>
      <c r="B5342">
        <v>5341</v>
      </c>
      <c r="C5342" t="s">
        <v>5420</v>
      </c>
      <c r="D5342">
        <v>2016</v>
      </c>
      <c r="E5342" t="s">
        <v>11</v>
      </c>
      <c r="F5342" t="s">
        <v>1105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f t="shared" si="166"/>
        <v>6.1</v>
      </c>
      <c r="M5342">
        <f t="shared" si="167"/>
        <v>1</v>
      </c>
    </row>
    <row r="5343" spans="1:13" x14ac:dyDescent="0.3">
      <c r="A5343">
        <v>5341</v>
      </c>
      <c r="B5343">
        <v>5342</v>
      </c>
      <c r="C5343" t="s">
        <v>5421</v>
      </c>
      <c r="D5343">
        <v>1973</v>
      </c>
      <c r="E5343" t="s">
        <v>11</v>
      </c>
      <c r="F5343" t="s">
        <v>1105</v>
      </c>
      <c r="G5343">
        <v>0</v>
      </c>
      <c r="H5343">
        <v>0</v>
      </c>
      <c r="I5343">
        <v>1</v>
      </c>
      <c r="J5343">
        <v>0</v>
      </c>
      <c r="K5343">
        <v>0</v>
      </c>
      <c r="L5343">
        <f t="shared" si="166"/>
        <v>6.1</v>
      </c>
      <c r="M5343">
        <f t="shared" si="167"/>
        <v>1</v>
      </c>
    </row>
    <row r="5344" spans="1:13" x14ac:dyDescent="0.3">
      <c r="A5344">
        <v>5342</v>
      </c>
      <c r="B5344">
        <v>5343</v>
      </c>
      <c r="C5344" t="s">
        <v>5422</v>
      </c>
      <c r="D5344">
        <v>2007</v>
      </c>
      <c r="E5344" t="s">
        <v>11</v>
      </c>
      <c r="F5344" t="s">
        <v>1105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f t="shared" si="166"/>
        <v>6.1</v>
      </c>
      <c r="M5344">
        <f t="shared" si="167"/>
        <v>1</v>
      </c>
    </row>
    <row r="5345" spans="1:13" x14ac:dyDescent="0.3">
      <c r="A5345">
        <v>5343</v>
      </c>
      <c r="B5345">
        <v>5344</v>
      </c>
      <c r="C5345" t="s">
        <v>5423</v>
      </c>
      <c r="D5345">
        <v>2007</v>
      </c>
      <c r="E5345" t="s">
        <v>22</v>
      </c>
      <c r="F5345" t="s">
        <v>1105</v>
      </c>
      <c r="G5345">
        <v>0</v>
      </c>
      <c r="H5345">
        <v>0</v>
      </c>
      <c r="I5345">
        <v>1</v>
      </c>
      <c r="J5345">
        <v>0</v>
      </c>
      <c r="K5345">
        <v>0</v>
      </c>
      <c r="L5345">
        <f t="shared" si="166"/>
        <v>6.1</v>
      </c>
      <c r="M5345">
        <f t="shared" si="167"/>
        <v>1</v>
      </c>
    </row>
    <row r="5346" spans="1:13" x14ac:dyDescent="0.3">
      <c r="A5346">
        <v>5344</v>
      </c>
      <c r="B5346">
        <v>5345</v>
      </c>
      <c r="C5346" t="s">
        <v>5424</v>
      </c>
      <c r="D5346">
        <v>2013</v>
      </c>
      <c r="F5346" t="s">
        <v>1105</v>
      </c>
      <c r="G5346">
        <v>0</v>
      </c>
      <c r="H5346">
        <v>0</v>
      </c>
      <c r="I5346">
        <v>1</v>
      </c>
      <c r="J5346">
        <v>0</v>
      </c>
      <c r="K5346">
        <v>0</v>
      </c>
      <c r="L5346">
        <f t="shared" si="166"/>
        <v>6.1</v>
      </c>
      <c r="M5346">
        <f t="shared" si="167"/>
        <v>1</v>
      </c>
    </row>
    <row r="5347" spans="1:13" x14ac:dyDescent="0.3">
      <c r="A5347">
        <v>5345</v>
      </c>
      <c r="B5347">
        <v>5346</v>
      </c>
      <c r="C5347" t="s">
        <v>5425</v>
      </c>
      <c r="D5347">
        <v>2018</v>
      </c>
      <c r="E5347" t="s">
        <v>11</v>
      </c>
      <c r="F5347" t="s">
        <v>1105</v>
      </c>
      <c r="G5347">
        <v>0</v>
      </c>
      <c r="H5347">
        <v>0</v>
      </c>
      <c r="I5347">
        <v>1</v>
      </c>
      <c r="J5347">
        <v>0</v>
      </c>
      <c r="K5347">
        <v>0</v>
      </c>
      <c r="L5347">
        <f t="shared" si="166"/>
        <v>6.1</v>
      </c>
      <c r="M5347">
        <f t="shared" si="167"/>
        <v>1</v>
      </c>
    </row>
    <row r="5348" spans="1:13" x14ac:dyDescent="0.3">
      <c r="A5348">
        <v>5346</v>
      </c>
      <c r="B5348">
        <v>5347</v>
      </c>
      <c r="C5348" t="s">
        <v>5426</v>
      </c>
      <c r="D5348">
        <v>1992</v>
      </c>
      <c r="E5348" t="s">
        <v>11</v>
      </c>
      <c r="F5348" t="s">
        <v>1105</v>
      </c>
      <c r="G5348">
        <v>0</v>
      </c>
      <c r="H5348">
        <v>0</v>
      </c>
      <c r="I5348">
        <v>1</v>
      </c>
      <c r="J5348">
        <v>0</v>
      </c>
      <c r="K5348">
        <v>0</v>
      </c>
      <c r="L5348">
        <f t="shared" si="166"/>
        <v>6.1</v>
      </c>
      <c r="M5348">
        <f t="shared" si="167"/>
        <v>1</v>
      </c>
    </row>
    <row r="5349" spans="1:13" x14ac:dyDescent="0.3">
      <c r="A5349">
        <v>5347</v>
      </c>
      <c r="B5349">
        <v>5348</v>
      </c>
      <c r="C5349" t="s">
        <v>5427</v>
      </c>
      <c r="D5349">
        <v>2000</v>
      </c>
      <c r="E5349" t="s">
        <v>22</v>
      </c>
      <c r="F5349" t="s">
        <v>1105</v>
      </c>
      <c r="G5349">
        <v>0</v>
      </c>
      <c r="H5349">
        <v>0</v>
      </c>
      <c r="I5349">
        <v>1</v>
      </c>
      <c r="J5349">
        <v>0</v>
      </c>
      <c r="K5349">
        <v>0</v>
      </c>
      <c r="L5349">
        <f t="shared" si="166"/>
        <v>6.1</v>
      </c>
      <c r="M5349">
        <f t="shared" si="167"/>
        <v>1</v>
      </c>
    </row>
    <row r="5350" spans="1:13" x14ac:dyDescent="0.3">
      <c r="A5350">
        <v>5348</v>
      </c>
      <c r="B5350">
        <v>5349</v>
      </c>
      <c r="C5350" t="s">
        <v>5428</v>
      </c>
      <c r="D5350">
        <v>1934</v>
      </c>
      <c r="F5350" t="s">
        <v>1105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f t="shared" si="166"/>
        <v>6.1</v>
      </c>
      <c r="M5350">
        <f t="shared" si="167"/>
        <v>1</v>
      </c>
    </row>
    <row r="5351" spans="1:13" x14ac:dyDescent="0.3">
      <c r="A5351">
        <v>5349</v>
      </c>
      <c r="B5351">
        <v>5350</v>
      </c>
      <c r="C5351" t="s">
        <v>5429</v>
      </c>
      <c r="D5351">
        <v>2009</v>
      </c>
      <c r="E5351" t="s">
        <v>11</v>
      </c>
      <c r="F5351" t="s">
        <v>1105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f t="shared" si="166"/>
        <v>6.1</v>
      </c>
      <c r="M5351">
        <f t="shared" si="167"/>
        <v>1</v>
      </c>
    </row>
    <row r="5352" spans="1:13" x14ac:dyDescent="0.3">
      <c r="A5352">
        <v>5350</v>
      </c>
      <c r="B5352">
        <v>5351</v>
      </c>
      <c r="C5352" t="s">
        <v>5430</v>
      </c>
      <c r="D5352">
        <v>1998</v>
      </c>
      <c r="E5352" t="s">
        <v>11</v>
      </c>
      <c r="F5352" t="s">
        <v>1105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f t="shared" si="166"/>
        <v>6.1</v>
      </c>
      <c r="M5352">
        <f t="shared" si="167"/>
        <v>1</v>
      </c>
    </row>
    <row r="5353" spans="1:13" x14ac:dyDescent="0.3">
      <c r="A5353">
        <v>5351</v>
      </c>
      <c r="B5353">
        <v>5352</v>
      </c>
      <c r="C5353" t="s">
        <v>5431</v>
      </c>
      <c r="D5353">
        <v>2020</v>
      </c>
      <c r="E5353" t="s">
        <v>11</v>
      </c>
      <c r="F5353" t="s">
        <v>1105</v>
      </c>
      <c r="G5353">
        <v>0</v>
      </c>
      <c r="H5353">
        <v>0</v>
      </c>
      <c r="I5353">
        <v>1</v>
      </c>
      <c r="J5353">
        <v>0</v>
      </c>
      <c r="K5353">
        <v>0</v>
      </c>
      <c r="L5353">
        <f t="shared" si="166"/>
        <v>6.1</v>
      </c>
      <c r="M5353">
        <f t="shared" si="167"/>
        <v>1</v>
      </c>
    </row>
    <row r="5354" spans="1:13" x14ac:dyDescent="0.3">
      <c r="A5354">
        <v>5352</v>
      </c>
      <c r="B5354">
        <v>5353</v>
      </c>
      <c r="C5354" t="s">
        <v>5432</v>
      </c>
      <c r="D5354">
        <v>2008</v>
      </c>
      <c r="E5354" t="s">
        <v>22</v>
      </c>
      <c r="F5354" t="s">
        <v>1105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f t="shared" si="166"/>
        <v>6.1</v>
      </c>
      <c r="M5354">
        <f t="shared" si="167"/>
        <v>1</v>
      </c>
    </row>
    <row r="5355" spans="1:13" x14ac:dyDescent="0.3">
      <c r="A5355">
        <v>5353</v>
      </c>
      <c r="B5355">
        <v>5354</v>
      </c>
      <c r="C5355" t="s">
        <v>5433</v>
      </c>
      <c r="D5355">
        <v>2006</v>
      </c>
      <c r="F5355" t="s">
        <v>1105</v>
      </c>
      <c r="G5355">
        <v>0</v>
      </c>
      <c r="H5355">
        <v>0</v>
      </c>
      <c r="I5355">
        <v>1</v>
      </c>
      <c r="J5355">
        <v>0</v>
      </c>
      <c r="K5355">
        <v>0</v>
      </c>
      <c r="L5355">
        <f t="shared" si="166"/>
        <v>6.1</v>
      </c>
      <c r="M5355">
        <f t="shared" si="167"/>
        <v>1</v>
      </c>
    </row>
    <row r="5356" spans="1:13" x14ac:dyDescent="0.3">
      <c r="A5356">
        <v>5354</v>
      </c>
      <c r="B5356">
        <v>5355</v>
      </c>
      <c r="C5356" t="s">
        <v>5434</v>
      </c>
      <c r="D5356">
        <v>2010</v>
      </c>
      <c r="E5356" t="s">
        <v>14</v>
      </c>
      <c r="F5356" t="s">
        <v>1105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f t="shared" si="166"/>
        <v>6.1</v>
      </c>
      <c r="M5356">
        <f t="shared" si="167"/>
        <v>1</v>
      </c>
    </row>
    <row r="5357" spans="1:13" x14ac:dyDescent="0.3">
      <c r="A5357">
        <v>5355</v>
      </c>
      <c r="B5357">
        <v>5356</v>
      </c>
      <c r="C5357" t="s">
        <v>5435</v>
      </c>
      <c r="D5357">
        <v>2011</v>
      </c>
      <c r="E5357" t="s">
        <v>22</v>
      </c>
      <c r="F5357" t="s">
        <v>1105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f t="shared" si="166"/>
        <v>6.1</v>
      </c>
      <c r="M5357">
        <f t="shared" si="167"/>
        <v>1</v>
      </c>
    </row>
    <row r="5358" spans="1:13" x14ac:dyDescent="0.3">
      <c r="A5358">
        <v>5356</v>
      </c>
      <c r="B5358">
        <v>5357</v>
      </c>
      <c r="C5358" t="s">
        <v>5436</v>
      </c>
      <c r="D5358">
        <v>2010</v>
      </c>
      <c r="E5358" t="s">
        <v>11</v>
      </c>
      <c r="F5358" t="s">
        <v>1105</v>
      </c>
      <c r="G5358">
        <v>0</v>
      </c>
      <c r="H5358">
        <v>0</v>
      </c>
      <c r="I5358">
        <v>1</v>
      </c>
      <c r="J5358">
        <v>0</v>
      </c>
      <c r="K5358">
        <v>0</v>
      </c>
      <c r="L5358">
        <f t="shared" si="166"/>
        <v>6.1</v>
      </c>
      <c r="M5358">
        <f t="shared" si="167"/>
        <v>1</v>
      </c>
    </row>
    <row r="5359" spans="1:13" x14ac:dyDescent="0.3">
      <c r="A5359">
        <v>5357</v>
      </c>
      <c r="B5359">
        <v>5358</v>
      </c>
      <c r="C5359" t="s">
        <v>5437</v>
      </c>
      <c r="D5359">
        <v>1972</v>
      </c>
      <c r="E5359" t="s">
        <v>11</v>
      </c>
      <c r="F5359" t="s">
        <v>1105</v>
      </c>
      <c r="G5359">
        <v>0</v>
      </c>
      <c r="H5359">
        <v>0</v>
      </c>
      <c r="I5359">
        <v>1</v>
      </c>
      <c r="J5359">
        <v>0</v>
      </c>
      <c r="K5359">
        <v>0</v>
      </c>
      <c r="L5359">
        <f t="shared" si="166"/>
        <v>6.1</v>
      </c>
      <c r="M5359">
        <f t="shared" si="167"/>
        <v>1</v>
      </c>
    </row>
    <row r="5360" spans="1:13" x14ac:dyDescent="0.3">
      <c r="A5360">
        <v>5358</v>
      </c>
      <c r="B5360">
        <v>5359</v>
      </c>
      <c r="C5360" t="s">
        <v>5438</v>
      </c>
      <c r="D5360">
        <v>2002</v>
      </c>
      <c r="E5360" t="s">
        <v>14</v>
      </c>
      <c r="F5360" t="s">
        <v>1105</v>
      </c>
      <c r="G5360">
        <v>0</v>
      </c>
      <c r="H5360">
        <v>0</v>
      </c>
      <c r="I5360">
        <v>1</v>
      </c>
      <c r="J5360">
        <v>0</v>
      </c>
      <c r="K5360">
        <v>0</v>
      </c>
      <c r="L5360">
        <f t="shared" si="166"/>
        <v>6.1</v>
      </c>
      <c r="M5360">
        <f t="shared" si="167"/>
        <v>1</v>
      </c>
    </row>
    <row r="5361" spans="1:13" x14ac:dyDescent="0.3">
      <c r="A5361">
        <v>5359</v>
      </c>
      <c r="B5361">
        <v>5360</v>
      </c>
      <c r="C5361" t="s">
        <v>5439</v>
      </c>
      <c r="D5361">
        <v>2015</v>
      </c>
      <c r="E5361" t="s">
        <v>11</v>
      </c>
      <c r="F5361" t="s">
        <v>1105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f t="shared" si="166"/>
        <v>6.1</v>
      </c>
      <c r="M5361">
        <f t="shared" si="167"/>
        <v>1</v>
      </c>
    </row>
    <row r="5362" spans="1:13" x14ac:dyDescent="0.3">
      <c r="A5362">
        <v>5360</v>
      </c>
      <c r="B5362">
        <v>5361</v>
      </c>
      <c r="C5362" t="s">
        <v>5440</v>
      </c>
      <c r="D5362">
        <v>2020</v>
      </c>
      <c r="F5362" t="s">
        <v>1105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f t="shared" si="166"/>
        <v>6.1</v>
      </c>
      <c r="M5362">
        <f t="shared" si="167"/>
        <v>1</v>
      </c>
    </row>
    <row r="5363" spans="1:13" x14ac:dyDescent="0.3">
      <c r="A5363">
        <v>5361</v>
      </c>
      <c r="B5363">
        <v>5362</v>
      </c>
      <c r="C5363" t="s">
        <v>5441</v>
      </c>
      <c r="D5363">
        <v>1991</v>
      </c>
      <c r="E5363" t="s">
        <v>22</v>
      </c>
      <c r="F5363" t="s">
        <v>1105</v>
      </c>
      <c r="G5363">
        <v>0</v>
      </c>
      <c r="H5363">
        <v>0</v>
      </c>
      <c r="I5363">
        <v>1</v>
      </c>
      <c r="J5363">
        <v>0</v>
      </c>
      <c r="K5363">
        <v>0</v>
      </c>
      <c r="L5363">
        <f t="shared" si="166"/>
        <v>6.1</v>
      </c>
      <c r="M5363">
        <f t="shared" si="167"/>
        <v>1</v>
      </c>
    </row>
    <row r="5364" spans="1:13" x14ac:dyDescent="0.3">
      <c r="A5364">
        <v>5362</v>
      </c>
      <c r="B5364">
        <v>5363</v>
      </c>
      <c r="C5364" t="s">
        <v>5442</v>
      </c>
      <c r="D5364">
        <v>2007</v>
      </c>
      <c r="E5364" t="s">
        <v>22</v>
      </c>
      <c r="F5364" t="s">
        <v>1105</v>
      </c>
      <c r="G5364">
        <v>0</v>
      </c>
      <c r="H5364">
        <v>0</v>
      </c>
      <c r="I5364">
        <v>1</v>
      </c>
      <c r="J5364">
        <v>0</v>
      </c>
      <c r="K5364">
        <v>0</v>
      </c>
      <c r="L5364">
        <f t="shared" si="166"/>
        <v>6.1</v>
      </c>
      <c r="M5364">
        <f t="shared" si="167"/>
        <v>1</v>
      </c>
    </row>
    <row r="5365" spans="1:13" x14ac:dyDescent="0.3">
      <c r="A5365">
        <v>5363</v>
      </c>
      <c r="B5365">
        <v>5364</v>
      </c>
      <c r="C5365" t="s">
        <v>5443</v>
      </c>
      <c r="D5365">
        <v>1999</v>
      </c>
      <c r="E5365" t="s">
        <v>36</v>
      </c>
      <c r="F5365" t="s">
        <v>1105</v>
      </c>
      <c r="G5365">
        <v>0</v>
      </c>
      <c r="H5365">
        <v>0</v>
      </c>
      <c r="I5365">
        <v>1</v>
      </c>
      <c r="J5365">
        <v>0</v>
      </c>
      <c r="K5365">
        <v>0</v>
      </c>
      <c r="L5365">
        <f t="shared" si="166"/>
        <v>6.1</v>
      </c>
      <c r="M5365">
        <f t="shared" si="167"/>
        <v>1</v>
      </c>
    </row>
    <row r="5366" spans="1:13" x14ac:dyDescent="0.3">
      <c r="A5366">
        <v>5364</v>
      </c>
      <c r="B5366">
        <v>5365</v>
      </c>
      <c r="C5366" t="s">
        <v>5444</v>
      </c>
      <c r="D5366">
        <v>2013</v>
      </c>
      <c r="E5366" t="s">
        <v>22</v>
      </c>
      <c r="F5366" t="s">
        <v>1105</v>
      </c>
      <c r="G5366">
        <v>0</v>
      </c>
      <c r="H5366">
        <v>0</v>
      </c>
      <c r="I5366">
        <v>1</v>
      </c>
      <c r="J5366">
        <v>0</v>
      </c>
      <c r="K5366">
        <v>0</v>
      </c>
      <c r="L5366">
        <f t="shared" si="166"/>
        <v>6.1</v>
      </c>
      <c r="M5366">
        <f t="shared" si="167"/>
        <v>1</v>
      </c>
    </row>
    <row r="5367" spans="1:13" x14ac:dyDescent="0.3">
      <c r="A5367">
        <v>5365</v>
      </c>
      <c r="B5367">
        <v>5366</v>
      </c>
      <c r="C5367" t="s">
        <v>5445</v>
      </c>
      <c r="D5367">
        <v>1978</v>
      </c>
      <c r="E5367" t="s">
        <v>11</v>
      </c>
      <c r="F5367" t="s">
        <v>1105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f t="shared" si="166"/>
        <v>6.1</v>
      </c>
      <c r="M5367">
        <f t="shared" si="167"/>
        <v>1</v>
      </c>
    </row>
    <row r="5368" spans="1:13" x14ac:dyDescent="0.3">
      <c r="A5368">
        <v>5366</v>
      </c>
      <c r="B5368">
        <v>5367</v>
      </c>
      <c r="C5368" t="s">
        <v>5446</v>
      </c>
      <c r="D5368">
        <v>2018</v>
      </c>
      <c r="E5368" t="s">
        <v>11</v>
      </c>
      <c r="F5368" t="s">
        <v>1105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f t="shared" si="166"/>
        <v>6.1</v>
      </c>
      <c r="M5368">
        <f t="shared" si="167"/>
        <v>1</v>
      </c>
    </row>
    <row r="5369" spans="1:13" x14ac:dyDescent="0.3">
      <c r="A5369">
        <v>5367</v>
      </c>
      <c r="B5369">
        <v>5368</v>
      </c>
      <c r="C5369" t="s">
        <v>5447</v>
      </c>
      <c r="D5369">
        <v>1932</v>
      </c>
      <c r="F5369" t="s">
        <v>1105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f t="shared" si="166"/>
        <v>6.1</v>
      </c>
      <c r="M5369">
        <f t="shared" si="167"/>
        <v>1</v>
      </c>
    </row>
    <row r="5370" spans="1:13" x14ac:dyDescent="0.3">
      <c r="A5370">
        <v>5368</v>
      </c>
      <c r="B5370">
        <v>5369</v>
      </c>
      <c r="C5370" t="s">
        <v>5448</v>
      </c>
      <c r="D5370">
        <v>2014</v>
      </c>
      <c r="E5370" t="s">
        <v>11</v>
      </c>
      <c r="F5370" t="s">
        <v>1105</v>
      </c>
      <c r="G5370">
        <v>0</v>
      </c>
      <c r="H5370">
        <v>0</v>
      </c>
      <c r="I5370">
        <v>1</v>
      </c>
      <c r="J5370">
        <v>0</v>
      </c>
      <c r="K5370">
        <v>0</v>
      </c>
      <c r="L5370">
        <f t="shared" si="166"/>
        <v>6.1</v>
      </c>
      <c r="M5370">
        <f t="shared" si="167"/>
        <v>1</v>
      </c>
    </row>
    <row r="5371" spans="1:13" x14ac:dyDescent="0.3">
      <c r="A5371">
        <v>5369</v>
      </c>
      <c r="B5371">
        <v>5370</v>
      </c>
      <c r="C5371" t="s">
        <v>5449</v>
      </c>
      <c r="D5371">
        <v>1986</v>
      </c>
      <c r="E5371" t="s">
        <v>11</v>
      </c>
      <c r="F5371" t="s">
        <v>1105</v>
      </c>
      <c r="G5371">
        <v>0</v>
      </c>
      <c r="H5371">
        <v>0</v>
      </c>
      <c r="I5371">
        <v>1</v>
      </c>
      <c r="J5371">
        <v>0</v>
      </c>
      <c r="K5371">
        <v>0</v>
      </c>
      <c r="L5371">
        <f t="shared" si="166"/>
        <v>6.1</v>
      </c>
      <c r="M5371">
        <f t="shared" si="167"/>
        <v>1</v>
      </c>
    </row>
    <row r="5372" spans="1:13" x14ac:dyDescent="0.3">
      <c r="A5372">
        <v>5370</v>
      </c>
      <c r="B5372">
        <v>5371</v>
      </c>
      <c r="C5372" t="s">
        <v>5450</v>
      </c>
      <c r="D5372">
        <v>2006</v>
      </c>
      <c r="E5372" t="s">
        <v>11</v>
      </c>
      <c r="F5372" t="s">
        <v>1105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f t="shared" si="166"/>
        <v>6.1</v>
      </c>
      <c r="M5372">
        <f t="shared" si="167"/>
        <v>1</v>
      </c>
    </row>
    <row r="5373" spans="1:13" x14ac:dyDescent="0.3">
      <c r="A5373">
        <v>5371</v>
      </c>
      <c r="B5373">
        <v>5372</v>
      </c>
      <c r="C5373" t="s">
        <v>5451</v>
      </c>
      <c r="D5373">
        <v>2015</v>
      </c>
      <c r="F5373" t="s">
        <v>1105</v>
      </c>
      <c r="G5373">
        <v>0</v>
      </c>
      <c r="H5373">
        <v>0</v>
      </c>
      <c r="I5373">
        <v>1</v>
      </c>
      <c r="J5373">
        <v>0</v>
      </c>
      <c r="K5373">
        <v>0</v>
      </c>
      <c r="L5373">
        <f t="shared" si="166"/>
        <v>6.1</v>
      </c>
      <c r="M5373">
        <f t="shared" si="167"/>
        <v>1</v>
      </c>
    </row>
    <row r="5374" spans="1:13" x14ac:dyDescent="0.3">
      <c r="A5374">
        <v>5372</v>
      </c>
      <c r="B5374">
        <v>5373</v>
      </c>
      <c r="C5374" t="s">
        <v>5452</v>
      </c>
      <c r="D5374">
        <v>2020</v>
      </c>
      <c r="F5374" t="s">
        <v>1105</v>
      </c>
      <c r="G5374">
        <v>0</v>
      </c>
      <c r="H5374">
        <v>0</v>
      </c>
      <c r="I5374">
        <v>1</v>
      </c>
      <c r="J5374">
        <v>0</v>
      </c>
      <c r="K5374">
        <v>0</v>
      </c>
      <c r="L5374">
        <f t="shared" si="166"/>
        <v>6.1</v>
      </c>
      <c r="M5374">
        <f t="shared" si="167"/>
        <v>1</v>
      </c>
    </row>
    <row r="5375" spans="1:13" x14ac:dyDescent="0.3">
      <c r="A5375">
        <v>5373</v>
      </c>
      <c r="B5375">
        <v>5374</v>
      </c>
      <c r="C5375" t="s">
        <v>5453</v>
      </c>
      <c r="D5375">
        <v>2002</v>
      </c>
      <c r="E5375" t="s">
        <v>11</v>
      </c>
      <c r="F5375" t="s">
        <v>1105</v>
      </c>
      <c r="G5375">
        <v>0</v>
      </c>
      <c r="H5375">
        <v>0</v>
      </c>
      <c r="I5375">
        <v>1</v>
      </c>
      <c r="J5375">
        <v>0</v>
      </c>
      <c r="K5375">
        <v>0</v>
      </c>
      <c r="L5375">
        <f t="shared" si="166"/>
        <v>6.1</v>
      </c>
      <c r="M5375">
        <f t="shared" si="167"/>
        <v>1</v>
      </c>
    </row>
    <row r="5376" spans="1:13" x14ac:dyDescent="0.3">
      <c r="A5376">
        <v>5374</v>
      </c>
      <c r="B5376">
        <v>5375</v>
      </c>
      <c r="C5376" t="s">
        <v>5454</v>
      </c>
      <c r="D5376">
        <v>2000</v>
      </c>
      <c r="E5376" t="s">
        <v>11</v>
      </c>
      <c r="F5376" t="s">
        <v>1105</v>
      </c>
      <c r="G5376">
        <v>0</v>
      </c>
      <c r="H5376">
        <v>0</v>
      </c>
      <c r="I5376">
        <v>1</v>
      </c>
      <c r="J5376">
        <v>0</v>
      </c>
      <c r="K5376">
        <v>0</v>
      </c>
      <c r="L5376">
        <f t="shared" si="166"/>
        <v>6.1</v>
      </c>
      <c r="M5376">
        <f t="shared" si="167"/>
        <v>1</v>
      </c>
    </row>
    <row r="5377" spans="1:13" x14ac:dyDescent="0.3">
      <c r="A5377">
        <v>5375</v>
      </c>
      <c r="B5377">
        <v>5376</v>
      </c>
      <c r="C5377" t="s">
        <v>5455</v>
      </c>
      <c r="D5377">
        <v>2016</v>
      </c>
      <c r="E5377" t="s">
        <v>11</v>
      </c>
      <c r="F5377" t="s">
        <v>1105</v>
      </c>
      <c r="G5377">
        <v>0</v>
      </c>
      <c r="H5377">
        <v>0</v>
      </c>
      <c r="I5377">
        <v>1</v>
      </c>
      <c r="J5377">
        <v>0</v>
      </c>
      <c r="K5377">
        <v>0</v>
      </c>
      <c r="L5377">
        <f t="shared" si="166"/>
        <v>6.1</v>
      </c>
      <c r="M5377">
        <f t="shared" si="167"/>
        <v>1</v>
      </c>
    </row>
    <row r="5378" spans="1:13" x14ac:dyDescent="0.3">
      <c r="A5378">
        <v>5376</v>
      </c>
      <c r="B5378">
        <v>5377</v>
      </c>
      <c r="C5378" t="s">
        <v>5456</v>
      </c>
      <c r="D5378">
        <v>2020</v>
      </c>
      <c r="E5378" t="s">
        <v>28</v>
      </c>
      <c r="F5378" t="s">
        <v>1105</v>
      </c>
      <c r="G5378">
        <v>0</v>
      </c>
      <c r="H5378">
        <v>0</v>
      </c>
      <c r="I5378">
        <v>1</v>
      </c>
      <c r="J5378">
        <v>0</v>
      </c>
      <c r="K5378">
        <v>0</v>
      </c>
      <c r="L5378">
        <f t="shared" si="166"/>
        <v>6.1</v>
      </c>
      <c r="M5378">
        <f t="shared" si="167"/>
        <v>1</v>
      </c>
    </row>
    <row r="5379" spans="1:13" x14ac:dyDescent="0.3">
      <c r="A5379">
        <v>5377</v>
      </c>
      <c r="B5379">
        <v>5378</v>
      </c>
      <c r="C5379" t="s">
        <v>5457</v>
      </c>
      <c r="D5379">
        <v>2019</v>
      </c>
      <c r="E5379" t="s">
        <v>11</v>
      </c>
      <c r="F5379" t="s">
        <v>1105</v>
      </c>
      <c r="G5379">
        <v>0</v>
      </c>
      <c r="H5379">
        <v>0</v>
      </c>
      <c r="I5379">
        <v>1</v>
      </c>
      <c r="J5379">
        <v>0</v>
      </c>
      <c r="K5379">
        <v>0</v>
      </c>
      <c r="L5379">
        <f t="shared" ref="L5379:L5442" si="168">IFERROR(VALUE(LEFT(F5379,FIND("/",F5379)-1))/10,"")</f>
        <v>6.1</v>
      </c>
      <c r="M5379">
        <f t="shared" ref="M5379:M5442" si="169">SUM(G5379:J5379)</f>
        <v>1</v>
      </c>
    </row>
    <row r="5380" spans="1:13" x14ac:dyDescent="0.3">
      <c r="A5380">
        <v>5378</v>
      </c>
      <c r="B5380">
        <v>5379</v>
      </c>
      <c r="C5380" t="s">
        <v>5458</v>
      </c>
      <c r="D5380">
        <v>1992</v>
      </c>
      <c r="E5380" t="s">
        <v>22</v>
      </c>
      <c r="F5380" t="s">
        <v>1105</v>
      </c>
      <c r="G5380">
        <v>0</v>
      </c>
      <c r="H5380">
        <v>0</v>
      </c>
      <c r="I5380">
        <v>1</v>
      </c>
      <c r="J5380">
        <v>0</v>
      </c>
      <c r="K5380">
        <v>0</v>
      </c>
      <c r="L5380">
        <f t="shared" si="168"/>
        <v>6.1</v>
      </c>
      <c r="M5380">
        <f t="shared" si="169"/>
        <v>1</v>
      </c>
    </row>
    <row r="5381" spans="1:13" x14ac:dyDescent="0.3">
      <c r="A5381">
        <v>5379</v>
      </c>
      <c r="B5381">
        <v>5380</v>
      </c>
      <c r="C5381" t="s">
        <v>5459</v>
      </c>
      <c r="D5381">
        <v>1981</v>
      </c>
      <c r="F5381" t="s">
        <v>1105</v>
      </c>
      <c r="G5381">
        <v>0</v>
      </c>
      <c r="H5381">
        <v>0</v>
      </c>
      <c r="I5381">
        <v>1</v>
      </c>
      <c r="J5381">
        <v>0</v>
      </c>
      <c r="K5381">
        <v>0</v>
      </c>
      <c r="L5381">
        <f t="shared" si="168"/>
        <v>6.1</v>
      </c>
      <c r="M5381">
        <f t="shared" si="169"/>
        <v>1</v>
      </c>
    </row>
    <row r="5382" spans="1:13" x14ac:dyDescent="0.3">
      <c r="A5382">
        <v>5380</v>
      </c>
      <c r="B5382">
        <v>5381</v>
      </c>
      <c r="C5382" t="s">
        <v>5460</v>
      </c>
      <c r="D5382">
        <v>2019</v>
      </c>
      <c r="E5382" t="s">
        <v>11</v>
      </c>
      <c r="F5382" t="s">
        <v>1105</v>
      </c>
      <c r="G5382">
        <v>0</v>
      </c>
      <c r="H5382">
        <v>0</v>
      </c>
      <c r="I5382">
        <v>1</v>
      </c>
      <c r="J5382">
        <v>0</v>
      </c>
      <c r="K5382">
        <v>0</v>
      </c>
      <c r="L5382">
        <f t="shared" si="168"/>
        <v>6.1</v>
      </c>
      <c r="M5382">
        <f t="shared" si="169"/>
        <v>1</v>
      </c>
    </row>
    <row r="5383" spans="1:13" x14ac:dyDescent="0.3">
      <c r="A5383">
        <v>5381</v>
      </c>
      <c r="B5383">
        <v>5382</v>
      </c>
      <c r="C5383" t="s">
        <v>5461</v>
      </c>
      <c r="D5383">
        <v>2016</v>
      </c>
      <c r="E5383" t="s">
        <v>11</v>
      </c>
      <c r="F5383" t="s">
        <v>1105</v>
      </c>
      <c r="G5383">
        <v>0</v>
      </c>
      <c r="H5383">
        <v>0</v>
      </c>
      <c r="I5383">
        <v>1</v>
      </c>
      <c r="J5383">
        <v>0</v>
      </c>
      <c r="K5383">
        <v>0</v>
      </c>
      <c r="L5383">
        <f t="shared" si="168"/>
        <v>6.1</v>
      </c>
      <c r="M5383">
        <f t="shared" si="169"/>
        <v>1</v>
      </c>
    </row>
    <row r="5384" spans="1:13" x14ac:dyDescent="0.3">
      <c r="A5384">
        <v>5382</v>
      </c>
      <c r="B5384">
        <v>5383</v>
      </c>
      <c r="C5384" t="s">
        <v>5462</v>
      </c>
      <c r="D5384">
        <v>1941</v>
      </c>
      <c r="F5384" t="s">
        <v>1105</v>
      </c>
      <c r="G5384">
        <v>0</v>
      </c>
      <c r="H5384">
        <v>0</v>
      </c>
      <c r="I5384">
        <v>1</v>
      </c>
      <c r="J5384">
        <v>0</v>
      </c>
      <c r="K5384">
        <v>0</v>
      </c>
      <c r="L5384">
        <f t="shared" si="168"/>
        <v>6.1</v>
      </c>
      <c r="M5384">
        <f t="shared" si="169"/>
        <v>1</v>
      </c>
    </row>
    <row r="5385" spans="1:13" x14ac:dyDescent="0.3">
      <c r="A5385">
        <v>5383</v>
      </c>
      <c r="B5385">
        <v>5384</v>
      </c>
      <c r="C5385" t="s">
        <v>5463</v>
      </c>
      <c r="D5385">
        <v>1995</v>
      </c>
      <c r="E5385" t="s">
        <v>11</v>
      </c>
      <c r="F5385" t="s">
        <v>1105</v>
      </c>
      <c r="G5385">
        <v>0</v>
      </c>
      <c r="H5385">
        <v>0</v>
      </c>
      <c r="I5385">
        <v>1</v>
      </c>
      <c r="J5385">
        <v>0</v>
      </c>
      <c r="K5385">
        <v>0</v>
      </c>
      <c r="L5385">
        <f t="shared" si="168"/>
        <v>6.1</v>
      </c>
      <c r="M5385">
        <f t="shared" si="169"/>
        <v>1</v>
      </c>
    </row>
    <row r="5386" spans="1:13" x14ac:dyDescent="0.3">
      <c r="A5386">
        <v>5384</v>
      </c>
      <c r="B5386">
        <v>5385</v>
      </c>
      <c r="C5386" t="s">
        <v>5464</v>
      </c>
      <c r="D5386">
        <v>2019</v>
      </c>
      <c r="E5386" t="s">
        <v>22</v>
      </c>
      <c r="F5386" t="s">
        <v>1105</v>
      </c>
      <c r="G5386">
        <v>0</v>
      </c>
      <c r="H5386">
        <v>0</v>
      </c>
      <c r="I5386">
        <v>1</v>
      </c>
      <c r="J5386">
        <v>0</v>
      </c>
      <c r="K5386">
        <v>0</v>
      </c>
      <c r="L5386">
        <f t="shared" si="168"/>
        <v>6.1</v>
      </c>
      <c r="M5386">
        <f t="shared" si="169"/>
        <v>1</v>
      </c>
    </row>
    <row r="5387" spans="1:13" x14ac:dyDescent="0.3">
      <c r="A5387">
        <v>5385</v>
      </c>
      <c r="B5387">
        <v>5386</v>
      </c>
      <c r="C5387" t="s">
        <v>5465</v>
      </c>
      <c r="D5387">
        <v>1947</v>
      </c>
      <c r="F5387" t="s">
        <v>1105</v>
      </c>
      <c r="G5387">
        <v>0</v>
      </c>
      <c r="H5387">
        <v>0</v>
      </c>
      <c r="I5387">
        <v>1</v>
      </c>
      <c r="J5387">
        <v>0</v>
      </c>
      <c r="K5387">
        <v>0</v>
      </c>
      <c r="L5387">
        <f t="shared" si="168"/>
        <v>6.1</v>
      </c>
      <c r="M5387">
        <f t="shared" si="169"/>
        <v>1</v>
      </c>
    </row>
    <row r="5388" spans="1:13" x14ac:dyDescent="0.3">
      <c r="A5388">
        <v>5386</v>
      </c>
      <c r="B5388">
        <v>5387</v>
      </c>
      <c r="C5388" t="s">
        <v>5466</v>
      </c>
      <c r="D5388">
        <v>2007</v>
      </c>
      <c r="F5388" t="s">
        <v>1105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f t="shared" si="168"/>
        <v>6.1</v>
      </c>
      <c r="M5388">
        <f t="shared" si="169"/>
        <v>1</v>
      </c>
    </row>
    <row r="5389" spans="1:13" x14ac:dyDescent="0.3">
      <c r="A5389">
        <v>5387</v>
      </c>
      <c r="B5389">
        <v>5388</v>
      </c>
      <c r="C5389" t="s">
        <v>5467</v>
      </c>
      <c r="D5389">
        <v>2012</v>
      </c>
      <c r="E5389" t="s">
        <v>11</v>
      </c>
      <c r="F5389" t="s">
        <v>1105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f t="shared" si="168"/>
        <v>6.1</v>
      </c>
      <c r="M5389">
        <f t="shared" si="169"/>
        <v>1</v>
      </c>
    </row>
    <row r="5390" spans="1:13" x14ac:dyDescent="0.3">
      <c r="A5390">
        <v>5388</v>
      </c>
      <c r="B5390">
        <v>5389</v>
      </c>
      <c r="C5390" t="s">
        <v>5468</v>
      </c>
      <c r="D5390">
        <v>2006</v>
      </c>
      <c r="E5390" t="s">
        <v>11</v>
      </c>
      <c r="F5390" t="s">
        <v>1105</v>
      </c>
      <c r="G5390">
        <v>0</v>
      </c>
      <c r="H5390">
        <v>0</v>
      </c>
      <c r="I5390">
        <v>1</v>
      </c>
      <c r="J5390">
        <v>0</v>
      </c>
      <c r="K5390">
        <v>0</v>
      </c>
      <c r="L5390">
        <f t="shared" si="168"/>
        <v>6.1</v>
      </c>
      <c r="M5390">
        <f t="shared" si="169"/>
        <v>1</v>
      </c>
    </row>
    <row r="5391" spans="1:13" x14ac:dyDescent="0.3">
      <c r="A5391">
        <v>5389</v>
      </c>
      <c r="B5391">
        <v>5390</v>
      </c>
      <c r="C5391" t="s">
        <v>5469</v>
      </c>
      <c r="D5391">
        <v>1992</v>
      </c>
      <c r="E5391" t="s">
        <v>11</v>
      </c>
      <c r="F5391" t="s">
        <v>1105</v>
      </c>
      <c r="G5391">
        <v>0</v>
      </c>
      <c r="H5391">
        <v>0</v>
      </c>
      <c r="I5391">
        <v>1</v>
      </c>
      <c r="J5391">
        <v>0</v>
      </c>
      <c r="K5391">
        <v>0</v>
      </c>
      <c r="L5391">
        <f t="shared" si="168"/>
        <v>6.1</v>
      </c>
      <c r="M5391">
        <f t="shared" si="169"/>
        <v>1</v>
      </c>
    </row>
    <row r="5392" spans="1:13" x14ac:dyDescent="0.3">
      <c r="A5392">
        <v>5390</v>
      </c>
      <c r="B5392">
        <v>5391</v>
      </c>
      <c r="C5392" t="s">
        <v>5470</v>
      </c>
      <c r="D5392">
        <v>2012</v>
      </c>
      <c r="E5392" t="s">
        <v>11</v>
      </c>
      <c r="F5392" t="s">
        <v>1105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f t="shared" si="168"/>
        <v>6.1</v>
      </c>
      <c r="M5392">
        <f t="shared" si="169"/>
        <v>1</v>
      </c>
    </row>
    <row r="5393" spans="1:13" x14ac:dyDescent="0.3">
      <c r="A5393">
        <v>5391</v>
      </c>
      <c r="B5393">
        <v>5392</v>
      </c>
      <c r="C5393" t="s">
        <v>5471</v>
      </c>
      <c r="D5393">
        <v>2014</v>
      </c>
      <c r="E5393" t="s">
        <v>11</v>
      </c>
      <c r="F5393" t="s">
        <v>1105</v>
      </c>
      <c r="G5393">
        <v>0</v>
      </c>
      <c r="H5393">
        <v>0</v>
      </c>
      <c r="I5393">
        <v>1</v>
      </c>
      <c r="J5393">
        <v>0</v>
      </c>
      <c r="K5393">
        <v>0</v>
      </c>
      <c r="L5393">
        <f t="shared" si="168"/>
        <v>6.1</v>
      </c>
      <c r="M5393">
        <f t="shared" si="169"/>
        <v>1</v>
      </c>
    </row>
    <row r="5394" spans="1:13" x14ac:dyDescent="0.3">
      <c r="A5394">
        <v>5392</v>
      </c>
      <c r="B5394">
        <v>5393</v>
      </c>
      <c r="C5394" t="s">
        <v>5472</v>
      </c>
      <c r="D5394">
        <v>2017</v>
      </c>
      <c r="E5394" t="s">
        <v>11</v>
      </c>
      <c r="F5394" t="s">
        <v>1105</v>
      </c>
      <c r="G5394">
        <v>0</v>
      </c>
      <c r="H5394">
        <v>0</v>
      </c>
      <c r="I5394">
        <v>1</v>
      </c>
      <c r="J5394">
        <v>0</v>
      </c>
      <c r="K5394">
        <v>0</v>
      </c>
      <c r="L5394">
        <f t="shared" si="168"/>
        <v>6.1</v>
      </c>
      <c r="M5394">
        <f t="shared" si="169"/>
        <v>1</v>
      </c>
    </row>
    <row r="5395" spans="1:13" x14ac:dyDescent="0.3">
      <c r="A5395">
        <v>5393</v>
      </c>
      <c r="B5395">
        <v>5394</v>
      </c>
      <c r="C5395" t="s">
        <v>5473</v>
      </c>
      <c r="D5395">
        <v>2019</v>
      </c>
      <c r="F5395" t="s">
        <v>1180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f t="shared" si="168"/>
        <v>6</v>
      </c>
      <c r="M5395">
        <f t="shared" si="169"/>
        <v>1</v>
      </c>
    </row>
    <row r="5396" spans="1:13" x14ac:dyDescent="0.3">
      <c r="A5396">
        <v>5394</v>
      </c>
      <c r="B5396">
        <v>5395</v>
      </c>
      <c r="C5396" t="s">
        <v>5474</v>
      </c>
      <c r="D5396">
        <v>2019</v>
      </c>
      <c r="E5396" t="s">
        <v>22</v>
      </c>
      <c r="F5396" t="s">
        <v>1180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f t="shared" si="168"/>
        <v>6</v>
      </c>
      <c r="M5396">
        <f t="shared" si="169"/>
        <v>1</v>
      </c>
    </row>
    <row r="5397" spans="1:13" x14ac:dyDescent="0.3">
      <c r="A5397">
        <v>5395</v>
      </c>
      <c r="B5397">
        <v>5396</v>
      </c>
      <c r="C5397" t="s">
        <v>5475</v>
      </c>
      <c r="D5397">
        <v>1979</v>
      </c>
      <c r="E5397" t="s">
        <v>36</v>
      </c>
      <c r="F5397" t="s">
        <v>1180</v>
      </c>
      <c r="G5397">
        <v>0</v>
      </c>
      <c r="H5397">
        <v>0</v>
      </c>
      <c r="I5397">
        <v>1</v>
      </c>
      <c r="J5397">
        <v>0</v>
      </c>
      <c r="K5397">
        <v>0</v>
      </c>
      <c r="L5397">
        <f t="shared" si="168"/>
        <v>6</v>
      </c>
      <c r="M5397">
        <f t="shared" si="169"/>
        <v>1</v>
      </c>
    </row>
    <row r="5398" spans="1:13" x14ac:dyDescent="0.3">
      <c r="A5398">
        <v>5396</v>
      </c>
      <c r="B5398">
        <v>5397</v>
      </c>
      <c r="C5398" t="s">
        <v>5476</v>
      </c>
      <c r="D5398">
        <v>2010</v>
      </c>
      <c r="F5398" t="s">
        <v>1180</v>
      </c>
      <c r="G5398">
        <v>0</v>
      </c>
      <c r="H5398">
        <v>0</v>
      </c>
      <c r="I5398">
        <v>1</v>
      </c>
      <c r="J5398">
        <v>0</v>
      </c>
      <c r="K5398">
        <v>0</v>
      </c>
      <c r="L5398">
        <f t="shared" si="168"/>
        <v>6</v>
      </c>
      <c r="M5398">
        <f t="shared" si="169"/>
        <v>1</v>
      </c>
    </row>
    <row r="5399" spans="1:13" x14ac:dyDescent="0.3">
      <c r="A5399">
        <v>5397</v>
      </c>
      <c r="B5399">
        <v>5398</v>
      </c>
      <c r="C5399" t="s">
        <v>5477</v>
      </c>
      <c r="D5399">
        <v>1998</v>
      </c>
      <c r="E5399" t="s">
        <v>11</v>
      </c>
      <c r="F5399" t="s">
        <v>1180</v>
      </c>
      <c r="G5399">
        <v>0</v>
      </c>
      <c r="H5399">
        <v>0</v>
      </c>
      <c r="I5399">
        <v>1</v>
      </c>
      <c r="J5399">
        <v>0</v>
      </c>
      <c r="K5399">
        <v>0</v>
      </c>
      <c r="L5399">
        <f t="shared" si="168"/>
        <v>6</v>
      </c>
      <c r="M5399">
        <f t="shared" si="169"/>
        <v>1</v>
      </c>
    </row>
    <row r="5400" spans="1:13" x14ac:dyDescent="0.3">
      <c r="A5400">
        <v>5398</v>
      </c>
      <c r="B5400">
        <v>5399</v>
      </c>
      <c r="C5400" t="s">
        <v>5478</v>
      </c>
      <c r="D5400">
        <v>1998</v>
      </c>
      <c r="E5400" t="s">
        <v>11</v>
      </c>
      <c r="F5400" t="s">
        <v>1180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f t="shared" si="168"/>
        <v>6</v>
      </c>
      <c r="M5400">
        <f t="shared" si="169"/>
        <v>1</v>
      </c>
    </row>
    <row r="5401" spans="1:13" x14ac:dyDescent="0.3">
      <c r="A5401">
        <v>5399</v>
      </c>
      <c r="B5401">
        <v>5400</v>
      </c>
      <c r="C5401" t="s">
        <v>5479</v>
      </c>
      <c r="D5401">
        <v>2012</v>
      </c>
      <c r="E5401" t="s">
        <v>11</v>
      </c>
      <c r="F5401" t="s">
        <v>1180</v>
      </c>
      <c r="G5401">
        <v>0</v>
      </c>
      <c r="H5401">
        <v>0</v>
      </c>
      <c r="I5401">
        <v>1</v>
      </c>
      <c r="J5401">
        <v>0</v>
      </c>
      <c r="K5401">
        <v>0</v>
      </c>
      <c r="L5401">
        <f t="shared" si="168"/>
        <v>6</v>
      </c>
      <c r="M5401">
        <f t="shared" si="169"/>
        <v>1</v>
      </c>
    </row>
    <row r="5402" spans="1:13" x14ac:dyDescent="0.3">
      <c r="A5402">
        <v>5400</v>
      </c>
      <c r="B5402">
        <v>5401</v>
      </c>
      <c r="C5402" t="s">
        <v>5480</v>
      </c>
      <c r="D5402">
        <v>1954</v>
      </c>
      <c r="F5402" t="s">
        <v>1180</v>
      </c>
      <c r="G5402">
        <v>0</v>
      </c>
      <c r="H5402">
        <v>0</v>
      </c>
      <c r="I5402">
        <v>1</v>
      </c>
      <c r="J5402">
        <v>0</v>
      </c>
      <c r="K5402">
        <v>0</v>
      </c>
      <c r="L5402">
        <f t="shared" si="168"/>
        <v>6</v>
      </c>
      <c r="M5402">
        <f t="shared" si="169"/>
        <v>1</v>
      </c>
    </row>
    <row r="5403" spans="1:13" x14ac:dyDescent="0.3">
      <c r="A5403">
        <v>5401</v>
      </c>
      <c r="B5403">
        <v>5402</v>
      </c>
      <c r="C5403" t="s">
        <v>5481</v>
      </c>
      <c r="D5403">
        <v>1997</v>
      </c>
      <c r="E5403" t="s">
        <v>22</v>
      </c>
      <c r="F5403" t="s">
        <v>1180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f t="shared" si="168"/>
        <v>6</v>
      </c>
      <c r="M5403">
        <f t="shared" si="169"/>
        <v>1</v>
      </c>
    </row>
    <row r="5404" spans="1:13" x14ac:dyDescent="0.3">
      <c r="A5404">
        <v>5402</v>
      </c>
      <c r="B5404">
        <v>5403</v>
      </c>
      <c r="C5404" t="s">
        <v>5482</v>
      </c>
      <c r="D5404">
        <v>2015</v>
      </c>
      <c r="F5404" t="s">
        <v>1180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f t="shared" si="168"/>
        <v>6</v>
      </c>
      <c r="M5404">
        <f t="shared" si="169"/>
        <v>1</v>
      </c>
    </row>
    <row r="5405" spans="1:13" x14ac:dyDescent="0.3">
      <c r="A5405">
        <v>5403</v>
      </c>
      <c r="B5405">
        <v>5404</v>
      </c>
      <c r="C5405" t="s">
        <v>5483</v>
      </c>
      <c r="D5405">
        <v>1973</v>
      </c>
      <c r="F5405" t="s">
        <v>1180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f t="shared" si="168"/>
        <v>6</v>
      </c>
      <c r="M5405">
        <f t="shared" si="169"/>
        <v>1</v>
      </c>
    </row>
    <row r="5406" spans="1:13" x14ac:dyDescent="0.3">
      <c r="A5406">
        <v>5404</v>
      </c>
      <c r="B5406">
        <v>5405</v>
      </c>
      <c r="C5406" t="s">
        <v>5484</v>
      </c>
      <c r="D5406">
        <v>1996</v>
      </c>
      <c r="E5406" t="s">
        <v>14</v>
      </c>
      <c r="F5406" t="s">
        <v>1180</v>
      </c>
      <c r="G5406">
        <v>0</v>
      </c>
      <c r="H5406">
        <v>0</v>
      </c>
      <c r="I5406">
        <v>1</v>
      </c>
      <c r="J5406">
        <v>0</v>
      </c>
      <c r="K5406">
        <v>0</v>
      </c>
      <c r="L5406">
        <f t="shared" si="168"/>
        <v>6</v>
      </c>
      <c r="M5406">
        <f t="shared" si="169"/>
        <v>1</v>
      </c>
    </row>
    <row r="5407" spans="1:13" x14ac:dyDescent="0.3">
      <c r="A5407">
        <v>5405</v>
      </c>
      <c r="B5407">
        <v>5406</v>
      </c>
      <c r="C5407" t="s">
        <v>5485</v>
      </c>
      <c r="D5407">
        <v>2020</v>
      </c>
      <c r="F5407" t="s">
        <v>1180</v>
      </c>
      <c r="G5407">
        <v>0</v>
      </c>
      <c r="H5407">
        <v>0</v>
      </c>
      <c r="I5407">
        <v>1</v>
      </c>
      <c r="J5407">
        <v>0</v>
      </c>
      <c r="K5407">
        <v>0</v>
      </c>
      <c r="L5407">
        <f t="shared" si="168"/>
        <v>6</v>
      </c>
      <c r="M5407">
        <f t="shared" si="169"/>
        <v>1</v>
      </c>
    </row>
    <row r="5408" spans="1:13" x14ac:dyDescent="0.3">
      <c r="A5408">
        <v>5406</v>
      </c>
      <c r="B5408">
        <v>5407</v>
      </c>
      <c r="C5408" t="s">
        <v>5486</v>
      </c>
      <c r="D5408">
        <v>1939</v>
      </c>
      <c r="E5408" t="s">
        <v>36</v>
      </c>
      <c r="F5408" t="s">
        <v>1180</v>
      </c>
      <c r="G5408">
        <v>0</v>
      </c>
      <c r="H5408">
        <v>0</v>
      </c>
      <c r="I5408">
        <v>1</v>
      </c>
      <c r="J5408">
        <v>0</v>
      </c>
      <c r="K5408">
        <v>0</v>
      </c>
      <c r="L5408">
        <f t="shared" si="168"/>
        <v>6</v>
      </c>
      <c r="M5408">
        <f t="shared" si="169"/>
        <v>1</v>
      </c>
    </row>
    <row r="5409" spans="1:13" x14ac:dyDescent="0.3">
      <c r="A5409">
        <v>5407</v>
      </c>
      <c r="B5409">
        <v>5408</v>
      </c>
      <c r="C5409" t="s">
        <v>5487</v>
      </c>
      <c r="D5409">
        <v>1995</v>
      </c>
      <c r="E5409" t="s">
        <v>11</v>
      </c>
      <c r="F5409" t="s">
        <v>1180</v>
      </c>
      <c r="G5409">
        <v>0</v>
      </c>
      <c r="H5409">
        <v>0</v>
      </c>
      <c r="I5409">
        <v>1</v>
      </c>
      <c r="J5409">
        <v>0</v>
      </c>
      <c r="K5409">
        <v>0</v>
      </c>
      <c r="L5409">
        <f t="shared" si="168"/>
        <v>6</v>
      </c>
      <c r="M5409">
        <f t="shared" si="169"/>
        <v>1</v>
      </c>
    </row>
    <row r="5410" spans="1:13" x14ac:dyDescent="0.3">
      <c r="A5410">
        <v>5408</v>
      </c>
      <c r="B5410">
        <v>5409</v>
      </c>
      <c r="C5410" t="s">
        <v>5488</v>
      </c>
      <c r="D5410">
        <v>2007</v>
      </c>
      <c r="E5410" t="s">
        <v>11</v>
      </c>
      <c r="F5410" t="s">
        <v>1180</v>
      </c>
      <c r="G5410">
        <v>0</v>
      </c>
      <c r="H5410">
        <v>0</v>
      </c>
      <c r="I5410">
        <v>1</v>
      </c>
      <c r="J5410">
        <v>0</v>
      </c>
      <c r="K5410">
        <v>0</v>
      </c>
      <c r="L5410">
        <f t="shared" si="168"/>
        <v>6</v>
      </c>
      <c r="M5410">
        <f t="shared" si="169"/>
        <v>1</v>
      </c>
    </row>
    <row r="5411" spans="1:13" x14ac:dyDescent="0.3">
      <c r="A5411">
        <v>5409</v>
      </c>
      <c r="B5411">
        <v>5410</v>
      </c>
      <c r="C5411" t="s">
        <v>5489</v>
      </c>
      <c r="D5411">
        <v>2009</v>
      </c>
      <c r="E5411" t="s">
        <v>11</v>
      </c>
      <c r="F5411" t="s">
        <v>1180</v>
      </c>
      <c r="G5411">
        <v>0</v>
      </c>
      <c r="H5411">
        <v>0</v>
      </c>
      <c r="I5411">
        <v>1</v>
      </c>
      <c r="J5411">
        <v>0</v>
      </c>
      <c r="K5411">
        <v>0</v>
      </c>
      <c r="L5411">
        <f t="shared" si="168"/>
        <v>6</v>
      </c>
      <c r="M5411">
        <f t="shared" si="169"/>
        <v>1</v>
      </c>
    </row>
    <row r="5412" spans="1:13" x14ac:dyDescent="0.3">
      <c r="A5412">
        <v>5410</v>
      </c>
      <c r="B5412">
        <v>5411</v>
      </c>
      <c r="C5412" t="s">
        <v>5490</v>
      </c>
      <c r="D5412">
        <v>2017</v>
      </c>
      <c r="F5412" t="s">
        <v>1180</v>
      </c>
      <c r="G5412">
        <v>0</v>
      </c>
      <c r="H5412">
        <v>0</v>
      </c>
      <c r="I5412">
        <v>1</v>
      </c>
      <c r="J5412">
        <v>0</v>
      </c>
      <c r="K5412">
        <v>0</v>
      </c>
      <c r="L5412">
        <f t="shared" si="168"/>
        <v>6</v>
      </c>
      <c r="M5412">
        <f t="shared" si="169"/>
        <v>1</v>
      </c>
    </row>
    <row r="5413" spans="1:13" x14ac:dyDescent="0.3">
      <c r="A5413">
        <v>5411</v>
      </c>
      <c r="B5413">
        <v>5412</v>
      </c>
      <c r="C5413" t="s">
        <v>5491</v>
      </c>
      <c r="D5413">
        <v>2015</v>
      </c>
      <c r="E5413" t="s">
        <v>22</v>
      </c>
      <c r="F5413" t="s">
        <v>1180</v>
      </c>
      <c r="G5413">
        <v>0</v>
      </c>
      <c r="H5413">
        <v>0</v>
      </c>
      <c r="I5413">
        <v>1</v>
      </c>
      <c r="J5413">
        <v>0</v>
      </c>
      <c r="K5413">
        <v>0</v>
      </c>
      <c r="L5413">
        <f t="shared" si="168"/>
        <v>6</v>
      </c>
      <c r="M5413">
        <f t="shared" si="169"/>
        <v>1</v>
      </c>
    </row>
    <row r="5414" spans="1:13" x14ac:dyDescent="0.3">
      <c r="A5414">
        <v>5412</v>
      </c>
      <c r="B5414">
        <v>5413</v>
      </c>
      <c r="C5414" t="s">
        <v>5492</v>
      </c>
      <c r="D5414">
        <v>2014</v>
      </c>
      <c r="F5414" t="s">
        <v>1180</v>
      </c>
      <c r="G5414">
        <v>0</v>
      </c>
      <c r="H5414">
        <v>0</v>
      </c>
      <c r="I5414">
        <v>1</v>
      </c>
      <c r="J5414">
        <v>0</v>
      </c>
      <c r="K5414">
        <v>0</v>
      </c>
      <c r="L5414">
        <f t="shared" si="168"/>
        <v>6</v>
      </c>
      <c r="M5414">
        <f t="shared" si="169"/>
        <v>1</v>
      </c>
    </row>
    <row r="5415" spans="1:13" x14ac:dyDescent="0.3">
      <c r="A5415">
        <v>5413</v>
      </c>
      <c r="B5415">
        <v>5414</v>
      </c>
      <c r="C5415" t="s">
        <v>5493</v>
      </c>
      <c r="D5415">
        <v>2020</v>
      </c>
      <c r="E5415" t="s">
        <v>11</v>
      </c>
      <c r="F5415" t="s">
        <v>1180</v>
      </c>
      <c r="G5415">
        <v>0</v>
      </c>
      <c r="H5415">
        <v>0</v>
      </c>
      <c r="I5415">
        <v>1</v>
      </c>
      <c r="J5415">
        <v>0</v>
      </c>
      <c r="K5415">
        <v>0</v>
      </c>
      <c r="L5415">
        <f t="shared" si="168"/>
        <v>6</v>
      </c>
      <c r="M5415">
        <f t="shared" si="169"/>
        <v>1</v>
      </c>
    </row>
    <row r="5416" spans="1:13" x14ac:dyDescent="0.3">
      <c r="A5416">
        <v>5414</v>
      </c>
      <c r="B5416">
        <v>5415</v>
      </c>
      <c r="C5416" t="s">
        <v>5494</v>
      </c>
      <c r="D5416">
        <v>2009</v>
      </c>
      <c r="E5416" t="s">
        <v>14</v>
      </c>
      <c r="F5416" t="s">
        <v>1180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f t="shared" si="168"/>
        <v>6</v>
      </c>
      <c r="M5416">
        <f t="shared" si="169"/>
        <v>1</v>
      </c>
    </row>
    <row r="5417" spans="1:13" x14ac:dyDescent="0.3">
      <c r="A5417">
        <v>5415</v>
      </c>
      <c r="B5417">
        <v>5416</v>
      </c>
      <c r="C5417" t="s">
        <v>5495</v>
      </c>
      <c r="D5417">
        <v>1931</v>
      </c>
      <c r="E5417" t="s">
        <v>22</v>
      </c>
      <c r="F5417" t="s">
        <v>1180</v>
      </c>
      <c r="G5417">
        <v>0</v>
      </c>
      <c r="H5417">
        <v>0</v>
      </c>
      <c r="I5417">
        <v>1</v>
      </c>
      <c r="J5417">
        <v>0</v>
      </c>
      <c r="K5417">
        <v>0</v>
      </c>
      <c r="L5417">
        <f t="shared" si="168"/>
        <v>6</v>
      </c>
      <c r="M5417">
        <f t="shared" si="169"/>
        <v>1</v>
      </c>
    </row>
    <row r="5418" spans="1:13" x14ac:dyDescent="0.3">
      <c r="A5418">
        <v>5416</v>
      </c>
      <c r="B5418">
        <v>5417</v>
      </c>
      <c r="C5418" t="s">
        <v>5496</v>
      </c>
      <c r="D5418">
        <v>2009</v>
      </c>
      <c r="E5418" t="s">
        <v>22</v>
      </c>
      <c r="F5418" t="s">
        <v>1180</v>
      </c>
      <c r="G5418">
        <v>0</v>
      </c>
      <c r="H5418">
        <v>0</v>
      </c>
      <c r="I5418">
        <v>1</v>
      </c>
      <c r="J5418">
        <v>0</v>
      </c>
      <c r="K5418">
        <v>0</v>
      </c>
      <c r="L5418">
        <f t="shared" si="168"/>
        <v>6</v>
      </c>
      <c r="M5418">
        <f t="shared" si="169"/>
        <v>1</v>
      </c>
    </row>
    <row r="5419" spans="1:13" x14ac:dyDescent="0.3">
      <c r="A5419">
        <v>5417</v>
      </c>
      <c r="B5419">
        <v>5418</v>
      </c>
      <c r="C5419" t="s">
        <v>5497</v>
      </c>
      <c r="D5419">
        <v>1934</v>
      </c>
      <c r="F5419" t="s">
        <v>1180</v>
      </c>
      <c r="G5419">
        <v>0</v>
      </c>
      <c r="H5419">
        <v>0</v>
      </c>
      <c r="I5419">
        <v>1</v>
      </c>
      <c r="J5419">
        <v>1</v>
      </c>
      <c r="K5419">
        <v>0</v>
      </c>
      <c r="L5419">
        <f t="shared" si="168"/>
        <v>6</v>
      </c>
      <c r="M5419">
        <f t="shared" si="169"/>
        <v>2</v>
      </c>
    </row>
    <row r="5420" spans="1:13" x14ac:dyDescent="0.3">
      <c r="A5420">
        <v>5418</v>
      </c>
      <c r="B5420">
        <v>5419</v>
      </c>
      <c r="C5420" t="s">
        <v>5498</v>
      </c>
      <c r="D5420">
        <v>2009</v>
      </c>
      <c r="E5420" t="s">
        <v>11</v>
      </c>
      <c r="F5420" t="s">
        <v>1180</v>
      </c>
      <c r="G5420">
        <v>0</v>
      </c>
      <c r="H5420">
        <v>0</v>
      </c>
      <c r="I5420">
        <v>1</v>
      </c>
      <c r="J5420">
        <v>0</v>
      </c>
      <c r="K5420">
        <v>0</v>
      </c>
      <c r="L5420">
        <f t="shared" si="168"/>
        <v>6</v>
      </c>
      <c r="M5420">
        <f t="shared" si="169"/>
        <v>1</v>
      </c>
    </row>
    <row r="5421" spans="1:13" x14ac:dyDescent="0.3">
      <c r="A5421">
        <v>5419</v>
      </c>
      <c r="B5421">
        <v>5420</v>
      </c>
      <c r="C5421" t="s">
        <v>5499</v>
      </c>
      <c r="D5421">
        <v>1981</v>
      </c>
      <c r="E5421" t="s">
        <v>14</v>
      </c>
      <c r="F5421" t="s">
        <v>1180</v>
      </c>
      <c r="G5421">
        <v>0</v>
      </c>
      <c r="H5421">
        <v>0</v>
      </c>
      <c r="I5421">
        <v>1</v>
      </c>
      <c r="J5421">
        <v>0</v>
      </c>
      <c r="K5421">
        <v>0</v>
      </c>
      <c r="L5421">
        <f t="shared" si="168"/>
        <v>6</v>
      </c>
      <c r="M5421">
        <f t="shared" si="169"/>
        <v>1</v>
      </c>
    </row>
    <row r="5422" spans="1:13" x14ac:dyDescent="0.3">
      <c r="A5422">
        <v>5420</v>
      </c>
      <c r="B5422">
        <v>5421</v>
      </c>
      <c r="C5422" t="s">
        <v>5500</v>
      </c>
      <c r="D5422">
        <v>2015</v>
      </c>
      <c r="E5422" t="s">
        <v>36</v>
      </c>
      <c r="F5422" t="s">
        <v>1180</v>
      </c>
      <c r="G5422">
        <v>0</v>
      </c>
      <c r="H5422">
        <v>0</v>
      </c>
      <c r="I5422">
        <v>1</v>
      </c>
      <c r="J5422">
        <v>0</v>
      </c>
      <c r="K5422">
        <v>0</v>
      </c>
      <c r="L5422">
        <f t="shared" si="168"/>
        <v>6</v>
      </c>
      <c r="M5422">
        <f t="shared" si="169"/>
        <v>1</v>
      </c>
    </row>
    <row r="5423" spans="1:13" x14ac:dyDescent="0.3">
      <c r="A5423">
        <v>5421</v>
      </c>
      <c r="B5423">
        <v>5422</v>
      </c>
      <c r="C5423" t="s">
        <v>5501</v>
      </c>
      <c r="D5423">
        <v>2015</v>
      </c>
      <c r="E5423" t="s">
        <v>36</v>
      </c>
      <c r="F5423" t="s">
        <v>1180</v>
      </c>
      <c r="G5423">
        <v>0</v>
      </c>
      <c r="H5423">
        <v>0</v>
      </c>
      <c r="I5423">
        <v>1</v>
      </c>
      <c r="J5423">
        <v>0</v>
      </c>
      <c r="K5423">
        <v>0</v>
      </c>
      <c r="L5423">
        <f t="shared" si="168"/>
        <v>6</v>
      </c>
      <c r="M5423">
        <f t="shared" si="169"/>
        <v>1</v>
      </c>
    </row>
    <row r="5424" spans="1:13" x14ac:dyDescent="0.3">
      <c r="A5424">
        <v>5422</v>
      </c>
      <c r="B5424">
        <v>5423</v>
      </c>
      <c r="C5424" t="s">
        <v>5502</v>
      </c>
      <c r="D5424">
        <v>2016</v>
      </c>
      <c r="E5424" t="s">
        <v>11</v>
      </c>
      <c r="F5424" t="s">
        <v>1180</v>
      </c>
      <c r="G5424">
        <v>0</v>
      </c>
      <c r="H5424">
        <v>0</v>
      </c>
      <c r="I5424">
        <v>1</v>
      </c>
      <c r="J5424">
        <v>0</v>
      </c>
      <c r="K5424">
        <v>0</v>
      </c>
      <c r="L5424">
        <f t="shared" si="168"/>
        <v>6</v>
      </c>
      <c r="M5424">
        <f t="shared" si="169"/>
        <v>1</v>
      </c>
    </row>
    <row r="5425" spans="1:13" x14ac:dyDescent="0.3">
      <c r="A5425">
        <v>5423</v>
      </c>
      <c r="B5425">
        <v>5424</v>
      </c>
      <c r="C5425" t="s">
        <v>5503</v>
      </c>
      <c r="D5425">
        <v>2019</v>
      </c>
      <c r="E5425" t="s">
        <v>11</v>
      </c>
      <c r="F5425" t="s">
        <v>1180</v>
      </c>
      <c r="G5425">
        <v>0</v>
      </c>
      <c r="H5425">
        <v>0</v>
      </c>
      <c r="I5425">
        <v>1</v>
      </c>
      <c r="J5425">
        <v>0</v>
      </c>
      <c r="K5425">
        <v>0</v>
      </c>
      <c r="L5425">
        <f t="shared" si="168"/>
        <v>6</v>
      </c>
      <c r="M5425">
        <f t="shared" si="169"/>
        <v>1</v>
      </c>
    </row>
    <row r="5426" spans="1:13" x14ac:dyDescent="0.3">
      <c r="A5426">
        <v>5424</v>
      </c>
      <c r="B5426">
        <v>5425</v>
      </c>
      <c r="C5426" t="s">
        <v>5504</v>
      </c>
      <c r="D5426">
        <v>2002</v>
      </c>
      <c r="F5426" t="s">
        <v>1180</v>
      </c>
      <c r="G5426">
        <v>0</v>
      </c>
      <c r="H5426">
        <v>0</v>
      </c>
      <c r="I5426">
        <v>1</v>
      </c>
      <c r="J5426">
        <v>0</v>
      </c>
      <c r="K5426">
        <v>0</v>
      </c>
      <c r="L5426">
        <f t="shared" si="168"/>
        <v>6</v>
      </c>
      <c r="M5426">
        <f t="shared" si="169"/>
        <v>1</v>
      </c>
    </row>
    <row r="5427" spans="1:13" x14ac:dyDescent="0.3">
      <c r="A5427">
        <v>5425</v>
      </c>
      <c r="B5427">
        <v>5426</v>
      </c>
      <c r="C5427" t="s">
        <v>5505</v>
      </c>
      <c r="D5427">
        <v>2004</v>
      </c>
      <c r="E5427" t="s">
        <v>11</v>
      </c>
      <c r="F5427" t="s">
        <v>1180</v>
      </c>
      <c r="G5427">
        <v>0</v>
      </c>
      <c r="H5427">
        <v>0</v>
      </c>
      <c r="I5427">
        <v>1</v>
      </c>
      <c r="J5427">
        <v>0</v>
      </c>
      <c r="K5427">
        <v>0</v>
      </c>
      <c r="L5427">
        <f t="shared" si="168"/>
        <v>6</v>
      </c>
      <c r="M5427">
        <f t="shared" si="169"/>
        <v>1</v>
      </c>
    </row>
    <row r="5428" spans="1:13" x14ac:dyDescent="0.3">
      <c r="A5428">
        <v>5426</v>
      </c>
      <c r="B5428">
        <v>5427</v>
      </c>
      <c r="C5428" t="s">
        <v>5506</v>
      </c>
      <c r="D5428">
        <v>2013</v>
      </c>
      <c r="E5428" t="s">
        <v>11</v>
      </c>
      <c r="F5428" t="s">
        <v>1180</v>
      </c>
      <c r="G5428">
        <v>0</v>
      </c>
      <c r="H5428">
        <v>0</v>
      </c>
      <c r="I5428">
        <v>1</v>
      </c>
      <c r="J5428">
        <v>0</v>
      </c>
      <c r="K5428">
        <v>0</v>
      </c>
      <c r="L5428">
        <f t="shared" si="168"/>
        <v>6</v>
      </c>
      <c r="M5428">
        <f t="shared" si="169"/>
        <v>1</v>
      </c>
    </row>
    <row r="5429" spans="1:13" x14ac:dyDescent="0.3">
      <c r="A5429">
        <v>5427</v>
      </c>
      <c r="B5429">
        <v>5428</v>
      </c>
      <c r="C5429" t="s">
        <v>5507</v>
      </c>
      <c r="D5429">
        <v>2007</v>
      </c>
      <c r="E5429" t="s">
        <v>11</v>
      </c>
      <c r="F5429" t="s">
        <v>1180</v>
      </c>
      <c r="G5429">
        <v>0</v>
      </c>
      <c r="H5429">
        <v>0</v>
      </c>
      <c r="I5429">
        <v>1</v>
      </c>
      <c r="J5429">
        <v>0</v>
      </c>
      <c r="K5429">
        <v>0</v>
      </c>
      <c r="L5429">
        <f t="shared" si="168"/>
        <v>6</v>
      </c>
      <c r="M5429">
        <f t="shared" si="169"/>
        <v>1</v>
      </c>
    </row>
    <row r="5430" spans="1:13" x14ac:dyDescent="0.3">
      <c r="A5430">
        <v>5428</v>
      </c>
      <c r="B5430">
        <v>5429</v>
      </c>
      <c r="C5430" t="s">
        <v>5508</v>
      </c>
      <c r="D5430">
        <v>2018</v>
      </c>
      <c r="E5430" t="s">
        <v>36</v>
      </c>
      <c r="F5430" t="s">
        <v>1180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f t="shared" si="168"/>
        <v>6</v>
      </c>
      <c r="M5430">
        <f t="shared" si="169"/>
        <v>1</v>
      </c>
    </row>
    <row r="5431" spans="1:13" x14ac:dyDescent="0.3">
      <c r="A5431">
        <v>5429</v>
      </c>
      <c r="B5431">
        <v>5430</v>
      </c>
      <c r="C5431" t="s">
        <v>5509</v>
      </c>
      <c r="D5431">
        <v>1996</v>
      </c>
      <c r="E5431" t="s">
        <v>14</v>
      </c>
      <c r="F5431" t="s">
        <v>1180</v>
      </c>
      <c r="G5431">
        <v>0</v>
      </c>
      <c r="H5431">
        <v>0</v>
      </c>
      <c r="I5431">
        <v>1</v>
      </c>
      <c r="J5431">
        <v>0</v>
      </c>
      <c r="K5431">
        <v>0</v>
      </c>
      <c r="L5431">
        <f t="shared" si="168"/>
        <v>6</v>
      </c>
      <c r="M5431">
        <f t="shared" si="169"/>
        <v>1</v>
      </c>
    </row>
    <row r="5432" spans="1:13" x14ac:dyDescent="0.3">
      <c r="A5432">
        <v>5430</v>
      </c>
      <c r="B5432">
        <v>5431</v>
      </c>
      <c r="C5432" t="s">
        <v>5510</v>
      </c>
      <c r="D5432">
        <v>2009</v>
      </c>
      <c r="E5432" t="s">
        <v>22</v>
      </c>
      <c r="F5432" t="s">
        <v>1180</v>
      </c>
      <c r="G5432">
        <v>0</v>
      </c>
      <c r="H5432">
        <v>0</v>
      </c>
      <c r="I5432">
        <v>1</v>
      </c>
      <c r="J5432">
        <v>0</v>
      </c>
      <c r="K5432">
        <v>0</v>
      </c>
      <c r="L5432">
        <f t="shared" si="168"/>
        <v>6</v>
      </c>
      <c r="M5432">
        <f t="shared" si="169"/>
        <v>1</v>
      </c>
    </row>
    <row r="5433" spans="1:13" x14ac:dyDescent="0.3">
      <c r="A5433">
        <v>5431</v>
      </c>
      <c r="B5433">
        <v>5432</v>
      </c>
      <c r="C5433" t="s">
        <v>5511</v>
      </c>
      <c r="D5433">
        <v>2016</v>
      </c>
      <c r="E5433" t="s">
        <v>11</v>
      </c>
      <c r="F5433" t="s">
        <v>1180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f t="shared" si="168"/>
        <v>6</v>
      </c>
      <c r="M5433">
        <f t="shared" si="169"/>
        <v>1</v>
      </c>
    </row>
    <row r="5434" spans="1:13" x14ac:dyDescent="0.3">
      <c r="A5434">
        <v>5432</v>
      </c>
      <c r="B5434">
        <v>5433</v>
      </c>
      <c r="C5434" t="s">
        <v>5512</v>
      </c>
      <c r="D5434">
        <v>2015</v>
      </c>
      <c r="E5434" t="s">
        <v>22</v>
      </c>
      <c r="F5434" t="s">
        <v>1180</v>
      </c>
      <c r="G5434">
        <v>0</v>
      </c>
      <c r="H5434">
        <v>0</v>
      </c>
      <c r="I5434">
        <v>1</v>
      </c>
      <c r="J5434">
        <v>0</v>
      </c>
      <c r="K5434">
        <v>0</v>
      </c>
      <c r="L5434">
        <f t="shared" si="168"/>
        <v>6</v>
      </c>
      <c r="M5434">
        <f t="shared" si="169"/>
        <v>1</v>
      </c>
    </row>
    <row r="5435" spans="1:13" x14ac:dyDescent="0.3">
      <c r="A5435">
        <v>5433</v>
      </c>
      <c r="B5435">
        <v>5434</v>
      </c>
      <c r="C5435" t="s">
        <v>5513</v>
      </c>
      <c r="D5435">
        <v>2018</v>
      </c>
      <c r="F5435" t="s">
        <v>1180</v>
      </c>
      <c r="G5435">
        <v>0</v>
      </c>
      <c r="H5435">
        <v>0</v>
      </c>
      <c r="I5435">
        <v>1</v>
      </c>
      <c r="J5435">
        <v>0</v>
      </c>
      <c r="K5435">
        <v>0</v>
      </c>
      <c r="L5435">
        <f t="shared" si="168"/>
        <v>6</v>
      </c>
      <c r="M5435">
        <f t="shared" si="169"/>
        <v>1</v>
      </c>
    </row>
    <row r="5436" spans="1:13" x14ac:dyDescent="0.3">
      <c r="A5436">
        <v>5434</v>
      </c>
      <c r="B5436">
        <v>5435</v>
      </c>
      <c r="C5436" t="s">
        <v>5514</v>
      </c>
      <c r="D5436">
        <v>2018</v>
      </c>
      <c r="E5436" t="s">
        <v>14</v>
      </c>
      <c r="F5436" t="s">
        <v>1180</v>
      </c>
      <c r="G5436">
        <v>0</v>
      </c>
      <c r="H5436">
        <v>0</v>
      </c>
      <c r="I5436">
        <v>1</v>
      </c>
      <c r="J5436">
        <v>0</v>
      </c>
      <c r="K5436">
        <v>0</v>
      </c>
      <c r="L5436">
        <f t="shared" si="168"/>
        <v>6</v>
      </c>
      <c r="M5436">
        <f t="shared" si="169"/>
        <v>1</v>
      </c>
    </row>
    <row r="5437" spans="1:13" x14ac:dyDescent="0.3">
      <c r="A5437">
        <v>5435</v>
      </c>
      <c r="B5437">
        <v>5436</v>
      </c>
      <c r="C5437" t="s">
        <v>5515</v>
      </c>
      <c r="D5437">
        <v>2018</v>
      </c>
      <c r="E5437" t="s">
        <v>22</v>
      </c>
      <c r="F5437" t="s">
        <v>1180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f t="shared" si="168"/>
        <v>6</v>
      </c>
      <c r="M5437">
        <f t="shared" si="169"/>
        <v>1</v>
      </c>
    </row>
    <row r="5438" spans="1:13" x14ac:dyDescent="0.3">
      <c r="A5438">
        <v>5436</v>
      </c>
      <c r="B5438">
        <v>5437</v>
      </c>
      <c r="C5438" t="s">
        <v>5516</v>
      </c>
      <c r="D5438">
        <v>1988</v>
      </c>
      <c r="E5438" t="s">
        <v>11</v>
      </c>
      <c r="F5438" t="s">
        <v>1180</v>
      </c>
      <c r="G5438">
        <v>0</v>
      </c>
      <c r="H5438">
        <v>0</v>
      </c>
      <c r="I5438">
        <v>1</v>
      </c>
      <c r="J5438">
        <v>0</v>
      </c>
      <c r="K5438">
        <v>0</v>
      </c>
      <c r="L5438">
        <f t="shared" si="168"/>
        <v>6</v>
      </c>
      <c r="M5438">
        <f t="shared" si="169"/>
        <v>1</v>
      </c>
    </row>
    <row r="5439" spans="1:13" x14ac:dyDescent="0.3">
      <c r="A5439">
        <v>5437</v>
      </c>
      <c r="B5439">
        <v>5438</v>
      </c>
      <c r="C5439" t="s">
        <v>5517</v>
      </c>
      <c r="D5439">
        <v>2010</v>
      </c>
      <c r="E5439" t="s">
        <v>14</v>
      </c>
      <c r="F5439" t="s">
        <v>1180</v>
      </c>
      <c r="G5439">
        <v>0</v>
      </c>
      <c r="H5439">
        <v>0</v>
      </c>
      <c r="I5439">
        <v>1</v>
      </c>
      <c r="J5439">
        <v>0</v>
      </c>
      <c r="K5439">
        <v>0</v>
      </c>
      <c r="L5439">
        <f t="shared" si="168"/>
        <v>6</v>
      </c>
      <c r="M5439">
        <f t="shared" si="169"/>
        <v>1</v>
      </c>
    </row>
    <row r="5440" spans="1:13" x14ac:dyDescent="0.3">
      <c r="A5440">
        <v>5438</v>
      </c>
      <c r="B5440">
        <v>5439</v>
      </c>
      <c r="C5440" t="s">
        <v>5518</v>
      </c>
      <c r="D5440">
        <v>2016</v>
      </c>
      <c r="F5440" t="s">
        <v>1180</v>
      </c>
      <c r="G5440">
        <v>0</v>
      </c>
      <c r="H5440">
        <v>0</v>
      </c>
      <c r="I5440">
        <v>1</v>
      </c>
      <c r="J5440">
        <v>0</v>
      </c>
      <c r="K5440">
        <v>0</v>
      </c>
      <c r="L5440">
        <f t="shared" si="168"/>
        <v>6</v>
      </c>
      <c r="M5440">
        <f t="shared" si="169"/>
        <v>1</v>
      </c>
    </row>
    <row r="5441" spans="1:13" x14ac:dyDescent="0.3">
      <c r="A5441">
        <v>5439</v>
      </c>
      <c r="B5441">
        <v>5440</v>
      </c>
      <c r="C5441" t="s">
        <v>5519</v>
      </c>
      <c r="D5441">
        <v>1986</v>
      </c>
      <c r="E5441" t="s">
        <v>11</v>
      </c>
      <c r="F5441" t="s">
        <v>1180</v>
      </c>
      <c r="G5441">
        <v>0</v>
      </c>
      <c r="H5441">
        <v>0</v>
      </c>
      <c r="I5441">
        <v>1</v>
      </c>
      <c r="J5441">
        <v>0</v>
      </c>
      <c r="K5441">
        <v>0</v>
      </c>
      <c r="L5441">
        <f t="shared" si="168"/>
        <v>6</v>
      </c>
      <c r="M5441">
        <f t="shared" si="169"/>
        <v>1</v>
      </c>
    </row>
    <row r="5442" spans="1:13" x14ac:dyDescent="0.3">
      <c r="A5442">
        <v>5440</v>
      </c>
      <c r="B5442">
        <v>5441</v>
      </c>
      <c r="C5442" t="s">
        <v>5520</v>
      </c>
      <c r="D5442">
        <v>1991</v>
      </c>
      <c r="E5442" t="s">
        <v>11</v>
      </c>
      <c r="F5442" t="s">
        <v>1180</v>
      </c>
      <c r="G5442">
        <v>0</v>
      </c>
      <c r="H5442">
        <v>0</v>
      </c>
      <c r="I5442">
        <v>1</v>
      </c>
      <c r="J5442">
        <v>0</v>
      </c>
      <c r="K5442">
        <v>0</v>
      </c>
      <c r="L5442">
        <f t="shared" si="168"/>
        <v>6</v>
      </c>
      <c r="M5442">
        <f t="shared" si="169"/>
        <v>1</v>
      </c>
    </row>
    <row r="5443" spans="1:13" x14ac:dyDescent="0.3">
      <c r="A5443">
        <v>5441</v>
      </c>
      <c r="B5443">
        <v>5442</v>
      </c>
      <c r="C5443" t="s">
        <v>5521</v>
      </c>
      <c r="D5443">
        <v>2019</v>
      </c>
      <c r="F5443" t="s">
        <v>1180</v>
      </c>
      <c r="G5443">
        <v>0</v>
      </c>
      <c r="H5443">
        <v>0</v>
      </c>
      <c r="I5443">
        <v>1</v>
      </c>
      <c r="J5443">
        <v>0</v>
      </c>
      <c r="K5443">
        <v>0</v>
      </c>
      <c r="L5443">
        <f t="shared" ref="L5443:L5506" si="170">IFERROR(VALUE(LEFT(F5443,FIND("/",F5443)-1))/10,"")</f>
        <v>6</v>
      </c>
      <c r="M5443">
        <f t="shared" ref="M5443:M5506" si="171">SUM(G5443:J5443)</f>
        <v>1</v>
      </c>
    </row>
    <row r="5444" spans="1:13" x14ac:dyDescent="0.3">
      <c r="A5444">
        <v>5442</v>
      </c>
      <c r="B5444">
        <v>5443</v>
      </c>
      <c r="C5444" t="s">
        <v>5522</v>
      </c>
      <c r="D5444">
        <v>2019</v>
      </c>
      <c r="F5444" t="s">
        <v>1180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f t="shared" si="170"/>
        <v>6</v>
      </c>
      <c r="M5444">
        <f t="shared" si="171"/>
        <v>1</v>
      </c>
    </row>
    <row r="5445" spans="1:13" x14ac:dyDescent="0.3">
      <c r="A5445">
        <v>5443</v>
      </c>
      <c r="B5445">
        <v>5444</v>
      </c>
      <c r="C5445" t="s">
        <v>5523</v>
      </c>
      <c r="D5445">
        <v>1992</v>
      </c>
      <c r="E5445" t="s">
        <v>14</v>
      </c>
      <c r="F5445" t="s">
        <v>1180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f t="shared" si="170"/>
        <v>6</v>
      </c>
      <c r="M5445">
        <f t="shared" si="171"/>
        <v>1</v>
      </c>
    </row>
    <row r="5446" spans="1:13" x14ac:dyDescent="0.3">
      <c r="A5446">
        <v>5444</v>
      </c>
      <c r="B5446">
        <v>5445</v>
      </c>
      <c r="C5446" t="s">
        <v>5524</v>
      </c>
      <c r="D5446">
        <v>2012</v>
      </c>
      <c r="E5446" t="s">
        <v>11</v>
      </c>
      <c r="F5446" t="s">
        <v>1180</v>
      </c>
      <c r="G5446">
        <v>0</v>
      </c>
      <c r="H5446">
        <v>0</v>
      </c>
      <c r="I5446">
        <v>1</v>
      </c>
      <c r="J5446">
        <v>0</v>
      </c>
      <c r="K5446">
        <v>0</v>
      </c>
      <c r="L5446">
        <f t="shared" si="170"/>
        <v>6</v>
      </c>
      <c r="M5446">
        <f t="shared" si="171"/>
        <v>1</v>
      </c>
    </row>
    <row r="5447" spans="1:13" x14ac:dyDescent="0.3">
      <c r="A5447">
        <v>5445</v>
      </c>
      <c r="B5447">
        <v>5446</v>
      </c>
      <c r="C5447" t="s">
        <v>5525</v>
      </c>
      <c r="D5447">
        <v>1956</v>
      </c>
      <c r="E5447" t="s">
        <v>14</v>
      </c>
      <c r="F5447" t="s">
        <v>1180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f t="shared" si="170"/>
        <v>6</v>
      </c>
      <c r="M5447">
        <f t="shared" si="171"/>
        <v>1</v>
      </c>
    </row>
    <row r="5448" spans="1:13" x14ac:dyDescent="0.3">
      <c r="A5448">
        <v>5446</v>
      </c>
      <c r="B5448">
        <v>5447</v>
      </c>
      <c r="C5448" t="s">
        <v>5526</v>
      </c>
      <c r="D5448">
        <v>2020</v>
      </c>
      <c r="F5448" t="s">
        <v>1180</v>
      </c>
      <c r="G5448">
        <v>0</v>
      </c>
      <c r="H5448">
        <v>0</v>
      </c>
      <c r="I5448">
        <v>1</v>
      </c>
      <c r="J5448">
        <v>0</v>
      </c>
      <c r="K5448">
        <v>0</v>
      </c>
      <c r="L5448">
        <f t="shared" si="170"/>
        <v>6</v>
      </c>
      <c r="M5448">
        <f t="shared" si="171"/>
        <v>1</v>
      </c>
    </row>
    <row r="5449" spans="1:13" x14ac:dyDescent="0.3">
      <c r="A5449">
        <v>5447</v>
      </c>
      <c r="B5449">
        <v>5448</v>
      </c>
      <c r="C5449" t="s">
        <v>5527</v>
      </c>
      <c r="D5449">
        <v>2013</v>
      </c>
      <c r="F5449" t="s">
        <v>1180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f t="shared" si="170"/>
        <v>6</v>
      </c>
      <c r="M5449">
        <f t="shared" si="171"/>
        <v>1</v>
      </c>
    </row>
    <row r="5450" spans="1:13" x14ac:dyDescent="0.3">
      <c r="A5450">
        <v>5448</v>
      </c>
      <c r="B5450">
        <v>5449</v>
      </c>
      <c r="C5450" t="s">
        <v>5528</v>
      </c>
      <c r="D5450">
        <v>1997</v>
      </c>
      <c r="E5450" t="s">
        <v>11</v>
      </c>
      <c r="F5450" t="s">
        <v>1180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f t="shared" si="170"/>
        <v>6</v>
      </c>
      <c r="M5450">
        <f t="shared" si="171"/>
        <v>1</v>
      </c>
    </row>
    <row r="5451" spans="1:13" x14ac:dyDescent="0.3">
      <c r="A5451">
        <v>5449</v>
      </c>
      <c r="B5451">
        <v>5450</v>
      </c>
      <c r="C5451" t="s">
        <v>5529</v>
      </c>
      <c r="D5451">
        <v>2003</v>
      </c>
      <c r="E5451" t="s">
        <v>11</v>
      </c>
      <c r="F5451" t="s">
        <v>1180</v>
      </c>
      <c r="G5451">
        <v>0</v>
      </c>
      <c r="H5451">
        <v>0</v>
      </c>
      <c r="I5451">
        <v>1</v>
      </c>
      <c r="J5451">
        <v>0</v>
      </c>
      <c r="K5451">
        <v>0</v>
      </c>
      <c r="L5451">
        <f t="shared" si="170"/>
        <v>6</v>
      </c>
      <c r="M5451">
        <f t="shared" si="171"/>
        <v>1</v>
      </c>
    </row>
    <row r="5452" spans="1:13" x14ac:dyDescent="0.3">
      <c r="A5452">
        <v>5450</v>
      </c>
      <c r="B5452">
        <v>5451</v>
      </c>
      <c r="C5452" t="s">
        <v>5530</v>
      </c>
      <c r="D5452">
        <v>2008</v>
      </c>
      <c r="E5452" t="s">
        <v>22</v>
      </c>
      <c r="F5452" t="s">
        <v>1180</v>
      </c>
      <c r="G5452">
        <v>0</v>
      </c>
      <c r="H5452">
        <v>0</v>
      </c>
      <c r="I5452">
        <v>1</v>
      </c>
      <c r="J5452">
        <v>0</v>
      </c>
      <c r="K5452">
        <v>0</v>
      </c>
      <c r="L5452">
        <f t="shared" si="170"/>
        <v>6</v>
      </c>
      <c r="M5452">
        <f t="shared" si="171"/>
        <v>1</v>
      </c>
    </row>
    <row r="5453" spans="1:13" x14ac:dyDescent="0.3">
      <c r="A5453">
        <v>5451</v>
      </c>
      <c r="B5453">
        <v>5452</v>
      </c>
      <c r="C5453" t="s">
        <v>5531</v>
      </c>
      <c r="D5453">
        <v>1964</v>
      </c>
      <c r="F5453" t="s">
        <v>1180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f t="shared" si="170"/>
        <v>6</v>
      </c>
      <c r="M5453">
        <f t="shared" si="171"/>
        <v>1</v>
      </c>
    </row>
    <row r="5454" spans="1:13" x14ac:dyDescent="0.3">
      <c r="A5454">
        <v>5452</v>
      </c>
      <c r="B5454">
        <v>5453</v>
      </c>
      <c r="C5454" t="s">
        <v>5532</v>
      </c>
      <c r="D5454">
        <v>1991</v>
      </c>
      <c r="E5454" t="s">
        <v>11</v>
      </c>
      <c r="F5454" t="s">
        <v>1180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f t="shared" si="170"/>
        <v>6</v>
      </c>
      <c r="M5454">
        <f t="shared" si="171"/>
        <v>1</v>
      </c>
    </row>
    <row r="5455" spans="1:13" x14ac:dyDescent="0.3">
      <c r="A5455">
        <v>5453</v>
      </c>
      <c r="B5455">
        <v>5454</v>
      </c>
      <c r="C5455" t="s">
        <v>5533</v>
      </c>
      <c r="D5455">
        <v>2020</v>
      </c>
      <c r="E5455" t="s">
        <v>11</v>
      </c>
      <c r="F5455" t="s">
        <v>1180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f t="shared" si="170"/>
        <v>6</v>
      </c>
      <c r="M5455">
        <f t="shared" si="171"/>
        <v>1</v>
      </c>
    </row>
    <row r="5456" spans="1:13" x14ac:dyDescent="0.3">
      <c r="A5456">
        <v>5454</v>
      </c>
      <c r="B5456">
        <v>5455</v>
      </c>
      <c r="C5456" t="s">
        <v>5534</v>
      </c>
      <c r="D5456">
        <v>2015</v>
      </c>
      <c r="E5456" t="s">
        <v>14</v>
      </c>
      <c r="F5456" t="s">
        <v>1180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f t="shared" si="170"/>
        <v>6</v>
      </c>
      <c r="M5456">
        <f t="shared" si="171"/>
        <v>1</v>
      </c>
    </row>
    <row r="5457" spans="1:13" x14ac:dyDescent="0.3">
      <c r="A5457">
        <v>5455</v>
      </c>
      <c r="B5457">
        <v>5456</v>
      </c>
      <c r="C5457" t="s">
        <v>5535</v>
      </c>
      <c r="D5457">
        <v>2020</v>
      </c>
      <c r="F5457" t="s">
        <v>1180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f t="shared" si="170"/>
        <v>6</v>
      </c>
      <c r="M5457">
        <f t="shared" si="171"/>
        <v>1</v>
      </c>
    </row>
    <row r="5458" spans="1:13" x14ac:dyDescent="0.3">
      <c r="A5458">
        <v>5456</v>
      </c>
      <c r="B5458">
        <v>5457</v>
      </c>
      <c r="C5458" t="s">
        <v>5536</v>
      </c>
      <c r="D5458">
        <v>2016</v>
      </c>
      <c r="E5458" t="s">
        <v>22</v>
      </c>
      <c r="F5458" t="s">
        <v>1180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f t="shared" si="170"/>
        <v>6</v>
      </c>
      <c r="M5458">
        <f t="shared" si="171"/>
        <v>1</v>
      </c>
    </row>
    <row r="5459" spans="1:13" x14ac:dyDescent="0.3">
      <c r="A5459">
        <v>5457</v>
      </c>
      <c r="B5459">
        <v>5458</v>
      </c>
      <c r="C5459" t="s">
        <v>5537</v>
      </c>
      <c r="D5459">
        <v>2019</v>
      </c>
      <c r="F5459" t="s">
        <v>1180</v>
      </c>
      <c r="G5459">
        <v>0</v>
      </c>
      <c r="H5459">
        <v>0</v>
      </c>
      <c r="I5459">
        <v>1</v>
      </c>
      <c r="J5459">
        <v>0</v>
      </c>
      <c r="K5459">
        <v>0</v>
      </c>
      <c r="L5459">
        <f t="shared" si="170"/>
        <v>6</v>
      </c>
      <c r="M5459">
        <f t="shared" si="171"/>
        <v>1</v>
      </c>
    </row>
    <row r="5460" spans="1:13" x14ac:dyDescent="0.3">
      <c r="A5460">
        <v>5458</v>
      </c>
      <c r="B5460">
        <v>5459</v>
      </c>
      <c r="C5460" t="s">
        <v>5538</v>
      </c>
      <c r="D5460">
        <v>1975</v>
      </c>
      <c r="F5460" t="s">
        <v>1180</v>
      </c>
      <c r="G5460">
        <v>0</v>
      </c>
      <c r="H5460">
        <v>0</v>
      </c>
      <c r="I5460">
        <v>1</v>
      </c>
      <c r="J5460">
        <v>0</v>
      </c>
      <c r="K5460">
        <v>0</v>
      </c>
      <c r="L5460">
        <f t="shared" si="170"/>
        <v>6</v>
      </c>
      <c r="M5460">
        <f t="shared" si="171"/>
        <v>1</v>
      </c>
    </row>
    <row r="5461" spans="1:13" x14ac:dyDescent="0.3">
      <c r="A5461">
        <v>5459</v>
      </c>
      <c r="B5461">
        <v>5460</v>
      </c>
      <c r="C5461" t="s">
        <v>5539</v>
      </c>
      <c r="D5461">
        <v>1984</v>
      </c>
      <c r="E5461" t="s">
        <v>11</v>
      </c>
      <c r="F5461" t="s">
        <v>1180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f t="shared" si="170"/>
        <v>6</v>
      </c>
      <c r="M5461">
        <f t="shared" si="171"/>
        <v>1</v>
      </c>
    </row>
    <row r="5462" spans="1:13" x14ac:dyDescent="0.3">
      <c r="A5462">
        <v>5460</v>
      </c>
      <c r="B5462">
        <v>5461</v>
      </c>
      <c r="C5462" t="s">
        <v>5540</v>
      </c>
      <c r="D5462">
        <v>2013</v>
      </c>
      <c r="F5462" t="s">
        <v>1180</v>
      </c>
      <c r="G5462">
        <v>0</v>
      </c>
      <c r="H5462">
        <v>0</v>
      </c>
      <c r="I5462">
        <v>1</v>
      </c>
      <c r="J5462">
        <v>0</v>
      </c>
      <c r="K5462">
        <v>0</v>
      </c>
      <c r="L5462">
        <f t="shared" si="170"/>
        <v>6</v>
      </c>
      <c r="M5462">
        <f t="shared" si="171"/>
        <v>1</v>
      </c>
    </row>
    <row r="5463" spans="1:13" x14ac:dyDescent="0.3">
      <c r="A5463">
        <v>5461</v>
      </c>
      <c r="B5463">
        <v>5462</v>
      </c>
      <c r="C5463" t="s">
        <v>5541</v>
      </c>
      <c r="D5463">
        <v>2012</v>
      </c>
      <c r="E5463" t="s">
        <v>22</v>
      </c>
      <c r="F5463" t="s">
        <v>1180</v>
      </c>
      <c r="G5463">
        <v>0</v>
      </c>
      <c r="H5463">
        <v>0</v>
      </c>
      <c r="I5463">
        <v>1</v>
      </c>
      <c r="J5463">
        <v>0</v>
      </c>
      <c r="K5463">
        <v>0</v>
      </c>
      <c r="L5463">
        <f t="shared" si="170"/>
        <v>6</v>
      </c>
      <c r="M5463">
        <f t="shared" si="171"/>
        <v>1</v>
      </c>
    </row>
    <row r="5464" spans="1:13" x14ac:dyDescent="0.3">
      <c r="A5464">
        <v>5462</v>
      </c>
      <c r="B5464">
        <v>5463</v>
      </c>
      <c r="C5464" t="s">
        <v>5542</v>
      </c>
      <c r="D5464">
        <v>2008</v>
      </c>
      <c r="E5464" t="s">
        <v>11</v>
      </c>
      <c r="F5464" t="s">
        <v>1180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f t="shared" si="170"/>
        <v>6</v>
      </c>
      <c r="M5464">
        <f t="shared" si="171"/>
        <v>1</v>
      </c>
    </row>
    <row r="5465" spans="1:13" x14ac:dyDescent="0.3">
      <c r="A5465">
        <v>5463</v>
      </c>
      <c r="B5465">
        <v>5464</v>
      </c>
      <c r="C5465" t="s">
        <v>5543</v>
      </c>
      <c r="D5465">
        <v>2015</v>
      </c>
      <c r="E5465" t="s">
        <v>11</v>
      </c>
      <c r="F5465" t="s">
        <v>1180</v>
      </c>
      <c r="G5465">
        <v>0</v>
      </c>
      <c r="H5465">
        <v>0</v>
      </c>
      <c r="I5465">
        <v>1</v>
      </c>
      <c r="J5465">
        <v>0</v>
      </c>
      <c r="K5465">
        <v>0</v>
      </c>
      <c r="L5465">
        <f t="shared" si="170"/>
        <v>6</v>
      </c>
      <c r="M5465">
        <f t="shared" si="171"/>
        <v>1</v>
      </c>
    </row>
    <row r="5466" spans="1:13" x14ac:dyDescent="0.3">
      <c r="A5466">
        <v>5464</v>
      </c>
      <c r="B5466">
        <v>5465</v>
      </c>
      <c r="C5466" t="s">
        <v>5544</v>
      </c>
      <c r="D5466">
        <v>1950</v>
      </c>
      <c r="E5466" t="s">
        <v>14</v>
      </c>
      <c r="F5466" t="s">
        <v>1180</v>
      </c>
      <c r="G5466">
        <v>0</v>
      </c>
      <c r="H5466">
        <v>0</v>
      </c>
      <c r="I5466">
        <v>1</v>
      </c>
      <c r="J5466">
        <v>0</v>
      </c>
      <c r="K5466">
        <v>0</v>
      </c>
      <c r="L5466">
        <f t="shared" si="170"/>
        <v>6</v>
      </c>
      <c r="M5466">
        <f t="shared" si="171"/>
        <v>1</v>
      </c>
    </row>
    <row r="5467" spans="1:13" x14ac:dyDescent="0.3">
      <c r="A5467">
        <v>5465</v>
      </c>
      <c r="B5467">
        <v>5466</v>
      </c>
      <c r="C5467" t="s">
        <v>5545</v>
      </c>
      <c r="D5467">
        <v>2004</v>
      </c>
      <c r="E5467" t="s">
        <v>22</v>
      </c>
      <c r="F5467" t="s">
        <v>1180</v>
      </c>
      <c r="G5467">
        <v>0</v>
      </c>
      <c r="H5467">
        <v>0</v>
      </c>
      <c r="I5467">
        <v>1</v>
      </c>
      <c r="J5467">
        <v>0</v>
      </c>
      <c r="K5467">
        <v>0</v>
      </c>
      <c r="L5467">
        <f t="shared" si="170"/>
        <v>6</v>
      </c>
      <c r="M5467">
        <f t="shared" si="171"/>
        <v>1</v>
      </c>
    </row>
    <row r="5468" spans="1:13" x14ac:dyDescent="0.3">
      <c r="A5468">
        <v>5466</v>
      </c>
      <c r="B5468">
        <v>5467</v>
      </c>
      <c r="C5468" t="s">
        <v>5546</v>
      </c>
      <c r="D5468">
        <v>2018</v>
      </c>
      <c r="E5468" t="s">
        <v>28</v>
      </c>
      <c r="F5468" t="s">
        <v>1180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f t="shared" si="170"/>
        <v>6</v>
      </c>
      <c r="M5468">
        <f t="shared" si="171"/>
        <v>1</v>
      </c>
    </row>
    <row r="5469" spans="1:13" x14ac:dyDescent="0.3">
      <c r="A5469">
        <v>5467</v>
      </c>
      <c r="B5469">
        <v>5468</v>
      </c>
      <c r="C5469" t="s">
        <v>5547</v>
      </c>
      <c r="D5469">
        <v>2008</v>
      </c>
      <c r="E5469" t="s">
        <v>14</v>
      </c>
      <c r="F5469" t="s">
        <v>1180</v>
      </c>
      <c r="G5469">
        <v>0</v>
      </c>
      <c r="H5469">
        <v>0</v>
      </c>
      <c r="I5469">
        <v>1</v>
      </c>
      <c r="J5469">
        <v>0</v>
      </c>
      <c r="K5469">
        <v>0</v>
      </c>
      <c r="L5469">
        <f t="shared" si="170"/>
        <v>6</v>
      </c>
      <c r="M5469">
        <f t="shared" si="171"/>
        <v>1</v>
      </c>
    </row>
    <row r="5470" spans="1:13" x14ac:dyDescent="0.3">
      <c r="A5470">
        <v>5468</v>
      </c>
      <c r="B5470">
        <v>5469</v>
      </c>
      <c r="C5470" t="s">
        <v>5548</v>
      </c>
      <c r="D5470">
        <v>2015</v>
      </c>
      <c r="E5470" t="s">
        <v>11</v>
      </c>
      <c r="F5470" t="s">
        <v>1180</v>
      </c>
      <c r="G5470">
        <v>0</v>
      </c>
      <c r="H5470">
        <v>0</v>
      </c>
      <c r="I5470">
        <v>1</v>
      </c>
      <c r="J5470">
        <v>0</v>
      </c>
      <c r="K5470">
        <v>0</v>
      </c>
      <c r="L5470">
        <f t="shared" si="170"/>
        <v>6</v>
      </c>
      <c r="M5470">
        <f t="shared" si="171"/>
        <v>1</v>
      </c>
    </row>
    <row r="5471" spans="1:13" x14ac:dyDescent="0.3">
      <c r="A5471">
        <v>5469</v>
      </c>
      <c r="B5471">
        <v>5470</v>
      </c>
      <c r="C5471" t="s">
        <v>5549</v>
      </c>
      <c r="D5471">
        <v>2008</v>
      </c>
      <c r="E5471" t="s">
        <v>11</v>
      </c>
      <c r="F5471" t="s">
        <v>1180</v>
      </c>
      <c r="G5471">
        <v>0</v>
      </c>
      <c r="H5471">
        <v>0</v>
      </c>
      <c r="I5471">
        <v>1</v>
      </c>
      <c r="J5471">
        <v>0</v>
      </c>
      <c r="K5471">
        <v>0</v>
      </c>
      <c r="L5471">
        <f t="shared" si="170"/>
        <v>6</v>
      </c>
      <c r="M5471">
        <f t="shared" si="171"/>
        <v>1</v>
      </c>
    </row>
    <row r="5472" spans="1:13" x14ac:dyDescent="0.3">
      <c r="A5472">
        <v>5470</v>
      </c>
      <c r="B5472">
        <v>5471</v>
      </c>
      <c r="C5472" t="s">
        <v>5550</v>
      </c>
      <c r="D5472">
        <v>2020</v>
      </c>
      <c r="F5472" t="s">
        <v>1180</v>
      </c>
      <c r="G5472">
        <v>0</v>
      </c>
      <c r="H5472">
        <v>0</v>
      </c>
      <c r="I5472">
        <v>1</v>
      </c>
      <c r="J5472">
        <v>0</v>
      </c>
      <c r="K5472">
        <v>0</v>
      </c>
      <c r="L5472">
        <f t="shared" si="170"/>
        <v>6</v>
      </c>
      <c r="M5472">
        <f t="shared" si="171"/>
        <v>1</v>
      </c>
    </row>
    <row r="5473" spans="1:13" x14ac:dyDescent="0.3">
      <c r="A5473">
        <v>5471</v>
      </c>
      <c r="B5473">
        <v>5472</v>
      </c>
      <c r="C5473" t="s">
        <v>5551</v>
      </c>
      <c r="D5473">
        <v>2015</v>
      </c>
      <c r="F5473" t="s">
        <v>1180</v>
      </c>
      <c r="G5473">
        <v>0</v>
      </c>
      <c r="H5473">
        <v>0</v>
      </c>
      <c r="I5473">
        <v>1</v>
      </c>
      <c r="J5473">
        <v>0</v>
      </c>
      <c r="K5473">
        <v>0</v>
      </c>
      <c r="L5473">
        <f t="shared" si="170"/>
        <v>6</v>
      </c>
      <c r="M5473">
        <f t="shared" si="171"/>
        <v>1</v>
      </c>
    </row>
    <row r="5474" spans="1:13" x14ac:dyDescent="0.3">
      <c r="A5474">
        <v>5472</v>
      </c>
      <c r="B5474">
        <v>5473</v>
      </c>
      <c r="C5474" t="s">
        <v>5552</v>
      </c>
      <c r="D5474">
        <v>1966</v>
      </c>
      <c r="E5474" t="s">
        <v>36</v>
      </c>
      <c r="F5474" t="s">
        <v>1180</v>
      </c>
      <c r="G5474">
        <v>0</v>
      </c>
      <c r="H5474">
        <v>0</v>
      </c>
      <c r="I5474">
        <v>1</v>
      </c>
      <c r="J5474">
        <v>0</v>
      </c>
      <c r="K5474">
        <v>0</v>
      </c>
      <c r="L5474">
        <f t="shared" si="170"/>
        <v>6</v>
      </c>
      <c r="M5474">
        <f t="shared" si="171"/>
        <v>1</v>
      </c>
    </row>
    <row r="5475" spans="1:13" x14ac:dyDescent="0.3">
      <c r="A5475">
        <v>5473</v>
      </c>
      <c r="B5475">
        <v>5474</v>
      </c>
      <c r="C5475" t="s">
        <v>5553</v>
      </c>
      <c r="D5475">
        <v>1980</v>
      </c>
      <c r="E5475" t="s">
        <v>36</v>
      </c>
      <c r="F5475" t="s">
        <v>1180</v>
      </c>
      <c r="G5475">
        <v>0</v>
      </c>
      <c r="H5475">
        <v>0</v>
      </c>
      <c r="I5475">
        <v>1</v>
      </c>
      <c r="J5475">
        <v>0</v>
      </c>
      <c r="K5475">
        <v>0</v>
      </c>
      <c r="L5475">
        <f t="shared" si="170"/>
        <v>6</v>
      </c>
      <c r="M5475">
        <f t="shared" si="171"/>
        <v>1</v>
      </c>
    </row>
    <row r="5476" spans="1:13" x14ac:dyDescent="0.3">
      <c r="A5476">
        <v>5474</v>
      </c>
      <c r="B5476">
        <v>5475</v>
      </c>
      <c r="C5476" t="s">
        <v>5554</v>
      </c>
      <c r="D5476">
        <v>1954</v>
      </c>
      <c r="F5476" t="s">
        <v>1180</v>
      </c>
      <c r="G5476">
        <v>0</v>
      </c>
      <c r="H5476">
        <v>0</v>
      </c>
      <c r="I5476">
        <v>1</v>
      </c>
      <c r="J5476">
        <v>0</v>
      </c>
      <c r="K5476">
        <v>0</v>
      </c>
      <c r="L5476">
        <f t="shared" si="170"/>
        <v>6</v>
      </c>
      <c r="M5476">
        <f t="shared" si="171"/>
        <v>1</v>
      </c>
    </row>
    <row r="5477" spans="1:13" x14ac:dyDescent="0.3">
      <c r="A5477">
        <v>5475</v>
      </c>
      <c r="B5477">
        <v>5476</v>
      </c>
      <c r="C5477" t="s">
        <v>5555</v>
      </c>
      <c r="D5477">
        <v>1950</v>
      </c>
      <c r="F5477" t="s">
        <v>1180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f t="shared" si="170"/>
        <v>6</v>
      </c>
      <c r="M5477">
        <f t="shared" si="171"/>
        <v>1</v>
      </c>
    </row>
    <row r="5478" spans="1:13" x14ac:dyDescent="0.3">
      <c r="A5478">
        <v>5476</v>
      </c>
      <c r="B5478">
        <v>5477</v>
      </c>
      <c r="C5478" t="s">
        <v>5556</v>
      </c>
      <c r="D5478">
        <v>1990</v>
      </c>
      <c r="E5478" t="s">
        <v>14</v>
      </c>
      <c r="F5478" t="s">
        <v>1180</v>
      </c>
      <c r="G5478">
        <v>0</v>
      </c>
      <c r="H5478">
        <v>0</v>
      </c>
      <c r="I5478">
        <v>1</v>
      </c>
      <c r="J5478">
        <v>0</v>
      </c>
      <c r="K5478">
        <v>0</v>
      </c>
      <c r="L5478">
        <f t="shared" si="170"/>
        <v>6</v>
      </c>
      <c r="M5478">
        <f t="shared" si="171"/>
        <v>1</v>
      </c>
    </row>
    <row r="5479" spans="1:13" x14ac:dyDescent="0.3">
      <c r="A5479">
        <v>5477</v>
      </c>
      <c r="B5479">
        <v>5478</v>
      </c>
      <c r="C5479" t="s">
        <v>5557</v>
      </c>
      <c r="D5479">
        <v>2018</v>
      </c>
      <c r="E5479" t="s">
        <v>22</v>
      </c>
      <c r="F5479" t="s">
        <v>1180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f t="shared" si="170"/>
        <v>6</v>
      </c>
      <c r="M5479">
        <f t="shared" si="171"/>
        <v>1</v>
      </c>
    </row>
    <row r="5480" spans="1:13" x14ac:dyDescent="0.3">
      <c r="A5480">
        <v>5478</v>
      </c>
      <c r="B5480">
        <v>5479</v>
      </c>
      <c r="C5480" t="s">
        <v>5558</v>
      </c>
      <c r="D5480">
        <v>1970</v>
      </c>
      <c r="E5480" t="s">
        <v>36</v>
      </c>
      <c r="F5480" t="s">
        <v>1180</v>
      </c>
      <c r="G5480">
        <v>0</v>
      </c>
      <c r="H5480">
        <v>0</v>
      </c>
      <c r="I5480">
        <v>1</v>
      </c>
      <c r="J5480">
        <v>0</v>
      </c>
      <c r="K5480">
        <v>0</v>
      </c>
      <c r="L5480">
        <f t="shared" si="170"/>
        <v>6</v>
      </c>
      <c r="M5480">
        <f t="shared" si="171"/>
        <v>1</v>
      </c>
    </row>
    <row r="5481" spans="1:13" x14ac:dyDescent="0.3">
      <c r="A5481">
        <v>5479</v>
      </c>
      <c r="B5481">
        <v>5480</v>
      </c>
      <c r="C5481" t="s">
        <v>5559</v>
      </c>
      <c r="D5481">
        <v>2017</v>
      </c>
      <c r="F5481" t="s">
        <v>1180</v>
      </c>
      <c r="G5481">
        <v>0</v>
      </c>
      <c r="H5481">
        <v>0</v>
      </c>
      <c r="I5481">
        <v>1</v>
      </c>
      <c r="J5481">
        <v>0</v>
      </c>
      <c r="K5481">
        <v>0</v>
      </c>
      <c r="L5481">
        <f t="shared" si="170"/>
        <v>6</v>
      </c>
      <c r="M5481">
        <f t="shared" si="171"/>
        <v>1</v>
      </c>
    </row>
    <row r="5482" spans="1:13" x14ac:dyDescent="0.3">
      <c r="A5482">
        <v>5480</v>
      </c>
      <c r="B5482">
        <v>5481</v>
      </c>
      <c r="C5482" t="s">
        <v>5560</v>
      </c>
      <c r="D5482">
        <v>2016</v>
      </c>
      <c r="E5482" t="s">
        <v>22</v>
      </c>
      <c r="F5482" t="s">
        <v>1278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f t="shared" si="170"/>
        <v>5.9</v>
      </c>
      <c r="M5482">
        <f t="shared" si="171"/>
        <v>1</v>
      </c>
    </row>
    <row r="5483" spans="1:13" x14ac:dyDescent="0.3">
      <c r="A5483">
        <v>5481</v>
      </c>
      <c r="B5483">
        <v>5482</v>
      </c>
      <c r="C5483" t="s">
        <v>5561</v>
      </c>
      <c r="D5483">
        <v>1973</v>
      </c>
      <c r="E5483" t="s">
        <v>14</v>
      </c>
      <c r="F5483" t="s">
        <v>1278</v>
      </c>
      <c r="G5483">
        <v>0</v>
      </c>
      <c r="H5483">
        <v>0</v>
      </c>
      <c r="I5483">
        <v>1</v>
      </c>
      <c r="J5483">
        <v>0</v>
      </c>
      <c r="K5483">
        <v>0</v>
      </c>
      <c r="L5483">
        <f t="shared" si="170"/>
        <v>5.9</v>
      </c>
      <c r="M5483">
        <f t="shared" si="171"/>
        <v>1</v>
      </c>
    </row>
    <row r="5484" spans="1:13" x14ac:dyDescent="0.3">
      <c r="A5484">
        <v>5482</v>
      </c>
      <c r="B5484">
        <v>5483</v>
      </c>
      <c r="C5484" t="s">
        <v>5562</v>
      </c>
      <c r="D5484">
        <v>2019</v>
      </c>
      <c r="E5484" t="s">
        <v>14</v>
      </c>
      <c r="F5484" t="s">
        <v>1278</v>
      </c>
      <c r="G5484">
        <v>0</v>
      </c>
      <c r="H5484">
        <v>0</v>
      </c>
      <c r="I5484">
        <v>1</v>
      </c>
      <c r="J5484">
        <v>0</v>
      </c>
      <c r="K5484">
        <v>0</v>
      </c>
      <c r="L5484">
        <f t="shared" si="170"/>
        <v>5.9</v>
      </c>
      <c r="M5484">
        <f t="shared" si="171"/>
        <v>1</v>
      </c>
    </row>
    <row r="5485" spans="1:13" x14ac:dyDescent="0.3">
      <c r="A5485">
        <v>5483</v>
      </c>
      <c r="B5485">
        <v>5484</v>
      </c>
      <c r="C5485" t="s">
        <v>5563</v>
      </c>
      <c r="D5485">
        <v>2009</v>
      </c>
      <c r="E5485" t="s">
        <v>22</v>
      </c>
      <c r="F5485" t="s">
        <v>1278</v>
      </c>
      <c r="G5485">
        <v>0</v>
      </c>
      <c r="H5485">
        <v>0</v>
      </c>
      <c r="I5485">
        <v>1</v>
      </c>
      <c r="J5485">
        <v>0</v>
      </c>
      <c r="K5485">
        <v>0</v>
      </c>
      <c r="L5485">
        <f t="shared" si="170"/>
        <v>5.9</v>
      </c>
      <c r="M5485">
        <f t="shared" si="171"/>
        <v>1</v>
      </c>
    </row>
    <row r="5486" spans="1:13" x14ac:dyDescent="0.3">
      <c r="A5486">
        <v>5484</v>
      </c>
      <c r="B5486">
        <v>5485</v>
      </c>
      <c r="C5486" t="s">
        <v>5564</v>
      </c>
      <c r="D5486">
        <v>1965</v>
      </c>
      <c r="E5486" t="s">
        <v>36</v>
      </c>
      <c r="F5486" t="s">
        <v>1278</v>
      </c>
      <c r="G5486">
        <v>0</v>
      </c>
      <c r="H5486">
        <v>0</v>
      </c>
      <c r="I5486">
        <v>1</v>
      </c>
      <c r="J5486">
        <v>1</v>
      </c>
      <c r="K5486">
        <v>0</v>
      </c>
      <c r="L5486">
        <f t="shared" si="170"/>
        <v>5.9</v>
      </c>
      <c r="M5486">
        <f t="shared" si="171"/>
        <v>2</v>
      </c>
    </row>
    <row r="5487" spans="1:13" x14ac:dyDescent="0.3">
      <c r="A5487">
        <v>5485</v>
      </c>
      <c r="B5487">
        <v>5486</v>
      </c>
      <c r="C5487" t="s">
        <v>5565</v>
      </c>
      <c r="D5487">
        <v>2008</v>
      </c>
      <c r="E5487" t="s">
        <v>11</v>
      </c>
      <c r="F5487" t="s">
        <v>1278</v>
      </c>
      <c r="G5487">
        <v>0</v>
      </c>
      <c r="H5487">
        <v>0</v>
      </c>
      <c r="I5487">
        <v>1</v>
      </c>
      <c r="J5487">
        <v>0</v>
      </c>
      <c r="K5487">
        <v>0</v>
      </c>
      <c r="L5487">
        <f t="shared" si="170"/>
        <v>5.9</v>
      </c>
      <c r="M5487">
        <f t="shared" si="171"/>
        <v>1</v>
      </c>
    </row>
    <row r="5488" spans="1:13" x14ac:dyDescent="0.3">
      <c r="A5488">
        <v>5486</v>
      </c>
      <c r="B5488">
        <v>5487</v>
      </c>
      <c r="C5488" t="s">
        <v>5566</v>
      </c>
      <c r="D5488">
        <v>2009</v>
      </c>
      <c r="E5488" t="s">
        <v>11</v>
      </c>
      <c r="F5488" t="s">
        <v>1278</v>
      </c>
      <c r="G5488">
        <v>0</v>
      </c>
      <c r="H5488">
        <v>0</v>
      </c>
      <c r="I5488">
        <v>1</v>
      </c>
      <c r="J5488">
        <v>0</v>
      </c>
      <c r="K5488">
        <v>0</v>
      </c>
      <c r="L5488">
        <f t="shared" si="170"/>
        <v>5.9</v>
      </c>
      <c r="M5488">
        <f t="shared" si="171"/>
        <v>1</v>
      </c>
    </row>
    <row r="5489" spans="1:13" x14ac:dyDescent="0.3">
      <c r="A5489">
        <v>5487</v>
      </c>
      <c r="B5489">
        <v>5488</v>
      </c>
      <c r="C5489" t="s">
        <v>5567</v>
      </c>
      <c r="D5489">
        <v>2012</v>
      </c>
      <c r="E5489" t="s">
        <v>11</v>
      </c>
      <c r="F5489" t="s">
        <v>1278</v>
      </c>
      <c r="G5489">
        <v>0</v>
      </c>
      <c r="H5489">
        <v>0</v>
      </c>
      <c r="I5489">
        <v>1</v>
      </c>
      <c r="J5489">
        <v>0</v>
      </c>
      <c r="K5489">
        <v>0</v>
      </c>
      <c r="L5489">
        <f t="shared" si="170"/>
        <v>5.9</v>
      </c>
      <c r="M5489">
        <f t="shared" si="171"/>
        <v>1</v>
      </c>
    </row>
    <row r="5490" spans="1:13" x14ac:dyDescent="0.3">
      <c r="A5490">
        <v>5488</v>
      </c>
      <c r="B5490">
        <v>5489</v>
      </c>
      <c r="C5490" t="s">
        <v>5568</v>
      </c>
      <c r="D5490">
        <v>2014</v>
      </c>
      <c r="E5490" t="s">
        <v>11</v>
      </c>
      <c r="F5490" t="s">
        <v>1278</v>
      </c>
      <c r="G5490">
        <v>0</v>
      </c>
      <c r="H5490">
        <v>0</v>
      </c>
      <c r="I5490">
        <v>1</v>
      </c>
      <c r="J5490">
        <v>0</v>
      </c>
      <c r="K5490">
        <v>0</v>
      </c>
      <c r="L5490">
        <f t="shared" si="170"/>
        <v>5.9</v>
      </c>
      <c r="M5490">
        <f t="shared" si="171"/>
        <v>1</v>
      </c>
    </row>
    <row r="5491" spans="1:13" x14ac:dyDescent="0.3">
      <c r="A5491">
        <v>5489</v>
      </c>
      <c r="B5491">
        <v>5490</v>
      </c>
      <c r="C5491" t="s">
        <v>5569</v>
      </c>
      <c r="D5491">
        <v>2012</v>
      </c>
      <c r="E5491" t="s">
        <v>14</v>
      </c>
      <c r="F5491" t="s">
        <v>1278</v>
      </c>
      <c r="G5491">
        <v>0</v>
      </c>
      <c r="H5491">
        <v>0</v>
      </c>
      <c r="I5491">
        <v>1</v>
      </c>
      <c r="J5491">
        <v>0</v>
      </c>
      <c r="K5491">
        <v>0</v>
      </c>
      <c r="L5491">
        <f t="shared" si="170"/>
        <v>5.9</v>
      </c>
      <c r="M5491">
        <f t="shared" si="171"/>
        <v>1</v>
      </c>
    </row>
    <row r="5492" spans="1:13" x14ac:dyDescent="0.3">
      <c r="A5492">
        <v>5490</v>
      </c>
      <c r="B5492">
        <v>5491</v>
      </c>
      <c r="C5492" t="s">
        <v>5570</v>
      </c>
      <c r="D5492">
        <v>1998</v>
      </c>
      <c r="E5492" t="s">
        <v>11</v>
      </c>
      <c r="F5492" t="s">
        <v>1278</v>
      </c>
      <c r="G5492">
        <v>0</v>
      </c>
      <c r="H5492">
        <v>0</v>
      </c>
      <c r="I5492">
        <v>1</v>
      </c>
      <c r="J5492">
        <v>0</v>
      </c>
      <c r="K5492">
        <v>0</v>
      </c>
      <c r="L5492">
        <f t="shared" si="170"/>
        <v>5.9</v>
      </c>
      <c r="M5492">
        <f t="shared" si="171"/>
        <v>1</v>
      </c>
    </row>
    <row r="5493" spans="1:13" x14ac:dyDescent="0.3">
      <c r="A5493">
        <v>5491</v>
      </c>
      <c r="B5493">
        <v>5492</v>
      </c>
      <c r="C5493" t="s">
        <v>5571</v>
      </c>
      <c r="D5493">
        <v>1978</v>
      </c>
      <c r="E5493" t="s">
        <v>14</v>
      </c>
      <c r="F5493" t="s">
        <v>1278</v>
      </c>
      <c r="G5493">
        <v>0</v>
      </c>
      <c r="H5493">
        <v>0</v>
      </c>
      <c r="I5493">
        <v>1</v>
      </c>
      <c r="J5493">
        <v>0</v>
      </c>
      <c r="K5493">
        <v>0</v>
      </c>
      <c r="L5493">
        <f t="shared" si="170"/>
        <v>5.9</v>
      </c>
      <c r="M5493">
        <f t="shared" si="171"/>
        <v>1</v>
      </c>
    </row>
    <row r="5494" spans="1:13" x14ac:dyDescent="0.3">
      <c r="A5494">
        <v>5492</v>
      </c>
      <c r="B5494">
        <v>5493</v>
      </c>
      <c r="C5494" t="s">
        <v>5572</v>
      </c>
      <c r="D5494">
        <v>2017</v>
      </c>
      <c r="E5494" t="s">
        <v>11</v>
      </c>
      <c r="F5494" t="s">
        <v>1278</v>
      </c>
      <c r="G5494">
        <v>0</v>
      </c>
      <c r="H5494">
        <v>0</v>
      </c>
      <c r="I5494">
        <v>1</v>
      </c>
      <c r="J5494">
        <v>0</v>
      </c>
      <c r="K5494">
        <v>0</v>
      </c>
      <c r="L5494">
        <f t="shared" si="170"/>
        <v>5.9</v>
      </c>
      <c r="M5494">
        <f t="shared" si="171"/>
        <v>1</v>
      </c>
    </row>
    <row r="5495" spans="1:13" x14ac:dyDescent="0.3">
      <c r="A5495">
        <v>5493</v>
      </c>
      <c r="B5495">
        <v>5494</v>
      </c>
      <c r="C5495" t="s">
        <v>5573</v>
      </c>
      <c r="D5495">
        <v>2011</v>
      </c>
      <c r="E5495" t="s">
        <v>11</v>
      </c>
      <c r="F5495" t="s">
        <v>1278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f t="shared" si="170"/>
        <v>5.9</v>
      </c>
      <c r="M5495">
        <f t="shared" si="171"/>
        <v>1</v>
      </c>
    </row>
    <row r="5496" spans="1:13" x14ac:dyDescent="0.3">
      <c r="A5496">
        <v>5494</v>
      </c>
      <c r="B5496">
        <v>5495</v>
      </c>
      <c r="C5496" t="s">
        <v>5574</v>
      </c>
      <c r="D5496">
        <v>1972</v>
      </c>
      <c r="E5496" t="s">
        <v>14</v>
      </c>
      <c r="F5496" t="s">
        <v>1278</v>
      </c>
      <c r="G5496">
        <v>0</v>
      </c>
      <c r="H5496">
        <v>0</v>
      </c>
      <c r="I5496">
        <v>1</v>
      </c>
      <c r="J5496">
        <v>0</v>
      </c>
      <c r="K5496">
        <v>0</v>
      </c>
      <c r="L5496">
        <f t="shared" si="170"/>
        <v>5.9</v>
      </c>
      <c r="M5496">
        <f t="shared" si="171"/>
        <v>1</v>
      </c>
    </row>
    <row r="5497" spans="1:13" x14ac:dyDescent="0.3">
      <c r="A5497">
        <v>5495</v>
      </c>
      <c r="B5497">
        <v>5496</v>
      </c>
      <c r="C5497" t="s">
        <v>5575</v>
      </c>
      <c r="D5497">
        <v>2003</v>
      </c>
      <c r="E5497" t="s">
        <v>11</v>
      </c>
      <c r="F5497" t="s">
        <v>1278</v>
      </c>
      <c r="G5497">
        <v>0</v>
      </c>
      <c r="H5497">
        <v>0</v>
      </c>
      <c r="I5497">
        <v>1</v>
      </c>
      <c r="J5497">
        <v>0</v>
      </c>
      <c r="K5497">
        <v>0</v>
      </c>
      <c r="L5497">
        <f t="shared" si="170"/>
        <v>5.9</v>
      </c>
      <c r="M5497">
        <f t="shared" si="171"/>
        <v>1</v>
      </c>
    </row>
    <row r="5498" spans="1:13" x14ac:dyDescent="0.3">
      <c r="A5498">
        <v>5496</v>
      </c>
      <c r="B5498">
        <v>5497</v>
      </c>
      <c r="C5498" t="s">
        <v>5576</v>
      </c>
      <c r="D5498">
        <v>1982</v>
      </c>
      <c r="F5498" t="s">
        <v>1278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f t="shared" si="170"/>
        <v>5.9</v>
      </c>
      <c r="M5498">
        <f t="shared" si="171"/>
        <v>1</v>
      </c>
    </row>
    <row r="5499" spans="1:13" x14ac:dyDescent="0.3">
      <c r="A5499">
        <v>5497</v>
      </c>
      <c r="B5499">
        <v>5498</v>
      </c>
      <c r="C5499" t="s">
        <v>5577</v>
      </c>
      <c r="D5499">
        <v>2010</v>
      </c>
      <c r="E5499" t="s">
        <v>36</v>
      </c>
      <c r="F5499" t="s">
        <v>1278</v>
      </c>
      <c r="G5499">
        <v>0</v>
      </c>
      <c r="H5499">
        <v>0</v>
      </c>
      <c r="I5499">
        <v>1</v>
      </c>
      <c r="J5499">
        <v>0</v>
      </c>
      <c r="K5499">
        <v>0</v>
      </c>
      <c r="L5499">
        <f t="shared" si="170"/>
        <v>5.9</v>
      </c>
      <c r="M5499">
        <f t="shared" si="171"/>
        <v>1</v>
      </c>
    </row>
    <row r="5500" spans="1:13" x14ac:dyDescent="0.3">
      <c r="A5500">
        <v>5498</v>
      </c>
      <c r="B5500">
        <v>5499</v>
      </c>
      <c r="C5500" t="s">
        <v>5578</v>
      </c>
      <c r="D5500">
        <v>1995</v>
      </c>
      <c r="E5500" t="s">
        <v>11</v>
      </c>
      <c r="F5500" t="s">
        <v>1278</v>
      </c>
      <c r="G5500">
        <v>0</v>
      </c>
      <c r="H5500">
        <v>0</v>
      </c>
      <c r="I5500">
        <v>1</v>
      </c>
      <c r="J5500">
        <v>0</v>
      </c>
      <c r="K5500">
        <v>0</v>
      </c>
      <c r="L5500">
        <f t="shared" si="170"/>
        <v>5.9</v>
      </c>
      <c r="M5500">
        <f t="shared" si="171"/>
        <v>1</v>
      </c>
    </row>
    <row r="5501" spans="1:13" x14ac:dyDescent="0.3">
      <c r="A5501">
        <v>5499</v>
      </c>
      <c r="B5501">
        <v>5500</v>
      </c>
      <c r="C5501" t="s">
        <v>5579</v>
      </c>
      <c r="D5501">
        <v>2013</v>
      </c>
      <c r="E5501" t="s">
        <v>14</v>
      </c>
      <c r="F5501" t="s">
        <v>1278</v>
      </c>
      <c r="G5501">
        <v>0</v>
      </c>
      <c r="H5501">
        <v>0</v>
      </c>
      <c r="I5501">
        <v>1</v>
      </c>
      <c r="J5501">
        <v>0</v>
      </c>
      <c r="K5501">
        <v>0</v>
      </c>
      <c r="L5501">
        <f t="shared" si="170"/>
        <v>5.9</v>
      </c>
      <c r="M5501">
        <f t="shared" si="171"/>
        <v>1</v>
      </c>
    </row>
    <row r="5502" spans="1:13" x14ac:dyDescent="0.3">
      <c r="A5502">
        <v>5500</v>
      </c>
      <c r="B5502">
        <v>5501</v>
      </c>
      <c r="C5502" t="s">
        <v>5580</v>
      </c>
      <c r="D5502">
        <v>1948</v>
      </c>
      <c r="F5502" t="s">
        <v>1278</v>
      </c>
      <c r="G5502">
        <v>0</v>
      </c>
      <c r="H5502">
        <v>0</v>
      </c>
      <c r="I5502">
        <v>1</v>
      </c>
      <c r="J5502">
        <v>0</v>
      </c>
      <c r="K5502">
        <v>0</v>
      </c>
      <c r="L5502">
        <f t="shared" si="170"/>
        <v>5.9</v>
      </c>
      <c r="M5502">
        <f t="shared" si="171"/>
        <v>1</v>
      </c>
    </row>
    <row r="5503" spans="1:13" x14ac:dyDescent="0.3">
      <c r="A5503">
        <v>5501</v>
      </c>
      <c r="B5503">
        <v>5502</v>
      </c>
      <c r="C5503" t="s">
        <v>5581</v>
      </c>
      <c r="D5503">
        <v>2016</v>
      </c>
      <c r="E5503" t="s">
        <v>11</v>
      </c>
      <c r="F5503" t="s">
        <v>1278</v>
      </c>
      <c r="G5503">
        <v>0</v>
      </c>
      <c r="H5503">
        <v>0</v>
      </c>
      <c r="I5503">
        <v>1</v>
      </c>
      <c r="J5503">
        <v>0</v>
      </c>
      <c r="K5503">
        <v>0</v>
      </c>
      <c r="L5503">
        <f t="shared" si="170"/>
        <v>5.9</v>
      </c>
      <c r="M5503">
        <f t="shared" si="171"/>
        <v>1</v>
      </c>
    </row>
    <row r="5504" spans="1:13" x14ac:dyDescent="0.3">
      <c r="A5504">
        <v>5502</v>
      </c>
      <c r="B5504">
        <v>5503</v>
      </c>
      <c r="C5504" t="s">
        <v>5582</v>
      </c>
      <c r="D5504">
        <v>2017</v>
      </c>
      <c r="F5504" t="s">
        <v>1278</v>
      </c>
      <c r="G5504">
        <v>0</v>
      </c>
      <c r="H5504">
        <v>0</v>
      </c>
      <c r="I5504">
        <v>1</v>
      </c>
      <c r="J5504">
        <v>0</v>
      </c>
      <c r="K5504">
        <v>0</v>
      </c>
      <c r="L5504">
        <f t="shared" si="170"/>
        <v>5.9</v>
      </c>
      <c r="M5504">
        <f t="shared" si="171"/>
        <v>1</v>
      </c>
    </row>
    <row r="5505" spans="1:13" x14ac:dyDescent="0.3">
      <c r="A5505">
        <v>5503</v>
      </c>
      <c r="B5505">
        <v>5504</v>
      </c>
      <c r="C5505" t="s">
        <v>5583</v>
      </c>
      <c r="D5505">
        <v>2021</v>
      </c>
      <c r="E5505" t="s">
        <v>11</v>
      </c>
      <c r="F5505" t="s">
        <v>1278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f t="shared" si="170"/>
        <v>5.9</v>
      </c>
      <c r="M5505">
        <f t="shared" si="171"/>
        <v>1</v>
      </c>
    </row>
    <row r="5506" spans="1:13" x14ac:dyDescent="0.3">
      <c r="A5506">
        <v>5504</v>
      </c>
      <c r="B5506">
        <v>5505</v>
      </c>
      <c r="C5506" t="s">
        <v>5584</v>
      </c>
      <c r="D5506">
        <v>1947</v>
      </c>
      <c r="E5506" t="s">
        <v>36</v>
      </c>
      <c r="F5506" t="s">
        <v>1278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f t="shared" si="170"/>
        <v>5.9</v>
      </c>
      <c r="M5506">
        <f t="shared" si="171"/>
        <v>1</v>
      </c>
    </row>
    <row r="5507" spans="1:13" x14ac:dyDescent="0.3">
      <c r="A5507">
        <v>5505</v>
      </c>
      <c r="B5507">
        <v>5506</v>
      </c>
      <c r="C5507" t="s">
        <v>5585</v>
      </c>
      <c r="D5507">
        <v>2019</v>
      </c>
      <c r="E5507" t="s">
        <v>11</v>
      </c>
      <c r="F5507" t="s">
        <v>1278</v>
      </c>
      <c r="G5507">
        <v>0</v>
      </c>
      <c r="H5507">
        <v>0</v>
      </c>
      <c r="I5507">
        <v>1</v>
      </c>
      <c r="J5507">
        <v>0</v>
      </c>
      <c r="K5507">
        <v>0</v>
      </c>
      <c r="L5507">
        <f t="shared" ref="L5507:L5570" si="172">IFERROR(VALUE(LEFT(F5507,FIND("/",F5507)-1))/10,"")</f>
        <v>5.9</v>
      </c>
      <c r="M5507">
        <f t="shared" ref="M5507:M5570" si="173">SUM(G5507:J5507)</f>
        <v>1</v>
      </c>
    </row>
    <row r="5508" spans="1:13" x14ac:dyDescent="0.3">
      <c r="A5508">
        <v>5506</v>
      </c>
      <c r="B5508">
        <v>5507</v>
      </c>
      <c r="C5508" t="s">
        <v>5586</v>
      </c>
      <c r="D5508">
        <v>2014</v>
      </c>
      <c r="E5508" t="s">
        <v>22</v>
      </c>
      <c r="F5508" t="s">
        <v>1278</v>
      </c>
      <c r="G5508">
        <v>0</v>
      </c>
      <c r="H5508">
        <v>0</v>
      </c>
      <c r="I5508">
        <v>1</v>
      </c>
      <c r="J5508">
        <v>0</v>
      </c>
      <c r="K5508">
        <v>0</v>
      </c>
      <c r="L5508">
        <f t="shared" si="172"/>
        <v>5.9</v>
      </c>
      <c r="M5508">
        <f t="shared" si="173"/>
        <v>1</v>
      </c>
    </row>
    <row r="5509" spans="1:13" x14ac:dyDescent="0.3">
      <c r="A5509">
        <v>5507</v>
      </c>
      <c r="B5509">
        <v>5508</v>
      </c>
      <c r="C5509" t="s">
        <v>5587</v>
      </c>
      <c r="D5509">
        <v>1989</v>
      </c>
      <c r="E5509" t="s">
        <v>11</v>
      </c>
      <c r="F5509" t="s">
        <v>1278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f t="shared" si="172"/>
        <v>5.9</v>
      </c>
      <c r="M5509">
        <f t="shared" si="173"/>
        <v>1</v>
      </c>
    </row>
    <row r="5510" spans="1:13" x14ac:dyDescent="0.3">
      <c r="A5510">
        <v>5508</v>
      </c>
      <c r="B5510">
        <v>5509</v>
      </c>
      <c r="C5510" t="s">
        <v>5588</v>
      </c>
      <c r="D5510">
        <v>1987</v>
      </c>
      <c r="E5510" t="s">
        <v>11</v>
      </c>
      <c r="F5510" t="s">
        <v>1278</v>
      </c>
      <c r="G5510">
        <v>0</v>
      </c>
      <c r="H5510">
        <v>0</v>
      </c>
      <c r="I5510">
        <v>1</v>
      </c>
      <c r="J5510">
        <v>0</v>
      </c>
      <c r="K5510">
        <v>0</v>
      </c>
      <c r="L5510">
        <f t="shared" si="172"/>
        <v>5.9</v>
      </c>
      <c r="M5510">
        <f t="shared" si="173"/>
        <v>1</v>
      </c>
    </row>
    <row r="5511" spans="1:13" x14ac:dyDescent="0.3">
      <c r="A5511">
        <v>5509</v>
      </c>
      <c r="B5511">
        <v>5510</v>
      </c>
      <c r="C5511" t="s">
        <v>5589</v>
      </c>
      <c r="D5511">
        <v>2014</v>
      </c>
      <c r="E5511" t="s">
        <v>11</v>
      </c>
      <c r="F5511" t="s">
        <v>1278</v>
      </c>
      <c r="G5511">
        <v>0</v>
      </c>
      <c r="H5511">
        <v>0</v>
      </c>
      <c r="I5511">
        <v>1</v>
      </c>
      <c r="J5511">
        <v>0</v>
      </c>
      <c r="K5511">
        <v>0</v>
      </c>
      <c r="L5511">
        <f t="shared" si="172"/>
        <v>5.9</v>
      </c>
      <c r="M5511">
        <f t="shared" si="173"/>
        <v>1</v>
      </c>
    </row>
    <row r="5512" spans="1:13" x14ac:dyDescent="0.3">
      <c r="A5512">
        <v>5510</v>
      </c>
      <c r="B5512">
        <v>5511</v>
      </c>
      <c r="C5512" t="s">
        <v>5590</v>
      </c>
      <c r="D5512">
        <v>2009</v>
      </c>
      <c r="E5512" t="s">
        <v>22</v>
      </c>
      <c r="F5512" t="s">
        <v>1278</v>
      </c>
      <c r="G5512">
        <v>0</v>
      </c>
      <c r="H5512">
        <v>0</v>
      </c>
      <c r="I5512">
        <v>1</v>
      </c>
      <c r="J5512">
        <v>0</v>
      </c>
      <c r="K5512">
        <v>0</v>
      </c>
      <c r="L5512">
        <f t="shared" si="172"/>
        <v>5.9</v>
      </c>
      <c r="M5512">
        <f t="shared" si="173"/>
        <v>1</v>
      </c>
    </row>
    <row r="5513" spans="1:13" x14ac:dyDescent="0.3">
      <c r="A5513">
        <v>5511</v>
      </c>
      <c r="B5513">
        <v>5512</v>
      </c>
      <c r="C5513" t="s">
        <v>5591</v>
      </c>
      <c r="D5513">
        <v>2021</v>
      </c>
      <c r="F5513" t="s">
        <v>1278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f t="shared" si="172"/>
        <v>5.9</v>
      </c>
      <c r="M5513">
        <f t="shared" si="173"/>
        <v>1</v>
      </c>
    </row>
    <row r="5514" spans="1:13" x14ac:dyDescent="0.3">
      <c r="A5514">
        <v>5512</v>
      </c>
      <c r="B5514">
        <v>5513</v>
      </c>
      <c r="C5514" t="s">
        <v>5592</v>
      </c>
      <c r="D5514">
        <v>2009</v>
      </c>
      <c r="E5514" t="s">
        <v>22</v>
      </c>
      <c r="F5514" t="s">
        <v>1278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f t="shared" si="172"/>
        <v>5.9</v>
      </c>
      <c r="M5514">
        <f t="shared" si="173"/>
        <v>1</v>
      </c>
    </row>
    <row r="5515" spans="1:13" x14ac:dyDescent="0.3">
      <c r="A5515">
        <v>5513</v>
      </c>
      <c r="B5515">
        <v>5514</v>
      </c>
      <c r="C5515" t="s">
        <v>5593</v>
      </c>
      <c r="D5515">
        <v>1946</v>
      </c>
      <c r="F5515" t="s">
        <v>1278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f t="shared" si="172"/>
        <v>5.9</v>
      </c>
      <c r="M5515">
        <f t="shared" si="173"/>
        <v>1</v>
      </c>
    </row>
    <row r="5516" spans="1:13" x14ac:dyDescent="0.3">
      <c r="A5516">
        <v>5514</v>
      </c>
      <c r="B5516">
        <v>5515</v>
      </c>
      <c r="C5516" t="s">
        <v>5594</v>
      </c>
      <c r="D5516">
        <v>2020</v>
      </c>
      <c r="E5516" t="s">
        <v>11</v>
      </c>
      <c r="F5516" t="s">
        <v>1278</v>
      </c>
      <c r="G5516">
        <v>0</v>
      </c>
      <c r="H5516">
        <v>0</v>
      </c>
      <c r="I5516">
        <v>1</v>
      </c>
      <c r="J5516">
        <v>0</v>
      </c>
      <c r="K5516">
        <v>0</v>
      </c>
      <c r="L5516">
        <f t="shared" si="172"/>
        <v>5.9</v>
      </c>
      <c r="M5516">
        <f t="shared" si="173"/>
        <v>1</v>
      </c>
    </row>
    <row r="5517" spans="1:13" x14ac:dyDescent="0.3">
      <c r="A5517">
        <v>5515</v>
      </c>
      <c r="B5517">
        <v>5516</v>
      </c>
      <c r="C5517" t="s">
        <v>5595</v>
      </c>
      <c r="D5517">
        <v>2010</v>
      </c>
      <c r="E5517" t="s">
        <v>11</v>
      </c>
      <c r="F5517" t="s">
        <v>1278</v>
      </c>
      <c r="G5517">
        <v>0</v>
      </c>
      <c r="H5517">
        <v>0</v>
      </c>
      <c r="I5517">
        <v>1</v>
      </c>
      <c r="J5517">
        <v>0</v>
      </c>
      <c r="K5517">
        <v>0</v>
      </c>
      <c r="L5517">
        <f t="shared" si="172"/>
        <v>5.9</v>
      </c>
      <c r="M5517">
        <f t="shared" si="173"/>
        <v>1</v>
      </c>
    </row>
    <row r="5518" spans="1:13" x14ac:dyDescent="0.3">
      <c r="A5518">
        <v>5516</v>
      </c>
      <c r="B5518">
        <v>5517</v>
      </c>
      <c r="C5518" t="s">
        <v>5596</v>
      </c>
      <c r="D5518">
        <v>2017</v>
      </c>
      <c r="F5518" t="s">
        <v>1278</v>
      </c>
      <c r="G5518">
        <v>0</v>
      </c>
      <c r="H5518">
        <v>0</v>
      </c>
      <c r="I5518">
        <v>1</v>
      </c>
      <c r="J5518">
        <v>0</v>
      </c>
      <c r="K5518">
        <v>0</v>
      </c>
      <c r="L5518">
        <f t="shared" si="172"/>
        <v>5.9</v>
      </c>
      <c r="M5518">
        <f t="shared" si="173"/>
        <v>1</v>
      </c>
    </row>
    <row r="5519" spans="1:13" x14ac:dyDescent="0.3">
      <c r="A5519">
        <v>5517</v>
      </c>
      <c r="B5519">
        <v>5518</v>
      </c>
      <c r="C5519" t="s">
        <v>5597</v>
      </c>
      <c r="D5519">
        <v>2017</v>
      </c>
      <c r="E5519" t="s">
        <v>11</v>
      </c>
      <c r="F5519" t="s">
        <v>1278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f t="shared" si="172"/>
        <v>5.9</v>
      </c>
      <c r="M5519">
        <f t="shared" si="173"/>
        <v>1</v>
      </c>
    </row>
    <row r="5520" spans="1:13" x14ac:dyDescent="0.3">
      <c r="A5520">
        <v>5518</v>
      </c>
      <c r="B5520">
        <v>5519</v>
      </c>
      <c r="C5520" t="s">
        <v>5598</v>
      </c>
      <c r="D5520">
        <v>2012</v>
      </c>
      <c r="E5520" t="s">
        <v>22</v>
      </c>
      <c r="F5520" t="s">
        <v>1278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f t="shared" si="172"/>
        <v>5.9</v>
      </c>
      <c r="M5520">
        <f t="shared" si="173"/>
        <v>1</v>
      </c>
    </row>
    <row r="5521" spans="1:13" x14ac:dyDescent="0.3">
      <c r="A5521">
        <v>5519</v>
      </c>
      <c r="B5521">
        <v>5520</v>
      </c>
      <c r="C5521" t="s">
        <v>5599</v>
      </c>
      <c r="D5521">
        <v>2018</v>
      </c>
      <c r="E5521" t="s">
        <v>22</v>
      </c>
      <c r="F5521" t="s">
        <v>1278</v>
      </c>
      <c r="G5521">
        <v>0</v>
      </c>
      <c r="H5521">
        <v>0</v>
      </c>
      <c r="I5521">
        <v>1</v>
      </c>
      <c r="J5521">
        <v>0</v>
      </c>
      <c r="K5521">
        <v>0</v>
      </c>
      <c r="L5521">
        <f t="shared" si="172"/>
        <v>5.9</v>
      </c>
      <c r="M5521">
        <f t="shared" si="173"/>
        <v>1</v>
      </c>
    </row>
    <row r="5522" spans="1:13" x14ac:dyDescent="0.3">
      <c r="A5522">
        <v>5520</v>
      </c>
      <c r="B5522">
        <v>5521</v>
      </c>
      <c r="C5522" t="s">
        <v>5600</v>
      </c>
      <c r="D5522">
        <v>1979</v>
      </c>
      <c r="E5522" t="s">
        <v>11</v>
      </c>
      <c r="F5522" t="s">
        <v>1278</v>
      </c>
      <c r="G5522">
        <v>0</v>
      </c>
      <c r="H5522">
        <v>0</v>
      </c>
      <c r="I5522">
        <v>1</v>
      </c>
      <c r="J5522">
        <v>0</v>
      </c>
      <c r="K5522">
        <v>0</v>
      </c>
      <c r="L5522">
        <f t="shared" si="172"/>
        <v>5.9</v>
      </c>
      <c r="M5522">
        <f t="shared" si="173"/>
        <v>1</v>
      </c>
    </row>
    <row r="5523" spans="1:13" x14ac:dyDescent="0.3">
      <c r="A5523">
        <v>5521</v>
      </c>
      <c r="B5523">
        <v>5522</v>
      </c>
      <c r="C5523" t="s">
        <v>5601</v>
      </c>
      <c r="D5523">
        <v>2002</v>
      </c>
      <c r="E5523" t="s">
        <v>11</v>
      </c>
      <c r="F5523" t="s">
        <v>1278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f t="shared" si="172"/>
        <v>5.9</v>
      </c>
      <c r="M5523">
        <f t="shared" si="173"/>
        <v>1</v>
      </c>
    </row>
    <row r="5524" spans="1:13" x14ac:dyDescent="0.3">
      <c r="A5524">
        <v>5522</v>
      </c>
      <c r="B5524">
        <v>5523</v>
      </c>
      <c r="C5524" t="s">
        <v>5602</v>
      </c>
      <c r="D5524">
        <v>2018</v>
      </c>
      <c r="E5524" t="s">
        <v>11</v>
      </c>
      <c r="F5524" t="s">
        <v>1278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f t="shared" si="172"/>
        <v>5.9</v>
      </c>
      <c r="M5524">
        <f t="shared" si="173"/>
        <v>1</v>
      </c>
    </row>
    <row r="5525" spans="1:13" x14ac:dyDescent="0.3">
      <c r="A5525">
        <v>5523</v>
      </c>
      <c r="B5525">
        <v>5524</v>
      </c>
      <c r="C5525" t="s">
        <v>5603</v>
      </c>
      <c r="D5525">
        <v>2018</v>
      </c>
      <c r="E5525" t="s">
        <v>11</v>
      </c>
      <c r="F5525" t="s">
        <v>1278</v>
      </c>
      <c r="G5525">
        <v>0</v>
      </c>
      <c r="H5525">
        <v>0</v>
      </c>
      <c r="I5525">
        <v>1</v>
      </c>
      <c r="J5525">
        <v>0</v>
      </c>
      <c r="K5525">
        <v>0</v>
      </c>
      <c r="L5525">
        <f t="shared" si="172"/>
        <v>5.9</v>
      </c>
      <c r="M5525">
        <f t="shared" si="173"/>
        <v>1</v>
      </c>
    </row>
    <row r="5526" spans="1:13" x14ac:dyDescent="0.3">
      <c r="A5526">
        <v>5524</v>
      </c>
      <c r="B5526">
        <v>5525</v>
      </c>
      <c r="C5526" t="s">
        <v>5604</v>
      </c>
      <c r="D5526">
        <v>2018</v>
      </c>
      <c r="E5526" t="s">
        <v>11</v>
      </c>
      <c r="F5526" t="s">
        <v>1278</v>
      </c>
      <c r="G5526">
        <v>0</v>
      </c>
      <c r="H5526">
        <v>0</v>
      </c>
      <c r="I5526">
        <v>1</v>
      </c>
      <c r="J5526">
        <v>0</v>
      </c>
      <c r="K5526">
        <v>0</v>
      </c>
      <c r="L5526">
        <f t="shared" si="172"/>
        <v>5.9</v>
      </c>
      <c r="M5526">
        <f t="shared" si="173"/>
        <v>1</v>
      </c>
    </row>
    <row r="5527" spans="1:13" x14ac:dyDescent="0.3">
      <c r="A5527">
        <v>5525</v>
      </c>
      <c r="B5527">
        <v>5526</v>
      </c>
      <c r="C5527" t="s">
        <v>5605</v>
      </c>
      <c r="D5527">
        <v>1974</v>
      </c>
      <c r="E5527" t="s">
        <v>36</v>
      </c>
      <c r="F5527" t="s">
        <v>1278</v>
      </c>
      <c r="G5527">
        <v>0</v>
      </c>
      <c r="H5527">
        <v>0</v>
      </c>
      <c r="I5527">
        <v>1</v>
      </c>
      <c r="J5527">
        <v>0</v>
      </c>
      <c r="K5527">
        <v>0</v>
      </c>
      <c r="L5527">
        <f t="shared" si="172"/>
        <v>5.9</v>
      </c>
      <c r="M5527">
        <f t="shared" si="173"/>
        <v>1</v>
      </c>
    </row>
    <row r="5528" spans="1:13" x14ac:dyDescent="0.3">
      <c r="A5528">
        <v>5526</v>
      </c>
      <c r="B5528">
        <v>5527</v>
      </c>
      <c r="C5528" t="s">
        <v>5606</v>
      </c>
      <c r="D5528">
        <v>2004</v>
      </c>
      <c r="E5528" t="s">
        <v>11</v>
      </c>
      <c r="F5528" t="s">
        <v>1278</v>
      </c>
      <c r="G5528">
        <v>0</v>
      </c>
      <c r="H5528">
        <v>0</v>
      </c>
      <c r="I5528">
        <v>1</v>
      </c>
      <c r="J5528">
        <v>0</v>
      </c>
      <c r="K5528">
        <v>0</v>
      </c>
      <c r="L5528">
        <f t="shared" si="172"/>
        <v>5.9</v>
      </c>
      <c r="M5528">
        <f t="shared" si="173"/>
        <v>1</v>
      </c>
    </row>
    <row r="5529" spans="1:13" x14ac:dyDescent="0.3">
      <c r="A5529">
        <v>5527</v>
      </c>
      <c r="B5529">
        <v>5528</v>
      </c>
      <c r="C5529" t="s">
        <v>5607</v>
      </c>
      <c r="D5529">
        <v>1992</v>
      </c>
      <c r="E5529" t="s">
        <v>22</v>
      </c>
      <c r="F5529" t="s">
        <v>1278</v>
      </c>
      <c r="G5529">
        <v>0</v>
      </c>
      <c r="H5529">
        <v>0</v>
      </c>
      <c r="I5529">
        <v>1</v>
      </c>
      <c r="J5529">
        <v>0</v>
      </c>
      <c r="K5529">
        <v>0</v>
      </c>
      <c r="L5529">
        <f t="shared" si="172"/>
        <v>5.9</v>
      </c>
      <c r="M5529">
        <f t="shared" si="173"/>
        <v>1</v>
      </c>
    </row>
    <row r="5530" spans="1:13" x14ac:dyDescent="0.3">
      <c r="A5530">
        <v>5528</v>
      </c>
      <c r="B5530">
        <v>5529</v>
      </c>
      <c r="C5530" t="s">
        <v>5608</v>
      </c>
      <c r="D5530">
        <v>1949</v>
      </c>
      <c r="F5530" t="s">
        <v>1278</v>
      </c>
      <c r="G5530">
        <v>0</v>
      </c>
      <c r="H5530">
        <v>0</v>
      </c>
      <c r="I5530">
        <v>1</v>
      </c>
      <c r="J5530">
        <v>0</v>
      </c>
      <c r="K5530">
        <v>0</v>
      </c>
      <c r="L5530">
        <f t="shared" si="172"/>
        <v>5.9</v>
      </c>
      <c r="M5530">
        <f t="shared" si="173"/>
        <v>1</v>
      </c>
    </row>
    <row r="5531" spans="1:13" x14ac:dyDescent="0.3">
      <c r="A5531">
        <v>5529</v>
      </c>
      <c r="B5531">
        <v>5530</v>
      </c>
      <c r="C5531" t="s">
        <v>5609</v>
      </c>
      <c r="D5531">
        <v>2016</v>
      </c>
      <c r="E5531" t="s">
        <v>22</v>
      </c>
      <c r="F5531" t="s">
        <v>1278</v>
      </c>
      <c r="G5531">
        <v>0</v>
      </c>
      <c r="H5531">
        <v>0</v>
      </c>
      <c r="I5531">
        <v>1</v>
      </c>
      <c r="J5531">
        <v>0</v>
      </c>
      <c r="K5531">
        <v>0</v>
      </c>
      <c r="L5531">
        <f t="shared" si="172"/>
        <v>5.9</v>
      </c>
      <c r="M5531">
        <f t="shared" si="173"/>
        <v>1</v>
      </c>
    </row>
    <row r="5532" spans="1:13" x14ac:dyDescent="0.3">
      <c r="A5532">
        <v>5530</v>
      </c>
      <c r="B5532">
        <v>5531</v>
      </c>
      <c r="C5532" t="s">
        <v>5610</v>
      </c>
      <c r="D5532">
        <v>2011</v>
      </c>
      <c r="E5532" t="s">
        <v>11</v>
      </c>
      <c r="F5532" t="s">
        <v>1278</v>
      </c>
      <c r="G5532">
        <v>0</v>
      </c>
      <c r="H5532">
        <v>0</v>
      </c>
      <c r="I5532">
        <v>1</v>
      </c>
      <c r="J5532">
        <v>0</v>
      </c>
      <c r="K5532">
        <v>0</v>
      </c>
      <c r="L5532">
        <f t="shared" si="172"/>
        <v>5.9</v>
      </c>
      <c r="M5532">
        <f t="shared" si="173"/>
        <v>1</v>
      </c>
    </row>
    <row r="5533" spans="1:13" x14ac:dyDescent="0.3">
      <c r="A5533">
        <v>5531</v>
      </c>
      <c r="B5533">
        <v>5532</v>
      </c>
      <c r="C5533" t="s">
        <v>5611</v>
      </c>
      <c r="D5533">
        <v>2007</v>
      </c>
      <c r="E5533" t="s">
        <v>14</v>
      </c>
      <c r="F5533" t="s">
        <v>1278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f t="shared" si="172"/>
        <v>5.9</v>
      </c>
      <c r="M5533">
        <f t="shared" si="173"/>
        <v>1</v>
      </c>
    </row>
    <row r="5534" spans="1:13" x14ac:dyDescent="0.3">
      <c r="A5534">
        <v>5532</v>
      </c>
      <c r="B5534">
        <v>5533</v>
      </c>
      <c r="C5534" t="s">
        <v>5612</v>
      </c>
      <c r="D5534">
        <v>2002</v>
      </c>
      <c r="F5534" t="s">
        <v>1278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f t="shared" si="172"/>
        <v>5.9</v>
      </c>
      <c r="M5534">
        <f t="shared" si="173"/>
        <v>1</v>
      </c>
    </row>
    <row r="5535" spans="1:13" x14ac:dyDescent="0.3">
      <c r="A5535">
        <v>5533</v>
      </c>
      <c r="B5535">
        <v>5534</v>
      </c>
      <c r="C5535" t="s">
        <v>5613</v>
      </c>
      <c r="D5535">
        <v>2017</v>
      </c>
      <c r="F5535" t="s">
        <v>1278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f t="shared" si="172"/>
        <v>5.9</v>
      </c>
      <c r="M5535">
        <f t="shared" si="173"/>
        <v>1</v>
      </c>
    </row>
    <row r="5536" spans="1:13" x14ac:dyDescent="0.3">
      <c r="A5536">
        <v>5534</v>
      </c>
      <c r="B5536">
        <v>5535</v>
      </c>
      <c r="C5536" t="s">
        <v>5614</v>
      </c>
      <c r="D5536">
        <v>2020</v>
      </c>
      <c r="E5536" t="s">
        <v>11</v>
      </c>
      <c r="F5536" t="s">
        <v>1278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f t="shared" si="172"/>
        <v>5.9</v>
      </c>
      <c r="M5536">
        <f t="shared" si="173"/>
        <v>1</v>
      </c>
    </row>
    <row r="5537" spans="1:13" x14ac:dyDescent="0.3">
      <c r="A5537">
        <v>5535</v>
      </c>
      <c r="B5537">
        <v>5536</v>
      </c>
      <c r="C5537" t="s">
        <v>5615</v>
      </c>
      <c r="D5537">
        <v>2017</v>
      </c>
      <c r="E5537" t="s">
        <v>14</v>
      </c>
      <c r="F5537" t="s">
        <v>1278</v>
      </c>
      <c r="G5537">
        <v>0</v>
      </c>
      <c r="H5537">
        <v>0</v>
      </c>
      <c r="I5537">
        <v>1</v>
      </c>
      <c r="J5537">
        <v>0</v>
      </c>
      <c r="K5537">
        <v>0</v>
      </c>
      <c r="L5537">
        <f t="shared" si="172"/>
        <v>5.9</v>
      </c>
      <c r="M5537">
        <f t="shared" si="173"/>
        <v>1</v>
      </c>
    </row>
    <row r="5538" spans="1:13" x14ac:dyDescent="0.3">
      <c r="A5538">
        <v>5536</v>
      </c>
      <c r="B5538">
        <v>5537</v>
      </c>
      <c r="C5538" t="s">
        <v>5616</v>
      </c>
      <c r="D5538">
        <v>2013</v>
      </c>
      <c r="E5538" t="s">
        <v>11</v>
      </c>
      <c r="F5538" t="s">
        <v>1278</v>
      </c>
      <c r="G5538">
        <v>0</v>
      </c>
      <c r="H5538">
        <v>0</v>
      </c>
      <c r="I5538">
        <v>1</v>
      </c>
      <c r="J5538">
        <v>0</v>
      </c>
      <c r="K5538">
        <v>0</v>
      </c>
      <c r="L5538">
        <f t="shared" si="172"/>
        <v>5.9</v>
      </c>
      <c r="M5538">
        <f t="shared" si="173"/>
        <v>1</v>
      </c>
    </row>
    <row r="5539" spans="1:13" x14ac:dyDescent="0.3">
      <c r="A5539">
        <v>5537</v>
      </c>
      <c r="B5539">
        <v>5538</v>
      </c>
      <c r="C5539" t="s">
        <v>5617</v>
      </c>
      <c r="D5539">
        <v>2018</v>
      </c>
      <c r="F5539" t="s">
        <v>1278</v>
      </c>
      <c r="G5539">
        <v>0</v>
      </c>
      <c r="H5539">
        <v>0</v>
      </c>
      <c r="I5539">
        <v>1</v>
      </c>
      <c r="J5539">
        <v>0</v>
      </c>
      <c r="K5539">
        <v>0</v>
      </c>
      <c r="L5539">
        <f t="shared" si="172"/>
        <v>5.9</v>
      </c>
      <c r="M5539">
        <f t="shared" si="173"/>
        <v>1</v>
      </c>
    </row>
    <row r="5540" spans="1:13" x14ac:dyDescent="0.3">
      <c r="A5540">
        <v>5538</v>
      </c>
      <c r="B5540">
        <v>5539</v>
      </c>
      <c r="C5540" t="s">
        <v>5618</v>
      </c>
      <c r="D5540">
        <v>1996</v>
      </c>
      <c r="E5540" t="s">
        <v>11</v>
      </c>
      <c r="F5540" t="s">
        <v>1278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f t="shared" si="172"/>
        <v>5.9</v>
      </c>
      <c r="M5540">
        <f t="shared" si="173"/>
        <v>1</v>
      </c>
    </row>
    <row r="5541" spans="1:13" x14ac:dyDescent="0.3">
      <c r="A5541">
        <v>5539</v>
      </c>
      <c r="B5541">
        <v>5540</v>
      </c>
      <c r="C5541" t="s">
        <v>5619</v>
      </c>
      <c r="D5541">
        <v>2017</v>
      </c>
      <c r="E5541" t="s">
        <v>28</v>
      </c>
      <c r="F5541" t="s">
        <v>1278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f t="shared" si="172"/>
        <v>5.9</v>
      </c>
      <c r="M5541">
        <f t="shared" si="173"/>
        <v>1</v>
      </c>
    </row>
    <row r="5542" spans="1:13" x14ac:dyDescent="0.3">
      <c r="A5542">
        <v>5540</v>
      </c>
      <c r="B5542">
        <v>5541</v>
      </c>
      <c r="C5542" t="s">
        <v>5620</v>
      </c>
      <c r="D5542">
        <v>2020</v>
      </c>
      <c r="F5542" t="s">
        <v>1278</v>
      </c>
      <c r="G5542">
        <v>0</v>
      </c>
      <c r="H5542">
        <v>0</v>
      </c>
      <c r="I5542">
        <v>1</v>
      </c>
      <c r="J5542">
        <v>0</v>
      </c>
      <c r="K5542">
        <v>0</v>
      </c>
      <c r="L5542">
        <f t="shared" si="172"/>
        <v>5.9</v>
      </c>
      <c r="M5542">
        <f t="shared" si="173"/>
        <v>1</v>
      </c>
    </row>
    <row r="5543" spans="1:13" x14ac:dyDescent="0.3">
      <c r="A5543">
        <v>5541</v>
      </c>
      <c r="B5543">
        <v>5542</v>
      </c>
      <c r="C5543" t="s">
        <v>5621</v>
      </c>
      <c r="D5543">
        <v>1991</v>
      </c>
      <c r="E5543" t="s">
        <v>14</v>
      </c>
      <c r="F5543" t="s">
        <v>1278</v>
      </c>
      <c r="G5543">
        <v>0</v>
      </c>
      <c r="H5543">
        <v>0</v>
      </c>
      <c r="I5543">
        <v>1</v>
      </c>
      <c r="J5543">
        <v>0</v>
      </c>
      <c r="K5543">
        <v>0</v>
      </c>
      <c r="L5543">
        <f t="shared" si="172"/>
        <v>5.9</v>
      </c>
      <c r="M5543">
        <f t="shared" si="173"/>
        <v>1</v>
      </c>
    </row>
    <row r="5544" spans="1:13" x14ac:dyDescent="0.3">
      <c r="A5544">
        <v>5542</v>
      </c>
      <c r="B5544">
        <v>5543</v>
      </c>
      <c r="C5544" t="s">
        <v>5622</v>
      </c>
      <c r="D5544">
        <v>2018</v>
      </c>
      <c r="E5544" t="s">
        <v>14</v>
      </c>
      <c r="F5544" t="s">
        <v>1278</v>
      </c>
      <c r="G5544">
        <v>0</v>
      </c>
      <c r="H5544">
        <v>0</v>
      </c>
      <c r="I5544">
        <v>1</v>
      </c>
      <c r="J5544">
        <v>0</v>
      </c>
      <c r="K5544">
        <v>0</v>
      </c>
      <c r="L5544">
        <f t="shared" si="172"/>
        <v>5.9</v>
      </c>
      <c r="M5544">
        <f t="shared" si="173"/>
        <v>1</v>
      </c>
    </row>
    <row r="5545" spans="1:13" x14ac:dyDescent="0.3">
      <c r="A5545">
        <v>5543</v>
      </c>
      <c r="B5545">
        <v>5544</v>
      </c>
      <c r="C5545" t="s">
        <v>5623</v>
      </c>
      <c r="D5545">
        <v>2009</v>
      </c>
      <c r="E5545" t="s">
        <v>11</v>
      </c>
      <c r="F5545" t="s">
        <v>1278</v>
      </c>
      <c r="G5545">
        <v>0</v>
      </c>
      <c r="H5545">
        <v>0</v>
      </c>
      <c r="I5545">
        <v>1</v>
      </c>
      <c r="J5545">
        <v>0</v>
      </c>
      <c r="K5545">
        <v>0</v>
      </c>
      <c r="L5545">
        <f t="shared" si="172"/>
        <v>5.9</v>
      </c>
      <c r="M5545">
        <f t="shared" si="173"/>
        <v>1</v>
      </c>
    </row>
    <row r="5546" spans="1:13" x14ac:dyDescent="0.3">
      <c r="A5546">
        <v>5544</v>
      </c>
      <c r="B5546">
        <v>5545</v>
      </c>
      <c r="C5546" t="s">
        <v>5624</v>
      </c>
      <c r="D5546">
        <v>2018</v>
      </c>
      <c r="E5546" t="s">
        <v>14</v>
      </c>
      <c r="F5546" t="s">
        <v>1278</v>
      </c>
      <c r="G5546">
        <v>0</v>
      </c>
      <c r="H5546">
        <v>0</v>
      </c>
      <c r="I5546">
        <v>1</v>
      </c>
      <c r="J5546">
        <v>0</v>
      </c>
      <c r="K5546">
        <v>0</v>
      </c>
      <c r="L5546">
        <f t="shared" si="172"/>
        <v>5.9</v>
      </c>
      <c r="M5546">
        <f t="shared" si="173"/>
        <v>1</v>
      </c>
    </row>
    <row r="5547" spans="1:13" x14ac:dyDescent="0.3">
      <c r="A5547">
        <v>5545</v>
      </c>
      <c r="B5547">
        <v>5546</v>
      </c>
      <c r="C5547" t="s">
        <v>5625</v>
      </c>
      <c r="D5547">
        <v>2015</v>
      </c>
      <c r="F5547" t="s">
        <v>1278</v>
      </c>
      <c r="G5547">
        <v>0</v>
      </c>
      <c r="H5547">
        <v>0</v>
      </c>
      <c r="I5547">
        <v>1</v>
      </c>
      <c r="J5547">
        <v>0</v>
      </c>
      <c r="K5547">
        <v>0</v>
      </c>
      <c r="L5547">
        <f t="shared" si="172"/>
        <v>5.9</v>
      </c>
      <c r="M5547">
        <f t="shared" si="173"/>
        <v>1</v>
      </c>
    </row>
    <row r="5548" spans="1:13" x14ac:dyDescent="0.3">
      <c r="A5548">
        <v>5546</v>
      </c>
      <c r="B5548">
        <v>5547</v>
      </c>
      <c r="C5548" t="s">
        <v>5626</v>
      </c>
      <c r="D5548">
        <v>1951</v>
      </c>
      <c r="F5548" t="s">
        <v>1278</v>
      </c>
      <c r="G5548">
        <v>0</v>
      </c>
      <c r="H5548">
        <v>0</v>
      </c>
      <c r="I5548">
        <v>1</v>
      </c>
      <c r="J5548">
        <v>0</v>
      </c>
      <c r="K5548">
        <v>0</v>
      </c>
      <c r="L5548">
        <f t="shared" si="172"/>
        <v>5.9</v>
      </c>
      <c r="M5548">
        <f t="shared" si="173"/>
        <v>1</v>
      </c>
    </row>
    <row r="5549" spans="1:13" x14ac:dyDescent="0.3">
      <c r="A5549">
        <v>5547</v>
      </c>
      <c r="B5549">
        <v>5548</v>
      </c>
      <c r="C5549" t="s">
        <v>5627</v>
      </c>
      <c r="D5549">
        <v>2010</v>
      </c>
      <c r="E5549" t="s">
        <v>11</v>
      </c>
      <c r="F5549" t="s">
        <v>1278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f t="shared" si="172"/>
        <v>5.9</v>
      </c>
      <c r="M5549">
        <f t="shared" si="173"/>
        <v>1</v>
      </c>
    </row>
    <row r="5550" spans="1:13" x14ac:dyDescent="0.3">
      <c r="A5550">
        <v>5548</v>
      </c>
      <c r="B5550">
        <v>5549</v>
      </c>
      <c r="C5550" t="s">
        <v>5628</v>
      </c>
      <c r="D5550">
        <v>2014</v>
      </c>
      <c r="E5550" t="s">
        <v>11</v>
      </c>
      <c r="F5550" t="s">
        <v>1278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f t="shared" si="172"/>
        <v>5.9</v>
      </c>
      <c r="M5550">
        <f t="shared" si="173"/>
        <v>1</v>
      </c>
    </row>
    <row r="5551" spans="1:13" x14ac:dyDescent="0.3">
      <c r="A5551">
        <v>5549</v>
      </c>
      <c r="B5551">
        <v>5550</v>
      </c>
      <c r="C5551" t="s">
        <v>5629</v>
      </c>
      <c r="D5551">
        <v>2013</v>
      </c>
      <c r="E5551" t="s">
        <v>11</v>
      </c>
      <c r="F5551" t="s">
        <v>1278</v>
      </c>
      <c r="G5551">
        <v>0</v>
      </c>
      <c r="H5551">
        <v>0</v>
      </c>
      <c r="I5551">
        <v>1</v>
      </c>
      <c r="J5551">
        <v>0</v>
      </c>
      <c r="K5551">
        <v>0</v>
      </c>
      <c r="L5551">
        <f t="shared" si="172"/>
        <v>5.9</v>
      </c>
      <c r="M5551">
        <f t="shared" si="173"/>
        <v>1</v>
      </c>
    </row>
    <row r="5552" spans="1:13" x14ac:dyDescent="0.3">
      <c r="A5552">
        <v>5550</v>
      </c>
      <c r="B5552">
        <v>5551</v>
      </c>
      <c r="C5552" t="s">
        <v>5630</v>
      </c>
      <c r="D5552">
        <v>2017</v>
      </c>
      <c r="E5552" t="s">
        <v>11</v>
      </c>
      <c r="F5552" t="s">
        <v>1278</v>
      </c>
      <c r="G5552">
        <v>0</v>
      </c>
      <c r="H5552">
        <v>0</v>
      </c>
      <c r="I5552">
        <v>1</v>
      </c>
      <c r="J5552">
        <v>0</v>
      </c>
      <c r="K5552">
        <v>0</v>
      </c>
      <c r="L5552">
        <f t="shared" si="172"/>
        <v>5.9</v>
      </c>
      <c r="M5552">
        <f t="shared" si="173"/>
        <v>1</v>
      </c>
    </row>
    <row r="5553" spans="1:13" x14ac:dyDescent="0.3">
      <c r="A5553">
        <v>5551</v>
      </c>
      <c r="B5553">
        <v>5552</v>
      </c>
      <c r="C5553" t="s">
        <v>5631</v>
      </c>
      <c r="D5553">
        <v>2010</v>
      </c>
      <c r="E5553" t="s">
        <v>11</v>
      </c>
      <c r="F5553" t="s">
        <v>1278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f t="shared" si="172"/>
        <v>5.9</v>
      </c>
      <c r="M5553">
        <f t="shared" si="173"/>
        <v>1</v>
      </c>
    </row>
    <row r="5554" spans="1:13" x14ac:dyDescent="0.3">
      <c r="A5554">
        <v>5552</v>
      </c>
      <c r="B5554">
        <v>5553</v>
      </c>
      <c r="C5554" t="s">
        <v>5632</v>
      </c>
      <c r="D5554">
        <v>2002</v>
      </c>
      <c r="E5554" t="s">
        <v>11</v>
      </c>
      <c r="F5554" t="s">
        <v>1278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f t="shared" si="172"/>
        <v>5.9</v>
      </c>
      <c r="M5554">
        <f t="shared" si="173"/>
        <v>1</v>
      </c>
    </row>
    <row r="5555" spans="1:13" x14ac:dyDescent="0.3">
      <c r="A5555">
        <v>5553</v>
      </c>
      <c r="B5555">
        <v>5554</v>
      </c>
      <c r="C5555" t="s">
        <v>5633</v>
      </c>
      <c r="D5555">
        <v>2016</v>
      </c>
      <c r="E5555" t="s">
        <v>14</v>
      </c>
      <c r="F5555" t="s">
        <v>1278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f t="shared" si="172"/>
        <v>5.9</v>
      </c>
      <c r="M5555">
        <f t="shared" si="173"/>
        <v>1</v>
      </c>
    </row>
    <row r="5556" spans="1:13" x14ac:dyDescent="0.3">
      <c r="A5556">
        <v>5554</v>
      </c>
      <c r="B5556">
        <v>5555</v>
      </c>
      <c r="C5556" t="s">
        <v>5634</v>
      </c>
      <c r="D5556">
        <v>1992</v>
      </c>
      <c r="E5556" t="s">
        <v>11</v>
      </c>
      <c r="F5556" t="s">
        <v>1278</v>
      </c>
      <c r="G5556">
        <v>0</v>
      </c>
      <c r="H5556">
        <v>0</v>
      </c>
      <c r="I5556">
        <v>1</v>
      </c>
      <c r="J5556">
        <v>0</v>
      </c>
      <c r="K5556">
        <v>0</v>
      </c>
      <c r="L5556">
        <f t="shared" si="172"/>
        <v>5.9</v>
      </c>
      <c r="M5556">
        <f t="shared" si="173"/>
        <v>1</v>
      </c>
    </row>
    <row r="5557" spans="1:13" x14ac:dyDescent="0.3">
      <c r="A5557">
        <v>5555</v>
      </c>
      <c r="B5557">
        <v>5556</v>
      </c>
      <c r="C5557" t="s">
        <v>5635</v>
      </c>
      <c r="D5557">
        <v>2016</v>
      </c>
      <c r="E5557" t="s">
        <v>11</v>
      </c>
      <c r="F5557" t="s">
        <v>1278</v>
      </c>
      <c r="G5557">
        <v>0</v>
      </c>
      <c r="H5557">
        <v>0</v>
      </c>
      <c r="I5557">
        <v>1</v>
      </c>
      <c r="J5557">
        <v>0</v>
      </c>
      <c r="K5557">
        <v>0</v>
      </c>
      <c r="L5557">
        <f t="shared" si="172"/>
        <v>5.9</v>
      </c>
      <c r="M5557">
        <f t="shared" si="173"/>
        <v>1</v>
      </c>
    </row>
    <row r="5558" spans="1:13" x14ac:dyDescent="0.3">
      <c r="A5558">
        <v>5556</v>
      </c>
      <c r="B5558">
        <v>5557</v>
      </c>
      <c r="C5558" t="s">
        <v>5636</v>
      </c>
      <c r="D5558">
        <v>2017</v>
      </c>
      <c r="F5558" t="s">
        <v>1278</v>
      </c>
      <c r="G5558">
        <v>0</v>
      </c>
      <c r="H5558">
        <v>0</v>
      </c>
      <c r="I5558">
        <v>1</v>
      </c>
      <c r="J5558">
        <v>0</v>
      </c>
      <c r="K5558">
        <v>0</v>
      </c>
      <c r="L5558">
        <f t="shared" si="172"/>
        <v>5.9</v>
      </c>
      <c r="M5558">
        <f t="shared" si="173"/>
        <v>1</v>
      </c>
    </row>
    <row r="5559" spans="1:13" x14ac:dyDescent="0.3">
      <c r="A5559">
        <v>5557</v>
      </c>
      <c r="B5559">
        <v>5558</v>
      </c>
      <c r="C5559" t="s">
        <v>5637</v>
      </c>
      <c r="D5559">
        <v>2015</v>
      </c>
      <c r="F5559" t="s">
        <v>1278</v>
      </c>
      <c r="G5559">
        <v>0</v>
      </c>
      <c r="H5559">
        <v>0</v>
      </c>
      <c r="I5559">
        <v>1</v>
      </c>
      <c r="J5559">
        <v>0</v>
      </c>
      <c r="K5559">
        <v>0</v>
      </c>
      <c r="L5559">
        <f t="shared" si="172"/>
        <v>5.9</v>
      </c>
      <c r="M5559">
        <f t="shared" si="173"/>
        <v>1</v>
      </c>
    </row>
    <row r="5560" spans="1:13" x14ac:dyDescent="0.3">
      <c r="A5560">
        <v>5558</v>
      </c>
      <c r="B5560">
        <v>5559</v>
      </c>
      <c r="C5560" t="s">
        <v>5638</v>
      </c>
      <c r="D5560">
        <v>2009</v>
      </c>
      <c r="E5560" t="s">
        <v>11</v>
      </c>
      <c r="F5560" t="s">
        <v>1278</v>
      </c>
      <c r="G5560">
        <v>0</v>
      </c>
      <c r="H5560">
        <v>0</v>
      </c>
      <c r="I5560">
        <v>1</v>
      </c>
      <c r="J5560">
        <v>0</v>
      </c>
      <c r="K5560">
        <v>0</v>
      </c>
      <c r="L5560">
        <f t="shared" si="172"/>
        <v>5.9</v>
      </c>
      <c r="M5560">
        <f t="shared" si="173"/>
        <v>1</v>
      </c>
    </row>
    <row r="5561" spans="1:13" x14ac:dyDescent="0.3">
      <c r="A5561">
        <v>5559</v>
      </c>
      <c r="B5561">
        <v>5560</v>
      </c>
      <c r="C5561" t="s">
        <v>5639</v>
      </c>
      <c r="D5561">
        <v>2014</v>
      </c>
      <c r="F5561" t="s">
        <v>1384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f t="shared" si="172"/>
        <v>5.8</v>
      </c>
      <c r="M5561">
        <f t="shared" si="173"/>
        <v>1</v>
      </c>
    </row>
    <row r="5562" spans="1:13" x14ac:dyDescent="0.3">
      <c r="A5562">
        <v>5560</v>
      </c>
      <c r="B5562">
        <v>5561</v>
      </c>
      <c r="C5562" t="s">
        <v>5640</v>
      </c>
      <c r="D5562">
        <v>1981</v>
      </c>
      <c r="E5562" t="s">
        <v>11</v>
      </c>
      <c r="F5562" t="s">
        <v>1384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f t="shared" si="172"/>
        <v>5.8</v>
      </c>
      <c r="M5562">
        <f t="shared" si="173"/>
        <v>1</v>
      </c>
    </row>
    <row r="5563" spans="1:13" x14ac:dyDescent="0.3">
      <c r="A5563">
        <v>5561</v>
      </c>
      <c r="B5563">
        <v>5562</v>
      </c>
      <c r="C5563" t="s">
        <v>5641</v>
      </c>
      <c r="D5563">
        <v>1994</v>
      </c>
      <c r="E5563" t="s">
        <v>11</v>
      </c>
      <c r="F5563" t="s">
        <v>1384</v>
      </c>
      <c r="G5563">
        <v>0</v>
      </c>
      <c r="H5563">
        <v>0</v>
      </c>
      <c r="I5563">
        <v>1</v>
      </c>
      <c r="J5563">
        <v>0</v>
      </c>
      <c r="K5563">
        <v>0</v>
      </c>
      <c r="L5563">
        <f t="shared" si="172"/>
        <v>5.8</v>
      </c>
      <c r="M5563">
        <f t="shared" si="173"/>
        <v>1</v>
      </c>
    </row>
    <row r="5564" spans="1:13" x14ac:dyDescent="0.3">
      <c r="A5564">
        <v>5562</v>
      </c>
      <c r="B5564">
        <v>5563</v>
      </c>
      <c r="C5564" t="s">
        <v>5642</v>
      </c>
      <c r="D5564">
        <v>2009</v>
      </c>
      <c r="F5564" t="s">
        <v>1384</v>
      </c>
      <c r="G5564">
        <v>0</v>
      </c>
      <c r="H5564">
        <v>0</v>
      </c>
      <c r="I5564">
        <v>1</v>
      </c>
      <c r="J5564">
        <v>0</v>
      </c>
      <c r="K5564">
        <v>0</v>
      </c>
      <c r="L5564">
        <f t="shared" si="172"/>
        <v>5.8</v>
      </c>
      <c r="M5564">
        <f t="shared" si="173"/>
        <v>1</v>
      </c>
    </row>
    <row r="5565" spans="1:13" x14ac:dyDescent="0.3">
      <c r="A5565">
        <v>5563</v>
      </c>
      <c r="B5565">
        <v>5564</v>
      </c>
      <c r="C5565" t="s">
        <v>5643</v>
      </c>
      <c r="D5565">
        <v>2016</v>
      </c>
      <c r="E5565" t="s">
        <v>11</v>
      </c>
      <c r="F5565" t="s">
        <v>1384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f t="shared" si="172"/>
        <v>5.8</v>
      </c>
      <c r="M5565">
        <f t="shared" si="173"/>
        <v>1</v>
      </c>
    </row>
    <row r="5566" spans="1:13" x14ac:dyDescent="0.3">
      <c r="A5566">
        <v>5564</v>
      </c>
      <c r="B5566">
        <v>5565</v>
      </c>
      <c r="C5566" t="s">
        <v>5644</v>
      </c>
      <c r="D5566">
        <v>1957</v>
      </c>
      <c r="F5566" t="s">
        <v>1384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f t="shared" si="172"/>
        <v>5.8</v>
      </c>
      <c r="M5566">
        <f t="shared" si="173"/>
        <v>1</v>
      </c>
    </row>
    <row r="5567" spans="1:13" x14ac:dyDescent="0.3">
      <c r="A5567">
        <v>5565</v>
      </c>
      <c r="B5567">
        <v>5566</v>
      </c>
      <c r="C5567" t="s">
        <v>5645</v>
      </c>
      <c r="D5567">
        <v>2013</v>
      </c>
      <c r="E5567" t="s">
        <v>11</v>
      </c>
      <c r="F5567" t="s">
        <v>1384</v>
      </c>
      <c r="G5567">
        <v>0</v>
      </c>
      <c r="H5567">
        <v>0</v>
      </c>
      <c r="I5567">
        <v>1</v>
      </c>
      <c r="J5567">
        <v>0</v>
      </c>
      <c r="K5567">
        <v>0</v>
      </c>
      <c r="L5567">
        <f t="shared" si="172"/>
        <v>5.8</v>
      </c>
      <c r="M5567">
        <f t="shared" si="173"/>
        <v>1</v>
      </c>
    </row>
    <row r="5568" spans="1:13" x14ac:dyDescent="0.3">
      <c r="A5568">
        <v>5566</v>
      </c>
      <c r="B5568">
        <v>5567</v>
      </c>
      <c r="C5568" t="s">
        <v>5646</v>
      </c>
      <c r="D5568">
        <v>2016</v>
      </c>
      <c r="E5568" t="s">
        <v>14</v>
      </c>
      <c r="F5568" t="s">
        <v>1384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f t="shared" si="172"/>
        <v>5.8</v>
      </c>
      <c r="M5568">
        <f t="shared" si="173"/>
        <v>1</v>
      </c>
    </row>
    <row r="5569" spans="1:13" x14ac:dyDescent="0.3">
      <c r="A5569">
        <v>5567</v>
      </c>
      <c r="B5569">
        <v>5568</v>
      </c>
      <c r="C5569" t="s">
        <v>5647</v>
      </c>
      <c r="D5569">
        <v>2019</v>
      </c>
      <c r="F5569" t="s">
        <v>1384</v>
      </c>
      <c r="G5569">
        <v>0</v>
      </c>
      <c r="H5569">
        <v>0</v>
      </c>
      <c r="I5569">
        <v>1</v>
      </c>
      <c r="J5569">
        <v>0</v>
      </c>
      <c r="K5569">
        <v>0</v>
      </c>
      <c r="L5569">
        <f t="shared" si="172"/>
        <v>5.8</v>
      </c>
      <c r="M5569">
        <f t="shared" si="173"/>
        <v>1</v>
      </c>
    </row>
    <row r="5570" spans="1:13" x14ac:dyDescent="0.3">
      <c r="A5570">
        <v>5568</v>
      </c>
      <c r="B5570">
        <v>5569</v>
      </c>
      <c r="C5570" t="s">
        <v>5648</v>
      </c>
      <c r="D5570">
        <v>1994</v>
      </c>
      <c r="E5570" t="s">
        <v>11</v>
      </c>
      <c r="F5570" t="s">
        <v>1384</v>
      </c>
      <c r="G5570">
        <v>0</v>
      </c>
      <c r="H5570">
        <v>0</v>
      </c>
      <c r="I5570">
        <v>1</v>
      </c>
      <c r="J5570">
        <v>0</v>
      </c>
      <c r="K5570">
        <v>0</v>
      </c>
      <c r="L5570">
        <f t="shared" si="172"/>
        <v>5.8</v>
      </c>
      <c r="M5570">
        <f t="shared" si="173"/>
        <v>1</v>
      </c>
    </row>
    <row r="5571" spans="1:13" x14ac:dyDescent="0.3">
      <c r="A5571">
        <v>5569</v>
      </c>
      <c r="B5571">
        <v>5570</v>
      </c>
      <c r="C5571" t="s">
        <v>5649</v>
      </c>
      <c r="D5571">
        <v>2012</v>
      </c>
      <c r="E5571" t="s">
        <v>11</v>
      </c>
      <c r="F5571" t="s">
        <v>1384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f t="shared" ref="L5571:L5634" si="174">IFERROR(VALUE(LEFT(F5571,FIND("/",F5571)-1))/10,"")</f>
        <v>5.8</v>
      </c>
      <c r="M5571">
        <f t="shared" ref="M5571:M5634" si="175">SUM(G5571:J5571)</f>
        <v>1</v>
      </c>
    </row>
    <row r="5572" spans="1:13" x14ac:dyDescent="0.3">
      <c r="A5572">
        <v>5570</v>
      </c>
      <c r="B5572">
        <v>5571</v>
      </c>
      <c r="C5572" t="s">
        <v>5650</v>
      </c>
      <c r="D5572">
        <v>2019</v>
      </c>
      <c r="F5572" t="s">
        <v>1384</v>
      </c>
      <c r="G5572">
        <v>0</v>
      </c>
      <c r="H5572">
        <v>0</v>
      </c>
      <c r="I5572">
        <v>1</v>
      </c>
      <c r="J5572">
        <v>0</v>
      </c>
      <c r="K5572">
        <v>0</v>
      </c>
      <c r="L5572">
        <f t="shared" si="174"/>
        <v>5.8</v>
      </c>
      <c r="M5572">
        <f t="shared" si="175"/>
        <v>1</v>
      </c>
    </row>
    <row r="5573" spans="1:13" x14ac:dyDescent="0.3">
      <c r="A5573">
        <v>5571</v>
      </c>
      <c r="B5573">
        <v>5572</v>
      </c>
      <c r="C5573" t="s">
        <v>5651</v>
      </c>
      <c r="D5573">
        <v>2010</v>
      </c>
      <c r="E5573" t="s">
        <v>11</v>
      </c>
      <c r="F5573" t="s">
        <v>1384</v>
      </c>
      <c r="G5573">
        <v>0</v>
      </c>
      <c r="H5573">
        <v>0</v>
      </c>
      <c r="I5573">
        <v>1</v>
      </c>
      <c r="J5573">
        <v>0</v>
      </c>
      <c r="K5573">
        <v>0</v>
      </c>
      <c r="L5573">
        <f t="shared" si="174"/>
        <v>5.8</v>
      </c>
      <c r="M5573">
        <f t="shared" si="175"/>
        <v>1</v>
      </c>
    </row>
    <row r="5574" spans="1:13" x14ac:dyDescent="0.3">
      <c r="A5574">
        <v>5572</v>
      </c>
      <c r="B5574">
        <v>5573</v>
      </c>
      <c r="C5574" t="s">
        <v>5652</v>
      </c>
      <c r="D5574">
        <v>1987</v>
      </c>
      <c r="E5574" t="s">
        <v>11</v>
      </c>
      <c r="F5574" t="s">
        <v>1384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f t="shared" si="174"/>
        <v>5.8</v>
      </c>
      <c r="M5574">
        <f t="shared" si="175"/>
        <v>1</v>
      </c>
    </row>
    <row r="5575" spans="1:13" x14ac:dyDescent="0.3">
      <c r="A5575">
        <v>5573</v>
      </c>
      <c r="B5575">
        <v>5574</v>
      </c>
      <c r="C5575" t="s">
        <v>5653</v>
      </c>
      <c r="D5575">
        <v>2005</v>
      </c>
      <c r="E5575" t="s">
        <v>11</v>
      </c>
      <c r="F5575" t="s">
        <v>1384</v>
      </c>
      <c r="G5575">
        <v>0</v>
      </c>
      <c r="H5575">
        <v>0</v>
      </c>
      <c r="I5575">
        <v>1</v>
      </c>
      <c r="J5575">
        <v>0</v>
      </c>
      <c r="K5575">
        <v>0</v>
      </c>
      <c r="L5575">
        <f t="shared" si="174"/>
        <v>5.8</v>
      </c>
      <c r="M5575">
        <f t="shared" si="175"/>
        <v>1</v>
      </c>
    </row>
    <row r="5576" spans="1:13" x14ac:dyDescent="0.3">
      <c r="A5576">
        <v>5574</v>
      </c>
      <c r="B5576">
        <v>5575</v>
      </c>
      <c r="C5576" t="s">
        <v>5654</v>
      </c>
      <c r="D5576">
        <v>2014</v>
      </c>
      <c r="E5576" t="s">
        <v>11</v>
      </c>
      <c r="F5576" t="s">
        <v>1384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f t="shared" si="174"/>
        <v>5.8</v>
      </c>
      <c r="M5576">
        <f t="shared" si="175"/>
        <v>1</v>
      </c>
    </row>
    <row r="5577" spans="1:13" x14ac:dyDescent="0.3">
      <c r="A5577">
        <v>5575</v>
      </c>
      <c r="B5577">
        <v>5576</v>
      </c>
      <c r="C5577" t="s">
        <v>5655</v>
      </c>
      <c r="D5577">
        <v>2015</v>
      </c>
      <c r="E5577" t="s">
        <v>11</v>
      </c>
      <c r="F5577" t="s">
        <v>1384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f t="shared" si="174"/>
        <v>5.8</v>
      </c>
      <c r="M5577">
        <f t="shared" si="175"/>
        <v>1</v>
      </c>
    </row>
    <row r="5578" spans="1:13" x14ac:dyDescent="0.3">
      <c r="A5578">
        <v>5576</v>
      </c>
      <c r="B5578">
        <v>5577</v>
      </c>
      <c r="C5578" t="s">
        <v>5656</v>
      </c>
      <c r="D5578">
        <v>1942</v>
      </c>
      <c r="F5578" t="s">
        <v>1384</v>
      </c>
      <c r="G5578">
        <v>0</v>
      </c>
      <c r="H5578">
        <v>0</v>
      </c>
      <c r="I5578">
        <v>1</v>
      </c>
      <c r="J5578">
        <v>0</v>
      </c>
      <c r="K5578">
        <v>0</v>
      </c>
      <c r="L5578">
        <f t="shared" si="174"/>
        <v>5.8</v>
      </c>
      <c r="M5578">
        <f t="shared" si="175"/>
        <v>1</v>
      </c>
    </row>
    <row r="5579" spans="1:13" x14ac:dyDescent="0.3">
      <c r="A5579">
        <v>5577</v>
      </c>
      <c r="B5579">
        <v>5578</v>
      </c>
      <c r="C5579" t="s">
        <v>5657</v>
      </c>
      <c r="D5579">
        <v>2016</v>
      </c>
      <c r="E5579" t="s">
        <v>11</v>
      </c>
      <c r="F5579" t="s">
        <v>1384</v>
      </c>
      <c r="G5579">
        <v>0</v>
      </c>
      <c r="H5579">
        <v>0</v>
      </c>
      <c r="I5579">
        <v>1</v>
      </c>
      <c r="J5579">
        <v>0</v>
      </c>
      <c r="K5579">
        <v>0</v>
      </c>
      <c r="L5579">
        <f t="shared" si="174"/>
        <v>5.8</v>
      </c>
      <c r="M5579">
        <f t="shared" si="175"/>
        <v>1</v>
      </c>
    </row>
    <row r="5580" spans="1:13" x14ac:dyDescent="0.3">
      <c r="A5580">
        <v>5578</v>
      </c>
      <c r="B5580">
        <v>5579</v>
      </c>
      <c r="C5580" t="s">
        <v>5658</v>
      </c>
      <c r="D5580">
        <v>2013</v>
      </c>
      <c r="F5580" t="s">
        <v>1384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f t="shared" si="174"/>
        <v>5.8</v>
      </c>
      <c r="M5580">
        <f t="shared" si="175"/>
        <v>1</v>
      </c>
    </row>
    <row r="5581" spans="1:13" x14ac:dyDescent="0.3">
      <c r="A5581">
        <v>5579</v>
      </c>
      <c r="B5581">
        <v>5580</v>
      </c>
      <c r="C5581" t="s">
        <v>5659</v>
      </c>
      <c r="D5581">
        <v>1986</v>
      </c>
      <c r="E5581" t="s">
        <v>22</v>
      </c>
      <c r="F5581" t="s">
        <v>1384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f t="shared" si="174"/>
        <v>5.8</v>
      </c>
      <c r="M5581">
        <f t="shared" si="175"/>
        <v>1</v>
      </c>
    </row>
    <row r="5582" spans="1:13" x14ac:dyDescent="0.3">
      <c r="A5582">
        <v>5580</v>
      </c>
      <c r="B5582">
        <v>5581</v>
      </c>
      <c r="C5582" t="s">
        <v>5660</v>
      </c>
      <c r="D5582">
        <v>1952</v>
      </c>
      <c r="F5582" t="s">
        <v>1384</v>
      </c>
      <c r="G5582">
        <v>0</v>
      </c>
      <c r="H5582">
        <v>0</v>
      </c>
      <c r="I5582">
        <v>1</v>
      </c>
      <c r="J5582">
        <v>0</v>
      </c>
      <c r="K5582">
        <v>0</v>
      </c>
      <c r="L5582">
        <f t="shared" si="174"/>
        <v>5.8</v>
      </c>
      <c r="M5582">
        <f t="shared" si="175"/>
        <v>1</v>
      </c>
    </row>
    <row r="5583" spans="1:13" x14ac:dyDescent="0.3">
      <c r="A5583">
        <v>5581</v>
      </c>
      <c r="B5583">
        <v>5582</v>
      </c>
      <c r="C5583" t="s">
        <v>5661</v>
      </c>
      <c r="D5583">
        <v>2015</v>
      </c>
      <c r="E5583" t="s">
        <v>22</v>
      </c>
      <c r="F5583" t="s">
        <v>1384</v>
      </c>
      <c r="G5583">
        <v>0</v>
      </c>
      <c r="H5583">
        <v>0</v>
      </c>
      <c r="I5583">
        <v>1</v>
      </c>
      <c r="J5583">
        <v>0</v>
      </c>
      <c r="K5583">
        <v>0</v>
      </c>
      <c r="L5583">
        <f t="shared" si="174"/>
        <v>5.8</v>
      </c>
      <c r="M5583">
        <f t="shared" si="175"/>
        <v>1</v>
      </c>
    </row>
    <row r="5584" spans="1:13" x14ac:dyDescent="0.3">
      <c r="A5584">
        <v>5582</v>
      </c>
      <c r="B5584">
        <v>5583</v>
      </c>
      <c r="C5584" t="s">
        <v>5662</v>
      </c>
      <c r="D5584">
        <v>1994</v>
      </c>
      <c r="E5584" t="s">
        <v>22</v>
      </c>
      <c r="F5584" t="s">
        <v>1384</v>
      </c>
      <c r="G5584">
        <v>0</v>
      </c>
      <c r="H5584">
        <v>0</v>
      </c>
      <c r="I5584">
        <v>1</v>
      </c>
      <c r="J5584">
        <v>0</v>
      </c>
      <c r="K5584">
        <v>0</v>
      </c>
      <c r="L5584">
        <f t="shared" si="174"/>
        <v>5.8</v>
      </c>
      <c r="M5584">
        <f t="shared" si="175"/>
        <v>1</v>
      </c>
    </row>
    <row r="5585" spans="1:13" x14ac:dyDescent="0.3">
      <c r="A5585">
        <v>5583</v>
      </c>
      <c r="B5585">
        <v>5584</v>
      </c>
      <c r="C5585" t="s">
        <v>5663</v>
      </c>
      <c r="D5585">
        <v>2009</v>
      </c>
      <c r="E5585" t="s">
        <v>22</v>
      </c>
      <c r="F5585" t="s">
        <v>1384</v>
      </c>
      <c r="G5585">
        <v>0</v>
      </c>
      <c r="H5585">
        <v>0</v>
      </c>
      <c r="I5585">
        <v>1</v>
      </c>
      <c r="J5585">
        <v>0</v>
      </c>
      <c r="K5585">
        <v>0</v>
      </c>
      <c r="L5585">
        <f t="shared" si="174"/>
        <v>5.8</v>
      </c>
      <c r="M5585">
        <f t="shared" si="175"/>
        <v>1</v>
      </c>
    </row>
    <row r="5586" spans="1:13" x14ac:dyDescent="0.3">
      <c r="A5586">
        <v>5584</v>
      </c>
      <c r="B5586">
        <v>5585</v>
      </c>
      <c r="C5586" t="s">
        <v>5664</v>
      </c>
      <c r="D5586">
        <v>2001</v>
      </c>
      <c r="E5586" t="s">
        <v>22</v>
      </c>
      <c r="F5586" t="s">
        <v>1384</v>
      </c>
      <c r="G5586">
        <v>0</v>
      </c>
      <c r="H5586">
        <v>0</v>
      </c>
      <c r="I5586">
        <v>1</v>
      </c>
      <c r="J5586">
        <v>0</v>
      </c>
      <c r="K5586">
        <v>0</v>
      </c>
      <c r="L5586">
        <f t="shared" si="174"/>
        <v>5.8</v>
      </c>
      <c r="M5586">
        <f t="shared" si="175"/>
        <v>1</v>
      </c>
    </row>
    <row r="5587" spans="1:13" x14ac:dyDescent="0.3">
      <c r="A5587">
        <v>5585</v>
      </c>
      <c r="B5587">
        <v>5586</v>
      </c>
      <c r="C5587" t="s">
        <v>5665</v>
      </c>
      <c r="D5587">
        <v>1974</v>
      </c>
      <c r="E5587" t="s">
        <v>14</v>
      </c>
      <c r="F5587" t="s">
        <v>1384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f t="shared" si="174"/>
        <v>5.8</v>
      </c>
      <c r="M5587">
        <f t="shared" si="175"/>
        <v>1</v>
      </c>
    </row>
    <row r="5588" spans="1:13" x14ac:dyDescent="0.3">
      <c r="A5588">
        <v>5586</v>
      </c>
      <c r="B5588">
        <v>5587</v>
      </c>
      <c r="C5588" t="s">
        <v>5666</v>
      </c>
      <c r="D5588">
        <v>2009</v>
      </c>
      <c r="E5588" t="s">
        <v>11</v>
      </c>
      <c r="F5588" t="s">
        <v>1384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f t="shared" si="174"/>
        <v>5.8</v>
      </c>
      <c r="M5588">
        <f t="shared" si="175"/>
        <v>1</v>
      </c>
    </row>
    <row r="5589" spans="1:13" x14ac:dyDescent="0.3">
      <c r="A5589">
        <v>5587</v>
      </c>
      <c r="B5589">
        <v>5588</v>
      </c>
      <c r="C5589" t="s">
        <v>5667</v>
      </c>
      <c r="D5589">
        <v>1997</v>
      </c>
      <c r="E5589" t="s">
        <v>11</v>
      </c>
      <c r="F5589" t="s">
        <v>1384</v>
      </c>
      <c r="G5589">
        <v>0</v>
      </c>
      <c r="H5589">
        <v>0</v>
      </c>
      <c r="I5589">
        <v>1</v>
      </c>
      <c r="J5589">
        <v>0</v>
      </c>
      <c r="K5589">
        <v>0</v>
      </c>
      <c r="L5589">
        <f t="shared" si="174"/>
        <v>5.8</v>
      </c>
      <c r="M5589">
        <f t="shared" si="175"/>
        <v>1</v>
      </c>
    </row>
    <row r="5590" spans="1:13" x14ac:dyDescent="0.3">
      <c r="A5590">
        <v>5588</v>
      </c>
      <c r="B5590">
        <v>5589</v>
      </c>
      <c r="C5590" t="s">
        <v>5668</v>
      </c>
      <c r="D5590">
        <v>2011</v>
      </c>
      <c r="E5590" t="s">
        <v>11</v>
      </c>
      <c r="F5590" t="s">
        <v>1384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f t="shared" si="174"/>
        <v>5.8</v>
      </c>
      <c r="M5590">
        <f t="shared" si="175"/>
        <v>1</v>
      </c>
    </row>
    <row r="5591" spans="1:13" x14ac:dyDescent="0.3">
      <c r="A5591">
        <v>5589</v>
      </c>
      <c r="B5591">
        <v>5590</v>
      </c>
      <c r="C5591" t="s">
        <v>5669</v>
      </c>
      <c r="D5591">
        <v>2018</v>
      </c>
      <c r="E5591" t="s">
        <v>11</v>
      </c>
      <c r="F5591" t="s">
        <v>1384</v>
      </c>
      <c r="G5591">
        <v>0</v>
      </c>
      <c r="H5591">
        <v>0</v>
      </c>
      <c r="I5591">
        <v>1</v>
      </c>
      <c r="J5591">
        <v>0</v>
      </c>
      <c r="K5591">
        <v>0</v>
      </c>
      <c r="L5591">
        <f t="shared" si="174"/>
        <v>5.8</v>
      </c>
      <c r="M5591">
        <f t="shared" si="175"/>
        <v>1</v>
      </c>
    </row>
    <row r="5592" spans="1:13" x14ac:dyDescent="0.3">
      <c r="A5592">
        <v>5590</v>
      </c>
      <c r="B5592">
        <v>5591</v>
      </c>
      <c r="C5592" t="s">
        <v>5670</v>
      </c>
      <c r="D5592">
        <v>2012</v>
      </c>
      <c r="E5592" t="s">
        <v>11</v>
      </c>
      <c r="F5592" t="s">
        <v>1384</v>
      </c>
      <c r="G5592">
        <v>0</v>
      </c>
      <c r="H5592">
        <v>0</v>
      </c>
      <c r="I5592">
        <v>1</v>
      </c>
      <c r="J5592">
        <v>0</v>
      </c>
      <c r="K5592">
        <v>0</v>
      </c>
      <c r="L5592">
        <f t="shared" si="174"/>
        <v>5.8</v>
      </c>
      <c r="M5592">
        <f t="shared" si="175"/>
        <v>1</v>
      </c>
    </row>
    <row r="5593" spans="1:13" x14ac:dyDescent="0.3">
      <c r="A5593">
        <v>5591</v>
      </c>
      <c r="B5593">
        <v>5592</v>
      </c>
      <c r="C5593" t="s">
        <v>5671</v>
      </c>
      <c r="D5593">
        <v>1932</v>
      </c>
      <c r="E5593" t="s">
        <v>14</v>
      </c>
      <c r="F5593" t="s">
        <v>1384</v>
      </c>
      <c r="G5593">
        <v>0</v>
      </c>
      <c r="H5593">
        <v>0</v>
      </c>
      <c r="I5593">
        <v>1</v>
      </c>
      <c r="J5593">
        <v>0</v>
      </c>
      <c r="K5593">
        <v>0</v>
      </c>
      <c r="L5593">
        <f t="shared" si="174"/>
        <v>5.8</v>
      </c>
      <c r="M5593">
        <f t="shared" si="175"/>
        <v>1</v>
      </c>
    </row>
    <row r="5594" spans="1:13" x14ac:dyDescent="0.3">
      <c r="A5594">
        <v>5592</v>
      </c>
      <c r="B5594">
        <v>5593</v>
      </c>
      <c r="C5594" t="s">
        <v>5672</v>
      </c>
      <c r="D5594">
        <v>1989</v>
      </c>
      <c r="F5594" t="s">
        <v>1384</v>
      </c>
      <c r="G5594">
        <v>0</v>
      </c>
      <c r="H5594">
        <v>0</v>
      </c>
      <c r="I5594">
        <v>1</v>
      </c>
      <c r="J5594">
        <v>0</v>
      </c>
      <c r="K5594">
        <v>0</v>
      </c>
      <c r="L5594">
        <f t="shared" si="174"/>
        <v>5.8</v>
      </c>
      <c r="M5594">
        <f t="shared" si="175"/>
        <v>1</v>
      </c>
    </row>
    <row r="5595" spans="1:13" x14ac:dyDescent="0.3">
      <c r="A5595">
        <v>5593</v>
      </c>
      <c r="B5595">
        <v>5594</v>
      </c>
      <c r="C5595" t="s">
        <v>5673</v>
      </c>
      <c r="D5595">
        <v>2011</v>
      </c>
      <c r="E5595" t="s">
        <v>14</v>
      </c>
      <c r="F5595" t="s">
        <v>1384</v>
      </c>
      <c r="G5595">
        <v>0</v>
      </c>
      <c r="H5595">
        <v>0</v>
      </c>
      <c r="I5595">
        <v>1</v>
      </c>
      <c r="J5595">
        <v>0</v>
      </c>
      <c r="K5595">
        <v>0</v>
      </c>
      <c r="L5595">
        <f t="shared" si="174"/>
        <v>5.8</v>
      </c>
      <c r="M5595">
        <f t="shared" si="175"/>
        <v>1</v>
      </c>
    </row>
    <row r="5596" spans="1:13" x14ac:dyDescent="0.3">
      <c r="A5596">
        <v>5594</v>
      </c>
      <c r="B5596">
        <v>5595</v>
      </c>
      <c r="C5596" t="s">
        <v>5674</v>
      </c>
      <c r="D5596">
        <v>2016</v>
      </c>
      <c r="F5596" t="s">
        <v>1384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f t="shared" si="174"/>
        <v>5.8</v>
      </c>
      <c r="M5596">
        <f t="shared" si="175"/>
        <v>1</v>
      </c>
    </row>
    <row r="5597" spans="1:13" x14ac:dyDescent="0.3">
      <c r="A5597">
        <v>5595</v>
      </c>
      <c r="B5597">
        <v>5596</v>
      </c>
      <c r="C5597" t="s">
        <v>5675</v>
      </c>
      <c r="D5597">
        <v>2002</v>
      </c>
      <c r="F5597" t="s">
        <v>1384</v>
      </c>
      <c r="G5597">
        <v>0</v>
      </c>
      <c r="H5597">
        <v>0</v>
      </c>
      <c r="I5597">
        <v>1</v>
      </c>
      <c r="J5597">
        <v>0</v>
      </c>
      <c r="K5597">
        <v>0</v>
      </c>
      <c r="L5597">
        <f t="shared" si="174"/>
        <v>5.8</v>
      </c>
      <c r="M5597">
        <f t="shared" si="175"/>
        <v>1</v>
      </c>
    </row>
    <row r="5598" spans="1:13" x14ac:dyDescent="0.3">
      <c r="A5598">
        <v>5596</v>
      </c>
      <c r="B5598">
        <v>5597</v>
      </c>
      <c r="C5598" t="s">
        <v>5676</v>
      </c>
      <c r="D5598">
        <v>2020</v>
      </c>
      <c r="E5598" t="s">
        <v>14</v>
      </c>
      <c r="F5598" t="s">
        <v>1384</v>
      </c>
      <c r="G5598">
        <v>0</v>
      </c>
      <c r="H5598">
        <v>0</v>
      </c>
      <c r="I5598">
        <v>1</v>
      </c>
      <c r="J5598">
        <v>0</v>
      </c>
      <c r="K5598">
        <v>0</v>
      </c>
      <c r="L5598">
        <f t="shared" si="174"/>
        <v>5.8</v>
      </c>
      <c r="M5598">
        <f t="shared" si="175"/>
        <v>1</v>
      </c>
    </row>
    <row r="5599" spans="1:13" x14ac:dyDescent="0.3">
      <c r="A5599">
        <v>5597</v>
      </c>
      <c r="B5599">
        <v>5598</v>
      </c>
      <c r="C5599" t="s">
        <v>5677</v>
      </c>
      <c r="D5599">
        <v>2014</v>
      </c>
      <c r="F5599" t="s">
        <v>1384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f t="shared" si="174"/>
        <v>5.8</v>
      </c>
      <c r="M5599">
        <f t="shared" si="175"/>
        <v>1</v>
      </c>
    </row>
    <row r="5600" spans="1:13" x14ac:dyDescent="0.3">
      <c r="A5600">
        <v>5598</v>
      </c>
      <c r="B5600">
        <v>5599</v>
      </c>
      <c r="C5600" t="s">
        <v>5678</v>
      </c>
      <c r="D5600">
        <v>2015</v>
      </c>
      <c r="F5600" t="s">
        <v>1384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f t="shared" si="174"/>
        <v>5.8</v>
      </c>
      <c r="M5600">
        <f t="shared" si="175"/>
        <v>1</v>
      </c>
    </row>
    <row r="5601" spans="1:13" x14ac:dyDescent="0.3">
      <c r="A5601">
        <v>5599</v>
      </c>
      <c r="B5601">
        <v>5600</v>
      </c>
      <c r="C5601" t="s">
        <v>5679</v>
      </c>
      <c r="D5601">
        <v>2012</v>
      </c>
      <c r="F5601" t="s">
        <v>1384</v>
      </c>
      <c r="G5601">
        <v>0</v>
      </c>
      <c r="H5601">
        <v>0</v>
      </c>
      <c r="I5601">
        <v>1</v>
      </c>
      <c r="J5601">
        <v>0</v>
      </c>
      <c r="K5601">
        <v>0</v>
      </c>
      <c r="L5601">
        <f t="shared" si="174"/>
        <v>5.8</v>
      </c>
      <c r="M5601">
        <f t="shared" si="175"/>
        <v>1</v>
      </c>
    </row>
    <row r="5602" spans="1:13" x14ac:dyDescent="0.3">
      <c r="A5602">
        <v>5600</v>
      </c>
      <c r="B5602">
        <v>5601</v>
      </c>
      <c r="C5602" t="s">
        <v>5680</v>
      </c>
      <c r="D5602">
        <v>2012</v>
      </c>
      <c r="E5602" t="s">
        <v>11</v>
      </c>
      <c r="F5602" t="s">
        <v>1384</v>
      </c>
      <c r="G5602">
        <v>0</v>
      </c>
      <c r="H5602">
        <v>0</v>
      </c>
      <c r="I5602">
        <v>1</v>
      </c>
      <c r="J5602">
        <v>0</v>
      </c>
      <c r="K5602">
        <v>0</v>
      </c>
      <c r="L5602">
        <f t="shared" si="174"/>
        <v>5.8</v>
      </c>
      <c r="M5602">
        <f t="shared" si="175"/>
        <v>1</v>
      </c>
    </row>
    <row r="5603" spans="1:13" x14ac:dyDescent="0.3">
      <c r="A5603">
        <v>5601</v>
      </c>
      <c r="B5603">
        <v>5602</v>
      </c>
      <c r="C5603" t="s">
        <v>5681</v>
      </c>
      <c r="D5603">
        <v>2017</v>
      </c>
      <c r="E5603" t="s">
        <v>11</v>
      </c>
      <c r="F5603" t="s">
        <v>1384</v>
      </c>
      <c r="G5603">
        <v>0</v>
      </c>
      <c r="H5603">
        <v>0</v>
      </c>
      <c r="I5603">
        <v>1</v>
      </c>
      <c r="J5603">
        <v>0</v>
      </c>
      <c r="K5603">
        <v>0</v>
      </c>
      <c r="L5603">
        <f t="shared" si="174"/>
        <v>5.8</v>
      </c>
      <c r="M5603">
        <f t="shared" si="175"/>
        <v>1</v>
      </c>
    </row>
    <row r="5604" spans="1:13" x14ac:dyDescent="0.3">
      <c r="A5604">
        <v>5602</v>
      </c>
      <c r="B5604">
        <v>5603</v>
      </c>
      <c r="C5604" t="s">
        <v>5682</v>
      </c>
      <c r="D5604">
        <v>2001</v>
      </c>
      <c r="E5604" t="s">
        <v>11</v>
      </c>
      <c r="F5604" t="s">
        <v>1384</v>
      </c>
      <c r="G5604">
        <v>0</v>
      </c>
      <c r="H5604">
        <v>0</v>
      </c>
      <c r="I5604">
        <v>1</v>
      </c>
      <c r="J5604">
        <v>0</v>
      </c>
      <c r="K5604">
        <v>0</v>
      </c>
      <c r="L5604">
        <f t="shared" si="174"/>
        <v>5.8</v>
      </c>
      <c r="M5604">
        <f t="shared" si="175"/>
        <v>1</v>
      </c>
    </row>
    <row r="5605" spans="1:13" x14ac:dyDescent="0.3">
      <c r="A5605">
        <v>5603</v>
      </c>
      <c r="B5605">
        <v>5604</v>
      </c>
      <c r="C5605" t="s">
        <v>5683</v>
      </c>
      <c r="D5605">
        <v>1922</v>
      </c>
      <c r="F5605" t="s">
        <v>1384</v>
      </c>
      <c r="G5605">
        <v>0</v>
      </c>
      <c r="H5605">
        <v>0</v>
      </c>
      <c r="I5605">
        <v>1</v>
      </c>
      <c r="J5605">
        <v>1</v>
      </c>
      <c r="K5605">
        <v>0</v>
      </c>
      <c r="L5605">
        <f t="shared" si="174"/>
        <v>5.8</v>
      </c>
      <c r="M5605">
        <f t="shared" si="175"/>
        <v>2</v>
      </c>
    </row>
    <row r="5606" spans="1:13" x14ac:dyDescent="0.3">
      <c r="A5606">
        <v>5604</v>
      </c>
      <c r="B5606">
        <v>5605</v>
      </c>
      <c r="C5606" t="s">
        <v>5684</v>
      </c>
      <c r="D5606">
        <v>1997</v>
      </c>
      <c r="E5606" t="s">
        <v>14</v>
      </c>
      <c r="F5606" t="s">
        <v>1384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f t="shared" si="174"/>
        <v>5.8</v>
      </c>
      <c r="M5606">
        <f t="shared" si="175"/>
        <v>1</v>
      </c>
    </row>
    <row r="5607" spans="1:13" x14ac:dyDescent="0.3">
      <c r="A5607">
        <v>5605</v>
      </c>
      <c r="B5607">
        <v>5606</v>
      </c>
      <c r="C5607" t="s">
        <v>5685</v>
      </c>
      <c r="D5607">
        <v>2003</v>
      </c>
      <c r="E5607" t="s">
        <v>11</v>
      </c>
      <c r="F5607" t="s">
        <v>1384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f t="shared" si="174"/>
        <v>5.8</v>
      </c>
      <c r="M5607">
        <f t="shared" si="175"/>
        <v>1</v>
      </c>
    </row>
    <row r="5608" spans="1:13" x14ac:dyDescent="0.3">
      <c r="A5608">
        <v>5606</v>
      </c>
      <c r="B5608">
        <v>5607</v>
      </c>
      <c r="C5608" t="s">
        <v>5686</v>
      </c>
      <c r="D5608">
        <v>1984</v>
      </c>
      <c r="E5608" t="s">
        <v>11</v>
      </c>
      <c r="F5608" t="s">
        <v>1384</v>
      </c>
      <c r="G5608">
        <v>0</v>
      </c>
      <c r="H5608">
        <v>0</v>
      </c>
      <c r="I5608">
        <v>1</v>
      </c>
      <c r="J5608">
        <v>0</v>
      </c>
      <c r="K5608">
        <v>0</v>
      </c>
      <c r="L5608">
        <f t="shared" si="174"/>
        <v>5.8</v>
      </c>
      <c r="M5608">
        <f t="shared" si="175"/>
        <v>1</v>
      </c>
    </row>
    <row r="5609" spans="1:13" x14ac:dyDescent="0.3">
      <c r="A5609">
        <v>5607</v>
      </c>
      <c r="B5609">
        <v>5608</v>
      </c>
      <c r="C5609" t="s">
        <v>5687</v>
      </c>
      <c r="D5609">
        <v>2011</v>
      </c>
      <c r="F5609" t="s">
        <v>1384</v>
      </c>
      <c r="G5609">
        <v>0</v>
      </c>
      <c r="H5609">
        <v>0</v>
      </c>
      <c r="I5609">
        <v>1</v>
      </c>
      <c r="J5609">
        <v>0</v>
      </c>
      <c r="K5609">
        <v>0</v>
      </c>
      <c r="L5609">
        <f t="shared" si="174"/>
        <v>5.8</v>
      </c>
      <c r="M5609">
        <f t="shared" si="175"/>
        <v>1</v>
      </c>
    </row>
    <row r="5610" spans="1:13" x14ac:dyDescent="0.3">
      <c r="A5610">
        <v>5608</v>
      </c>
      <c r="B5610">
        <v>5609</v>
      </c>
      <c r="C5610" t="s">
        <v>5688</v>
      </c>
      <c r="D5610">
        <v>2015</v>
      </c>
      <c r="E5610" t="s">
        <v>11</v>
      </c>
      <c r="F5610" t="s">
        <v>1384</v>
      </c>
      <c r="G5610">
        <v>0</v>
      </c>
      <c r="H5610">
        <v>0</v>
      </c>
      <c r="I5610">
        <v>1</v>
      </c>
      <c r="J5610">
        <v>0</v>
      </c>
      <c r="K5610">
        <v>0</v>
      </c>
      <c r="L5610">
        <f t="shared" si="174"/>
        <v>5.8</v>
      </c>
      <c r="M5610">
        <f t="shared" si="175"/>
        <v>1</v>
      </c>
    </row>
    <row r="5611" spans="1:13" x14ac:dyDescent="0.3">
      <c r="A5611">
        <v>5609</v>
      </c>
      <c r="B5611">
        <v>5610</v>
      </c>
      <c r="C5611" t="s">
        <v>5689</v>
      </c>
      <c r="D5611">
        <v>2012</v>
      </c>
      <c r="E5611" t="s">
        <v>11</v>
      </c>
      <c r="F5611" t="s">
        <v>1384</v>
      </c>
      <c r="G5611">
        <v>0</v>
      </c>
      <c r="H5611">
        <v>0</v>
      </c>
      <c r="I5611">
        <v>1</v>
      </c>
      <c r="J5611">
        <v>0</v>
      </c>
      <c r="K5611">
        <v>0</v>
      </c>
      <c r="L5611">
        <f t="shared" si="174"/>
        <v>5.8</v>
      </c>
      <c r="M5611">
        <f t="shared" si="175"/>
        <v>1</v>
      </c>
    </row>
    <row r="5612" spans="1:13" x14ac:dyDescent="0.3">
      <c r="A5612">
        <v>5610</v>
      </c>
      <c r="B5612">
        <v>5611</v>
      </c>
      <c r="C5612" t="s">
        <v>5690</v>
      </c>
      <c r="D5612">
        <v>2019</v>
      </c>
      <c r="F5612" t="s">
        <v>1384</v>
      </c>
      <c r="G5612">
        <v>0</v>
      </c>
      <c r="H5612">
        <v>0</v>
      </c>
      <c r="I5612">
        <v>1</v>
      </c>
      <c r="J5612">
        <v>0</v>
      </c>
      <c r="K5612">
        <v>0</v>
      </c>
      <c r="L5612">
        <f t="shared" si="174"/>
        <v>5.8</v>
      </c>
      <c r="M5612">
        <f t="shared" si="175"/>
        <v>1</v>
      </c>
    </row>
    <row r="5613" spans="1:13" x14ac:dyDescent="0.3">
      <c r="A5613">
        <v>5611</v>
      </c>
      <c r="B5613">
        <v>5612</v>
      </c>
      <c r="C5613" t="s">
        <v>5691</v>
      </c>
      <c r="D5613">
        <v>2006</v>
      </c>
      <c r="E5613" t="s">
        <v>11</v>
      </c>
      <c r="F5613" t="s">
        <v>1384</v>
      </c>
      <c r="G5613">
        <v>0</v>
      </c>
      <c r="H5613">
        <v>0</v>
      </c>
      <c r="I5613">
        <v>1</v>
      </c>
      <c r="J5613">
        <v>0</v>
      </c>
      <c r="K5613">
        <v>0</v>
      </c>
      <c r="L5613">
        <f t="shared" si="174"/>
        <v>5.8</v>
      </c>
      <c r="M5613">
        <f t="shared" si="175"/>
        <v>1</v>
      </c>
    </row>
    <row r="5614" spans="1:13" x14ac:dyDescent="0.3">
      <c r="A5614">
        <v>5612</v>
      </c>
      <c r="B5614">
        <v>5613</v>
      </c>
      <c r="C5614" t="s">
        <v>5692</v>
      </c>
      <c r="D5614">
        <v>2002</v>
      </c>
      <c r="E5614" t="s">
        <v>11</v>
      </c>
      <c r="F5614" t="s">
        <v>1384</v>
      </c>
      <c r="G5614">
        <v>0</v>
      </c>
      <c r="H5614">
        <v>0</v>
      </c>
      <c r="I5614">
        <v>1</v>
      </c>
      <c r="J5614">
        <v>0</v>
      </c>
      <c r="K5614">
        <v>0</v>
      </c>
      <c r="L5614">
        <f t="shared" si="174"/>
        <v>5.8</v>
      </c>
      <c r="M5614">
        <f t="shared" si="175"/>
        <v>1</v>
      </c>
    </row>
    <row r="5615" spans="1:13" x14ac:dyDescent="0.3">
      <c r="A5615">
        <v>5613</v>
      </c>
      <c r="B5615">
        <v>5614</v>
      </c>
      <c r="C5615" t="s">
        <v>5693</v>
      </c>
      <c r="D5615">
        <v>1992</v>
      </c>
      <c r="E5615" t="s">
        <v>22</v>
      </c>
      <c r="F5615" t="s">
        <v>1384</v>
      </c>
      <c r="G5615">
        <v>0</v>
      </c>
      <c r="H5615">
        <v>0</v>
      </c>
      <c r="I5615">
        <v>1</v>
      </c>
      <c r="J5615">
        <v>1</v>
      </c>
      <c r="K5615">
        <v>0</v>
      </c>
      <c r="L5615">
        <f t="shared" si="174"/>
        <v>5.8</v>
      </c>
      <c r="M5615">
        <f t="shared" si="175"/>
        <v>2</v>
      </c>
    </row>
    <row r="5616" spans="1:13" x14ac:dyDescent="0.3">
      <c r="A5616">
        <v>5614</v>
      </c>
      <c r="B5616">
        <v>5615</v>
      </c>
      <c r="C5616" t="s">
        <v>5694</v>
      </c>
      <c r="D5616">
        <v>2018</v>
      </c>
      <c r="E5616" t="s">
        <v>11</v>
      </c>
      <c r="F5616" t="s">
        <v>1384</v>
      </c>
      <c r="G5616">
        <v>0</v>
      </c>
      <c r="H5616">
        <v>0</v>
      </c>
      <c r="I5616">
        <v>1</v>
      </c>
      <c r="J5616">
        <v>0</v>
      </c>
      <c r="K5616">
        <v>0</v>
      </c>
      <c r="L5616">
        <f t="shared" si="174"/>
        <v>5.8</v>
      </c>
      <c r="M5616">
        <f t="shared" si="175"/>
        <v>1</v>
      </c>
    </row>
    <row r="5617" spans="1:13" x14ac:dyDescent="0.3">
      <c r="A5617">
        <v>5615</v>
      </c>
      <c r="B5617">
        <v>5616</v>
      </c>
      <c r="C5617" t="s">
        <v>5695</v>
      </c>
      <c r="D5617">
        <v>2010</v>
      </c>
      <c r="E5617" t="s">
        <v>11</v>
      </c>
      <c r="F5617" t="s">
        <v>1384</v>
      </c>
      <c r="G5617">
        <v>0</v>
      </c>
      <c r="H5617">
        <v>0</v>
      </c>
      <c r="I5617">
        <v>1</v>
      </c>
      <c r="J5617">
        <v>0</v>
      </c>
      <c r="K5617">
        <v>0</v>
      </c>
      <c r="L5617">
        <f t="shared" si="174"/>
        <v>5.8</v>
      </c>
      <c r="M5617">
        <f t="shared" si="175"/>
        <v>1</v>
      </c>
    </row>
    <row r="5618" spans="1:13" x14ac:dyDescent="0.3">
      <c r="A5618">
        <v>5616</v>
      </c>
      <c r="B5618">
        <v>5617</v>
      </c>
      <c r="C5618" t="s">
        <v>5696</v>
      </c>
      <c r="D5618">
        <v>1985</v>
      </c>
      <c r="E5618" t="s">
        <v>36</v>
      </c>
      <c r="F5618" t="s">
        <v>1384</v>
      </c>
      <c r="G5618">
        <v>0</v>
      </c>
      <c r="H5618">
        <v>0</v>
      </c>
      <c r="I5618">
        <v>1</v>
      </c>
      <c r="J5618">
        <v>0</v>
      </c>
      <c r="K5618">
        <v>0</v>
      </c>
      <c r="L5618">
        <f t="shared" si="174"/>
        <v>5.8</v>
      </c>
      <c r="M5618">
        <f t="shared" si="175"/>
        <v>1</v>
      </c>
    </row>
    <row r="5619" spans="1:13" x14ac:dyDescent="0.3">
      <c r="A5619">
        <v>5617</v>
      </c>
      <c r="B5619">
        <v>5618</v>
      </c>
      <c r="C5619" t="s">
        <v>5697</v>
      </c>
      <c r="D5619">
        <v>2017</v>
      </c>
      <c r="F5619" t="s">
        <v>1384</v>
      </c>
      <c r="G5619">
        <v>0</v>
      </c>
      <c r="H5619">
        <v>0</v>
      </c>
      <c r="I5619">
        <v>1</v>
      </c>
      <c r="J5619">
        <v>0</v>
      </c>
      <c r="K5619">
        <v>0</v>
      </c>
      <c r="L5619">
        <f t="shared" si="174"/>
        <v>5.8</v>
      </c>
      <c r="M5619">
        <f t="shared" si="175"/>
        <v>1</v>
      </c>
    </row>
    <row r="5620" spans="1:13" x14ac:dyDescent="0.3">
      <c r="A5620">
        <v>5618</v>
      </c>
      <c r="B5620">
        <v>5619</v>
      </c>
      <c r="C5620" t="s">
        <v>5698</v>
      </c>
      <c r="D5620">
        <v>1985</v>
      </c>
      <c r="E5620" t="s">
        <v>11</v>
      </c>
      <c r="F5620" t="s">
        <v>1384</v>
      </c>
      <c r="G5620">
        <v>0</v>
      </c>
      <c r="H5620">
        <v>0</v>
      </c>
      <c r="I5620">
        <v>1</v>
      </c>
      <c r="J5620">
        <v>0</v>
      </c>
      <c r="K5620">
        <v>0</v>
      </c>
      <c r="L5620">
        <f t="shared" si="174"/>
        <v>5.8</v>
      </c>
      <c r="M5620">
        <f t="shared" si="175"/>
        <v>1</v>
      </c>
    </row>
    <row r="5621" spans="1:13" x14ac:dyDescent="0.3">
      <c r="A5621">
        <v>5619</v>
      </c>
      <c r="B5621">
        <v>5620</v>
      </c>
      <c r="C5621" t="s">
        <v>5699</v>
      </c>
      <c r="D5621">
        <v>2016</v>
      </c>
      <c r="E5621" t="s">
        <v>11</v>
      </c>
      <c r="F5621" t="s">
        <v>1384</v>
      </c>
      <c r="G5621">
        <v>0</v>
      </c>
      <c r="H5621">
        <v>0</v>
      </c>
      <c r="I5621">
        <v>1</v>
      </c>
      <c r="J5621">
        <v>0</v>
      </c>
      <c r="K5621">
        <v>0</v>
      </c>
      <c r="L5621">
        <f t="shared" si="174"/>
        <v>5.8</v>
      </c>
      <c r="M5621">
        <f t="shared" si="175"/>
        <v>1</v>
      </c>
    </row>
    <row r="5622" spans="1:13" x14ac:dyDescent="0.3">
      <c r="A5622">
        <v>5620</v>
      </c>
      <c r="B5622">
        <v>5621</v>
      </c>
      <c r="C5622" t="s">
        <v>5700</v>
      </c>
      <c r="D5622">
        <v>2018</v>
      </c>
      <c r="E5622" t="s">
        <v>11</v>
      </c>
      <c r="F5622" t="s">
        <v>1384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f t="shared" si="174"/>
        <v>5.8</v>
      </c>
      <c r="M5622">
        <f t="shared" si="175"/>
        <v>1</v>
      </c>
    </row>
    <row r="5623" spans="1:13" x14ac:dyDescent="0.3">
      <c r="A5623">
        <v>5621</v>
      </c>
      <c r="B5623">
        <v>5622</v>
      </c>
      <c r="C5623" t="s">
        <v>5701</v>
      </c>
      <c r="D5623">
        <v>2014</v>
      </c>
      <c r="E5623" t="s">
        <v>14</v>
      </c>
      <c r="F5623" t="s">
        <v>1384</v>
      </c>
      <c r="G5623">
        <v>0</v>
      </c>
      <c r="H5623">
        <v>0</v>
      </c>
      <c r="I5623">
        <v>1</v>
      </c>
      <c r="J5623">
        <v>0</v>
      </c>
      <c r="K5623">
        <v>0</v>
      </c>
      <c r="L5623">
        <f t="shared" si="174"/>
        <v>5.8</v>
      </c>
      <c r="M5623">
        <f t="shared" si="175"/>
        <v>1</v>
      </c>
    </row>
    <row r="5624" spans="1:13" x14ac:dyDescent="0.3">
      <c r="A5624">
        <v>5622</v>
      </c>
      <c r="B5624">
        <v>5623</v>
      </c>
      <c r="C5624" t="s">
        <v>5702</v>
      </c>
      <c r="D5624">
        <v>2008</v>
      </c>
      <c r="E5624" t="s">
        <v>11</v>
      </c>
      <c r="F5624" t="s">
        <v>1384</v>
      </c>
      <c r="G5624">
        <v>0</v>
      </c>
      <c r="H5624">
        <v>0</v>
      </c>
      <c r="I5624">
        <v>1</v>
      </c>
      <c r="J5624">
        <v>0</v>
      </c>
      <c r="K5624">
        <v>0</v>
      </c>
      <c r="L5624">
        <f t="shared" si="174"/>
        <v>5.8</v>
      </c>
      <c r="M5624">
        <f t="shared" si="175"/>
        <v>1</v>
      </c>
    </row>
    <row r="5625" spans="1:13" x14ac:dyDescent="0.3">
      <c r="A5625">
        <v>5623</v>
      </c>
      <c r="B5625">
        <v>5624</v>
      </c>
      <c r="C5625" t="s">
        <v>5703</v>
      </c>
      <c r="D5625">
        <v>2018</v>
      </c>
      <c r="F5625" t="s">
        <v>1384</v>
      </c>
      <c r="G5625">
        <v>0</v>
      </c>
      <c r="H5625">
        <v>0</v>
      </c>
      <c r="I5625">
        <v>1</v>
      </c>
      <c r="J5625">
        <v>0</v>
      </c>
      <c r="K5625">
        <v>0</v>
      </c>
      <c r="L5625">
        <f t="shared" si="174"/>
        <v>5.8</v>
      </c>
      <c r="M5625">
        <f t="shared" si="175"/>
        <v>1</v>
      </c>
    </row>
    <row r="5626" spans="1:13" x14ac:dyDescent="0.3">
      <c r="A5626">
        <v>5624</v>
      </c>
      <c r="B5626">
        <v>5625</v>
      </c>
      <c r="C5626" t="s">
        <v>5704</v>
      </c>
      <c r="D5626">
        <v>2011</v>
      </c>
      <c r="F5626" t="s">
        <v>1384</v>
      </c>
      <c r="G5626">
        <v>0</v>
      </c>
      <c r="H5626">
        <v>0</v>
      </c>
      <c r="I5626">
        <v>1</v>
      </c>
      <c r="J5626">
        <v>0</v>
      </c>
      <c r="K5626">
        <v>0</v>
      </c>
      <c r="L5626">
        <f t="shared" si="174"/>
        <v>5.8</v>
      </c>
      <c r="M5626">
        <f t="shared" si="175"/>
        <v>1</v>
      </c>
    </row>
    <row r="5627" spans="1:13" x14ac:dyDescent="0.3">
      <c r="A5627">
        <v>5625</v>
      </c>
      <c r="B5627">
        <v>5626</v>
      </c>
      <c r="C5627" t="s">
        <v>5705</v>
      </c>
      <c r="D5627">
        <v>2016</v>
      </c>
      <c r="E5627" t="s">
        <v>11</v>
      </c>
      <c r="F5627" t="s">
        <v>1384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f t="shared" si="174"/>
        <v>5.8</v>
      </c>
      <c r="M5627">
        <f t="shared" si="175"/>
        <v>1</v>
      </c>
    </row>
    <row r="5628" spans="1:13" x14ac:dyDescent="0.3">
      <c r="A5628">
        <v>5626</v>
      </c>
      <c r="B5628">
        <v>5627</v>
      </c>
      <c r="C5628" t="s">
        <v>5706</v>
      </c>
      <c r="D5628">
        <v>2007</v>
      </c>
      <c r="E5628" t="s">
        <v>11</v>
      </c>
      <c r="F5628" t="s">
        <v>1384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f t="shared" si="174"/>
        <v>5.8</v>
      </c>
      <c r="M5628">
        <f t="shared" si="175"/>
        <v>1</v>
      </c>
    </row>
    <row r="5629" spans="1:13" x14ac:dyDescent="0.3">
      <c r="A5629">
        <v>5627</v>
      </c>
      <c r="B5629">
        <v>5628</v>
      </c>
      <c r="C5629" t="s">
        <v>5707</v>
      </c>
      <c r="D5629">
        <v>2016</v>
      </c>
      <c r="E5629" t="s">
        <v>11</v>
      </c>
      <c r="F5629" t="s">
        <v>1384</v>
      </c>
      <c r="G5629">
        <v>0</v>
      </c>
      <c r="H5629">
        <v>0</v>
      </c>
      <c r="I5629">
        <v>1</v>
      </c>
      <c r="J5629">
        <v>0</v>
      </c>
      <c r="K5629">
        <v>0</v>
      </c>
      <c r="L5629">
        <f t="shared" si="174"/>
        <v>5.8</v>
      </c>
      <c r="M5629">
        <f t="shared" si="175"/>
        <v>1</v>
      </c>
    </row>
    <row r="5630" spans="1:13" x14ac:dyDescent="0.3">
      <c r="A5630">
        <v>5628</v>
      </c>
      <c r="B5630">
        <v>5629</v>
      </c>
      <c r="C5630" t="s">
        <v>5708</v>
      </c>
      <c r="D5630">
        <v>2018</v>
      </c>
      <c r="E5630" t="s">
        <v>11</v>
      </c>
      <c r="F5630" t="s">
        <v>1384</v>
      </c>
      <c r="G5630">
        <v>0</v>
      </c>
      <c r="H5630">
        <v>0</v>
      </c>
      <c r="I5630">
        <v>1</v>
      </c>
      <c r="J5630">
        <v>0</v>
      </c>
      <c r="K5630">
        <v>0</v>
      </c>
      <c r="L5630">
        <f t="shared" si="174"/>
        <v>5.8</v>
      </c>
      <c r="M5630">
        <f t="shared" si="175"/>
        <v>1</v>
      </c>
    </row>
    <row r="5631" spans="1:13" x14ac:dyDescent="0.3">
      <c r="A5631">
        <v>5629</v>
      </c>
      <c r="B5631">
        <v>5630</v>
      </c>
      <c r="C5631" t="s">
        <v>5709</v>
      </c>
      <c r="D5631">
        <v>2005</v>
      </c>
      <c r="E5631" t="s">
        <v>11</v>
      </c>
      <c r="F5631" t="s">
        <v>1384</v>
      </c>
      <c r="G5631">
        <v>0</v>
      </c>
      <c r="H5631">
        <v>0</v>
      </c>
      <c r="I5631">
        <v>1</v>
      </c>
      <c r="J5631">
        <v>0</v>
      </c>
      <c r="K5631">
        <v>0</v>
      </c>
      <c r="L5631">
        <f t="shared" si="174"/>
        <v>5.8</v>
      </c>
      <c r="M5631">
        <f t="shared" si="175"/>
        <v>1</v>
      </c>
    </row>
    <row r="5632" spans="1:13" x14ac:dyDescent="0.3">
      <c r="A5632">
        <v>5630</v>
      </c>
      <c r="B5632">
        <v>5631</v>
      </c>
      <c r="C5632" t="s">
        <v>5710</v>
      </c>
      <c r="D5632">
        <v>2019</v>
      </c>
      <c r="E5632" t="s">
        <v>11</v>
      </c>
      <c r="F5632" t="s">
        <v>1384</v>
      </c>
      <c r="G5632">
        <v>0</v>
      </c>
      <c r="H5632">
        <v>0</v>
      </c>
      <c r="I5632">
        <v>1</v>
      </c>
      <c r="J5632">
        <v>0</v>
      </c>
      <c r="K5632">
        <v>0</v>
      </c>
      <c r="L5632">
        <f t="shared" si="174"/>
        <v>5.8</v>
      </c>
      <c r="M5632">
        <f t="shared" si="175"/>
        <v>1</v>
      </c>
    </row>
    <row r="5633" spans="1:13" x14ac:dyDescent="0.3">
      <c r="A5633">
        <v>5631</v>
      </c>
      <c r="B5633">
        <v>5632</v>
      </c>
      <c r="C5633" t="s">
        <v>5711</v>
      </c>
      <c r="D5633">
        <v>2020</v>
      </c>
      <c r="E5633" t="s">
        <v>28</v>
      </c>
      <c r="F5633" t="s">
        <v>1384</v>
      </c>
      <c r="G5633">
        <v>0</v>
      </c>
      <c r="H5633">
        <v>0</v>
      </c>
      <c r="I5633">
        <v>1</v>
      </c>
      <c r="J5633">
        <v>0</v>
      </c>
      <c r="K5633">
        <v>0</v>
      </c>
      <c r="L5633">
        <f t="shared" si="174"/>
        <v>5.8</v>
      </c>
      <c r="M5633">
        <f t="shared" si="175"/>
        <v>1</v>
      </c>
    </row>
    <row r="5634" spans="1:13" x14ac:dyDescent="0.3">
      <c r="A5634">
        <v>5632</v>
      </c>
      <c r="B5634">
        <v>5633</v>
      </c>
      <c r="C5634" t="s">
        <v>5712</v>
      </c>
      <c r="D5634">
        <v>2020</v>
      </c>
      <c r="E5634" t="s">
        <v>11</v>
      </c>
      <c r="F5634" t="s">
        <v>1384</v>
      </c>
      <c r="G5634">
        <v>0</v>
      </c>
      <c r="H5634">
        <v>0</v>
      </c>
      <c r="I5634">
        <v>1</v>
      </c>
      <c r="J5634">
        <v>0</v>
      </c>
      <c r="K5634">
        <v>0</v>
      </c>
      <c r="L5634">
        <f t="shared" si="174"/>
        <v>5.8</v>
      </c>
      <c r="M5634">
        <f t="shared" si="175"/>
        <v>1</v>
      </c>
    </row>
    <row r="5635" spans="1:13" x14ac:dyDescent="0.3">
      <c r="A5635">
        <v>5633</v>
      </c>
      <c r="B5635">
        <v>5634</v>
      </c>
      <c r="C5635" t="s">
        <v>5713</v>
      </c>
      <c r="D5635">
        <v>1980</v>
      </c>
      <c r="E5635" t="s">
        <v>22</v>
      </c>
      <c r="F5635" t="s">
        <v>1384</v>
      </c>
      <c r="G5635">
        <v>0</v>
      </c>
      <c r="H5635">
        <v>0</v>
      </c>
      <c r="I5635">
        <v>1</v>
      </c>
      <c r="J5635">
        <v>0</v>
      </c>
      <c r="K5635">
        <v>0</v>
      </c>
      <c r="L5635">
        <f t="shared" ref="L5635:L5698" si="176">IFERROR(VALUE(LEFT(F5635,FIND("/",F5635)-1))/10,"")</f>
        <v>5.8</v>
      </c>
      <c r="M5635">
        <f t="shared" ref="M5635:M5698" si="177">SUM(G5635:J5635)</f>
        <v>1</v>
      </c>
    </row>
    <row r="5636" spans="1:13" x14ac:dyDescent="0.3">
      <c r="A5636">
        <v>5634</v>
      </c>
      <c r="B5636">
        <v>5635</v>
      </c>
      <c r="C5636" t="s">
        <v>5714</v>
      </c>
      <c r="D5636">
        <v>2014</v>
      </c>
      <c r="E5636" t="s">
        <v>11</v>
      </c>
      <c r="F5636" t="s">
        <v>1384</v>
      </c>
      <c r="G5636">
        <v>0</v>
      </c>
      <c r="H5636">
        <v>0</v>
      </c>
      <c r="I5636">
        <v>1</v>
      </c>
      <c r="J5636">
        <v>0</v>
      </c>
      <c r="K5636">
        <v>0</v>
      </c>
      <c r="L5636">
        <f t="shared" si="176"/>
        <v>5.8</v>
      </c>
      <c r="M5636">
        <f t="shared" si="177"/>
        <v>1</v>
      </c>
    </row>
    <row r="5637" spans="1:13" x14ac:dyDescent="0.3">
      <c r="A5637">
        <v>5635</v>
      </c>
      <c r="B5637">
        <v>5636</v>
      </c>
      <c r="C5637" t="s">
        <v>5715</v>
      </c>
      <c r="D5637">
        <v>1976</v>
      </c>
      <c r="E5637" t="s">
        <v>14</v>
      </c>
      <c r="F5637" t="s">
        <v>1384</v>
      </c>
      <c r="G5637">
        <v>0</v>
      </c>
      <c r="H5637">
        <v>0</v>
      </c>
      <c r="I5637">
        <v>1</v>
      </c>
      <c r="J5637">
        <v>0</v>
      </c>
      <c r="K5637">
        <v>0</v>
      </c>
      <c r="L5637">
        <f t="shared" si="176"/>
        <v>5.8</v>
      </c>
      <c r="M5637">
        <f t="shared" si="177"/>
        <v>1</v>
      </c>
    </row>
    <row r="5638" spans="1:13" x14ac:dyDescent="0.3">
      <c r="A5638">
        <v>5636</v>
      </c>
      <c r="B5638">
        <v>5637</v>
      </c>
      <c r="C5638" t="s">
        <v>5716</v>
      </c>
      <c r="D5638">
        <v>2020</v>
      </c>
      <c r="F5638" t="s">
        <v>1384</v>
      </c>
      <c r="G5638">
        <v>0</v>
      </c>
      <c r="H5638">
        <v>0</v>
      </c>
      <c r="I5638">
        <v>1</v>
      </c>
      <c r="J5638">
        <v>0</v>
      </c>
      <c r="K5638">
        <v>0</v>
      </c>
      <c r="L5638">
        <f t="shared" si="176"/>
        <v>5.8</v>
      </c>
      <c r="M5638">
        <f t="shared" si="177"/>
        <v>1</v>
      </c>
    </row>
    <row r="5639" spans="1:13" x14ac:dyDescent="0.3">
      <c r="A5639">
        <v>5637</v>
      </c>
      <c r="B5639">
        <v>5638</v>
      </c>
      <c r="C5639" t="s">
        <v>5717</v>
      </c>
      <c r="D5639">
        <v>2011</v>
      </c>
      <c r="E5639" t="s">
        <v>28</v>
      </c>
      <c r="F5639" t="s">
        <v>1384</v>
      </c>
      <c r="G5639">
        <v>0</v>
      </c>
      <c r="H5639">
        <v>0</v>
      </c>
      <c r="I5639">
        <v>1</v>
      </c>
      <c r="J5639">
        <v>0</v>
      </c>
      <c r="K5639">
        <v>0</v>
      </c>
      <c r="L5639">
        <f t="shared" si="176"/>
        <v>5.8</v>
      </c>
      <c r="M5639">
        <f t="shared" si="177"/>
        <v>1</v>
      </c>
    </row>
    <row r="5640" spans="1:13" x14ac:dyDescent="0.3">
      <c r="A5640">
        <v>5638</v>
      </c>
      <c r="B5640">
        <v>5639</v>
      </c>
      <c r="C5640" t="s">
        <v>5718</v>
      </c>
      <c r="D5640">
        <v>2012</v>
      </c>
      <c r="F5640" t="s">
        <v>1384</v>
      </c>
      <c r="G5640">
        <v>0</v>
      </c>
      <c r="H5640">
        <v>0</v>
      </c>
      <c r="I5640">
        <v>1</v>
      </c>
      <c r="J5640">
        <v>0</v>
      </c>
      <c r="K5640">
        <v>0</v>
      </c>
      <c r="L5640">
        <f t="shared" si="176"/>
        <v>5.8</v>
      </c>
      <c r="M5640">
        <f t="shared" si="177"/>
        <v>1</v>
      </c>
    </row>
    <row r="5641" spans="1:13" x14ac:dyDescent="0.3">
      <c r="A5641">
        <v>5639</v>
      </c>
      <c r="B5641">
        <v>5640</v>
      </c>
      <c r="C5641" t="s">
        <v>5719</v>
      </c>
      <c r="D5641">
        <v>2008</v>
      </c>
      <c r="E5641" t="s">
        <v>11</v>
      </c>
      <c r="F5641" t="s">
        <v>1384</v>
      </c>
      <c r="G5641">
        <v>0</v>
      </c>
      <c r="H5641">
        <v>0</v>
      </c>
      <c r="I5641">
        <v>1</v>
      </c>
      <c r="J5641">
        <v>0</v>
      </c>
      <c r="K5641">
        <v>0</v>
      </c>
      <c r="L5641">
        <f t="shared" si="176"/>
        <v>5.8</v>
      </c>
      <c r="M5641">
        <f t="shared" si="177"/>
        <v>1</v>
      </c>
    </row>
    <row r="5642" spans="1:13" x14ac:dyDescent="0.3">
      <c r="A5642">
        <v>5640</v>
      </c>
      <c r="B5642">
        <v>5641</v>
      </c>
      <c r="C5642" t="s">
        <v>5720</v>
      </c>
      <c r="D5642">
        <v>2002</v>
      </c>
      <c r="E5642" t="s">
        <v>36</v>
      </c>
      <c r="F5642" t="s">
        <v>1384</v>
      </c>
      <c r="G5642">
        <v>0</v>
      </c>
      <c r="H5642">
        <v>0</v>
      </c>
      <c r="I5642">
        <v>1</v>
      </c>
      <c r="J5642">
        <v>0</v>
      </c>
      <c r="K5642">
        <v>0</v>
      </c>
      <c r="L5642">
        <f t="shared" si="176"/>
        <v>5.8</v>
      </c>
      <c r="M5642">
        <f t="shared" si="177"/>
        <v>1</v>
      </c>
    </row>
    <row r="5643" spans="1:13" x14ac:dyDescent="0.3">
      <c r="A5643">
        <v>5641</v>
      </c>
      <c r="B5643">
        <v>5642</v>
      </c>
      <c r="C5643" t="s">
        <v>5721</v>
      </c>
      <c r="D5643">
        <v>2010</v>
      </c>
      <c r="E5643" t="s">
        <v>11</v>
      </c>
      <c r="F5643" t="s">
        <v>1384</v>
      </c>
      <c r="G5643">
        <v>0</v>
      </c>
      <c r="H5643">
        <v>0</v>
      </c>
      <c r="I5643">
        <v>1</v>
      </c>
      <c r="J5643">
        <v>0</v>
      </c>
      <c r="K5643">
        <v>0</v>
      </c>
      <c r="L5643">
        <f t="shared" si="176"/>
        <v>5.8</v>
      </c>
      <c r="M5643">
        <f t="shared" si="177"/>
        <v>1</v>
      </c>
    </row>
    <row r="5644" spans="1:13" x14ac:dyDescent="0.3">
      <c r="A5644">
        <v>5642</v>
      </c>
      <c r="B5644">
        <v>5643</v>
      </c>
      <c r="C5644" t="s">
        <v>5722</v>
      </c>
      <c r="D5644">
        <v>2018</v>
      </c>
      <c r="F5644" t="s">
        <v>1384</v>
      </c>
      <c r="G5644">
        <v>0</v>
      </c>
      <c r="H5644">
        <v>0</v>
      </c>
      <c r="I5644">
        <v>1</v>
      </c>
      <c r="J5644">
        <v>0</v>
      </c>
      <c r="K5644">
        <v>0</v>
      </c>
      <c r="L5644">
        <f t="shared" si="176"/>
        <v>5.8</v>
      </c>
      <c r="M5644">
        <f t="shared" si="177"/>
        <v>1</v>
      </c>
    </row>
    <row r="5645" spans="1:13" x14ac:dyDescent="0.3">
      <c r="A5645">
        <v>5643</v>
      </c>
      <c r="B5645">
        <v>5644</v>
      </c>
      <c r="C5645" t="s">
        <v>5723</v>
      </c>
      <c r="D5645">
        <v>2017</v>
      </c>
      <c r="F5645" t="s">
        <v>1384</v>
      </c>
      <c r="G5645">
        <v>0</v>
      </c>
      <c r="H5645">
        <v>0</v>
      </c>
      <c r="I5645">
        <v>1</v>
      </c>
      <c r="J5645">
        <v>0</v>
      </c>
      <c r="K5645">
        <v>0</v>
      </c>
      <c r="L5645">
        <f t="shared" si="176"/>
        <v>5.8</v>
      </c>
      <c r="M5645">
        <f t="shared" si="177"/>
        <v>1</v>
      </c>
    </row>
    <row r="5646" spans="1:13" x14ac:dyDescent="0.3">
      <c r="A5646">
        <v>5644</v>
      </c>
      <c r="B5646">
        <v>5645</v>
      </c>
      <c r="C5646" t="s">
        <v>5724</v>
      </c>
      <c r="D5646">
        <v>2006</v>
      </c>
      <c r="E5646" t="s">
        <v>14</v>
      </c>
      <c r="F5646" t="s">
        <v>1384</v>
      </c>
      <c r="G5646">
        <v>0</v>
      </c>
      <c r="H5646">
        <v>0</v>
      </c>
      <c r="I5646">
        <v>1</v>
      </c>
      <c r="J5646">
        <v>0</v>
      </c>
      <c r="K5646">
        <v>0</v>
      </c>
      <c r="L5646">
        <f t="shared" si="176"/>
        <v>5.8</v>
      </c>
      <c r="M5646">
        <f t="shared" si="177"/>
        <v>1</v>
      </c>
    </row>
    <row r="5647" spans="1:13" x14ac:dyDescent="0.3">
      <c r="A5647">
        <v>5645</v>
      </c>
      <c r="B5647">
        <v>5646</v>
      </c>
      <c r="C5647" t="s">
        <v>5725</v>
      </c>
      <c r="D5647">
        <v>1979</v>
      </c>
      <c r="E5647" t="s">
        <v>11</v>
      </c>
      <c r="F5647" t="s">
        <v>1384</v>
      </c>
      <c r="G5647">
        <v>0</v>
      </c>
      <c r="H5647">
        <v>0</v>
      </c>
      <c r="I5647">
        <v>1</v>
      </c>
      <c r="J5647">
        <v>0</v>
      </c>
      <c r="K5647">
        <v>0</v>
      </c>
      <c r="L5647">
        <f t="shared" si="176"/>
        <v>5.8</v>
      </c>
      <c r="M5647">
        <f t="shared" si="177"/>
        <v>1</v>
      </c>
    </row>
    <row r="5648" spans="1:13" x14ac:dyDescent="0.3">
      <c r="A5648">
        <v>5646</v>
      </c>
      <c r="B5648">
        <v>5647</v>
      </c>
      <c r="C5648" t="s">
        <v>5726</v>
      </c>
      <c r="D5648">
        <v>1953</v>
      </c>
      <c r="F5648" t="s">
        <v>1384</v>
      </c>
      <c r="G5648">
        <v>0</v>
      </c>
      <c r="H5648">
        <v>0</v>
      </c>
      <c r="I5648">
        <v>1</v>
      </c>
      <c r="J5648">
        <v>0</v>
      </c>
      <c r="K5648">
        <v>0</v>
      </c>
      <c r="L5648">
        <f t="shared" si="176"/>
        <v>5.8</v>
      </c>
      <c r="M5648">
        <f t="shared" si="177"/>
        <v>1</v>
      </c>
    </row>
    <row r="5649" spans="1:13" x14ac:dyDescent="0.3">
      <c r="A5649">
        <v>5647</v>
      </c>
      <c r="B5649">
        <v>5648</v>
      </c>
      <c r="C5649" t="s">
        <v>5727</v>
      </c>
      <c r="D5649">
        <v>2016</v>
      </c>
      <c r="E5649" t="s">
        <v>11</v>
      </c>
      <c r="F5649" t="s">
        <v>1384</v>
      </c>
      <c r="G5649">
        <v>0</v>
      </c>
      <c r="H5649">
        <v>0</v>
      </c>
      <c r="I5649">
        <v>1</v>
      </c>
      <c r="J5649">
        <v>0</v>
      </c>
      <c r="K5649">
        <v>0</v>
      </c>
      <c r="L5649">
        <f t="shared" si="176"/>
        <v>5.8</v>
      </c>
      <c r="M5649">
        <f t="shared" si="177"/>
        <v>1</v>
      </c>
    </row>
    <row r="5650" spans="1:13" x14ac:dyDescent="0.3">
      <c r="A5650">
        <v>5648</v>
      </c>
      <c r="B5650">
        <v>5649</v>
      </c>
      <c r="C5650" t="s">
        <v>5728</v>
      </c>
      <c r="D5650">
        <v>1997</v>
      </c>
      <c r="E5650" t="s">
        <v>14</v>
      </c>
      <c r="F5650" t="s">
        <v>1384</v>
      </c>
      <c r="G5650">
        <v>0</v>
      </c>
      <c r="H5650">
        <v>0</v>
      </c>
      <c r="I5650">
        <v>1</v>
      </c>
      <c r="J5650">
        <v>0</v>
      </c>
      <c r="K5650">
        <v>0</v>
      </c>
      <c r="L5650">
        <f t="shared" si="176"/>
        <v>5.8</v>
      </c>
      <c r="M5650">
        <f t="shared" si="177"/>
        <v>1</v>
      </c>
    </row>
    <row r="5651" spans="1:13" x14ac:dyDescent="0.3">
      <c r="A5651">
        <v>5649</v>
      </c>
      <c r="B5651">
        <v>5650</v>
      </c>
      <c r="C5651" t="s">
        <v>5729</v>
      </c>
      <c r="D5651">
        <v>2017</v>
      </c>
      <c r="F5651" t="s">
        <v>1384</v>
      </c>
      <c r="G5651">
        <v>0</v>
      </c>
      <c r="H5651">
        <v>0</v>
      </c>
      <c r="I5651">
        <v>1</v>
      </c>
      <c r="J5651">
        <v>0</v>
      </c>
      <c r="K5651">
        <v>0</v>
      </c>
      <c r="L5651">
        <f t="shared" si="176"/>
        <v>5.8</v>
      </c>
      <c r="M5651">
        <f t="shared" si="177"/>
        <v>1</v>
      </c>
    </row>
    <row r="5652" spans="1:13" x14ac:dyDescent="0.3">
      <c r="A5652">
        <v>5650</v>
      </c>
      <c r="B5652">
        <v>5651</v>
      </c>
      <c r="C5652" t="s">
        <v>5730</v>
      </c>
      <c r="D5652">
        <v>2008</v>
      </c>
      <c r="F5652" t="s">
        <v>1384</v>
      </c>
      <c r="G5652">
        <v>0</v>
      </c>
      <c r="H5652">
        <v>0</v>
      </c>
      <c r="I5652">
        <v>1</v>
      </c>
      <c r="J5652">
        <v>0</v>
      </c>
      <c r="K5652">
        <v>0</v>
      </c>
      <c r="L5652">
        <f t="shared" si="176"/>
        <v>5.8</v>
      </c>
      <c r="M5652">
        <f t="shared" si="177"/>
        <v>1</v>
      </c>
    </row>
    <row r="5653" spans="1:13" x14ac:dyDescent="0.3">
      <c r="A5653">
        <v>5651</v>
      </c>
      <c r="B5653">
        <v>5652</v>
      </c>
      <c r="C5653" t="s">
        <v>5731</v>
      </c>
      <c r="D5653">
        <v>1984</v>
      </c>
      <c r="E5653" t="s">
        <v>36</v>
      </c>
      <c r="F5653" t="s">
        <v>1384</v>
      </c>
      <c r="G5653">
        <v>0</v>
      </c>
      <c r="H5653">
        <v>0</v>
      </c>
      <c r="I5653">
        <v>1</v>
      </c>
      <c r="J5653">
        <v>0</v>
      </c>
      <c r="K5653">
        <v>0</v>
      </c>
      <c r="L5653">
        <f t="shared" si="176"/>
        <v>5.8</v>
      </c>
      <c r="M5653">
        <f t="shared" si="177"/>
        <v>1</v>
      </c>
    </row>
    <row r="5654" spans="1:13" x14ac:dyDescent="0.3">
      <c r="A5654">
        <v>5652</v>
      </c>
      <c r="B5654">
        <v>5653</v>
      </c>
      <c r="C5654" t="s">
        <v>5732</v>
      </c>
      <c r="D5654">
        <v>2011</v>
      </c>
      <c r="E5654" t="s">
        <v>11</v>
      </c>
      <c r="F5654" t="s">
        <v>1384</v>
      </c>
      <c r="G5654">
        <v>0</v>
      </c>
      <c r="H5654">
        <v>0</v>
      </c>
      <c r="I5654">
        <v>1</v>
      </c>
      <c r="J5654">
        <v>0</v>
      </c>
      <c r="K5654">
        <v>0</v>
      </c>
      <c r="L5654">
        <f t="shared" si="176"/>
        <v>5.8</v>
      </c>
      <c r="M5654">
        <f t="shared" si="177"/>
        <v>1</v>
      </c>
    </row>
    <row r="5655" spans="1:13" x14ac:dyDescent="0.3">
      <c r="A5655">
        <v>5653</v>
      </c>
      <c r="B5655">
        <v>5654</v>
      </c>
      <c r="C5655" t="s">
        <v>5733</v>
      </c>
      <c r="D5655">
        <v>2014</v>
      </c>
      <c r="E5655" t="s">
        <v>11</v>
      </c>
      <c r="F5655" t="s">
        <v>1384</v>
      </c>
      <c r="G5655">
        <v>0</v>
      </c>
      <c r="H5655">
        <v>0</v>
      </c>
      <c r="I5655">
        <v>1</v>
      </c>
      <c r="J5655">
        <v>0</v>
      </c>
      <c r="K5655">
        <v>0</v>
      </c>
      <c r="L5655">
        <f t="shared" si="176"/>
        <v>5.8</v>
      </c>
      <c r="M5655">
        <f t="shared" si="177"/>
        <v>1</v>
      </c>
    </row>
    <row r="5656" spans="1:13" x14ac:dyDescent="0.3">
      <c r="A5656">
        <v>5654</v>
      </c>
      <c r="B5656">
        <v>5655</v>
      </c>
      <c r="C5656" t="s">
        <v>5734</v>
      </c>
      <c r="D5656">
        <v>1980</v>
      </c>
      <c r="E5656" t="s">
        <v>11</v>
      </c>
      <c r="F5656" t="s">
        <v>1384</v>
      </c>
      <c r="G5656">
        <v>0</v>
      </c>
      <c r="H5656">
        <v>0</v>
      </c>
      <c r="I5656">
        <v>1</v>
      </c>
      <c r="J5656">
        <v>0</v>
      </c>
      <c r="K5656">
        <v>0</v>
      </c>
      <c r="L5656">
        <f t="shared" si="176"/>
        <v>5.8</v>
      </c>
      <c r="M5656">
        <f t="shared" si="177"/>
        <v>1</v>
      </c>
    </row>
    <row r="5657" spans="1:13" x14ac:dyDescent="0.3">
      <c r="A5657">
        <v>5655</v>
      </c>
      <c r="B5657">
        <v>5656</v>
      </c>
      <c r="C5657" t="s">
        <v>5735</v>
      </c>
      <c r="D5657">
        <v>2014</v>
      </c>
      <c r="E5657" t="s">
        <v>22</v>
      </c>
      <c r="F5657" t="s">
        <v>1384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f t="shared" si="176"/>
        <v>5.8</v>
      </c>
      <c r="M5657">
        <f t="shared" si="177"/>
        <v>1</v>
      </c>
    </row>
    <row r="5658" spans="1:13" x14ac:dyDescent="0.3">
      <c r="A5658">
        <v>5656</v>
      </c>
      <c r="B5658">
        <v>5657</v>
      </c>
      <c r="C5658" t="s">
        <v>5736</v>
      </c>
      <c r="D5658">
        <v>1999</v>
      </c>
      <c r="E5658" t="s">
        <v>36</v>
      </c>
      <c r="F5658" t="s">
        <v>1384</v>
      </c>
      <c r="G5658">
        <v>0</v>
      </c>
      <c r="H5658">
        <v>0</v>
      </c>
      <c r="I5658">
        <v>1</v>
      </c>
      <c r="J5658">
        <v>0</v>
      </c>
      <c r="K5658">
        <v>0</v>
      </c>
      <c r="L5658">
        <f t="shared" si="176"/>
        <v>5.8</v>
      </c>
      <c r="M5658">
        <f t="shared" si="177"/>
        <v>1</v>
      </c>
    </row>
    <row r="5659" spans="1:13" x14ac:dyDescent="0.3">
      <c r="A5659">
        <v>5657</v>
      </c>
      <c r="B5659">
        <v>5658</v>
      </c>
      <c r="C5659" t="s">
        <v>5737</v>
      </c>
      <c r="D5659">
        <v>2017</v>
      </c>
      <c r="E5659" t="s">
        <v>14</v>
      </c>
      <c r="F5659" t="s">
        <v>1471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f t="shared" si="176"/>
        <v>5.7</v>
      </c>
      <c r="M5659">
        <f t="shared" si="177"/>
        <v>1</v>
      </c>
    </row>
    <row r="5660" spans="1:13" x14ac:dyDescent="0.3">
      <c r="A5660">
        <v>5658</v>
      </c>
      <c r="B5660">
        <v>5659</v>
      </c>
      <c r="C5660" t="s">
        <v>5738</v>
      </c>
      <c r="D5660">
        <v>2019</v>
      </c>
      <c r="E5660" t="s">
        <v>11</v>
      </c>
      <c r="F5660" t="s">
        <v>1471</v>
      </c>
      <c r="G5660">
        <v>0</v>
      </c>
      <c r="H5660">
        <v>0</v>
      </c>
      <c r="I5660">
        <v>1</v>
      </c>
      <c r="J5660">
        <v>0</v>
      </c>
      <c r="K5660">
        <v>0</v>
      </c>
      <c r="L5660">
        <f t="shared" si="176"/>
        <v>5.7</v>
      </c>
      <c r="M5660">
        <f t="shared" si="177"/>
        <v>1</v>
      </c>
    </row>
    <row r="5661" spans="1:13" x14ac:dyDescent="0.3">
      <c r="A5661">
        <v>5659</v>
      </c>
      <c r="B5661">
        <v>5660</v>
      </c>
      <c r="C5661" t="s">
        <v>5739</v>
      </c>
      <c r="D5661">
        <v>2019</v>
      </c>
      <c r="F5661" t="s">
        <v>1471</v>
      </c>
      <c r="G5661">
        <v>0</v>
      </c>
      <c r="H5661">
        <v>0</v>
      </c>
      <c r="I5661">
        <v>1</v>
      </c>
      <c r="J5661">
        <v>0</v>
      </c>
      <c r="K5661">
        <v>0</v>
      </c>
      <c r="L5661">
        <f t="shared" si="176"/>
        <v>5.7</v>
      </c>
      <c r="M5661">
        <f t="shared" si="177"/>
        <v>1</v>
      </c>
    </row>
    <row r="5662" spans="1:13" x14ac:dyDescent="0.3">
      <c r="A5662">
        <v>5660</v>
      </c>
      <c r="B5662">
        <v>5661</v>
      </c>
      <c r="C5662" t="s">
        <v>5740</v>
      </c>
      <c r="D5662">
        <v>2011</v>
      </c>
      <c r="E5662" t="s">
        <v>14</v>
      </c>
      <c r="F5662" t="s">
        <v>1471</v>
      </c>
      <c r="G5662">
        <v>0</v>
      </c>
      <c r="H5662">
        <v>0</v>
      </c>
      <c r="I5662">
        <v>1</v>
      </c>
      <c r="J5662">
        <v>0</v>
      </c>
      <c r="K5662">
        <v>0</v>
      </c>
      <c r="L5662">
        <f t="shared" si="176"/>
        <v>5.7</v>
      </c>
      <c r="M5662">
        <f t="shared" si="177"/>
        <v>1</v>
      </c>
    </row>
    <row r="5663" spans="1:13" x14ac:dyDescent="0.3">
      <c r="A5663">
        <v>5661</v>
      </c>
      <c r="B5663">
        <v>5662</v>
      </c>
      <c r="C5663" t="s">
        <v>5741</v>
      </c>
      <c r="D5663">
        <v>2014</v>
      </c>
      <c r="E5663" t="s">
        <v>36</v>
      </c>
      <c r="F5663" t="s">
        <v>1471</v>
      </c>
      <c r="G5663">
        <v>0</v>
      </c>
      <c r="H5663">
        <v>0</v>
      </c>
      <c r="I5663">
        <v>1</v>
      </c>
      <c r="J5663">
        <v>0</v>
      </c>
      <c r="K5663">
        <v>0</v>
      </c>
      <c r="L5663">
        <f t="shared" si="176"/>
        <v>5.7</v>
      </c>
      <c r="M5663">
        <f t="shared" si="177"/>
        <v>1</v>
      </c>
    </row>
    <row r="5664" spans="1:13" x14ac:dyDescent="0.3">
      <c r="A5664">
        <v>5662</v>
      </c>
      <c r="B5664">
        <v>5663</v>
      </c>
      <c r="C5664" t="s">
        <v>5742</v>
      </c>
      <c r="D5664">
        <v>2001</v>
      </c>
      <c r="E5664" t="s">
        <v>11</v>
      </c>
      <c r="F5664" t="s">
        <v>1471</v>
      </c>
      <c r="G5664">
        <v>0</v>
      </c>
      <c r="H5664">
        <v>0</v>
      </c>
      <c r="I5664">
        <v>1</v>
      </c>
      <c r="J5664">
        <v>0</v>
      </c>
      <c r="K5664">
        <v>0</v>
      </c>
      <c r="L5664">
        <f t="shared" si="176"/>
        <v>5.7</v>
      </c>
      <c r="M5664">
        <f t="shared" si="177"/>
        <v>1</v>
      </c>
    </row>
    <row r="5665" spans="1:13" x14ac:dyDescent="0.3">
      <c r="A5665">
        <v>5663</v>
      </c>
      <c r="B5665">
        <v>5664</v>
      </c>
      <c r="C5665" t="s">
        <v>5743</v>
      </c>
      <c r="D5665">
        <v>1980</v>
      </c>
      <c r="E5665" t="s">
        <v>14</v>
      </c>
      <c r="F5665" t="s">
        <v>1471</v>
      </c>
      <c r="G5665">
        <v>0</v>
      </c>
      <c r="H5665">
        <v>0</v>
      </c>
      <c r="I5665">
        <v>1</v>
      </c>
      <c r="J5665">
        <v>0</v>
      </c>
      <c r="K5665">
        <v>0</v>
      </c>
      <c r="L5665">
        <f t="shared" si="176"/>
        <v>5.7</v>
      </c>
      <c r="M5665">
        <f t="shared" si="177"/>
        <v>1</v>
      </c>
    </row>
    <row r="5666" spans="1:13" x14ac:dyDescent="0.3">
      <c r="A5666">
        <v>5664</v>
      </c>
      <c r="B5666">
        <v>5665</v>
      </c>
      <c r="C5666" t="s">
        <v>5744</v>
      </c>
      <c r="D5666">
        <v>2014</v>
      </c>
      <c r="E5666" t="s">
        <v>22</v>
      </c>
      <c r="F5666" t="s">
        <v>1471</v>
      </c>
      <c r="G5666">
        <v>0</v>
      </c>
      <c r="H5666">
        <v>0</v>
      </c>
      <c r="I5666">
        <v>1</v>
      </c>
      <c r="J5666">
        <v>0</v>
      </c>
      <c r="K5666">
        <v>0</v>
      </c>
      <c r="L5666">
        <f t="shared" si="176"/>
        <v>5.7</v>
      </c>
      <c r="M5666">
        <f t="shared" si="177"/>
        <v>1</v>
      </c>
    </row>
    <row r="5667" spans="1:13" x14ac:dyDescent="0.3">
      <c r="A5667">
        <v>5665</v>
      </c>
      <c r="B5667">
        <v>5666</v>
      </c>
      <c r="C5667" t="s">
        <v>5745</v>
      </c>
      <c r="D5667">
        <v>2016</v>
      </c>
      <c r="F5667" t="s">
        <v>1471</v>
      </c>
      <c r="G5667">
        <v>0</v>
      </c>
      <c r="H5667">
        <v>0</v>
      </c>
      <c r="I5667">
        <v>1</v>
      </c>
      <c r="J5667">
        <v>0</v>
      </c>
      <c r="K5667">
        <v>0</v>
      </c>
      <c r="L5667">
        <f t="shared" si="176"/>
        <v>5.7</v>
      </c>
      <c r="M5667">
        <f t="shared" si="177"/>
        <v>1</v>
      </c>
    </row>
    <row r="5668" spans="1:13" x14ac:dyDescent="0.3">
      <c r="A5668">
        <v>5666</v>
      </c>
      <c r="B5668">
        <v>5667</v>
      </c>
      <c r="C5668" t="s">
        <v>5746</v>
      </c>
      <c r="D5668">
        <v>2010</v>
      </c>
      <c r="F5668" t="s">
        <v>1471</v>
      </c>
      <c r="G5668">
        <v>0</v>
      </c>
      <c r="H5668">
        <v>0</v>
      </c>
      <c r="I5668">
        <v>1</v>
      </c>
      <c r="J5668">
        <v>0</v>
      </c>
      <c r="K5668">
        <v>0</v>
      </c>
      <c r="L5668">
        <f t="shared" si="176"/>
        <v>5.7</v>
      </c>
      <c r="M5668">
        <f t="shared" si="177"/>
        <v>1</v>
      </c>
    </row>
    <row r="5669" spans="1:13" x14ac:dyDescent="0.3">
      <c r="A5669">
        <v>5667</v>
      </c>
      <c r="B5669">
        <v>5668</v>
      </c>
      <c r="C5669" t="s">
        <v>5747</v>
      </c>
      <c r="D5669">
        <v>1986</v>
      </c>
      <c r="E5669" t="s">
        <v>22</v>
      </c>
      <c r="F5669" t="s">
        <v>1471</v>
      </c>
      <c r="G5669">
        <v>0</v>
      </c>
      <c r="H5669">
        <v>0</v>
      </c>
      <c r="I5669">
        <v>1</v>
      </c>
      <c r="J5669">
        <v>0</v>
      </c>
      <c r="K5669">
        <v>0</v>
      </c>
      <c r="L5669">
        <f t="shared" si="176"/>
        <v>5.7</v>
      </c>
      <c r="M5669">
        <f t="shared" si="177"/>
        <v>1</v>
      </c>
    </row>
    <row r="5670" spans="1:13" x14ac:dyDescent="0.3">
      <c r="A5670">
        <v>5668</v>
      </c>
      <c r="B5670">
        <v>5669</v>
      </c>
      <c r="C5670" t="s">
        <v>5748</v>
      </c>
      <c r="D5670">
        <v>2012</v>
      </c>
      <c r="E5670" t="s">
        <v>11</v>
      </c>
      <c r="F5670" t="s">
        <v>1471</v>
      </c>
      <c r="G5670">
        <v>0</v>
      </c>
      <c r="H5670">
        <v>0</v>
      </c>
      <c r="I5670">
        <v>1</v>
      </c>
      <c r="J5670">
        <v>0</v>
      </c>
      <c r="K5670">
        <v>0</v>
      </c>
      <c r="L5670">
        <f t="shared" si="176"/>
        <v>5.7</v>
      </c>
      <c r="M5670">
        <f t="shared" si="177"/>
        <v>1</v>
      </c>
    </row>
    <row r="5671" spans="1:13" x14ac:dyDescent="0.3">
      <c r="A5671">
        <v>5669</v>
      </c>
      <c r="B5671">
        <v>5670</v>
      </c>
      <c r="C5671" t="s">
        <v>5749</v>
      </c>
      <c r="D5671">
        <v>2018</v>
      </c>
      <c r="E5671" t="s">
        <v>11</v>
      </c>
      <c r="F5671" t="s">
        <v>1471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f t="shared" si="176"/>
        <v>5.7</v>
      </c>
      <c r="M5671">
        <f t="shared" si="177"/>
        <v>1</v>
      </c>
    </row>
    <row r="5672" spans="1:13" x14ac:dyDescent="0.3">
      <c r="A5672">
        <v>5670</v>
      </c>
      <c r="B5672">
        <v>5671</v>
      </c>
      <c r="C5672" t="s">
        <v>5750</v>
      </c>
      <c r="D5672">
        <v>1992</v>
      </c>
      <c r="E5672" t="s">
        <v>14</v>
      </c>
      <c r="F5672" t="s">
        <v>1471</v>
      </c>
      <c r="G5672">
        <v>0</v>
      </c>
      <c r="H5672">
        <v>0</v>
      </c>
      <c r="I5672">
        <v>1</v>
      </c>
      <c r="J5672">
        <v>0</v>
      </c>
      <c r="K5672">
        <v>0</v>
      </c>
      <c r="L5672">
        <f t="shared" si="176"/>
        <v>5.7</v>
      </c>
      <c r="M5672">
        <f t="shared" si="177"/>
        <v>1</v>
      </c>
    </row>
    <row r="5673" spans="1:13" x14ac:dyDescent="0.3">
      <c r="A5673">
        <v>5671</v>
      </c>
      <c r="B5673">
        <v>5672</v>
      </c>
      <c r="C5673" t="s">
        <v>5751</v>
      </c>
      <c r="D5673">
        <v>1995</v>
      </c>
      <c r="F5673" t="s">
        <v>1471</v>
      </c>
      <c r="G5673">
        <v>0</v>
      </c>
      <c r="H5673">
        <v>0</v>
      </c>
      <c r="I5673">
        <v>1</v>
      </c>
      <c r="J5673">
        <v>0</v>
      </c>
      <c r="K5673">
        <v>0</v>
      </c>
      <c r="L5673">
        <f t="shared" si="176"/>
        <v>5.7</v>
      </c>
      <c r="M5673">
        <f t="shared" si="177"/>
        <v>1</v>
      </c>
    </row>
    <row r="5674" spans="1:13" x14ac:dyDescent="0.3">
      <c r="A5674">
        <v>5672</v>
      </c>
      <c r="B5674">
        <v>5673</v>
      </c>
      <c r="C5674" t="s">
        <v>5752</v>
      </c>
      <c r="D5674">
        <v>2017</v>
      </c>
      <c r="F5674" t="s">
        <v>1471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f t="shared" si="176"/>
        <v>5.7</v>
      </c>
      <c r="M5674">
        <f t="shared" si="177"/>
        <v>1</v>
      </c>
    </row>
    <row r="5675" spans="1:13" x14ac:dyDescent="0.3">
      <c r="A5675">
        <v>5673</v>
      </c>
      <c r="B5675">
        <v>5674</v>
      </c>
      <c r="C5675" t="s">
        <v>5753</v>
      </c>
      <c r="D5675">
        <v>1972</v>
      </c>
      <c r="E5675" t="s">
        <v>11</v>
      </c>
      <c r="F5675" t="s">
        <v>1471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f t="shared" si="176"/>
        <v>5.7</v>
      </c>
      <c r="M5675">
        <f t="shared" si="177"/>
        <v>1</v>
      </c>
    </row>
    <row r="5676" spans="1:13" x14ac:dyDescent="0.3">
      <c r="A5676">
        <v>5674</v>
      </c>
      <c r="B5676">
        <v>5675</v>
      </c>
      <c r="C5676" t="s">
        <v>5754</v>
      </c>
      <c r="D5676">
        <v>2013</v>
      </c>
      <c r="F5676" t="s">
        <v>1471</v>
      </c>
      <c r="G5676">
        <v>0</v>
      </c>
      <c r="H5676">
        <v>0</v>
      </c>
      <c r="I5676">
        <v>1</v>
      </c>
      <c r="J5676">
        <v>0</v>
      </c>
      <c r="K5676">
        <v>0</v>
      </c>
      <c r="L5676">
        <f t="shared" si="176"/>
        <v>5.7</v>
      </c>
      <c r="M5676">
        <f t="shared" si="177"/>
        <v>1</v>
      </c>
    </row>
    <row r="5677" spans="1:13" x14ac:dyDescent="0.3">
      <c r="A5677">
        <v>5675</v>
      </c>
      <c r="B5677">
        <v>5676</v>
      </c>
      <c r="C5677" t="s">
        <v>5755</v>
      </c>
      <c r="D5677">
        <v>1973</v>
      </c>
      <c r="E5677" t="s">
        <v>14</v>
      </c>
      <c r="F5677" t="s">
        <v>1471</v>
      </c>
      <c r="G5677">
        <v>0</v>
      </c>
      <c r="H5677">
        <v>0</v>
      </c>
      <c r="I5677">
        <v>1</v>
      </c>
      <c r="J5677">
        <v>0</v>
      </c>
      <c r="K5677">
        <v>0</v>
      </c>
      <c r="L5677">
        <f t="shared" si="176"/>
        <v>5.7</v>
      </c>
      <c r="M5677">
        <f t="shared" si="177"/>
        <v>1</v>
      </c>
    </row>
    <row r="5678" spans="1:13" x14ac:dyDescent="0.3">
      <c r="A5678">
        <v>5676</v>
      </c>
      <c r="B5678">
        <v>5677</v>
      </c>
      <c r="C5678" t="s">
        <v>5756</v>
      </c>
      <c r="D5678">
        <v>1939</v>
      </c>
      <c r="E5678" t="s">
        <v>36</v>
      </c>
      <c r="F5678" t="s">
        <v>1471</v>
      </c>
      <c r="G5678">
        <v>0</v>
      </c>
      <c r="H5678">
        <v>0</v>
      </c>
      <c r="I5678">
        <v>1</v>
      </c>
      <c r="J5678">
        <v>1</v>
      </c>
      <c r="K5678">
        <v>0</v>
      </c>
      <c r="L5678">
        <f t="shared" si="176"/>
        <v>5.7</v>
      </c>
      <c r="M5678">
        <f t="shared" si="177"/>
        <v>2</v>
      </c>
    </row>
    <row r="5679" spans="1:13" x14ac:dyDescent="0.3">
      <c r="A5679">
        <v>5677</v>
      </c>
      <c r="B5679">
        <v>5678</v>
      </c>
      <c r="C5679" t="s">
        <v>5757</v>
      </c>
      <c r="D5679">
        <v>1945</v>
      </c>
      <c r="F5679" t="s">
        <v>1471</v>
      </c>
      <c r="G5679">
        <v>0</v>
      </c>
      <c r="H5679">
        <v>0</v>
      </c>
      <c r="I5679">
        <v>1</v>
      </c>
      <c r="J5679">
        <v>0</v>
      </c>
      <c r="K5679">
        <v>0</v>
      </c>
      <c r="L5679">
        <f t="shared" si="176"/>
        <v>5.7</v>
      </c>
      <c r="M5679">
        <f t="shared" si="177"/>
        <v>1</v>
      </c>
    </row>
    <row r="5680" spans="1:13" x14ac:dyDescent="0.3">
      <c r="A5680">
        <v>5678</v>
      </c>
      <c r="B5680">
        <v>5679</v>
      </c>
      <c r="C5680" t="s">
        <v>5758</v>
      </c>
      <c r="D5680">
        <v>2015</v>
      </c>
      <c r="E5680" t="s">
        <v>11</v>
      </c>
      <c r="F5680" t="s">
        <v>1471</v>
      </c>
      <c r="G5680">
        <v>0</v>
      </c>
      <c r="H5680">
        <v>0</v>
      </c>
      <c r="I5680">
        <v>1</v>
      </c>
      <c r="J5680">
        <v>0</v>
      </c>
      <c r="K5680">
        <v>0</v>
      </c>
      <c r="L5680">
        <f t="shared" si="176"/>
        <v>5.7</v>
      </c>
      <c r="M5680">
        <f t="shared" si="177"/>
        <v>1</v>
      </c>
    </row>
    <row r="5681" spans="1:13" x14ac:dyDescent="0.3">
      <c r="A5681">
        <v>5679</v>
      </c>
      <c r="B5681">
        <v>5680</v>
      </c>
      <c r="C5681" t="s">
        <v>5759</v>
      </c>
      <c r="D5681">
        <v>2016</v>
      </c>
      <c r="E5681" t="s">
        <v>11</v>
      </c>
      <c r="F5681" t="s">
        <v>1471</v>
      </c>
      <c r="G5681">
        <v>0</v>
      </c>
      <c r="H5681">
        <v>0</v>
      </c>
      <c r="I5681">
        <v>1</v>
      </c>
      <c r="J5681">
        <v>0</v>
      </c>
      <c r="K5681">
        <v>0</v>
      </c>
      <c r="L5681">
        <f t="shared" si="176"/>
        <v>5.7</v>
      </c>
      <c r="M5681">
        <f t="shared" si="177"/>
        <v>1</v>
      </c>
    </row>
    <row r="5682" spans="1:13" x14ac:dyDescent="0.3">
      <c r="A5682">
        <v>5680</v>
      </c>
      <c r="B5682">
        <v>5681</v>
      </c>
      <c r="C5682" t="s">
        <v>5760</v>
      </c>
      <c r="D5682">
        <v>2021</v>
      </c>
      <c r="E5682" t="s">
        <v>11</v>
      </c>
      <c r="F5682" t="s">
        <v>1471</v>
      </c>
      <c r="G5682">
        <v>0</v>
      </c>
      <c r="H5682">
        <v>0</v>
      </c>
      <c r="I5682">
        <v>1</v>
      </c>
      <c r="J5682">
        <v>0</v>
      </c>
      <c r="K5682">
        <v>0</v>
      </c>
      <c r="L5682">
        <f t="shared" si="176"/>
        <v>5.7</v>
      </c>
      <c r="M5682">
        <f t="shared" si="177"/>
        <v>1</v>
      </c>
    </row>
    <row r="5683" spans="1:13" x14ac:dyDescent="0.3">
      <c r="A5683">
        <v>5681</v>
      </c>
      <c r="B5683">
        <v>5682</v>
      </c>
      <c r="C5683" t="s">
        <v>5761</v>
      </c>
      <c r="D5683">
        <v>2019</v>
      </c>
      <c r="E5683" t="s">
        <v>22</v>
      </c>
      <c r="F5683" t="s">
        <v>1471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f t="shared" si="176"/>
        <v>5.7</v>
      </c>
      <c r="M5683">
        <f t="shared" si="177"/>
        <v>1</v>
      </c>
    </row>
    <row r="5684" spans="1:13" x14ac:dyDescent="0.3">
      <c r="A5684">
        <v>5682</v>
      </c>
      <c r="B5684">
        <v>5683</v>
      </c>
      <c r="C5684" t="s">
        <v>5762</v>
      </c>
      <c r="D5684">
        <v>2013</v>
      </c>
      <c r="E5684" t="s">
        <v>28</v>
      </c>
      <c r="F5684" t="s">
        <v>1471</v>
      </c>
      <c r="G5684">
        <v>0</v>
      </c>
      <c r="H5684">
        <v>0</v>
      </c>
      <c r="I5684">
        <v>1</v>
      </c>
      <c r="J5684">
        <v>0</v>
      </c>
      <c r="K5684">
        <v>0</v>
      </c>
      <c r="L5684">
        <f t="shared" si="176"/>
        <v>5.7</v>
      </c>
      <c r="M5684">
        <f t="shared" si="177"/>
        <v>1</v>
      </c>
    </row>
    <row r="5685" spans="1:13" x14ac:dyDescent="0.3">
      <c r="A5685">
        <v>5683</v>
      </c>
      <c r="B5685">
        <v>5684</v>
      </c>
      <c r="C5685" t="s">
        <v>5763</v>
      </c>
      <c r="D5685">
        <v>1946</v>
      </c>
      <c r="F5685" t="s">
        <v>1471</v>
      </c>
      <c r="G5685">
        <v>0</v>
      </c>
      <c r="H5685">
        <v>0</v>
      </c>
      <c r="I5685">
        <v>1</v>
      </c>
      <c r="J5685">
        <v>0</v>
      </c>
      <c r="K5685">
        <v>0</v>
      </c>
      <c r="L5685">
        <f t="shared" si="176"/>
        <v>5.7</v>
      </c>
      <c r="M5685">
        <f t="shared" si="177"/>
        <v>1</v>
      </c>
    </row>
    <row r="5686" spans="1:13" x14ac:dyDescent="0.3">
      <c r="A5686">
        <v>5684</v>
      </c>
      <c r="B5686">
        <v>5685</v>
      </c>
      <c r="C5686" t="s">
        <v>5764</v>
      </c>
      <c r="D5686">
        <v>2017</v>
      </c>
      <c r="E5686" t="s">
        <v>11</v>
      </c>
      <c r="F5686" t="s">
        <v>1471</v>
      </c>
      <c r="G5686">
        <v>0</v>
      </c>
      <c r="H5686">
        <v>0</v>
      </c>
      <c r="I5686">
        <v>1</v>
      </c>
      <c r="J5686">
        <v>0</v>
      </c>
      <c r="K5686">
        <v>0</v>
      </c>
      <c r="L5686">
        <f t="shared" si="176"/>
        <v>5.7</v>
      </c>
      <c r="M5686">
        <f t="shared" si="177"/>
        <v>1</v>
      </c>
    </row>
    <row r="5687" spans="1:13" x14ac:dyDescent="0.3">
      <c r="A5687">
        <v>5685</v>
      </c>
      <c r="B5687">
        <v>5686</v>
      </c>
      <c r="C5687" t="s">
        <v>5765</v>
      </c>
      <c r="D5687">
        <v>1996</v>
      </c>
      <c r="F5687" t="s">
        <v>1471</v>
      </c>
      <c r="G5687">
        <v>0</v>
      </c>
      <c r="H5687">
        <v>0</v>
      </c>
      <c r="I5687">
        <v>1</v>
      </c>
      <c r="J5687">
        <v>0</v>
      </c>
      <c r="K5687">
        <v>0</v>
      </c>
      <c r="L5687">
        <f t="shared" si="176"/>
        <v>5.7</v>
      </c>
      <c r="M5687">
        <f t="shared" si="177"/>
        <v>1</v>
      </c>
    </row>
    <row r="5688" spans="1:13" x14ac:dyDescent="0.3">
      <c r="A5688">
        <v>5686</v>
      </c>
      <c r="B5688">
        <v>5687</v>
      </c>
      <c r="C5688" t="s">
        <v>5766</v>
      </c>
      <c r="D5688">
        <v>1953</v>
      </c>
      <c r="F5688" t="s">
        <v>1471</v>
      </c>
      <c r="G5688">
        <v>0</v>
      </c>
      <c r="H5688">
        <v>0</v>
      </c>
      <c r="I5688">
        <v>1</v>
      </c>
      <c r="J5688">
        <v>0</v>
      </c>
      <c r="K5688">
        <v>0</v>
      </c>
      <c r="L5688">
        <f t="shared" si="176"/>
        <v>5.7</v>
      </c>
      <c r="M5688">
        <f t="shared" si="177"/>
        <v>1</v>
      </c>
    </row>
    <row r="5689" spans="1:13" x14ac:dyDescent="0.3">
      <c r="A5689">
        <v>5687</v>
      </c>
      <c r="B5689">
        <v>5688</v>
      </c>
      <c r="C5689" t="s">
        <v>5767</v>
      </c>
      <c r="D5689">
        <v>2017</v>
      </c>
      <c r="F5689" t="s">
        <v>1471</v>
      </c>
      <c r="G5689">
        <v>0</v>
      </c>
      <c r="H5689">
        <v>0</v>
      </c>
      <c r="I5689">
        <v>1</v>
      </c>
      <c r="J5689">
        <v>0</v>
      </c>
      <c r="K5689">
        <v>0</v>
      </c>
      <c r="L5689">
        <f t="shared" si="176"/>
        <v>5.7</v>
      </c>
      <c r="M5689">
        <f t="shared" si="177"/>
        <v>1</v>
      </c>
    </row>
    <row r="5690" spans="1:13" x14ac:dyDescent="0.3">
      <c r="A5690">
        <v>5688</v>
      </c>
      <c r="B5690">
        <v>5689</v>
      </c>
      <c r="C5690" t="s">
        <v>5768</v>
      </c>
      <c r="D5690">
        <v>2014</v>
      </c>
      <c r="E5690" t="s">
        <v>11</v>
      </c>
      <c r="F5690" t="s">
        <v>1471</v>
      </c>
      <c r="G5690">
        <v>0</v>
      </c>
      <c r="H5690">
        <v>0</v>
      </c>
      <c r="I5690">
        <v>1</v>
      </c>
      <c r="J5690">
        <v>0</v>
      </c>
      <c r="K5690">
        <v>0</v>
      </c>
      <c r="L5690">
        <f t="shared" si="176"/>
        <v>5.7</v>
      </c>
      <c r="M5690">
        <f t="shared" si="177"/>
        <v>1</v>
      </c>
    </row>
    <row r="5691" spans="1:13" x14ac:dyDescent="0.3">
      <c r="A5691">
        <v>5689</v>
      </c>
      <c r="B5691">
        <v>5690</v>
      </c>
      <c r="C5691" t="s">
        <v>5769</v>
      </c>
      <c r="D5691">
        <v>2013</v>
      </c>
      <c r="E5691" t="s">
        <v>11</v>
      </c>
      <c r="F5691" t="s">
        <v>1471</v>
      </c>
      <c r="G5691">
        <v>0</v>
      </c>
      <c r="H5691">
        <v>0</v>
      </c>
      <c r="I5691">
        <v>1</v>
      </c>
      <c r="J5691">
        <v>0</v>
      </c>
      <c r="K5691">
        <v>0</v>
      </c>
      <c r="L5691">
        <f t="shared" si="176"/>
        <v>5.7</v>
      </c>
      <c r="M5691">
        <f t="shared" si="177"/>
        <v>1</v>
      </c>
    </row>
    <row r="5692" spans="1:13" x14ac:dyDescent="0.3">
      <c r="A5692">
        <v>5690</v>
      </c>
      <c r="B5692">
        <v>5691</v>
      </c>
      <c r="C5692" t="s">
        <v>5770</v>
      </c>
      <c r="D5692">
        <v>2013</v>
      </c>
      <c r="E5692" t="s">
        <v>14</v>
      </c>
      <c r="F5692" t="s">
        <v>1471</v>
      </c>
      <c r="G5692">
        <v>0</v>
      </c>
      <c r="H5692">
        <v>0</v>
      </c>
      <c r="I5692">
        <v>1</v>
      </c>
      <c r="J5692">
        <v>0</v>
      </c>
      <c r="K5692">
        <v>0</v>
      </c>
      <c r="L5692">
        <f t="shared" si="176"/>
        <v>5.7</v>
      </c>
      <c r="M5692">
        <f t="shared" si="177"/>
        <v>1</v>
      </c>
    </row>
    <row r="5693" spans="1:13" x14ac:dyDescent="0.3">
      <c r="A5693">
        <v>5691</v>
      </c>
      <c r="B5693">
        <v>5692</v>
      </c>
      <c r="C5693" t="s">
        <v>5771</v>
      </c>
      <c r="D5693">
        <v>2015</v>
      </c>
      <c r="E5693" t="s">
        <v>22</v>
      </c>
      <c r="F5693" t="s">
        <v>1471</v>
      </c>
      <c r="G5693">
        <v>0</v>
      </c>
      <c r="H5693">
        <v>0</v>
      </c>
      <c r="I5693">
        <v>1</v>
      </c>
      <c r="J5693">
        <v>0</v>
      </c>
      <c r="K5693">
        <v>0</v>
      </c>
      <c r="L5693">
        <f t="shared" si="176"/>
        <v>5.7</v>
      </c>
      <c r="M5693">
        <f t="shared" si="177"/>
        <v>1</v>
      </c>
    </row>
    <row r="5694" spans="1:13" x14ac:dyDescent="0.3">
      <c r="A5694">
        <v>5692</v>
      </c>
      <c r="B5694">
        <v>5693</v>
      </c>
      <c r="C5694" t="s">
        <v>5772</v>
      </c>
      <c r="D5694">
        <v>2016</v>
      </c>
      <c r="E5694" t="s">
        <v>11</v>
      </c>
      <c r="F5694" t="s">
        <v>1471</v>
      </c>
      <c r="G5694">
        <v>0</v>
      </c>
      <c r="H5694">
        <v>0</v>
      </c>
      <c r="I5694">
        <v>1</v>
      </c>
      <c r="J5694">
        <v>0</v>
      </c>
      <c r="K5694">
        <v>0</v>
      </c>
      <c r="L5694">
        <f t="shared" si="176"/>
        <v>5.7</v>
      </c>
      <c r="M5694">
        <f t="shared" si="177"/>
        <v>1</v>
      </c>
    </row>
    <row r="5695" spans="1:13" x14ac:dyDescent="0.3">
      <c r="A5695">
        <v>5693</v>
      </c>
      <c r="B5695">
        <v>5694</v>
      </c>
      <c r="C5695" t="s">
        <v>5773</v>
      </c>
      <c r="D5695">
        <v>1954</v>
      </c>
      <c r="E5695" t="s">
        <v>14</v>
      </c>
      <c r="F5695" t="s">
        <v>1471</v>
      </c>
      <c r="G5695">
        <v>0</v>
      </c>
      <c r="H5695">
        <v>0</v>
      </c>
      <c r="I5695">
        <v>1</v>
      </c>
      <c r="J5695">
        <v>0</v>
      </c>
      <c r="K5695">
        <v>0</v>
      </c>
      <c r="L5695">
        <f t="shared" si="176"/>
        <v>5.7</v>
      </c>
      <c r="M5695">
        <f t="shared" si="177"/>
        <v>1</v>
      </c>
    </row>
    <row r="5696" spans="1:13" x14ac:dyDescent="0.3">
      <c r="A5696">
        <v>5694</v>
      </c>
      <c r="B5696">
        <v>5695</v>
      </c>
      <c r="C5696" t="s">
        <v>5774</v>
      </c>
      <c r="D5696">
        <v>2011</v>
      </c>
      <c r="F5696" t="s">
        <v>1471</v>
      </c>
      <c r="G5696">
        <v>0</v>
      </c>
      <c r="H5696">
        <v>0</v>
      </c>
      <c r="I5696">
        <v>1</v>
      </c>
      <c r="J5696">
        <v>0</v>
      </c>
      <c r="K5696">
        <v>0</v>
      </c>
      <c r="L5696">
        <f t="shared" si="176"/>
        <v>5.7</v>
      </c>
      <c r="M5696">
        <f t="shared" si="177"/>
        <v>1</v>
      </c>
    </row>
    <row r="5697" spans="1:13" x14ac:dyDescent="0.3">
      <c r="A5697">
        <v>5695</v>
      </c>
      <c r="B5697">
        <v>5696</v>
      </c>
      <c r="C5697" t="s">
        <v>5775</v>
      </c>
      <c r="D5697">
        <v>2012</v>
      </c>
      <c r="E5697" t="s">
        <v>22</v>
      </c>
      <c r="F5697" t="s">
        <v>1471</v>
      </c>
      <c r="G5697">
        <v>0</v>
      </c>
      <c r="H5697">
        <v>0</v>
      </c>
      <c r="I5697">
        <v>1</v>
      </c>
      <c r="J5697">
        <v>0</v>
      </c>
      <c r="K5697">
        <v>0</v>
      </c>
      <c r="L5697">
        <f t="shared" si="176"/>
        <v>5.7</v>
      </c>
      <c r="M5697">
        <f t="shared" si="177"/>
        <v>1</v>
      </c>
    </row>
    <row r="5698" spans="1:13" x14ac:dyDescent="0.3">
      <c r="A5698">
        <v>5696</v>
      </c>
      <c r="B5698">
        <v>5697</v>
      </c>
      <c r="C5698" t="s">
        <v>5776</v>
      </c>
      <c r="D5698">
        <v>2001</v>
      </c>
      <c r="E5698" t="s">
        <v>11</v>
      </c>
      <c r="F5698" t="s">
        <v>1471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f t="shared" si="176"/>
        <v>5.7</v>
      </c>
      <c r="M5698">
        <f t="shared" si="177"/>
        <v>1</v>
      </c>
    </row>
    <row r="5699" spans="1:13" x14ac:dyDescent="0.3">
      <c r="A5699">
        <v>5697</v>
      </c>
      <c r="B5699">
        <v>5698</v>
      </c>
      <c r="C5699" t="s">
        <v>5777</v>
      </c>
      <c r="D5699">
        <v>2018</v>
      </c>
      <c r="F5699" t="s">
        <v>1471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f t="shared" ref="L5699:L5762" si="178">IFERROR(VALUE(LEFT(F5699,FIND("/",F5699)-1))/10,"")</f>
        <v>5.7</v>
      </c>
      <c r="M5699">
        <f t="shared" ref="M5699:M5762" si="179">SUM(G5699:J5699)</f>
        <v>1</v>
      </c>
    </row>
    <row r="5700" spans="1:13" x14ac:dyDescent="0.3">
      <c r="A5700">
        <v>5698</v>
      </c>
      <c r="B5700">
        <v>5699</v>
      </c>
      <c r="C5700" t="s">
        <v>5778</v>
      </c>
      <c r="D5700">
        <v>2018</v>
      </c>
      <c r="F5700" t="s">
        <v>1471</v>
      </c>
      <c r="G5700">
        <v>0</v>
      </c>
      <c r="H5700">
        <v>0</v>
      </c>
      <c r="I5700">
        <v>1</v>
      </c>
      <c r="J5700">
        <v>0</v>
      </c>
      <c r="K5700">
        <v>0</v>
      </c>
      <c r="L5700">
        <f t="shared" si="178"/>
        <v>5.7</v>
      </c>
      <c r="M5700">
        <f t="shared" si="179"/>
        <v>1</v>
      </c>
    </row>
    <row r="5701" spans="1:13" x14ac:dyDescent="0.3">
      <c r="A5701">
        <v>5699</v>
      </c>
      <c r="B5701">
        <v>5700</v>
      </c>
      <c r="C5701" t="s">
        <v>5779</v>
      </c>
      <c r="D5701">
        <v>2010</v>
      </c>
      <c r="E5701" t="s">
        <v>22</v>
      </c>
      <c r="F5701" t="s">
        <v>1471</v>
      </c>
      <c r="G5701">
        <v>0</v>
      </c>
      <c r="H5701">
        <v>0</v>
      </c>
      <c r="I5701">
        <v>1</v>
      </c>
      <c r="J5701">
        <v>0</v>
      </c>
      <c r="K5701">
        <v>0</v>
      </c>
      <c r="L5701">
        <f t="shared" si="178"/>
        <v>5.7</v>
      </c>
      <c r="M5701">
        <f t="shared" si="179"/>
        <v>1</v>
      </c>
    </row>
    <row r="5702" spans="1:13" x14ac:dyDescent="0.3">
      <c r="A5702">
        <v>5700</v>
      </c>
      <c r="B5702">
        <v>5701</v>
      </c>
      <c r="C5702" t="s">
        <v>5780</v>
      </c>
      <c r="D5702">
        <v>2019</v>
      </c>
      <c r="F5702" t="s">
        <v>1471</v>
      </c>
      <c r="G5702">
        <v>0</v>
      </c>
      <c r="H5702">
        <v>0</v>
      </c>
      <c r="I5702">
        <v>1</v>
      </c>
      <c r="J5702">
        <v>0</v>
      </c>
      <c r="K5702">
        <v>0</v>
      </c>
      <c r="L5702">
        <f t="shared" si="178"/>
        <v>5.7</v>
      </c>
      <c r="M5702">
        <f t="shared" si="179"/>
        <v>1</v>
      </c>
    </row>
    <row r="5703" spans="1:13" x14ac:dyDescent="0.3">
      <c r="A5703">
        <v>5701</v>
      </c>
      <c r="B5703">
        <v>5702</v>
      </c>
      <c r="C5703" t="s">
        <v>5781</v>
      </c>
      <c r="D5703">
        <v>2016</v>
      </c>
      <c r="F5703" t="s">
        <v>1471</v>
      </c>
      <c r="G5703">
        <v>0</v>
      </c>
      <c r="H5703">
        <v>0</v>
      </c>
      <c r="I5703">
        <v>1</v>
      </c>
      <c r="J5703">
        <v>0</v>
      </c>
      <c r="K5703">
        <v>0</v>
      </c>
      <c r="L5703">
        <f t="shared" si="178"/>
        <v>5.7</v>
      </c>
      <c r="M5703">
        <f t="shared" si="179"/>
        <v>1</v>
      </c>
    </row>
    <row r="5704" spans="1:13" x14ac:dyDescent="0.3">
      <c r="A5704">
        <v>5702</v>
      </c>
      <c r="B5704">
        <v>5703</v>
      </c>
      <c r="C5704" t="s">
        <v>5782</v>
      </c>
      <c r="D5704">
        <v>2019</v>
      </c>
      <c r="F5704" t="s">
        <v>1471</v>
      </c>
      <c r="G5704">
        <v>0</v>
      </c>
      <c r="H5704">
        <v>0</v>
      </c>
      <c r="I5704">
        <v>1</v>
      </c>
      <c r="J5704">
        <v>0</v>
      </c>
      <c r="K5704">
        <v>0</v>
      </c>
      <c r="L5704">
        <f t="shared" si="178"/>
        <v>5.7</v>
      </c>
      <c r="M5704">
        <f t="shared" si="179"/>
        <v>1</v>
      </c>
    </row>
    <row r="5705" spans="1:13" x14ac:dyDescent="0.3">
      <c r="A5705">
        <v>5703</v>
      </c>
      <c r="B5705">
        <v>5704</v>
      </c>
      <c r="C5705" t="s">
        <v>5783</v>
      </c>
      <c r="D5705">
        <v>2013</v>
      </c>
      <c r="E5705" t="s">
        <v>22</v>
      </c>
      <c r="F5705" t="s">
        <v>1471</v>
      </c>
      <c r="G5705">
        <v>0</v>
      </c>
      <c r="H5705">
        <v>0</v>
      </c>
      <c r="I5705">
        <v>1</v>
      </c>
      <c r="J5705">
        <v>0</v>
      </c>
      <c r="K5705">
        <v>0</v>
      </c>
      <c r="L5705">
        <f t="shared" si="178"/>
        <v>5.7</v>
      </c>
      <c r="M5705">
        <f t="shared" si="179"/>
        <v>1</v>
      </c>
    </row>
    <row r="5706" spans="1:13" x14ac:dyDescent="0.3">
      <c r="A5706">
        <v>5704</v>
      </c>
      <c r="B5706">
        <v>5705</v>
      </c>
      <c r="C5706" t="s">
        <v>5784</v>
      </c>
      <c r="D5706">
        <v>2017</v>
      </c>
      <c r="F5706" t="s">
        <v>1471</v>
      </c>
      <c r="G5706">
        <v>0</v>
      </c>
      <c r="H5706">
        <v>0</v>
      </c>
      <c r="I5706">
        <v>1</v>
      </c>
      <c r="J5706">
        <v>0</v>
      </c>
      <c r="K5706">
        <v>0</v>
      </c>
      <c r="L5706">
        <f t="shared" si="178"/>
        <v>5.7</v>
      </c>
      <c r="M5706">
        <f t="shared" si="179"/>
        <v>1</v>
      </c>
    </row>
    <row r="5707" spans="1:13" x14ac:dyDescent="0.3">
      <c r="A5707">
        <v>5705</v>
      </c>
      <c r="B5707">
        <v>5706</v>
      </c>
      <c r="C5707" t="s">
        <v>5785</v>
      </c>
      <c r="D5707">
        <v>2010</v>
      </c>
      <c r="E5707" t="s">
        <v>11</v>
      </c>
      <c r="F5707" t="s">
        <v>1471</v>
      </c>
      <c r="G5707">
        <v>0</v>
      </c>
      <c r="H5707">
        <v>0</v>
      </c>
      <c r="I5707">
        <v>1</v>
      </c>
      <c r="J5707">
        <v>0</v>
      </c>
      <c r="K5707">
        <v>0</v>
      </c>
      <c r="L5707">
        <f t="shared" si="178"/>
        <v>5.7</v>
      </c>
      <c r="M5707">
        <f t="shared" si="179"/>
        <v>1</v>
      </c>
    </row>
    <row r="5708" spans="1:13" x14ac:dyDescent="0.3">
      <c r="A5708">
        <v>5706</v>
      </c>
      <c r="B5708">
        <v>5707</v>
      </c>
      <c r="C5708" t="s">
        <v>5786</v>
      </c>
      <c r="D5708">
        <v>1998</v>
      </c>
      <c r="E5708" t="s">
        <v>36</v>
      </c>
      <c r="F5708" t="s">
        <v>1471</v>
      </c>
      <c r="G5708">
        <v>0</v>
      </c>
      <c r="H5708">
        <v>0</v>
      </c>
      <c r="I5708">
        <v>1</v>
      </c>
      <c r="J5708">
        <v>0</v>
      </c>
      <c r="K5708">
        <v>0</v>
      </c>
      <c r="L5708">
        <f t="shared" si="178"/>
        <v>5.7</v>
      </c>
      <c r="M5708">
        <f t="shared" si="179"/>
        <v>1</v>
      </c>
    </row>
    <row r="5709" spans="1:13" x14ac:dyDescent="0.3">
      <c r="A5709">
        <v>5707</v>
      </c>
      <c r="B5709">
        <v>5708</v>
      </c>
      <c r="C5709" t="s">
        <v>5787</v>
      </c>
      <c r="D5709">
        <v>1927</v>
      </c>
      <c r="F5709" t="s">
        <v>1471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f t="shared" si="178"/>
        <v>5.7</v>
      </c>
      <c r="M5709">
        <f t="shared" si="179"/>
        <v>1</v>
      </c>
    </row>
    <row r="5710" spans="1:13" x14ac:dyDescent="0.3">
      <c r="A5710">
        <v>5708</v>
      </c>
      <c r="B5710">
        <v>5709</v>
      </c>
      <c r="C5710" t="s">
        <v>5788</v>
      </c>
      <c r="D5710">
        <v>2016</v>
      </c>
      <c r="F5710" t="s">
        <v>1471</v>
      </c>
      <c r="G5710">
        <v>0</v>
      </c>
      <c r="H5710">
        <v>0</v>
      </c>
      <c r="I5710">
        <v>1</v>
      </c>
      <c r="J5710">
        <v>0</v>
      </c>
      <c r="K5710">
        <v>0</v>
      </c>
      <c r="L5710">
        <f t="shared" si="178"/>
        <v>5.7</v>
      </c>
      <c r="M5710">
        <f t="shared" si="179"/>
        <v>1</v>
      </c>
    </row>
    <row r="5711" spans="1:13" x14ac:dyDescent="0.3">
      <c r="A5711">
        <v>5709</v>
      </c>
      <c r="B5711">
        <v>5710</v>
      </c>
      <c r="C5711" t="s">
        <v>5789</v>
      </c>
      <c r="D5711">
        <v>2013</v>
      </c>
      <c r="E5711" t="s">
        <v>22</v>
      </c>
      <c r="F5711" t="s">
        <v>1471</v>
      </c>
      <c r="G5711">
        <v>0</v>
      </c>
      <c r="H5711">
        <v>0</v>
      </c>
      <c r="I5711">
        <v>1</v>
      </c>
      <c r="J5711">
        <v>0</v>
      </c>
      <c r="K5711">
        <v>0</v>
      </c>
      <c r="L5711">
        <f t="shared" si="178"/>
        <v>5.7</v>
      </c>
      <c r="M5711">
        <f t="shared" si="179"/>
        <v>1</v>
      </c>
    </row>
    <row r="5712" spans="1:13" x14ac:dyDescent="0.3">
      <c r="A5712">
        <v>5710</v>
      </c>
      <c r="B5712">
        <v>5711</v>
      </c>
      <c r="C5712" t="s">
        <v>5790</v>
      </c>
      <c r="D5712">
        <v>2013</v>
      </c>
      <c r="E5712" t="s">
        <v>11</v>
      </c>
      <c r="F5712" t="s">
        <v>1471</v>
      </c>
      <c r="G5712">
        <v>0</v>
      </c>
      <c r="H5712">
        <v>0</v>
      </c>
      <c r="I5712">
        <v>1</v>
      </c>
      <c r="J5712">
        <v>0</v>
      </c>
      <c r="K5712">
        <v>0</v>
      </c>
      <c r="L5712">
        <f t="shared" si="178"/>
        <v>5.7</v>
      </c>
      <c r="M5712">
        <f t="shared" si="179"/>
        <v>1</v>
      </c>
    </row>
    <row r="5713" spans="1:13" x14ac:dyDescent="0.3">
      <c r="A5713">
        <v>5711</v>
      </c>
      <c r="B5713">
        <v>5712</v>
      </c>
      <c r="C5713" t="s">
        <v>5791</v>
      </c>
      <c r="D5713">
        <v>2004</v>
      </c>
      <c r="E5713" t="s">
        <v>14</v>
      </c>
      <c r="F5713" t="s">
        <v>1471</v>
      </c>
      <c r="G5713">
        <v>0</v>
      </c>
      <c r="H5713">
        <v>0</v>
      </c>
      <c r="I5713">
        <v>1</v>
      </c>
      <c r="J5713">
        <v>0</v>
      </c>
      <c r="K5713">
        <v>0</v>
      </c>
      <c r="L5713">
        <f t="shared" si="178"/>
        <v>5.7</v>
      </c>
      <c r="M5713">
        <f t="shared" si="179"/>
        <v>1</v>
      </c>
    </row>
    <row r="5714" spans="1:13" x14ac:dyDescent="0.3">
      <c r="A5714">
        <v>5712</v>
      </c>
      <c r="B5714">
        <v>5713</v>
      </c>
      <c r="C5714" t="s">
        <v>5792</v>
      </c>
      <c r="D5714">
        <v>1999</v>
      </c>
      <c r="E5714" t="s">
        <v>11</v>
      </c>
      <c r="F5714" t="s">
        <v>1471</v>
      </c>
      <c r="G5714">
        <v>0</v>
      </c>
      <c r="H5714">
        <v>0</v>
      </c>
      <c r="I5714">
        <v>1</v>
      </c>
      <c r="J5714">
        <v>0</v>
      </c>
      <c r="K5714">
        <v>0</v>
      </c>
      <c r="L5714">
        <f t="shared" si="178"/>
        <v>5.7</v>
      </c>
      <c r="M5714">
        <f t="shared" si="179"/>
        <v>1</v>
      </c>
    </row>
    <row r="5715" spans="1:13" x14ac:dyDescent="0.3">
      <c r="A5715">
        <v>5713</v>
      </c>
      <c r="B5715">
        <v>5714</v>
      </c>
      <c r="C5715" t="s">
        <v>5793</v>
      </c>
      <c r="D5715">
        <v>2019</v>
      </c>
      <c r="F5715" t="s">
        <v>1471</v>
      </c>
      <c r="G5715">
        <v>0</v>
      </c>
      <c r="H5715">
        <v>0</v>
      </c>
      <c r="I5715">
        <v>1</v>
      </c>
      <c r="J5715">
        <v>0</v>
      </c>
      <c r="K5715">
        <v>0</v>
      </c>
      <c r="L5715">
        <f t="shared" si="178"/>
        <v>5.7</v>
      </c>
      <c r="M5715">
        <f t="shared" si="179"/>
        <v>1</v>
      </c>
    </row>
    <row r="5716" spans="1:13" x14ac:dyDescent="0.3">
      <c r="A5716">
        <v>5714</v>
      </c>
      <c r="B5716">
        <v>5715</v>
      </c>
      <c r="C5716" t="s">
        <v>5794</v>
      </c>
      <c r="D5716">
        <v>2007</v>
      </c>
      <c r="F5716" t="s">
        <v>1471</v>
      </c>
      <c r="G5716">
        <v>0</v>
      </c>
      <c r="H5716">
        <v>0</v>
      </c>
      <c r="I5716">
        <v>1</v>
      </c>
      <c r="J5716">
        <v>0</v>
      </c>
      <c r="K5716">
        <v>0</v>
      </c>
      <c r="L5716">
        <f t="shared" si="178"/>
        <v>5.7</v>
      </c>
      <c r="M5716">
        <f t="shared" si="179"/>
        <v>1</v>
      </c>
    </row>
    <row r="5717" spans="1:13" x14ac:dyDescent="0.3">
      <c r="A5717">
        <v>5715</v>
      </c>
      <c r="B5717">
        <v>5716</v>
      </c>
      <c r="C5717" t="s">
        <v>5795</v>
      </c>
      <c r="D5717">
        <v>2019</v>
      </c>
      <c r="F5717" t="s">
        <v>1471</v>
      </c>
      <c r="G5717">
        <v>0</v>
      </c>
      <c r="H5717">
        <v>0</v>
      </c>
      <c r="I5717">
        <v>1</v>
      </c>
      <c r="J5717">
        <v>0</v>
      </c>
      <c r="K5717">
        <v>0</v>
      </c>
      <c r="L5717">
        <f t="shared" si="178"/>
        <v>5.7</v>
      </c>
      <c r="M5717">
        <f t="shared" si="179"/>
        <v>1</v>
      </c>
    </row>
    <row r="5718" spans="1:13" x14ac:dyDescent="0.3">
      <c r="A5718">
        <v>5716</v>
      </c>
      <c r="B5718">
        <v>5717</v>
      </c>
      <c r="C5718" t="s">
        <v>5796</v>
      </c>
      <c r="D5718">
        <v>2017</v>
      </c>
      <c r="F5718" t="s">
        <v>1471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f t="shared" si="178"/>
        <v>5.7</v>
      </c>
      <c r="M5718">
        <f t="shared" si="179"/>
        <v>1</v>
      </c>
    </row>
    <row r="5719" spans="1:13" x14ac:dyDescent="0.3">
      <c r="A5719">
        <v>5717</v>
      </c>
      <c r="B5719">
        <v>5718</v>
      </c>
      <c r="C5719" t="s">
        <v>5797</v>
      </c>
      <c r="D5719">
        <v>1933</v>
      </c>
      <c r="F5719" t="s">
        <v>1471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f t="shared" si="178"/>
        <v>5.7</v>
      </c>
      <c r="M5719">
        <f t="shared" si="179"/>
        <v>1</v>
      </c>
    </row>
    <row r="5720" spans="1:13" x14ac:dyDescent="0.3">
      <c r="A5720">
        <v>5718</v>
      </c>
      <c r="B5720">
        <v>5719</v>
      </c>
      <c r="C5720" t="s">
        <v>5798</v>
      </c>
      <c r="D5720">
        <v>1973</v>
      </c>
      <c r="E5720" t="s">
        <v>14</v>
      </c>
      <c r="F5720" t="s">
        <v>1471</v>
      </c>
      <c r="G5720">
        <v>0</v>
      </c>
      <c r="H5720">
        <v>0</v>
      </c>
      <c r="I5720">
        <v>1</v>
      </c>
      <c r="J5720">
        <v>0</v>
      </c>
      <c r="K5720">
        <v>0</v>
      </c>
      <c r="L5720">
        <f t="shared" si="178"/>
        <v>5.7</v>
      </c>
      <c r="M5720">
        <f t="shared" si="179"/>
        <v>1</v>
      </c>
    </row>
    <row r="5721" spans="1:13" x14ac:dyDescent="0.3">
      <c r="A5721">
        <v>5719</v>
      </c>
      <c r="B5721">
        <v>5720</v>
      </c>
      <c r="C5721" t="s">
        <v>5799</v>
      </c>
      <c r="D5721">
        <v>2018</v>
      </c>
      <c r="E5721" t="s">
        <v>36</v>
      </c>
      <c r="F5721" t="s">
        <v>1471</v>
      </c>
      <c r="G5721">
        <v>0</v>
      </c>
      <c r="H5721">
        <v>0</v>
      </c>
      <c r="I5721">
        <v>1</v>
      </c>
      <c r="J5721">
        <v>0</v>
      </c>
      <c r="K5721">
        <v>0</v>
      </c>
      <c r="L5721">
        <f t="shared" si="178"/>
        <v>5.7</v>
      </c>
      <c r="M5721">
        <f t="shared" si="179"/>
        <v>1</v>
      </c>
    </row>
    <row r="5722" spans="1:13" x14ac:dyDescent="0.3">
      <c r="A5722">
        <v>5720</v>
      </c>
      <c r="B5722">
        <v>5721</v>
      </c>
      <c r="C5722" t="s">
        <v>5800</v>
      </c>
      <c r="D5722">
        <v>2012</v>
      </c>
      <c r="E5722" t="s">
        <v>11</v>
      </c>
      <c r="F5722" t="s">
        <v>1471</v>
      </c>
      <c r="G5722">
        <v>0</v>
      </c>
      <c r="H5722">
        <v>0</v>
      </c>
      <c r="I5722">
        <v>1</v>
      </c>
      <c r="J5722">
        <v>0</v>
      </c>
      <c r="K5722">
        <v>0</v>
      </c>
      <c r="L5722">
        <f t="shared" si="178"/>
        <v>5.7</v>
      </c>
      <c r="M5722">
        <f t="shared" si="179"/>
        <v>1</v>
      </c>
    </row>
    <row r="5723" spans="1:13" x14ac:dyDescent="0.3">
      <c r="A5723">
        <v>5721</v>
      </c>
      <c r="B5723">
        <v>5722</v>
      </c>
      <c r="C5723" t="s">
        <v>5801</v>
      </c>
      <c r="D5723">
        <v>2019</v>
      </c>
      <c r="E5723" t="s">
        <v>11</v>
      </c>
      <c r="F5723" t="s">
        <v>1471</v>
      </c>
      <c r="G5723">
        <v>0</v>
      </c>
      <c r="H5723">
        <v>0</v>
      </c>
      <c r="I5723">
        <v>1</v>
      </c>
      <c r="J5723">
        <v>0</v>
      </c>
      <c r="K5723">
        <v>0</v>
      </c>
      <c r="L5723">
        <f t="shared" si="178"/>
        <v>5.7</v>
      </c>
      <c r="M5723">
        <f t="shared" si="179"/>
        <v>1</v>
      </c>
    </row>
    <row r="5724" spans="1:13" x14ac:dyDescent="0.3">
      <c r="A5724">
        <v>5722</v>
      </c>
      <c r="B5724">
        <v>5723</v>
      </c>
      <c r="C5724" t="s">
        <v>5802</v>
      </c>
      <c r="D5724">
        <v>1996</v>
      </c>
      <c r="E5724" t="s">
        <v>11</v>
      </c>
      <c r="F5724" t="s">
        <v>1471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f t="shared" si="178"/>
        <v>5.7</v>
      </c>
      <c r="M5724">
        <f t="shared" si="179"/>
        <v>1</v>
      </c>
    </row>
    <row r="5725" spans="1:13" x14ac:dyDescent="0.3">
      <c r="A5725">
        <v>5723</v>
      </c>
      <c r="B5725">
        <v>5724</v>
      </c>
      <c r="C5725" t="s">
        <v>5803</v>
      </c>
      <c r="D5725">
        <v>1970</v>
      </c>
      <c r="E5725" t="s">
        <v>14</v>
      </c>
      <c r="F5725" t="s">
        <v>1471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f t="shared" si="178"/>
        <v>5.7</v>
      </c>
      <c r="M5725">
        <f t="shared" si="179"/>
        <v>1</v>
      </c>
    </row>
    <row r="5726" spans="1:13" x14ac:dyDescent="0.3">
      <c r="A5726">
        <v>5724</v>
      </c>
      <c r="B5726">
        <v>5725</v>
      </c>
      <c r="C5726" t="s">
        <v>5804</v>
      </c>
      <c r="D5726">
        <v>2019</v>
      </c>
      <c r="F5726" t="s">
        <v>1471</v>
      </c>
      <c r="G5726">
        <v>0</v>
      </c>
      <c r="H5726">
        <v>0</v>
      </c>
      <c r="I5726">
        <v>1</v>
      </c>
      <c r="J5726">
        <v>0</v>
      </c>
      <c r="K5726">
        <v>0</v>
      </c>
      <c r="L5726">
        <f t="shared" si="178"/>
        <v>5.7</v>
      </c>
      <c r="M5726">
        <f t="shared" si="179"/>
        <v>1</v>
      </c>
    </row>
    <row r="5727" spans="1:13" x14ac:dyDescent="0.3">
      <c r="A5727">
        <v>5725</v>
      </c>
      <c r="B5727">
        <v>5726</v>
      </c>
      <c r="C5727" t="s">
        <v>5805</v>
      </c>
      <c r="D5727">
        <v>2007</v>
      </c>
      <c r="E5727" t="s">
        <v>11</v>
      </c>
      <c r="F5727" t="s">
        <v>1471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f t="shared" si="178"/>
        <v>5.7</v>
      </c>
      <c r="M5727">
        <f t="shared" si="179"/>
        <v>1</v>
      </c>
    </row>
    <row r="5728" spans="1:13" x14ac:dyDescent="0.3">
      <c r="A5728">
        <v>5726</v>
      </c>
      <c r="B5728">
        <v>5727</v>
      </c>
      <c r="C5728" t="s">
        <v>5806</v>
      </c>
      <c r="D5728">
        <v>2017</v>
      </c>
      <c r="E5728" t="s">
        <v>11</v>
      </c>
      <c r="F5728" t="s">
        <v>1471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f t="shared" si="178"/>
        <v>5.7</v>
      </c>
      <c r="M5728">
        <f t="shared" si="179"/>
        <v>1</v>
      </c>
    </row>
    <row r="5729" spans="1:13" x14ac:dyDescent="0.3">
      <c r="A5729">
        <v>5727</v>
      </c>
      <c r="B5729">
        <v>5728</v>
      </c>
      <c r="C5729" t="s">
        <v>5807</v>
      </c>
      <c r="D5729">
        <v>2021</v>
      </c>
      <c r="E5729" t="s">
        <v>11</v>
      </c>
      <c r="F5729" t="s">
        <v>1471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f t="shared" si="178"/>
        <v>5.7</v>
      </c>
      <c r="M5729">
        <f t="shared" si="179"/>
        <v>1</v>
      </c>
    </row>
    <row r="5730" spans="1:13" x14ac:dyDescent="0.3">
      <c r="A5730">
        <v>5728</v>
      </c>
      <c r="B5730">
        <v>5729</v>
      </c>
      <c r="C5730" t="s">
        <v>5808</v>
      </c>
      <c r="D5730">
        <v>2013</v>
      </c>
      <c r="F5730" t="s">
        <v>1471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f t="shared" si="178"/>
        <v>5.7</v>
      </c>
      <c r="M5730">
        <f t="shared" si="179"/>
        <v>1</v>
      </c>
    </row>
    <row r="5731" spans="1:13" x14ac:dyDescent="0.3">
      <c r="A5731">
        <v>5729</v>
      </c>
      <c r="B5731">
        <v>5730</v>
      </c>
      <c r="C5731" t="s">
        <v>5809</v>
      </c>
      <c r="D5731">
        <v>2014</v>
      </c>
      <c r="E5731" t="s">
        <v>22</v>
      </c>
      <c r="F5731" t="s">
        <v>1471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f t="shared" si="178"/>
        <v>5.7</v>
      </c>
      <c r="M5731">
        <f t="shared" si="179"/>
        <v>1</v>
      </c>
    </row>
    <row r="5732" spans="1:13" x14ac:dyDescent="0.3">
      <c r="A5732">
        <v>5730</v>
      </c>
      <c r="B5732">
        <v>5731</v>
      </c>
      <c r="C5732" t="s">
        <v>5810</v>
      </c>
      <c r="D5732">
        <v>1947</v>
      </c>
      <c r="F5732" t="s">
        <v>1471</v>
      </c>
      <c r="G5732">
        <v>0</v>
      </c>
      <c r="H5732">
        <v>0</v>
      </c>
      <c r="I5732">
        <v>1</v>
      </c>
      <c r="J5732">
        <v>0</v>
      </c>
      <c r="K5732">
        <v>0</v>
      </c>
      <c r="L5732">
        <f t="shared" si="178"/>
        <v>5.7</v>
      </c>
      <c r="M5732">
        <f t="shared" si="179"/>
        <v>1</v>
      </c>
    </row>
    <row r="5733" spans="1:13" x14ac:dyDescent="0.3">
      <c r="A5733">
        <v>5731</v>
      </c>
      <c r="B5733">
        <v>5732</v>
      </c>
      <c r="C5733" t="s">
        <v>5811</v>
      </c>
      <c r="D5733">
        <v>2016</v>
      </c>
      <c r="F5733" t="s">
        <v>1471</v>
      </c>
      <c r="G5733">
        <v>0</v>
      </c>
      <c r="H5733">
        <v>0</v>
      </c>
      <c r="I5733">
        <v>1</v>
      </c>
      <c r="J5733">
        <v>0</v>
      </c>
      <c r="K5733">
        <v>0</v>
      </c>
      <c r="L5733">
        <f t="shared" si="178"/>
        <v>5.7</v>
      </c>
      <c r="M5733">
        <f t="shared" si="179"/>
        <v>1</v>
      </c>
    </row>
    <row r="5734" spans="1:13" x14ac:dyDescent="0.3">
      <c r="A5734">
        <v>5732</v>
      </c>
      <c r="B5734">
        <v>5733</v>
      </c>
      <c r="C5734" t="s">
        <v>5812</v>
      </c>
      <c r="D5734">
        <v>2017</v>
      </c>
      <c r="E5734" t="s">
        <v>11</v>
      </c>
      <c r="F5734" t="s">
        <v>1471</v>
      </c>
      <c r="G5734">
        <v>0</v>
      </c>
      <c r="H5734">
        <v>0</v>
      </c>
      <c r="I5734">
        <v>1</v>
      </c>
      <c r="J5734">
        <v>0</v>
      </c>
      <c r="K5734">
        <v>0</v>
      </c>
      <c r="L5734">
        <f t="shared" si="178"/>
        <v>5.7</v>
      </c>
      <c r="M5734">
        <f t="shared" si="179"/>
        <v>1</v>
      </c>
    </row>
    <row r="5735" spans="1:13" x14ac:dyDescent="0.3">
      <c r="A5735">
        <v>5733</v>
      </c>
      <c r="B5735">
        <v>5734</v>
      </c>
      <c r="C5735" t="s">
        <v>5813</v>
      </c>
      <c r="D5735">
        <v>2011</v>
      </c>
      <c r="E5735" t="s">
        <v>14</v>
      </c>
      <c r="F5735" t="s">
        <v>1471</v>
      </c>
      <c r="G5735">
        <v>0</v>
      </c>
      <c r="H5735">
        <v>0</v>
      </c>
      <c r="I5735">
        <v>1</v>
      </c>
      <c r="J5735">
        <v>0</v>
      </c>
      <c r="K5735">
        <v>0</v>
      </c>
      <c r="L5735">
        <f t="shared" si="178"/>
        <v>5.7</v>
      </c>
      <c r="M5735">
        <f t="shared" si="179"/>
        <v>1</v>
      </c>
    </row>
    <row r="5736" spans="1:13" x14ac:dyDescent="0.3">
      <c r="A5736">
        <v>5734</v>
      </c>
      <c r="B5736">
        <v>5735</v>
      </c>
      <c r="C5736" t="s">
        <v>5814</v>
      </c>
      <c r="D5736">
        <v>2018</v>
      </c>
      <c r="E5736" t="s">
        <v>11</v>
      </c>
      <c r="F5736" t="s">
        <v>1471</v>
      </c>
      <c r="G5736">
        <v>0</v>
      </c>
      <c r="H5736">
        <v>0</v>
      </c>
      <c r="I5736">
        <v>1</v>
      </c>
      <c r="J5736">
        <v>0</v>
      </c>
      <c r="K5736">
        <v>0</v>
      </c>
      <c r="L5736">
        <f t="shared" si="178"/>
        <v>5.7</v>
      </c>
      <c r="M5736">
        <f t="shared" si="179"/>
        <v>1</v>
      </c>
    </row>
    <row r="5737" spans="1:13" x14ac:dyDescent="0.3">
      <c r="A5737">
        <v>5735</v>
      </c>
      <c r="B5737">
        <v>5736</v>
      </c>
      <c r="C5737" t="s">
        <v>5815</v>
      </c>
      <c r="D5737">
        <v>1986</v>
      </c>
      <c r="E5737" t="s">
        <v>11</v>
      </c>
      <c r="F5737" t="s">
        <v>1471</v>
      </c>
      <c r="G5737">
        <v>0</v>
      </c>
      <c r="H5737">
        <v>0</v>
      </c>
      <c r="I5737">
        <v>1</v>
      </c>
      <c r="J5737">
        <v>0</v>
      </c>
      <c r="K5737">
        <v>0</v>
      </c>
      <c r="L5737">
        <f t="shared" si="178"/>
        <v>5.7</v>
      </c>
      <c r="M5737">
        <f t="shared" si="179"/>
        <v>1</v>
      </c>
    </row>
    <row r="5738" spans="1:13" x14ac:dyDescent="0.3">
      <c r="A5738">
        <v>5736</v>
      </c>
      <c r="B5738">
        <v>5737</v>
      </c>
      <c r="C5738" t="s">
        <v>5816</v>
      </c>
      <c r="D5738">
        <v>1998</v>
      </c>
      <c r="E5738" t="s">
        <v>11</v>
      </c>
      <c r="F5738" t="s">
        <v>1471</v>
      </c>
      <c r="G5738">
        <v>0</v>
      </c>
      <c r="H5738">
        <v>0</v>
      </c>
      <c r="I5738">
        <v>1</v>
      </c>
      <c r="J5738">
        <v>0</v>
      </c>
      <c r="K5738">
        <v>0</v>
      </c>
      <c r="L5738">
        <f t="shared" si="178"/>
        <v>5.7</v>
      </c>
      <c r="M5738">
        <f t="shared" si="179"/>
        <v>1</v>
      </c>
    </row>
    <row r="5739" spans="1:13" x14ac:dyDescent="0.3">
      <c r="A5739">
        <v>5737</v>
      </c>
      <c r="B5739">
        <v>5738</v>
      </c>
      <c r="C5739" t="s">
        <v>5817</v>
      </c>
      <c r="D5739">
        <v>2011</v>
      </c>
      <c r="E5739" t="s">
        <v>11</v>
      </c>
      <c r="F5739" t="s">
        <v>1471</v>
      </c>
      <c r="G5739">
        <v>0</v>
      </c>
      <c r="H5739">
        <v>0</v>
      </c>
      <c r="I5739">
        <v>1</v>
      </c>
      <c r="J5739">
        <v>0</v>
      </c>
      <c r="K5739">
        <v>0</v>
      </c>
      <c r="L5739">
        <f t="shared" si="178"/>
        <v>5.7</v>
      </c>
      <c r="M5739">
        <f t="shared" si="179"/>
        <v>1</v>
      </c>
    </row>
    <row r="5740" spans="1:13" x14ac:dyDescent="0.3">
      <c r="A5740">
        <v>5738</v>
      </c>
      <c r="B5740">
        <v>5739</v>
      </c>
      <c r="C5740" t="s">
        <v>5818</v>
      </c>
      <c r="D5740">
        <v>2021</v>
      </c>
      <c r="F5740" t="s">
        <v>1471</v>
      </c>
      <c r="G5740">
        <v>0</v>
      </c>
      <c r="H5740">
        <v>0</v>
      </c>
      <c r="I5740">
        <v>1</v>
      </c>
      <c r="J5740">
        <v>0</v>
      </c>
      <c r="K5740">
        <v>0</v>
      </c>
      <c r="L5740">
        <f t="shared" si="178"/>
        <v>5.7</v>
      </c>
      <c r="M5740">
        <f t="shared" si="179"/>
        <v>1</v>
      </c>
    </row>
    <row r="5741" spans="1:13" x14ac:dyDescent="0.3">
      <c r="A5741">
        <v>5739</v>
      </c>
      <c r="B5741">
        <v>5740</v>
      </c>
      <c r="C5741" t="s">
        <v>5819</v>
      </c>
      <c r="D5741">
        <v>1999</v>
      </c>
      <c r="E5741" t="s">
        <v>11</v>
      </c>
      <c r="F5741" t="s">
        <v>1471</v>
      </c>
      <c r="G5741">
        <v>0</v>
      </c>
      <c r="H5741">
        <v>0</v>
      </c>
      <c r="I5741">
        <v>1</v>
      </c>
      <c r="J5741">
        <v>0</v>
      </c>
      <c r="K5741">
        <v>0</v>
      </c>
      <c r="L5741">
        <f t="shared" si="178"/>
        <v>5.7</v>
      </c>
      <c r="M5741">
        <f t="shared" si="179"/>
        <v>1</v>
      </c>
    </row>
    <row r="5742" spans="1:13" x14ac:dyDescent="0.3">
      <c r="A5742">
        <v>5740</v>
      </c>
      <c r="B5742">
        <v>5741</v>
      </c>
      <c r="C5742" t="s">
        <v>5820</v>
      </c>
      <c r="D5742">
        <v>2020</v>
      </c>
      <c r="E5742" t="s">
        <v>14</v>
      </c>
      <c r="F5742" t="s">
        <v>1471</v>
      </c>
      <c r="G5742">
        <v>0</v>
      </c>
      <c r="H5742">
        <v>0</v>
      </c>
      <c r="I5742">
        <v>1</v>
      </c>
      <c r="J5742">
        <v>0</v>
      </c>
      <c r="K5742">
        <v>0</v>
      </c>
      <c r="L5742">
        <f t="shared" si="178"/>
        <v>5.7</v>
      </c>
      <c r="M5742">
        <f t="shared" si="179"/>
        <v>1</v>
      </c>
    </row>
    <row r="5743" spans="1:13" x14ac:dyDescent="0.3">
      <c r="A5743">
        <v>5741</v>
      </c>
      <c r="B5743">
        <v>5742</v>
      </c>
      <c r="C5743" t="s">
        <v>5821</v>
      </c>
      <c r="D5743">
        <v>2014</v>
      </c>
      <c r="E5743" t="s">
        <v>11</v>
      </c>
      <c r="F5743" t="s">
        <v>1471</v>
      </c>
      <c r="G5743">
        <v>0</v>
      </c>
      <c r="H5743">
        <v>0</v>
      </c>
      <c r="I5743">
        <v>1</v>
      </c>
      <c r="J5743">
        <v>0</v>
      </c>
      <c r="K5743">
        <v>0</v>
      </c>
      <c r="L5743">
        <f t="shared" si="178"/>
        <v>5.7</v>
      </c>
      <c r="M5743">
        <f t="shared" si="179"/>
        <v>1</v>
      </c>
    </row>
    <row r="5744" spans="1:13" x14ac:dyDescent="0.3">
      <c r="A5744">
        <v>5742</v>
      </c>
      <c r="B5744">
        <v>5743</v>
      </c>
      <c r="C5744" t="s">
        <v>5822</v>
      </c>
      <c r="D5744">
        <v>2019</v>
      </c>
      <c r="F5744" t="s">
        <v>1471</v>
      </c>
      <c r="G5744">
        <v>0</v>
      </c>
      <c r="H5744">
        <v>0</v>
      </c>
      <c r="I5744">
        <v>1</v>
      </c>
      <c r="J5744">
        <v>0</v>
      </c>
      <c r="K5744">
        <v>0</v>
      </c>
      <c r="L5744">
        <f t="shared" si="178"/>
        <v>5.7</v>
      </c>
      <c r="M5744">
        <f t="shared" si="179"/>
        <v>1</v>
      </c>
    </row>
    <row r="5745" spans="1:13" x14ac:dyDescent="0.3">
      <c r="A5745">
        <v>5743</v>
      </c>
      <c r="B5745">
        <v>5744</v>
      </c>
      <c r="C5745" t="s">
        <v>5823</v>
      </c>
      <c r="D5745">
        <v>2010</v>
      </c>
      <c r="F5745" t="s">
        <v>1471</v>
      </c>
      <c r="G5745">
        <v>0</v>
      </c>
      <c r="H5745">
        <v>0</v>
      </c>
      <c r="I5745">
        <v>1</v>
      </c>
      <c r="J5745">
        <v>0</v>
      </c>
      <c r="K5745">
        <v>0</v>
      </c>
      <c r="L5745">
        <f t="shared" si="178"/>
        <v>5.7</v>
      </c>
      <c r="M5745">
        <f t="shared" si="179"/>
        <v>1</v>
      </c>
    </row>
    <row r="5746" spans="1:13" x14ac:dyDescent="0.3">
      <c r="A5746">
        <v>5744</v>
      </c>
      <c r="B5746">
        <v>5745</v>
      </c>
      <c r="C5746" t="s">
        <v>5824</v>
      </c>
      <c r="D5746">
        <v>2018</v>
      </c>
      <c r="F5746" t="s">
        <v>1471</v>
      </c>
      <c r="G5746">
        <v>0</v>
      </c>
      <c r="H5746">
        <v>0</v>
      </c>
      <c r="I5746">
        <v>1</v>
      </c>
      <c r="J5746">
        <v>0</v>
      </c>
      <c r="K5746">
        <v>0</v>
      </c>
      <c r="L5746">
        <f t="shared" si="178"/>
        <v>5.7</v>
      </c>
      <c r="M5746">
        <f t="shared" si="179"/>
        <v>1</v>
      </c>
    </row>
    <row r="5747" spans="1:13" x14ac:dyDescent="0.3">
      <c r="A5747">
        <v>5745</v>
      </c>
      <c r="B5747">
        <v>5746</v>
      </c>
      <c r="C5747" t="s">
        <v>5825</v>
      </c>
      <c r="D5747">
        <v>2002</v>
      </c>
      <c r="E5747" t="s">
        <v>11</v>
      </c>
      <c r="F5747" t="s">
        <v>1471</v>
      </c>
      <c r="G5747">
        <v>0</v>
      </c>
      <c r="H5747">
        <v>0</v>
      </c>
      <c r="I5747">
        <v>1</v>
      </c>
      <c r="J5747">
        <v>0</v>
      </c>
      <c r="K5747">
        <v>0</v>
      </c>
      <c r="L5747">
        <f t="shared" si="178"/>
        <v>5.7</v>
      </c>
      <c r="M5747">
        <f t="shared" si="179"/>
        <v>1</v>
      </c>
    </row>
    <row r="5748" spans="1:13" x14ac:dyDescent="0.3">
      <c r="A5748">
        <v>5746</v>
      </c>
      <c r="B5748">
        <v>5747</v>
      </c>
      <c r="C5748" t="s">
        <v>5826</v>
      </c>
      <c r="D5748">
        <v>1996</v>
      </c>
      <c r="E5748" t="s">
        <v>22</v>
      </c>
      <c r="F5748" t="s">
        <v>1471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f t="shared" si="178"/>
        <v>5.7</v>
      </c>
      <c r="M5748">
        <f t="shared" si="179"/>
        <v>1</v>
      </c>
    </row>
    <row r="5749" spans="1:13" x14ac:dyDescent="0.3">
      <c r="A5749">
        <v>5747</v>
      </c>
      <c r="B5749">
        <v>5748</v>
      </c>
      <c r="C5749" t="s">
        <v>5827</v>
      </c>
      <c r="D5749">
        <v>2010</v>
      </c>
      <c r="F5749" t="s">
        <v>1471</v>
      </c>
      <c r="G5749">
        <v>0</v>
      </c>
      <c r="H5749">
        <v>0</v>
      </c>
      <c r="I5749">
        <v>1</v>
      </c>
      <c r="J5749">
        <v>0</v>
      </c>
      <c r="K5749">
        <v>0</v>
      </c>
      <c r="L5749">
        <f t="shared" si="178"/>
        <v>5.7</v>
      </c>
      <c r="M5749">
        <f t="shared" si="179"/>
        <v>1</v>
      </c>
    </row>
    <row r="5750" spans="1:13" x14ac:dyDescent="0.3">
      <c r="A5750">
        <v>5748</v>
      </c>
      <c r="B5750">
        <v>5749</v>
      </c>
      <c r="C5750" t="s">
        <v>5828</v>
      </c>
      <c r="D5750">
        <v>1989</v>
      </c>
      <c r="E5750" t="s">
        <v>11</v>
      </c>
      <c r="F5750" t="s">
        <v>1471</v>
      </c>
      <c r="G5750">
        <v>0</v>
      </c>
      <c r="H5750">
        <v>0</v>
      </c>
      <c r="I5750">
        <v>1</v>
      </c>
      <c r="J5750">
        <v>0</v>
      </c>
      <c r="K5750">
        <v>0</v>
      </c>
      <c r="L5750">
        <f t="shared" si="178"/>
        <v>5.7</v>
      </c>
      <c r="M5750">
        <f t="shared" si="179"/>
        <v>1</v>
      </c>
    </row>
    <row r="5751" spans="1:13" x14ac:dyDescent="0.3">
      <c r="A5751">
        <v>5749</v>
      </c>
      <c r="B5751">
        <v>5750</v>
      </c>
      <c r="C5751" t="s">
        <v>5829</v>
      </c>
      <c r="D5751">
        <v>1939</v>
      </c>
      <c r="F5751" t="s">
        <v>1471</v>
      </c>
      <c r="G5751">
        <v>0</v>
      </c>
      <c r="H5751">
        <v>0</v>
      </c>
      <c r="I5751">
        <v>1</v>
      </c>
      <c r="J5751">
        <v>0</v>
      </c>
      <c r="K5751">
        <v>0</v>
      </c>
      <c r="L5751">
        <f t="shared" si="178"/>
        <v>5.7</v>
      </c>
      <c r="M5751">
        <f t="shared" si="179"/>
        <v>1</v>
      </c>
    </row>
    <row r="5752" spans="1:13" x14ac:dyDescent="0.3">
      <c r="A5752">
        <v>5750</v>
      </c>
      <c r="B5752">
        <v>5751</v>
      </c>
      <c r="C5752" t="s">
        <v>5830</v>
      </c>
      <c r="D5752">
        <v>2020</v>
      </c>
      <c r="F5752" t="s">
        <v>1471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f t="shared" si="178"/>
        <v>5.7</v>
      </c>
      <c r="M5752">
        <f t="shared" si="179"/>
        <v>1</v>
      </c>
    </row>
    <row r="5753" spans="1:13" x14ac:dyDescent="0.3">
      <c r="A5753">
        <v>5751</v>
      </c>
      <c r="B5753">
        <v>5752</v>
      </c>
      <c r="C5753" t="s">
        <v>5831</v>
      </c>
      <c r="D5753">
        <v>2010</v>
      </c>
      <c r="E5753" t="s">
        <v>11</v>
      </c>
      <c r="F5753" t="s">
        <v>1574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f t="shared" si="178"/>
        <v>5.6</v>
      </c>
      <c r="M5753">
        <f t="shared" si="179"/>
        <v>1</v>
      </c>
    </row>
    <row r="5754" spans="1:13" x14ac:dyDescent="0.3">
      <c r="A5754">
        <v>5752</v>
      </c>
      <c r="B5754">
        <v>5753</v>
      </c>
      <c r="C5754" t="s">
        <v>5832</v>
      </c>
      <c r="D5754">
        <v>2017</v>
      </c>
      <c r="E5754" t="s">
        <v>11</v>
      </c>
      <c r="F5754" t="s">
        <v>1574</v>
      </c>
      <c r="G5754">
        <v>0</v>
      </c>
      <c r="H5754">
        <v>0</v>
      </c>
      <c r="I5754">
        <v>1</v>
      </c>
      <c r="J5754">
        <v>0</v>
      </c>
      <c r="K5754">
        <v>0</v>
      </c>
      <c r="L5754">
        <f t="shared" si="178"/>
        <v>5.6</v>
      </c>
      <c r="M5754">
        <f t="shared" si="179"/>
        <v>1</v>
      </c>
    </row>
    <row r="5755" spans="1:13" x14ac:dyDescent="0.3">
      <c r="A5755">
        <v>5753</v>
      </c>
      <c r="B5755">
        <v>5754</v>
      </c>
      <c r="C5755" t="s">
        <v>5833</v>
      </c>
      <c r="D5755">
        <v>2011</v>
      </c>
      <c r="E5755" t="s">
        <v>36</v>
      </c>
      <c r="F5755" t="s">
        <v>1574</v>
      </c>
      <c r="G5755">
        <v>0</v>
      </c>
      <c r="H5755">
        <v>0</v>
      </c>
      <c r="I5755">
        <v>1</v>
      </c>
      <c r="J5755">
        <v>0</v>
      </c>
      <c r="K5755">
        <v>0</v>
      </c>
      <c r="L5755">
        <f t="shared" si="178"/>
        <v>5.6</v>
      </c>
      <c r="M5755">
        <f t="shared" si="179"/>
        <v>1</v>
      </c>
    </row>
    <row r="5756" spans="1:13" x14ac:dyDescent="0.3">
      <c r="A5756">
        <v>5754</v>
      </c>
      <c r="B5756">
        <v>5755</v>
      </c>
      <c r="C5756" t="s">
        <v>5834</v>
      </c>
      <c r="D5756">
        <v>2018</v>
      </c>
      <c r="F5756" t="s">
        <v>1574</v>
      </c>
      <c r="G5756">
        <v>0</v>
      </c>
      <c r="H5756">
        <v>0</v>
      </c>
      <c r="I5756">
        <v>1</v>
      </c>
      <c r="J5756">
        <v>0</v>
      </c>
      <c r="K5756">
        <v>0</v>
      </c>
      <c r="L5756">
        <f t="shared" si="178"/>
        <v>5.6</v>
      </c>
      <c r="M5756">
        <f t="shared" si="179"/>
        <v>1</v>
      </c>
    </row>
    <row r="5757" spans="1:13" x14ac:dyDescent="0.3">
      <c r="A5757">
        <v>5755</v>
      </c>
      <c r="B5757">
        <v>5756</v>
      </c>
      <c r="C5757" t="s">
        <v>5835</v>
      </c>
      <c r="D5757">
        <v>2016</v>
      </c>
      <c r="E5757" t="s">
        <v>22</v>
      </c>
      <c r="F5757" t="s">
        <v>1574</v>
      </c>
      <c r="G5757">
        <v>0</v>
      </c>
      <c r="H5757">
        <v>0</v>
      </c>
      <c r="I5757">
        <v>1</v>
      </c>
      <c r="J5757">
        <v>0</v>
      </c>
      <c r="K5757">
        <v>0</v>
      </c>
      <c r="L5757">
        <f t="shared" si="178"/>
        <v>5.6</v>
      </c>
      <c r="M5757">
        <f t="shared" si="179"/>
        <v>1</v>
      </c>
    </row>
    <row r="5758" spans="1:13" x14ac:dyDescent="0.3">
      <c r="A5758">
        <v>5756</v>
      </c>
      <c r="B5758">
        <v>5757</v>
      </c>
      <c r="C5758" t="s">
        <v>5836</v>
      </c>
      <c r="D5758">
        <v>2014</v>
      </c>
      <c r="F5758" t="s">
        <v>1574</v>
      </c>
      <c r="G5758">
        <v>0</v>
      </c>
      <c r="H5758">
        <v>0</v>
      </c>
      <c r="I5758">
        <v>1</v>
      </c>
      <c r="J5758">
        <v>0</v>
      </c>
      <c r="K5758">
        <v>0</v>
      </c>
      <c r="L5758">
        <f t="shared" si="178"/>
        <v>5.6</v>
      </c>
      <c r="M5758">
        <f t="shared" si="179"/>
        <v>1</v>
      </c>
    </row>
    <row r="5759" spans="1:13" x14ac:dyDescent="0.3">
      <c r="A5759">
        <v>5757</v>
      </c>
      <c r="B5759">
        <v>5758</v>
      </c>
      <c r="C5759" t="s">
        <v>5837</v>
      </c>
      <c r="D5759">
        <v>2018</v>
      </c>
      <c r="E5759" t="s">
        <v>11</v>
      </c>
      <c r="F5759" t="s">
        <v>1574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f t="shared" si="178"/>
        <v>5.6</v>
      </c>
      <c r="M5759">
        <f t="shared" si="179"/>
        <v>1</v>
      </c>
    </row>
    <row r="5760" spans="1:13" x14ac:dyDescent="0.3">
      <c r="A5760">
        <v>5758</v>
      </c>
      <c r="B5760">
        <v>5759</v>
      </c>
      <c r="C5760" t="s">
        <v>5838</v>
      </c>
      <c r="D5760">
        <v>2001</v>
      </c>
      <c r="E5760" t="s">
        <v>22</v>
      </c>
      <c r="F5760" t="s">
        <v>1574</v>
      </c>
      <c r="G5760">
        <v>0</v>
      </c>
      <c r="H5760">
        <v>0</v>
      </c>
      <c r="I5760">
        <v>1</v>
      </c>
      <c r="J5760">
        <v>0</v>
      </c>
      <c r="K5760">
        <v>0</v>
      </c>
      <c r="L5760">
        <f t="shared" si="178"/>
        <v>5.6</v>
      </c>
      <c r="M5760">
        <f t="shared" si="179"/>
        <v>1</v>
      </c>
    </row>
    <row r="5761" spans="1:13" x14ac:dyDescent="0.3">
      <c r="A5761">
        <v>5759</v>
      </c>
      <c r="B5761">
        <v>5760</v>
      </c>
      <c r="C5761" t="s">
        <v>5839</v>
      </c>
      <c r="D5761">
        <v>1983</v>
      </c>
      <c r="E5761" t="s">
        <v>11</v>
      </c>
      <c r="F5761" t="s">
        <v>1574</v>
      </c>
      <c r="G5761">
        <v>0</v>
      </c>
      <c r="H5761">
        <v>0</v>
      </c>
      <c r="I5761">
        <v>1</v>
      </c>
      <c r="J5761">
        <v>0</v>
      </c>
      <c r="K5761">
        <v>0</v>
      </c>
      <c r="L5761">
        <f t="shared" si="178"/>
        <v>5.6</v>
      </c>
      <c r="M5761">
        <f t="shared" si="179"/>
        <v>1</v>
      </c>
    </row>
    <row r="5762" spans="1:13" x14ac:dyDescent="0.3">
      <c r="A5762">
        <v>5760</v>
      </c>
      <c r="B5762">
        <v>5761</v>
      </c>
      <c r="C5762" t="s">
        <v>5840</v>
      </c>
      <c r="D5762">
        <v>2012</v>
      </c>
      <c r="E5762" t="s">
        <v>36</v>
      </c>
      <c r="F5762" t="s">
        <v>1574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f t="shared" si="178"/>
        <v>5.6</v>
      </c>
      <c r="M5762">
        <f t="shared" si="179"/>
        <v>1</v>
      </c>
    </row>
    <row r="5763" spans="1:13" x14ac:dyDescent="0.3">
      <c r="A5763">
        <v>5761</v>
      </c>
      <c r="B5763">
        <v>5762</v>
      </c>
      <c r="C5763" t="s">
        <v>5841</v>
      </c>
      <c r="D5763">
        <v>1958</v>
      </c>
      <c r="F5763" t="s">
        <v>1574</v>
      </c>
      <c r="G5763">
        <v>0</v>
      </c>
      <c r="H5763">
        <v>0</v>
      </c>
      <c r="I5763">
        <v>1</v>
      </c>
      <c r="J5763">
        <v>0</v>
      </c>
      <c r="K5763">
        <v>0</v>
      </c>
      <c r="L5763">
        <f t="shared" ref="L5763:L5826" si="180">IFERROR(VALUE(LEFT(F5763,FIND("/",F5763)-1))/10,"")</f>
        <v>5.6</v>
      </c>
      <c r="M5763">
        <f t="shared" ref="M5763:M5826" si="181">SUM(G5763:J5763)</f>
        <v>1</v>
      </c>
    </row>
    <row r="5764" spans="1:13" x14ac:dyDescent="0.3">
      <c r="A5764">
        <v>5762</v>
      </c>
      <c r="B5764">
        <v>5763</v>
      </c>
      <c r="C5764" t="s">
        <v>5842</v>
      </c>
      <c r="D5764">
        <v>2013</v>
      </c>
      <c r="E5764" t="s">
        <v>36</v>
      </c>
      <c r="F5764" t="s">
        <v>1574</v>
      </c>
      <c r="G5764">
        <v>0</v>
      </c>
      <c r="H5764">
        <v>0</v>
      </c>
      <c r="I5764">
        <v>1</v>
      </c>
      <c r="J5764">
        <v>1</v>
      </c>
      <c r="K5764">
        <v>0</v>
      </c>
      <c r="L5764">
        <f t="shared" si="180"/>
        <v>5.6</v>
      </c>
      <c r="M5764">
        <f t="shared" si="181"/>
        <v>2</v>
      </c>
    </row>
    <row r="5765" spans="1:13" x14ac:dyDescent="0.3">
      <c r="A5765">
        <v>5763</v>
      </c>
      <c r="B5765">
        <v>5764</v>
      </c>
      <c r="C5765" t="s">
        <v>5843</v>
      </c>
      <c r="D5765">
        <v>2010</v>
      </c>
      <c r="E5765" t="s">
        <v>14</v>
      </c>
      <c r="F5765" t="s">
        <v>1574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f t="shared" si="180"/>
        <v>5.6</v>
      </c>
      <c r="M5765">
        <f t="shared" si="181"/>
        <v>1</v>
      </c>
    </row>
    <row r="5766" spans="1:13" x14ac:dyDescent="0.3">
      <c r="A5766">
        <v>5764</v>
      </c>
      <c r="B5766">
        <v>5765</v>
      </c>
      <c r="C5766" t="s">
        <v>5844</v>
      </c>
      <c r="D5766">
        <v>2020</v>
      </c>
      <c r="F5766" t="s">
        <v>1574</v>
      </c>
      <c r="G5766">
        <v>0</v>
      </c>
      <c r="H5766">
        <v>0</v>
      </c>
      <c r="I5766">
        <v>1</v>
      </c>
      <c r="J5766">
        <v>0</v>
      </c>
      <c r="K5766">
        <v>0</v>
      </c>
      <c r="L5766">
        <f t="shared" si="180"/>
        <v>5.6</v>
      </c>
      <c r="M5766">
        <f t="shared" si="181"/>
        <v>1</v>
      </c>
    </row>
    <row r="5767" spans="1:13" x14ac:dyDescent="0.3">
      <c r="A5767">
        <v>5765</v>
      </c>
      <c r="B5767">
        <v>5766</v>
      </c>
      <c r="C5767" t="s">
        <v>5845</v>
      </c>
      <c r="D5767">
        <v>2015</v>
      </c>
      <c r="E5767" t="s">
        <v>22</v>
      </c>
      <c r="F5767" t="s">
        <v>1574</v>
      </c>
      <c r="G5767">
        <v>0</v>
      </c>
      <c r="H5767">
        <v>0</v>
      </c>
      <c r="I5767">
        <v>1</v>
      </c>
      <c r="J5767">
        <v>0</v>
      </c>
      <c r="K5767">
        <v>0</v>
      </c>
      <c r="L5767">
        <f t="shared" si="180"/>
        <v>5.6</v>
      </c>
      <c r="M5767">
        <f t="shared" si="181"/>
        <v>1</v>
      </c>
    </row>
    <row r="5768" spans="1:13" x14ac:dyDescent="0.3">
      <c r="A5768">
        <v>5766</v>
      </c>
      <c r="B5768">
        <v>5767</v>
      </c>
      <c r="C5768" t="s">
        <v>5846</v>
      </c>
      <c r="D5768">
        <v>1996</v>
      </c>
      <c r="F5768" t="s">
        <v>1574</v>
      </c>
      <c r="G5768">
        <v>0</v>
      </c>
      <c r="H5768">
        <v>0</v>
      </c>
      <c r="I5768">
        <v>1</v>
      </c>
      <c r="J5768">
        <v>0</v>
      </c>
      <c r="K5768">
        <v>0</v>
      </c>
      <c r="L5768">
        <f t="shared" si="180"/>
        <v>5.6</v>
      </c>
      <c r="M5768">
        <f t="shared" si="181"/>
        <v>1</v>
      </c>
    </row>
    <row r="5769" spans="1:13" x14ac:dyDescent="0.3">
      <c r="A5769">
        <v>5767</v>
      </c>
      <c r="B5769">
        <v>5768</v>
      </c>
      <c r="C5769" t="s">
        <v>5847</v>
      </c>
      <c r="D5769">
        <v>2007</v>
      </c>
      <c r="E5769" t="s">
        <v>22</v>
      </c>
      <c r="F5769" t="s">
        <v>1574</v>
      </c>
      <c r="G5769">
        <v>0</v>
      </c>
      <c r="H5769">
        <v>0</v>
      </c>
      <c r="I5769">
        <v>1</v>
      </c>
      <c r="J5769">
        <v>0</v>
      </c>
      <c r="K5769">
        <v>0</v>
      </c>
      <c r="L5769">
        <f t="shared" si="180"/>
        <v>5.6</v>
      </c>
      <c r="M5769">
        <f t="shared" si="181"/>
        <v>1</v>
      </c>
    </row>
    <row r="5770" spans="1:13" x14ac:dyDescent="0.3">
      <c r="A5770">
        <v>5768</v>
      </c>
      <c r="B5770">
        <v>5769</v>
      </c>
      <c r="C5770" t="s">
        <v>5848</v>
      </c>
      <c r="D5770">
        <v>2008</v>
      </c>
      <c r="E5770" t="s">
        <v>22</v>
      </c>
      <c r="F5770" t="s">
        <v>1574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f t="shared" si="180"/>
        <v>5.6</v>
      </c>
      <c r="M5770">
        <f t="shared" si="181"/>
        <v>1</v>
      </c>
    </row>
    <row r="5771" spans="1:13" x14ac:dyDescent="0.3">
      <c r="A5771">
        <v>5769</v>
      </c>
      <c r="B5771">
        <v>5770</v>
      </c>
      <c r="C5771" t="s">
        <v>5849</v>
      </c>
      <c r="D5771">
        <v>1975</v>
      </c>
      <c r="E5771" t="s">
        <v>14</v>
      </c>
      <c r="F5771" t="s">
        <v>1574</v>
      </c>
      <c r="G5771">
        <v>0</v>
      </c>
      <c r="H5771">
        <v>0</v>
      </c>
      <c r="I5771">
        <v>1</v>
      </c>
      <c r="J5771">
        <v>0</v>
      </c>
      <c r="K5771">
        <v>0</v>
      </c>
      <c r="L5771">
        <f t="shared" si="180"/>
        <v>5.6</v>
      </c>
      <c r="M5771">
        <f t="shared" si="181"/>
        <v>1</v>
      </c>
    </row>
    <row r="5772" spans="1:13" x14ac:dyDescent="0.3">
      <c r="A5772">
        <v>5770</v>
      </c>
      <c r="B5772">
        <v>5771</v>
      </c>
      <c r="C5772" t="s">
        <v>5850</v>
      </c>
      <c r="D5772">
        <v>2004</v>
      </c>
      <c r="F5772" t="s">
        <v>1574</v>
      </c>
      <c r="G5772">
        <v>0</v>
      </c>
      <c r="H5772">
        <v>0</v>
      </c>
      <c r="I5772">
        <v>1</v>
      </c>
      <c r="J5772">
        <v>0</v>
      </c>
      <c r="K5772">
        <v>0</v>
      </c>
      <c r="L5772">
        <f t="shared" si="180"/>
        <v>5.6</v>
      </c>
      <c r="M5772">
        <f t="shared" si="181"/>
        <v>1</v>
      </c>
    </row>
    <row r="5773" spans="1:13" x14ac:dyDescent="0.3">
      <c r="A5773">
        <v>5771</v>
      </c>
      <c r="B5773">
        <v>5772</v>
      </c>
      <c r="C5773" t="s">
        <v>5851</v>
      </c>
      <c r="D5773">
        <v>2010</v>
      </c>
      <c r="E5773" t="s">
        <v>11</v>
      </c>
      <c r="F5773" t="s">
        <v>1574</v>
      </c>
      <c r="G5773">
        <v>0</v>
      </c>
      <c r="H5773">
        <v>0</v>
      </c>
      <c r="I5773">
        <v>1</v>
      </c>
      <c r="J5773">
        <v>0</v>
      </c>
      <c r="K5773">
        <v>0</v>
      </c>
      <c r="L5773">
        <f t="shared" si="180"/>
        <v>5.6</v>
      </c>
      <c r="M5773">
        <f t="shared" si="181"/>
        <v>1</v>
      </c>
    </row>
    <row r="5774" spans="1:13" x14ac:dyDescent="0.3">
      <c r="A5774">
        <v>5772</v>
      </c>
      <c r="B5774">
        <v>5773</v>
      </c>
      <c r="C5774" t="s">
        <v>5852</v>
      </c>
      <c r="D5774">
        <v>2020</v>
      </c>
      <c r="E5774" t="s">
        <v>22</v>
      </c>
      <c r="F5774" t="s">
        <v>1574</v>
      </c>
      <c r="G5774">
        <v>0</v>
      </c>
      <c r="H5774">
        <v>0</v>
      </c>
      <c r="I5774">
        <v>1</v>
      </c>
      <c r="J5774">
        <v>0</v>
      </c>
      <c r="K5774">
        <v>0</v>
      </c>
      <c r="L5774">
        <f t="shared" si="180"/>
        <v>5.6</v>
      </c>
      <c r="M5774">
        <f t="shared" si="181"/>
        <v>1</v>
      </c>
    </row>
    <row r="5775" spans="1:13" x14ac:dyDescent="0.3">
      <c r="A5775">
        <v>5773</v>
      </c>
      <c r="B5775">
        <v>5774</v>
      </c>
      <c r="C5775" t="s">
        <v>5853</v>
      </c>
      <c r="D5775">
        <v>2013</v>
      </c>
      <c r="E5775" t="s">
        <v>14</v>
      </c>
      <c r="F5775" t="s">
        <v>1574</v>
      </c>
      <c r="G5775">
        <v>0</v>
      </c>
      <c r="H5775">
        <v>0</v>
      </c>
      <c r="I5775">
        <v>1</v>
      </c>
      <c r="J5775">
        <v>0</v>
      </c>
      <c r="K5775">
        <v>0</v>
      </c>
      <c r="L5775">
        <f t="shared" si="180"/>
        <v>5.6</v>
      </c>
      <c r="M5775">
        <f t="shared" si="181"/>
        <v>1</v>
      </c>
    </row>
    <row r="5776" spans="1:13" x14ac:dyDescent="0.3">
      <c r="A5776">
        <v>5774</v>
      </c>
      <c r="B5776">
        <v>5775</v>
      </c>
      <c r="C5776" t="s">
        <v>5854</v>
      </c>
      <c r="D5776">
        <v>2016</v>
      </c>
      <c r="E5776" t="s">
        <v>11</v>
      </c>
      <c r="F5776" t="s">
        <v>1574</v>
      </c>
      <c r="G5776">
        <v>0</v>
      </c>
      <c r="H5776">
        <v>0</v>
      </c>
      <c r="I5776">
        <v>1</v>
      </c>
      <c r="J5776">
        <v>0</v>
      </c>
      <c r="K5776">
        <v>0</v>
      </c>
      <c r="L5776">
        <f t="shared" si="180"/>
        <v>5.6</v>
      </c>
      <c r="M5776">
        <f t="shared" si="181"/>
        <v>1</v>
      </c>
    </row>
    <row r="5777" spans="1:13" x14ac:dyDescent="0.3">
      <c r="A5777">
        <v>5775</v>
      </c>
      <c r="B5777">
        <v>5776</v>
      </c>
      <c r="C5777" t="s">
        <v>5855</v>
      </c>
      <c r="D5777">
        <v>2017</v>
      </c>
      <c r="F5777" t="s">
        <v>1574</v>
      </c>
      <c r="G5777">
        <v>0</v>
      </c>
      <c r="H5777">
        <v>0</v>
      </c>
      <c r="I5777">
        <v>1</v>
      </c>
      <c r="J5777">
        <v>0</v>
      </c>
      <c r="K5777">
        <v>0</v>
      </c>
      <c r="L5777">
        <f t="shared" si="180"/>
        <v>5.6</v>
      </c>
      <c r="M5777">
        <f t="shared" si="181"/>
        <v>1</v>
      </c>
    </row>
    <row r="5778" spans="1:13" x14ac:dyDescent="0.3">
      <c r="A5778">
        <v>5776</v>
      </c>
      <c r="B5778">
        <v>5777</v>
      </c>
      <c r="C5778" t="s">
        <v>5856</v>
      </c>
      <c r="D5778">
        <v>1974</v>
      </c>
      <c r="E5778" t="s">
        <v>11</v>
      </c>
      <c r="F5778" t="s">
        <v>1574</v>
      </c>
      <c r="G5778">
        <v>0</v>
      </c>
      <c r="H5778">
        <v>0</v>
      </c>
      <c r="I5778">
        <v>1</v>
      </c>
      <c r="J5778">
        <v>0</v>
      </c>
      <c r="K5778">
        <v>0</v>
      </c>
      <c r="L5778">
        <f t="shared" si="180"/>
        <v>5.6</v>
      </c>
      <c r="M5778">
        <f t="shared" si="181"/>
        <v>1</v>
      </c>
    </row>
    <row r="5779" spans="1:13" x14ac:dyDescent="0.3">
      <c r="A5779">
        <v>5777</v>
      </c>
      <c r="B5779">
        <v>5778</v>
      </c>
      <c r="C5779" t="s">
        <v>5857</v>
      </c>
      <c r="D5779">
        <v>1959</v>
      </c>
      <c r="F5779" t="s">
        <v>1574</v>
      </c>
      <c r="G5779">
        <v>0</v>
      </c>
      <c r="H5779">
        <v>0</v>
      </c>
      <c r="I5779">
        <v>1</v>
      </c>
      <c r="J5779">
        <v>0</v>
      </c>
      <c r="K5779">
        <v>0</v>
      </c>
      <c r="L5779">
        <f t="shared" si="180"/>
        <v>5.6</v>
      </c>
      <c r="M5779">
        <f t="shared" si="181"/>
        <v>1</v>
      </c>
    </row>
    <row r="5780" spans="1:13" x14ac:dyDescent="0.3">
      <c r="A5780">
        <v>5778</v>
      </c>
      <c r="B5780">
        <v>5779</v>
      </c>
      <c r="C5780" t="s">
        <v>5858</v>
      </c>
      <c r="D5780">
        <v>2017</v>
      </c>
      <c r="E5780" t="s">
        <v>11</v>
      </c>
      <c r="F5780" t="s">
        <v>1574</v>
      </c>
      <c r="G5780">
        <v>0</v>
      </c>
      <c r="H5780">
        <v>0</v>
      </c>
      <c r="I5780">
        <v>1</v>
      </c>
      <c r="J5780">
        <v>0</v>
      </c>
      <c r="K5780">
        <v>0</v>
      </c>
      <c r="L5780">
        <f t="shared" si="180"/>
        <v>5.6</v>
      </c>
      <c r="M5780">
        <f t="shared" si="181"/>
        <v>1</v>
      </c>
    </row>
    <row r="5781" spans="1:13" x14ac:dyDescent="0.3">
      <c r="A5781">
        <v>5779</v>
      </c>
      <c r="B5781">
        <v>5780</v>
      </c>
      <c r="C5781" t="s">
        <v>5859</v>
      </c>
      <c r="D5781">
        <v>2008</v>
      </c>
      <c r="E5781" t="s">
        <v>14</v>
      </c>
      <c r="F5781" t="s">
        <v>1574</v>
      </c>
      <c r="G5781">
        <v>0</v>
      </c>
      <c r="H5781">
        <v>0</v>
      </c>
      <c r="I5781">
        <v>1</v>
      </c>
      <c r="J5781">
        <v>0</v>
      </c>
      <c r="K5781">
        <v>0</v>
      </c>
      <c r="L5781">
        <f t="shared" si="180"/>
        <v>5.6</v>
      </c>
      <c r="M5781">
        <f t="shared" si="181"/>
        <v>1</v>
      </c>
    </row>
    <row r="5782" spans="1:13" x14ac:dyDescent="0.3">
      <c r="A5782">
        <v>5780</v>
      </c>
      <c r="B5782">
        <v>5781</v>
      </c>
      <c r="C5782" t="s">
        <v>5860</v>
      </c>
      <c r="D5782">
        <v>2012</v>
      </c>
      <c r="E5782" t="s">
        <v>22</v>
      </c>
      <c r="F5782" t="s">
        <v>1574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f t="shared" si="180"/>
        <v>5.6</v>
      </c>
      <c r="M5782">
        <f t="shared" si="181"/>
        <v>1</v>
      </c>
    </row>
    <row r="5783" spans="1:13" x14ac:dyDescent="0.3">
      <c r="A5783">
        <v>5781</v>
      </c>
      <c r="B5783">
        <v>5782</v>
      </c>
      <c r="C5783" t="s">
        <v>5861</v>
      </c>
      <c r="D5783">
        <v>1993</v>
      </c>
      <c r="E5783" t="s">
        <v>11</v>
      </c>
      <c r="F5783" t="s">
        <v>1574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f t="shared" si="180"/>
        <v>5.6</v>
      </c>
      <c r="M5783">
        <f t="shared" si="181"/>
        <v>1</v>
      </c>
    </row>
    <row r="5784" spans="1:13" x14ac:dyDescent="0.3">
      <c r="A5784">
        <v>5782</v>
      </c>
      <c r="B5784">
        <v>5783</v>
      </c>
      <c r="C5784" t="s">
        <v>5862</v>
      </c>
      <c r="D5784">
        <v>2012</v>
      </c>
      <c r="E5784" t="s">
        <v>11</v>
      </c>
      <c r="F5784" t="s">
        <v>1574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f t="shared" si="180"/>
        <v>5.6</v>
      </c>
      <c r="M5784">
        <f t="shared" si="181"/>
        <v>1</v>
      </c>
    </row>
    <row r="5785" spans="1:13" x14ac:dyDescent="0.3">
      <c r="A5785">
        <v>5783</v>
      </c>
      <c r="B5785">
        <v>5784</v>
      </c>
      <c r="C5785" t="s">
        <v>5863</v>
      </c>
      <c r="D5785">
        <v>2002</v>
      </c>
      <c r="E5785" t="s">
        <v>22</v>
      </c>
      <c r="F5785" t="s">
        <v>1574</v>
      </c>
      <c r="G5785">
        <v>0</v>
      </c>
      <c r="H5785">
        <v>0</v>
      </c>
      <c r="I5785">
        <v>1</v>
      </c>
      <c r="J5785">
        <v>0</v>
      </c>
      <c r="K5785">
        <v>0</v>
      </c>
      <c r="L5785">
        <f t="shared" si="180"/>
        <v>5.6</v>
      </c>
      <c r="M5785">
        <f t="shared" si="181"/>
        <v>1</v>
      </c>
    </row>
    <row r="5786" spans="1:13" x14ac:dyDescent="0.3">
      <c r="A5786">
        <v>5784</v>
      </c>
      <c r="B5786">
        <v>5785</v>
      </c>
      <c r="C5786" t="s">
        <v>5864</v>
      </c>
      <c r="D5786">
        <v>2003</v>
      </c>
      <c r="E5786" t="s">
        <v>11</v>
      </c>
      <c r="F5786" t="s">
        <v>1574</v>
      </c>
      <c r="G5786">
        <v>0</v>
      </c>
      <c r="H5786">
        <v>0</v>
      </c>
      <c r="I5786">
        <v>1</v>
      </c>
      <c r="J5786">
        <v>0</v>
      </c>
      <c r="K5786">
        <v>0</v>
      </c>
      <c r="L5786">
        <f t="shared" si="180"/>
        <v>5.6</v>
      </c>
      <c r="M5786">
        <f t="shared" si="181"/>
        <v>1</v>
      </c>
    </row>
    <row r="5787" spans="1:13" x14ac:dyDescent="0.3">
      <c r="A5787">
        <v>5785</v>
      </c>
      <c r="B5787">
        <v>5786</v>
      </c>
      <c r="C5787" t="s">
        <v>5865</v>
      </c>
      <c r="D5787">
        <v>2014</v>
      </c>
      <c r="F5787" t="s">
        <v>1574</v>
      </c>
      <c r="G5787">
        <v>0</v>
      </c>
      <c r="H5787">
        <v>0</v>
      </c>
      <c r="I5787">
        <v>1</v>
      </c>
      <c r="J5787">
        <v>0</v>
      </c>
      <c r="K5787">
        <v>0</v>
      </c>
      <c r="L5787">
        <f t="shared" si="180"/>
        <v>5.6</v>
      </c>
      <c r="M5787">
        <f t="shared" si="181"/>
        <v>1</v>
      </c>
    </row>
    <row r="5788" spans="1:13" x14ac:dyDescent="0.3">
      <c r="A5788">
        <v>5786</v>
      </c>
      <c r="B5788">
        <v>5787</v>
      </c>
      <c r="C5788" t="s">
        <v>5866</v>
      </c>
      <c r="D5788">
        <v>2013</v>
      </c>
      <c r="E5788" t="s">
        <v>11</v>
      </c>
      <c r="F5788" t="s">
        <v>1574</v>
      </c>
      <c r="G5788">
        <v>0</v>
      </c>
      <c r="H5788">
        <v>0</v>
      </c>
      <c r="I5788">
        <v>1</v>
      </c>
      <c r="J5788">
        <v>0</v>
      </c>
      <c r="K5788">
        <v>0</v>
      </c>
      <c r="L5788">
        <f t="shared" si="180"/>
        <v>5.6</v>
      </c>
      <c r="M5788">
        <f t="shared" si="181"/>
        <v>1</v>
      </c>
    </row>
    <row r="5789" spans="1:13" x14ac:dyDescent="0.3">
      <c r="A5789">
        <v>5787</v>
      </c>
      <c r="B5789">
        <v>5788</v>
      </c>
      <c r="C5789" t="s">
        <v>5867</v>
      </c>
      <c r="D5789">
        <v>2012</v>
      </c>
      <c r="E5789" t="s">
        <v>22</v>
      </c>
      <c r="F5789" t="s">
        <v>1574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f t="shared" si="180"/>
        <v>5.6</v>
      </c>
      <c r="M5789">
        <f t="shared" si="181"/>
        <v>1</v>
      </c>
    </row>
    <row r="5790" spans="1:13" x14ac:dyDescent="0.3">
      <c r="A5790">
        <v>5788</v>
      </c>
      <c r="B5790">
        <v>5789</v>
      </c>
      <c r="C5790" t="s">
        <v>5868</v>
      </c>
      <c r="D5790">
        <v>2008</v>
      </c>
      <c r="E5790" t="s">
        <v>11</v>
      </c>
      <c r="F5790" t="s">
        <v>1574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f t="shared" si="180"/>
        <v>5.6</v>
      </c>
      <c r="M5790">
        <f t="shared" si="181"/>
        <v>1</v>
      </c>
    </row>
    <row r="5791" spans="1:13" x14ac:dyDescent="0.3">
      <c r="A5791">
        <v>5789</v>
      </c>
      <c r="B5791">
        <v>5790</v>
      </c>
      <c r="C5791" t="s">
        <v>5869</v>
      </c>
      <c r="D5791">
        <v>1985</v>
      </c>
      <c r="E5791" t="s">
        <v>14</v>
      </c>
      <c r="F5791" t="s">
        <v>1574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f t="shared" si="180"/>
        <v>5.6</v>
      </c>
      <c r="M5791">
        <f t="shared" si="181"/>
        <v>1</v>
      </c>
    </row>
    <row r="5792" spans="1:13" x14ac:dyDescent="0.3">
      <c r="A5792">
        <v>5790</v>
      </c>
      <c r="B5792">
        <v>5791</v>
      </c>
      <c r="C5792" t="s">
        <v>5870</v>
      </c>
      <c r="D5792">
        <v>2015</v>
      </c>
      <c r="F5792" t="s">
        <v>1574</v>
      </c>
      <c r="G5792">
        <v>0</v>
      </c>
      <c r="H5792">
        <v>0</v>
      </c>
      <c r="I5792">
        <v>1</v>
      </c>
      <c r="J5792">
        <v>0</v>
      </c>
      <c r="K5792">
        <v>0</v>
      </c>
      <c r="L5792">
        <f t="shared" si="180"/>
        <v>5.6</v>
      </c>
      <c r="M5792">
        <f t="shared" si="181"/>
        <v>1</v>
      </c>
    </row>
    <row r="5793" spans="1:13" x14ac:dyDescent="0.3">
      <c r="A5793">
        <v>5791</v>
      </c>
      <c r="B5793">
        <v>5792</v>
      </c>
      <c r="C5793" t="s">
        <v>5871</v>
      </c>
      <c r="D5793">
        <v>2016</v>
      </c>
      <c r="F5793" t="s">
        <v>1574</v>
      </c>
      <c r="G5793">
        <v>0</v>
      </c>
      <c r="H5793">
        <v>0</v>
      </c>
      <c r="I5793">
        <v>1</v>
      </c>
      <c r="J5793">
        <v>0</v>
      </c>
      <c r="K5793">
        <v>0</v>
      </c>
      <c r="L5793">
        <f t="shared" si="180"/>
        <v>5.6</v>
      </c>
      <c r="M5793">
        <f t="shared" si="181"/>
        <v>1</v>
      </c>
    </row>
    <row r="5794" spans="1:13" x14ac:dyDescent="0.3">
      <c r="A5794">
        <v>5792</v>
      </c>
      <c r="B5794">
        <v>5793</v>
      </c>
      <c r="C5794" t="s">
        <v>5872</v>
      </c>
      <c r="D5794">
        <v>2008</v>
      </c>
      <c r="E5794" t="s">
        <v>11</v>
      </c>
      <c r="F5794" t="s">
        <v>1574</v>
      </c>
      <c r="G5794">
        <v>0</v>
      </c>
      <c r="H5794">
        <v>0</v>
      </c>
      <c r="I5794">
        <v>1</v>
      </c>
      <c r="J5794">
        <v>0</v>
      </c>
      <c r="K5794">
        <v>0</v>
      </c>
      <c r="L5794">
        <f t="shared" si="180"/>
        <v>5.6</v>
      </c>
      <c r="M5794">
        <f t="shared" si="181"/>
        <v>1</v>
      </c>
    </row>
    <row r="5795" spans="1:13" x14ac:dyDescent="0.3">
      <c r="A5795">
        <v>5793</v>
      </c>
      <c r="B5795">
        <v>5794</v>
      </c>
      <c r="C5795" t="s">
        <v>5873</v>
      </c>
      <c r="D5795">
        <v>2013</v>
      </c>
      <c r="E5795" t="s">
        <v>36</v>
      </c>
      <c r="F5795" t="s">
        <v>1574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f t="shared" si="180"/>
        <v>5.6</v>
      </c>
      <c r="M5795">
        <f t="shared" si="181"/>
        <v>1</v>
      </c>
    </row>
    <row r="5796" spans="1:13" x14ac:dyDescent="0.3">
      <c r="A5796">
        <v>5794</v>
      </c>
      <c r="B5796">
        <v>5795</v>
      </c>
      <c r="C5796" t="s">
        <v>5874</v>
      </c>
      <c r="D5796">
        <v>2008</v>
      </c>
      <c r="E5796" t="s">
        <v>11</v>
      </c>
      <c r="F5796" t="s">
        <v>1574</v>
      </c>
      <c r="G5796">
        <v>0</v>
      </c>
      <c r="H5796">
        <v>0</v>
      </c>
      <c r="I5796">
        <v>1</v>
      </c>
      <c r="J5796">
        <v>0</v>
      </c>
      <c r="K5796">
        <v>0</v>
      </c>
      <c r="L5796">
        <f t="shared" si="180"/>
        <v>5.6</v>
      </c>
      <c r="M5796">
        <f t="shared" si="181"/>
        <v>1</v>
      </c>
    </row>
    <row r="5797" spans="1:13" x14ac:dyDescent="0.3">
      <c r="A5797">
        <v>5795</v>
      </c>
      <c r="B5797">
        <v>5796</v>
      </c>
      <c r="C5797" t="s">
        <v>5875</v>
      </c>
      <c r="D5797">
        <v>2018</v>
      </c>
      <c r="E5797" t="s">
        <v>28</v>
      </c>
      <c r="F5797" t="s">
        <v>1574</v>
      </c>
      <c r="G5797">
        <v>0</v>
      </c>
      <c r="H5797">
        <v>0</v>
      </c>
      <c r="I5797">
        <v>1</v>
      </c>
      <c r="J5797">
        <v>0</v>
      </c>
      <c r="K5797">
        <v>0</v>
      </c>
      <c r="L5797">
        <f t="shared" si="180"/>
        <v>5.6</v>
      </c>
      <c r="M5797">
        <f t="shared" si="181"/>
        <v>1</v>
      </c>
    </row>
    <row r="5798" spans="1:13" x14ac:dyDescent="0.3">
      <c r="A5798">
        <v>5796</v>
      </c>
      <c r="B5798">
        <v>5797</v>
      </c>
      <c r="C5798" t="s">
        <v>5876</v>
      </c>
      <c r="D5798">
        <v>2008</v>
      </c>
      <c r="F5798" t="s">
        <v>1574</v>
      </c>
      <c r="G5798">
        <v>0</v>
      </c>
      <c r="H5798">
        <v>0</v>
      </c>
      <c r="I5798">
        <v>1</v>
      </c>
      <c r="J5798">
        <v>0</v>
      </c>
      <c r="K5798">
        <v>0</v>
      </c>
      <c r="L5798">
        <f t="shared" si="180"/>
        <v>5.6</v>
      </c>
      <c r="M5798">
        <f t="shared" si="181"/>
        <v>1</v>
      </c>
    </row>
    <row r="5799" spans="1:13" x14ac:dyDescent="0.3">
      <c r="A5799">
        <v>5797</v>
      </c>
      <c r="B5799">
        <v>5798</v>
      </c>
      <c r="C5799" t="s">
        <v>5877</v>
      </c>
      <c r="D5799">
        <v>2012</v>
      </c>
      <c r="E5799" t="s">
        <v>14</v>
      </c>
      <c r="F5799" t="s">
        <v>1574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f t="shared" si="180"/>
        <v>5.6</v>
      </c>
      <c r="M5799">
        <f t="shared" si="181"/>
        <v>1</v>
      </c>
    </row>
    <row r="5800" spans="1:13" x14ac:dyDescent="0.3">
      <c r="A5800">
        <v>5798</v>
      </c>
      <c r="B5800">
        <v>5799</v>
      </c>
      <c r="C5800" t="s">
        <v>5878</v>
      </c>
      <c r="D5800">
        <v>1941</v>
      </c>
      <c r="F5800" t="s">
        <v>1574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f t="shared" si="180"/>
        <v>5.6</v>
      </c>
      <c r="M5800">
        <f t="shared" si="181"/>
        <v>1</v>
      </c>
    </row>
    <row r="5801" spans="1:13" x14ac:dyDescent="0.3">
      <c r="A5801">
        <v>5799</v>
      </c>
      <c r="B5801">
        <v>5800</v>
      </c>
      <c r="C5801" t="s">
        <v>5879</v>
      </c>
      <c r="D5801">
        <v>1989</v>
      </c>
      <c r="E5801" t="s">
        <v>11</v>
      </c>
      <c r="F5801" t="s">
        <v>1574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f t="shared" si="180"/>
        <v>5.6</v>
      </c>
      <c r="M5801">
        <f t="shared" si="181"/>
        <v>1</v>
      </c>
    </row>
    <row r="5802" spans="1:13" x14ac:dyDescent="0.3">
      <c r="A5802">
        <v>5800</v>
      </c>
      <c r="B5802">
        <v>5801</v>
      </c>
      <c r="C5802" t="s">
        <v>5880</v>
      </c>
      <c r="D5802">
        <v>2018</v>
      </c>
      <c r="F5802" t="s">
        <v>1574</v>
      </c>
      <c r="G5802">
        <v>0</v>
      </c>
      <c r="H5802">
        <v>0</v>
      </c>
      <c r="I5802">
        <v>1</v>
      </c>
      <c r="J5802">
        <v>0</v>
      </c>
      <c r="K5802">
        <v>0</v>
      </c>
      <c r="L5802">
        <f t="shared" si="180"/>
        <v>5.6</v>
      </c>
      <c r="M5802">
        <f t="shared" si="181"/>
        <v>1</v>
      </c>
    </row>
    <row r="5803" spans="1:13" x14ac:dyDescent="0.3">
      <c r="A5803">
        <v>5801</v>
      </c>
      <c r="B5803">
        <v>5802</v>
      </c>
      <c r="C5803" t="s">
        <v>5881</v>
      </c>
      <c r="D5803">
        <v>2013</v>
      </c>
      <c r="E5803" t="s">
        <v>28</v>
      </c>
      <c r="F5803" t="s">
        <v>1574</v>
      </c>
      <c r="G5803">
        <v>0</v>
      </c>
      <c r="H5803">
        <v>0</v>
      </c>
      <c r="I5803">
        <v>1</v>
      </c>
      <c r="J5803">
        <v>0</v>
      </c>
      <c r="K5803">
        <v>0</v>
      </c>
      <c r="L5803">
        <f t="shared" si="180"/>
        <v>5.6</v>
      </c>
      <c r="M5803">
        <f t="shared" si="181"/>
        <v>1</v>
      </c>
    </row>
    <row r="5804" spans="1:13" x14ac:dyDescent="0.3">
      <c r="A5804">
        <v>5802</v>
      </c>
      <c r="B5804">
        <v>5803</v>
      </c>
      <c r="C5804" t="s">
        <v>5882</v>
      </c>
      <c r="D5804">
        <v>1936</v>
      </c>
      <c r="F5804" t="s">
        <v>1574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f t="shared" si="180"/>
        <v>5.6</v>
      </c>
      <c r="M5804">
        <f t="shared" si="181"/>
        <v>1</v>
      </c>
    </row>
    <row r="5805" spans="1:13" x14ac:dyDescent="0.3">
      <c r="A5805">
        <v>5803</v>
      </c>
      <c r="B5805">
        <v>5804</v>
      </c>
      <c r="C5805" t="s">
        <v>5883</v>
      </c>
      <c r="D5805">
        <v>2009</v>
      </c>
      <c r="E5805" t="s">
        <v>11</v>
      </c>
      <c r="F5805" t="s">
        <v>1574</v>
      </c>
      <c r="G5805">
        <v>0</v>
      </c>
      <c r="H5805">
        <v>0</v>
      </c>
      <c r="I5805">
        <v>1</v>
      </c>
      <c r="J5805">
        <v>0</v>
      </c>
      <c r="K5805">
        <v>0</v>
      </c>
      <c r="L5805">
        <f t="shared" si="180"/>
        <v>5.6</v>
      </c>
      <c r="M5805">
        <f t="shared" si="181"/>
        <v>1</v>
      </c>
    </row>
    <row r="5806" spans="1:13" x14ac:dyDescent="0.3">
      <c r="A5806">
        <v>5804</v>
      </c>
      <c r="B5806">
        <v>5805</v>
      </c>
      <c r="C5806" t="s">
        <v>5884</v>
      </c>
      <c r="D5806">
        <v>1984</v>
      </c>
      <c r="E5806" t="s">
        <v>11</v>
      </c>
      <c r="F5806" t="s">
        <v>1574</v>
      </c>
      <c r="G5806">
        <v>0</v>
      </c>
      <c r="H5806">
        <v>0</v>
      </c>
      <c r="I5806">
        <v>1</v>
      </c>
      <c r="J5806">
        <v>0</v>
      </c>
      <c r="K5806">
        <v>0</v>
      </c>
      <c r="L5806">
        <f t="shared" si="180"/>
        <v>5.6</v>
      </c>
      <c r="M5806">
        <f t="shared" si="181"/>
        <v>1</v>
      </c>
    </row>
    <row r="5807" spans="1:13" x14ac:dyDescent="0.3">
      <c r="A5807">
        <v>5805</v>
      </c>
      <c r="B5807">
        <v>5806</v>
      </c>
      <c r="C5807" t="s">
        <v>5885</v>
      </c>
      <c r="D5807">
        <v>2018</v>
      </c>
      <c r="E5807" t="s">
        <v>11</v>
      </c>
      <c r="F5807" t="s">
        <v>1574</v>
      </c>
      <c r="G5807">
        <v>0</v>
      </c>
      <c r="H5807">
        <v>0</v>
      </c>
      <c r="I5807">
        <v>1</v>
      </c>
      <c r="J5807">
        <v>0</v>
      </c>
      <c r="K5807">
        <v>0</v>
      </c>
      <c r="L5807">
        <f t="shared" si="180"/>
        <v>5.6</v>
      </c>
      <c r="M5807">
        <f t="shared" si="181"/>
        <v>1</v>
      </c>
    </row>
    <row r="5808" spans="1:13" x14ac:dyDescent="0.3">
      <c r="A5808">
        <v>5806</v>
      </c>
      <c r="B5808">
        <v>5807</v>
      </c>
      <c r="C5808" t="s">
        <v>5886</v>
      </c>
      <c r="D5808">
        <v>2013</v>
      </c>
      <c r="E5808" t="s">
        <v>11</v>
      </c>
      <c r="F5808" t="s">
        <v>1574</v>
      </c>
      <c r="G5808">
        <v>0</v>
      </c>
      <c r="H5808">
        <v>0</v>
      </c>
      <c r="I5808">
        <v>1</v>
      </c>
      <c r="J5808">
        <v>0</v>
      </c>
      <c r="K5808">
        <v>0</v>
      </c>
      <c r="L5808">
        <f t="shared" si="180"/>
        <v>5.6</v>
      </c>
      <c r="M5808">
        <f t="shared" si="181"/>
        <v>1</v>
      </c>
    </row>
    <row r="5809" spans="1:13" x14ac:dyDescent="0.3">
      <c r="A5809">
        <v>5807</v>
      </c>
      <c r="B5809">
        <v>5808</v>
      </c>
      <c r="C5809" t="s">
        <v>5887</v>
      </c>
      <c r="D5809">
        <v>2011</v>
      </c>
      <c r="E5809" t="s">
        <v>22</v>
      </c>
      <c r="F5809" t="s">
        <v>1574</v>
      </c>
      <c r="G5809">
        <v>0</v>
      </c>
      <c r="H5809">
        <v>0</v>
      </c>
      <c r="I5809">
        <v>1</v>
      </c>
      <c r="J5809">
        <v>0</v>
      </c>
      <c r="K5809">
        <v>0</v>
      </c>
      <c r="L5809">
        <f t="shared" si="180"/>
        <v>5.6</v>
      </c>
      <c r="M5809">
        <f t="shared" si="181"/>
        <v>1</v>
      </c>
    </row>
    <row r="5810" spans="1:13" x14ac:dyDescent="0.3">
      <c r="A5810">
        <v>5808</v>
      </c>
      <c r="B5810">
        <v>5809</v>
      </c>
      <c r="C5810" t="s">
        <v>5888</v>
      </c>
      <c r="D5810">
        <v>2007</v>
      </c>
      <c r="E5810" t="s">
        <v>22</v>
      </c>
      <c r="F5810" t="s">
        <v>1574</v>
      </c>
      <c r="G5810">
        <v>0</v>
      </c>
      <c r="H5810">
        <v>0</v>
      </c>
      <c r="I5810">
        <v>1</v>
      </c>
      <c r="J5810">
        <v>0</v>
      </c>
      <c r="K5810">
        <v>0</v>
      </c>
      <c r="L5810">
        <f t="shared" si="180"/>
        <v>5.6</v>
      </c>
      <c r="M5810">
        <f t="shared" si="181"/>
        <v>1</v>
      </c>
    </row>
    <row r="5811" spans="1:13" x14ac:dyDescent="0.3">
      <c r="A5811">
        <v>5809</v>
      </c>
      <c r="B5811">
        <v>5810</v>
      </c>
      <c r="C5811" t="s">
        <v>5889</v>
      </c>
      <c r="D5811">
        <v>2011</v>
      </c>
      <c r="E5811" t="s">
        <v>22</v>
      </c>
      <c r="F5811" t="s">
        <v>1574</v>
      </c>
      <c r="G5811">
        <v>0</v>
      </c>
      <c r="H5811">
        <v>0</v>
      </c>
      <c r="I5811">
        <v>1</v>
      </c>
      <c r="J5811">
        <v>0</v>
      </c>
      <c r="K5811">
        <v>0</v>
      </c>
      <c r="L5811">
        <f t="shared" si="180"/>
        <v>5.6</v>
      </c>
      <c r="M5811">
        <f t="shared" si="181"/>
        <v>1</v>
      </c>
    </row>
    <row r="5812" spans="1:13" x14ac:dyDescent="0.3">
      <c r="A5812">
        <v>5810</v>
      </c>
      <c r="B5812">
        <v>5811</v>
      </c>
      <c r="C5812" t="s">
        <v>5890</v>
      </c>
      <c r="D5812">
        <v>1989</v>
      </c>
      <c r="E5812" t="s">
        <v>11</v>
      </c>
      <c r="F5812" t="s">
        <v>1574</v>
      </c>
      <c r="G5812">
        <v>0</v>
      </c>
      <c r="H5812">
        <v>0</v>
      </c>
      <c r="I5812">
        <v>1</v>
      </c>
      <c r="J5812">
        <v>0</v>
      </c>
      <c r="K5812">
        <v>0</v>
      </c>
      <c r="L5812">
        <f t="shared" si="180"/>
        <v>5.6</v>
      </c>
      <c r="M5812">
        <f t="shared" si="181"/>
        <v>1</v>
      </c>
    </row>
    <row r="5813" spans="1:13" x14ac:dyDescent="0.3">
      <c r="A5813">
        <v>5811</v>
      </c>
      <c r="B5813">
        <v>5812</v>
      </c>
      <c r="C5813" t="s">
        <v>5891</v>
      </c>
      <c r="D5813">
        <v>1987</v>
      </c>
      <c r="E5813" t="s">
        <v>22</v>
      </c>
      <c r="F5813" t="s">
        <v>1574</v>
      </c>
      <c r="G5813">
        <v>0</v>
      </c>
      <c r="H5813">
        <v>0</v>
      </c>
      <c r="I5813">
        <v>1</v>
      </c>
      <c r="J5813">
        <v>0</v>
      </c>
      <c r="K5813">
        <v>0</v>
      </c>
      <c r="L5813">
        <f t="shared" si="180"/>
        <v>5.6</v>
      </c>
      <c r="M5813">
        <f t="shared" si="181"/>
        <v>1</v>
      </c>
    </row>
    <row r="5814" spans="1:13" x14ac:dyDescent="0.3">
      <c r="A5814">
        <v>5812</v>
      </c>
      <c r="B5814">
        <v>5813</v>
      </c>
      <c r="C5814" t="s">
        <v>5892</v>
      </c>
      <c r="D5814">
        <v>2009</v>
      </c>
      <c r="E5814" t="s">
        <v>11</v>
      </c>
      <c r="F5814" t="s">
        <v>1574</v>
      </c>
      <c r="G5814">
        <v>0</v>
      </c>
      <c r="H5814">
        <v>0</v>
      </c>
      <c r="I5814">
        <v>1</v>
      </c>
      <c r="J5814">
        <v>0</v>
      </c>
      <c r="K5814">
        <v>0</v>
      </c>
      <c r="L5814">
        <f t="shared" si="180"/>
        <v>5.6</v>
      </c>
      <c r="M5814">
        <f t="shared" si="181"/>
        <v>1</v>
      </c>
    </row>
    <row r="5815" spans="1:13" x14ac:dyDescent="0.3">
      <c r="A5815">
        <v>5813</v>
      </c>
      <c r="B5815">
        <v>5814</v>
      </c>
      <c r="C5815" t="s">
        <v>5893</v>
      </c>
      <c r="D5815">
        <v>1983</v>
      </c>
      <c r="E5815" t="s">
        <v>11</v>
      </c>
      <c r="F5815" t="s">
        <v>1574</v>
      </c>
      <c r="G5815">
        <v>0</v>
      </c>
      <c r="H5815">
        <v>0</v>
      </c>
      <c r="I5815">
        <v>1</v>
      </c>
      <c r="J5815">
        <v>0</v>
      </c>
      <c r="K5815">
        <v>0</v>
      </c>
      <c r="L5815">
        <f t="shared" si="180"/>
        <v>5.6</v>
      </c>
      <c r="M5815">
        <f t="shared" si="181"/>
        <v>1</v>
      </c>
    </row>
    <row r="5816" spans="1:13" x14ac:dyDescent="0.3">
      <c r="A5816">
        <v>5814</v>
      </c>
      <c r="B5816">
        <v>5815</v>
      </c>
      <c r="C5816" t="s">
        <v>5894</v>
      </c>
      <c r="D5816">
        <v>2005</v>
      </c>
      <c r="E5816" t="s">
        <v>11</v>
      </c>
      <c r="F5816" t="s">
        <v>1574</v>
      </c>
      <c r="G5816">
        <v>0</v>
      </c>
      <c r="H5816">
        <v>0</v>
      </c>
      <c r="I5816">
        <v>1</v>
      </c>
      <c r="J5816">
        <v>0</v>
      </c>
      <c r="K5816">
        <v>0</v>
      </c>
      <c r="L5816">
        <f t="shared" si="180"/>
        <v>5.6</v>
      </c>
      <c r="M5816">
        <f t="shared" si="181"/>
        <v>1</v>
      </c>
    </row>
    <row r="5817" spans="1:13" x14ac:dyDescent="0.3">
      <c r="A5817">
        <v>5815</v>
      </c>
      <c r="B5817">
        <v>5816</v>
      </c>
      <c r="C5817" t="s">
        <v>5895</v>
      </c>
      <c r="D5817">
        <v>2014</v>
      </c>
      <c r="E5817" t="s">
        <v>11</v>
      </c>
      <c r="F5817" t="s">
        <v>1574</v>
      </c>
      <c r="G5817">
        <v>0</v>
      </c>
      <c r="H5817">
        <v>0</v>
      </c>
      <c r="I5817">
        <v>1</v>
      </c>
      <c r="J5817">
        <v>0</v>
      </c>
      <c r="K5817">
        <v>0</v>
      </c>
      <c r="L5817">
        <f t="shared" si="180"/>
        <v>5.6</v>
      </c>
      <c r="M5817">
        <f t="shared" si="181"/>
        <v>1</v>
      </c>
    </row>
    <row r="5818" spans="1:13" x14ac:dyDescent="0.3">
      <c r="A5818">
        <v>5816</v>
      </c>
      <c r="B5818">
        <v>5817</v>
      </c>
      <c r="C5818" t="s">
        <v>5896</v>
      </c>
      <c r="D5818">
        <v>2015</v>
      </c>
      <c r="F5818" t="s">
        <v>1574</v>
      </c>
      <c r="G5818">
        <v>0</v>
      </c>
      <c r="H5818">
        <v>0</v>
      </c>
      <c r="I5818">
        <v>1</v>
      </c>
      <c r="J5818">
        <v>0</v>
      </c>
      <c r="K5818">
        <v>0</v>
      </c>
      <c r="L5818">
        <f t="shared" si="180"/>
        <v>5.6</v>
      </c>
      <c r="M5818">
        <f t="shared" si="181"/>
        <v>1</v>
      </c>
    </row>
    <row r="5819" spans="1:13" x14ac:dyDescent="0.3">
      <c r="A5819">
        <v>5817</v>
      </c>
      <c r="B5819">
        <v>5818</v>
      </c>
      <c r="C5819" t="s">
        <v>5897</v>
      </c>
      <c r="D5819">
        <v>2016</v>
      </c>
      <c r="E5819" t="s">
        <v>11</v>
      </c>
      <c r="F5819" t="s">
        <v>1574</v>
      </c>
      <c r="G5819">
        <v>0</v>
      </c>
      <c r="H5819">
        <v>0</v>
      </c>
      <c r="I5819">
        <v>1</v>
      </c>
      <c r="J5819">
        <v>0</v>
      </c>
      <c r="K5819">
        <v>0</v>
      </c>
      <c r="L5819">
        <f t="shared" si="180"/>
        <v>5.6</v>
      </c>
      <c r="M5819">
        <f t="shared" si="181"/>
        <v>1</v>
      </c>
    </row>
    <row r="5820" spans="1:13" x14ac:dyDescent="0.3">
      <c r="A5820">
        <v>5818</v>
      </c>
      <c r="B5820">
        <v>5819</v>
      </c>
      <c r="C5820" t="s">
        <v>5898</v>
      </c>
      <c r="D5820">
        <v>1994</v>
      </c>
      <c r="E5820" t="s">
        <v>11</v>
      </c>
      <c r="F5820" t="s">
        <v>1574</v>
      </c>
      <c r="G5820">
        <v>0</v>
      </c>
      <c r="H5820">
        <v>0</v>
      </c>
      <c r="I5820">
        <v>1</v>
      </c>
      <c r="J5820">
        <v>0</v>
      </c>
      <c r="K5820">
        <v>0</v>
      </c>
      <c r="L5820">
        <f t="shared" si="180"/>
        <v>5.6</v>
      </c>
      <c r="M5820">
        <f t="shared" si="181"/>
        <v>1</v>
      </c>
    </row>
    <row r="5821" spans="1:13" x14ac:dyDescent="0.3">
      <c r="A5821">
        <v>5819</v>
      </c>
      <c r="B5821">
        <v>5820</v>
      </c>
      <c r="C5821" t="s">
        <v>5899</v>
      </c>
      <c r="D5821">
        <v>2019</v>
      </c>
      <c r="E5821" t="s">
        <v>14</v>
      </c>
      <c r="F5821" t="s">
        <v>1574</v>
      </c>
      <c r="G5821">
        <v>0</v>
      </c>
      <c r="H5821">
        <v>0</v>
      </c>
      <c r="I5821">
        <v>1</v>
      </c>
      <c r="J5821">
        <v>0</v>
      </c>
      <c r="K5821">
        <v>0</v>
      </c>
      <c r="L5821">
        <f t="shared" si="180"/>
        <v>5.6</v>
      </c>
      <c r="M5821">
        <f t="shared" si="181"/>
        <v>1</v>
      </c>
    </row>
    <row r="5822" spans="1:13" x14ac:dyDescent="0.3">
      <c r="A5822">
        <v>5820</v>
      </c>
      <c r="B5822">
        <v>5821</v>
      </c>
      <c r="C5822" t="s">
        <v>5900</v>
      </c>
      <c r="D5822">
        <v>2017</v>
      </c>
      <c r="E5822" t="s">
        <v>14</v>
      </c>
      <c r="F5822" t="s">
        <v>1574</v>
      </c>
      <c r="G5822">
        <v>0</v>
      </c>
      <c r="H5822">
        <v>0</v>
      </c>
      <c r="I5822">
        <v>1</v>
      </c>
      <c r="J5822">
        <v>0</v>
      </c>
      <c r="K5822">
        <v>0</v>
      </c>
      <c r="L5822">
        <f t="shared" si="180"/>
        <v>5.6</v>
      </c>
      <c r="M5822">
        <f t="shared" si="181"/>
        <v>1</v>
      </c>
    </row>
    <row r="5823" spans="1:13" x14ac:dyDescent="0.3">
      <c r="A5823">
        <v>5821</v>
      </c>
      <c r="B5823">
        <v>5822</v>
      </c>
      <c r="C5823" t="s">
        <v>5901</v>
      </c>
      <c r="D5823">
        <v>2012</v>
      </c>
      <c r="F5823" t="s">
        <v>1574</v>
      </c>
      <c r="G5823">
        <v>0</v>
      </c>
      <c r="H5823">
        <v>0</v>
      </c>
      <c r="I5823">
        <v>1</v>
      </c>
      <c r="J5823">
        <v>0</v>
      </c>
      <c r="K5823">
        <v>0</v>
      </c>
      <c r="L5823">
        <f t="shared" si="180"/>
        <v>5.6</v>
      </c>
      <c r="M5823">
        <f t="shared" si="181"/>
        <v>1</v>
      </c>
    </row>
    <row r="5824" spans="1:13" x14ac:dyDescent="0.3">
      <c r="A5824">
        <v>5822</v>
      </c>
      <c r="B5824">
        <v>5823</v>
      </c>
      <c r="C5824" t="s">
        <v>5902</v>
      </c>
      <c r="D5824">
        <v>2007</v>
      </c>
      <c r="F5824" t="s">
        <v>1574</v>
      </c>
      <c r="G5824">
        <v>0</v>
      </c>
      <c r="H5824">
        <v>0</v>
      </c>
      <c r="I5824">
        <v>1</v>
      </c>
      <c r="J5824">
        <v>0</v>
      </c>
      <c r="K5824">
        <v>0</v>
      </c>
      <c r="L5824">
        <f t="shared" si="180"/>
        <v>5.6</v>
      </c>
      <c r="M5824">
        <f t="shared" si="181"/>
        <v>1</v>
      </c>
    </row>
    <row r="5825" spans="1:13" x14ac:dyDescent="0.3">
      <c r="A5825">
        <v>5823</v>
      </c>
      <c r="B5825">
        <v>5824</v>
      </c>
      <c r="C5825" t="s">
        <v>5903</v>
      </c>
      <c r="D5825">
        <v>1953</v>
      </c>
      <c r="F5825" t="s">
        <v>1574</v>
      </c>
      <c r="G5825">
        <v>0</v>
      </c>
      <c r="H5825">
        <v>0</v>
      </c>
      <c r="I5825">
        <v>1</v>
      </c>
      <c r="J5825">
        <v>0</v>
      </c>
      <c r="K5825">
        <v>0</v>
      </c>
      <c r="L5825">
        <f t="shared" si="180"/>
        <v>5.6</v>
      </c>
      <c r="M5825">
        <f t="shared" si="181"/>
        <v>1</v>
      </c>
    </row>
    <row r="5826" spans="1:13" x14ac:dyDescent="0.3">
      <c r="A5826">
        <v>5824</v>
      </c>
      <c r="B5826">
        <v>5825</v>
      </c>
      <c r="C5826" t="s">
        <v>5904</v>
      </c>
      <c r="D5826">
        <v>1991</v>
      </c>
      <c r="E5826" t="s">
        <v>11</v>
      </c>
      <c r="F5826" t="s">
        <v>1574</v>
      </c>
      <c r="G5826">
        <v>0</v>
      </c>
      <c r="H5826">
        <v>0</v>
      </c>
      <c r="I5826">
        <v>1</v>
      </c>
      <c r="J5826">
        <v>0</v>
      </c>
      <c r="K5826">
        <v>0</v>
      </c>
      <c r="L5826">
        <f t="shared" si="180"/>
        <v>5.6</v>
      </c>
      <c r="M5826">
        <f t="shared" si="181"/>
        <v>1</v>
      </c>
    </row>
    <row r="5827" spans="1:13" x14ac:dyDescent="0.3">
      <c r="A5827">
        <v>5825</v>
      </c>
      <c r="B5827">
        <v>5826</v>
      </c>
      <c r="C5827" t="s">
        <v>5905</v>
      </c>
      <c r="D5827">
        <v>2018</v>
      </c>
      <c r="F5827" t="s">
        <v>1574</v>
      </c>
      <c r="G5827">
        <v>0</v>
      </c>
      <c r="H5827">
        <v>0</v>
      </c>
      <c r="I5827">
        <v>1</v>
      </c>
      <c r="J5827">
        <v>0</v>
      </c>
      <c r="K5827">
        <v>0</v>
      </c>
      <c r="L5827">
        <f t="shared" ref="L5827:L5890" si="182">IFERROR(VALUE(LEFT(F5827,FIND("/",F5827)-1))/10,"")</f>
        <v>5.6</v>
      </c>
      <c r="M5827">
        <f t="shared" ref="M5827:M5890" si="183">SUM(G5827:J5827)</f>
        <v>1</v>
      </c>
    </row>
    <row r="5828" spans="1:13" x14ac:dyDescent="0.3">
      <c r="A5828">
        <v>5826</v>
      </c>
      <c r="B5828">
        <v>5827</v>
      </c>
      <c r="C5828" t="s">
        <v>5906</v>
      </c>
      <c r="D5828">
        <v>2014</v>
      </c>
      <c r="F5828" t="s">
        <v>1574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f t="shared" si="182"/>
        <v>5.6</v>
      </c>
      <c r="M5828">
        <f t="shared" si="183"/>
        <v>1</v>
      </c>
    </row>
    <row r="5829" spans="1:13" x14ac:dyDescent="0.3">
      <c r="A5829">
        <v>5827</v>
      </c>
      <c r="B5829">
        <v>5828</v>
      </c>
      <c r="C5829" t="s">
        <v>5907</v>
      </c>
      <c r="D5829">
        <v>1982</v>
      </c>
      <c r="F5829" t="s">
        <v>1574</v>
      </c>
      <c r="G5829">
        <v>0</v>
      </c>
      <c r="H5829">
        <v>0</v>
      </c>
      <c r="I5829">
        <v>1</v>
      </c>
      <c r="J5829">
        <v>0</v>
      </c>
      <c r="K5829">
        <v>0</v>
      </c>
      <c r="L5829">
        <f t="shared" si="182"/>
        <v>5.6</v>
      </c>
      <c r="M5829">
        <f t="shared" si="183"/>
        <v>1</v>
      </c>
    </row>
    <row r="5830" spans="1:13" x14ac:dyDescent="0.3">
      <c r="A5830">
        <v>5828</v>
      </c>
      <c r="B5830">
        <v>5829</v>
      </c>
      <c r="C5830" t="s">
        <v>5908</v>
      </c>
      <c r="D5830">
        <v>1996</v>
      </c>
      <c r="E5830" t="s">
        <v>36</v>
      </c>
      <c r="F5830" t="s">
        <v>1574</v>
      </c>
      <c r="G5830">
        <v>0</v>
      </c>
      <c r="H5830">
        <v>0</v>
      </c>
      <c r="I5830">
        <v>1</v>
      </c>
      <c r="J5830">
        <v>0</v>
      </c>
      <c r="K5830">
        <v>0</v>
      </c>
      <c r="L5830">
        <f t="shared" si="182"/>
        <v>5.6</v>
      </c>
      <c r="M5830">
        <f t="shared" si="183"/>
        <v>1</v>
      </c>
    </row>
    <row r="5831" spans="1:13" x14ac:dyDescent="0.3">
      <c r="A5831">
        <v>5829</v>
      </c>
      <c r="B5831">
        <v>5830</v>
      </c>
      <c r="C5831" t="s">
        <v>5909</v>
      </c>
      <c r="D5831">
        <v>2015</v>
      </c>
      <c r="E5831" t="s">
        <v>11</v>
      </c>
      <c r="F5831" t="s">
        <v>1574</v>
      </c>
      <c r="G5831">
        <v>0</v>
      </c>
      <c r="H5831">
        <v>0</v>
      </c>
      <c r="I5831">
        <v>1</v>
      </c>
      <c r="J5831">
        <v>0</v>
      </c>
      <c r="K5831">
        <v>0</v>
      </c>
      <c r="L5831">
        <f t="shared" si="182"/>
        <v>5.6</v>
      </c>
      <c r="M5831">
        <f t="shared" si="183"/>
        <v>1</v>
      </c>
    </row>
    <row r="5832" spans="1:13" x14ac:dyDescent="0.3">
      <c r="A5832">
        <v>5830</v>
      </c>
      <c r="B5832">
        <v>5831</v>
      </c>
      <c r="C5832" t="s">
        <v>5910</v>
      </c>
      <c r="D5832">
        <v>2020</v>
      </c>
      <c r="F5832" t="s">
        <v>1574</v>
      </c>
      <c r="G5832">
        <v>0</v>
      </c>
      <c r="H5832">
        <v>0</v>
      </c>
      <c r="I5832">
        <v>1</v>
      </c>
      <c r="J5832">
        <v>0</v>
      </c>
      <c r="K5832">
        <v>0</v>
      </c>
      <c r="L5832">
        <f t="shared" si="182"/>
        <v>5.6</v>
      </c>
      <c r="M5832">
        <f t="shared" si="183"/>
        <v>1</v>
      </c>
    </row>
    <row r="5833" spans="1:13" x14ac:dyDescent="0.3">
      <c r="A5833">
        <v>5831</v>
      </c>
      <c r="B5833">
        <v>5832</v>
      </c>
      <c r="C5833" t="s">
        <v>5911</v>
      </c>
      <c r="D5833">
        <v>2011</v>
      </c>
      <c r="E5833" t="s">
        <v>36</v>
      </c>
      <c r="F5833" t="s">
        <v>1574</v>
      </c>
      <c r="G5833">
        <v>0</v>
      </c>
      <c r="H5833">
        <v>0</v>
      </c>
      <c r="I5833">
        <v>1</v>
      </c>
      <c r="J5833">
        <v>0</v>
      </c>
      <c r="K5833">
        <v>0</v>
      </c>
      <c r="L5833">
        <f t="shared" si="182"/>
        <v>5.6</v>
      </c>
      <c r="M5833">
        <f t="shared" si="183"/>
        <v>1</v>
      </c>
    </row>
    <row r="5834" spans="1:13" x14ac:dyDescent="0.3">
      <c r="A5834">
        <v>5832</v>
      </c>
      <c r="B5834">
        <v>5833</v>
      </c>
      <c r="C5834" t="s">
        <v>5912</v>
      </c>
      <c r="D5834">
        <v>1985</v>
      </c>
      <c r="E5834" t="s">
        <v>11</v>
      </c>
      <c r="F5834" t="s">
        <v>1574</v>
      </c>
      <c r="G5834">
        <v>0</v>
      </c>
      <c r="H5834">
        <v>0</v>
      </c>
      <c r="I5834">
        <v>1</v>
      </c>
      <c r="J5834">
        <v>0</v>
      </c>
      <c r="K5834">
        <v>0</v>
      </c>
      <c r="L5834">
        <f t="shared" si="182"/>
        <v>5.6</v>
      </c>
      <c r="M5834">
        <f t="shared" si="183"/>
        <v>1</v>
      </c>
    </row>
    <row r="5835" spans="1:13" x14ac:dyDescent="0.3">
      <c r="A5835">
        <v>5833</v>
      </c>
      <c r="B5835">
        <v>5834</v>
      </c>
      <c r="C5835" t="s">
        <v>5913</v>
      </c>
      <c r="D5835">
        <v>2018</v>
      </c>
      <c r="F5835" t="s">
        <v>1574</v>
      </c>
      <c r="G5835">
        <v>0</v>
      </c>
      <c r="H5835">
        <v>0</v>
      </c>
      <c r="I5835">
        <v>1</v>
      </c>
      <c r="J5835">
        <v>0</v>
      </c>
      <c r="K5835">
        <v>0</v>
      </c>
      <c r="L5835">
        <f t="shared" si="182"/>
        <v>5.6</v>
      </c>
      <c r="M5835">
        <f t="shared" si="183"/>
        <v>1</v>
      </c>
    </row>
    <row r="5836" spans="1:13" x14ac:dyDescent="0.3">
      <c r="A5836">
        <v>5834</v>
      </c>
      <c r="B5836">
        <v>5835</v>
      </c>
      <c r="C5836" t="s">
        <v>5914</v>
      </c>
      <c r="D5836">
        <v>2020</v>
      </c>
      <c r="E5836" t="s">
        <v>11</v>
      </c>
      <c r="F5836" t="s">
        <v>1574</v>
      </c>
      <c r="G5836">
        <v>0</v>
      </c>
      <c r="H5836">
        <v>0</v>
      </c>
      <c r="I5836">
        <v>1</v>
      </c>
      <c r="J5836">
        <v>0</v>
      </c>
      <c r="K5836">
        <v>0</v>
      </c>
      <c r="L5836">
        <f t="shared" si="182"/>
        <v>5.6</v>
      </c>
      <c r="M5836">
        <f t="shared" si="183"/>
        <v>1</v>
      </c>
    </row>
    <row r="5837" spans="1:13" x14ac:dyDescent="0.3">
      <c r="A5837">
        <v>5835</v>
      </c>
      <c r="B5837">
        <v>5836</v>
      </c>
      <c r="C5837" t="s">
        <v>5915</v>
      </c>
      <c r="D5837">
        <v>2014</v>
      </c>
      <c r="E5837" t="s">
        <v>11</v>
      </c>
      <c r="F5837" t="s">
        <v>1574</v>
      </c>
      <c r="G5837">
        <v>0</v>
      </c>
      <c r="H5837">
        <v>0</v>
      </c>
      <c r="I5837">
        <v>1</v>
      </c>
      <c r="J5837">
        <v>0</v>
      </c>
      <c r="K5837">
        <v>0</v>
      </c>
      <c r="L5837">
        <f t="shared" si="182"/>
        <v>5.6</v>
      </c>
      <c r="M5837">
        <f t="shared" si="183"/>
        <v>1</v>
      </c>
    </row>
    <row r="5838" spans="1:13" x14ac:dyDescent="0.3">
      <c r="A5838">
        <v>5836</v>
      </c>
      <c r="B5838">
        <v>5837</v>
      </c>
      <c r="C5838" t="s">
        <v>5916</v>
      </c>
      <c r="D5838">
        <v>2019</v>
      </c>
      <c r="E5838" t="s">
        <v>28</v>
      </c>
      <c r="F5838" t="s">
        <v>1574</v>
      </c>
      <c r="G5838">
        <v>0</v>
      </c>
      <c r="H5838">
        <v>0</v>
      </c>
      <c r="I5838">
        <v>1</v>
      </c>
      <c r="J5838">
        <v>0</v>
      </c>
      <c r="K5838">
        <v>0</v>
      </c>
      <c r="L5838">
        <f t="shared" si="182"/>
        <v>5.6</v>
      </c>
      <c r="M5838">
        <f t="shared" si="183"/>
        <v>1</v>
      </c>
    </row>
    <row r="5839" spans="1:13" x14ac:dyDescent="0.3">
      <c r="A5839">
        <v>5837</v>
      </c>
      <c r="B5839">
        <v>5838</v>
      </c>
      <c r="C5839" t="s">
        <v>5917</v>
      </c>
      <c r="D5839">
        <v>2018</v>
      </c>
      <c r="E5839" t="s">
        <v>11</v>
      </c>
      <c r="F5839" t="s">
        <v>1574</v>
      </c>
      <c r="G5839">
        <v>0</v>
      </c>
      <c r="H5839">
        <v>0</v>
      </c>
      <c r="I5839">
        <v>1</v>
      </c>
      <c r="J5839">
        <v>0</v>
      </c>
      <c r="K5839">
        <v>0</v>
      </c>
      <c r="L5839">
        <f t="shared" si="182"/>
        <v>5.6</v>
      </c>
      <c r="M5839">
        <f t="shared" si="183"/>
        <v>1</v>
      </c>
    </row>
    <row r="5840" spans="1:13" x14ac:dyDescent="0.3">
      <c r="A5840">
        <v>5838</v>
      </c>
      <c r="B5840">
        <v>5839</v>
      </c>
      <c r="C5840" t="s">
        <v>5918</v>
      </c>
      <c r="D5840">
        <v>2014</v>
      </c>
      <c r="F5840" t="s">
        <v>1574</v>
      </c>
      <c r="G5840">
        <v>0</v>
      </c>
      <c r="H5840">
        <v>0</v>
      </c>
      <c r="I5840">
        <v>1</v>
      </c>
      <c r="J5840">
        <v>0</v>
      </c>
      <c r="K5840">
        <v>0</v>
      </c>
      <c r="L5840">
        <f t="shared" si="182"/>
        <v>5.6</v>
      </c>
      <c r="M5840">
        <f t="shared" si="183"/>
        <v>1</v>
      </c>
    </row>
    <row r="5841" spans="1:13" x14ac:dyDescent="0.3">
      <c r="A5841">
        <v>5839</v>
      </c>
      <c r="B5841">
        <v>5840</v>
      </c>
      <c r="C5841" t="s">
        <v>5919</v>
      </c>
      <c r="D5841">
        <v>2006</v>
      </c>
      <c r="F5841" t="s">
        <v>1574</v>
      </c>
      <c r="G5841">
        <v>0</v>
      </c>
      <c r="H5841">
        <v>0</v>
      </c>
      <c r="I5841">
        <v>1</v>
      </c>
      <c r="J5841">
        <v>0</v>
      </c>
      <c r="K5841">
        <v>0</v>
      </c>
      <c r="L5841">
        <f t="shared" si="182"/>
        <v>5.6</v>
      </c>
      <c r="M5841">
        <f t="shared" si="183"/>
        <v>1</v>
      </c>
    </row>
    <row r="5842" spans="1:13" x14ac:dyDescent="0.3">
      <c r="A5842">
        <v>5840</v>
      </c>
      <c r="B5842">
        <v>5841</v>
      </c>
      <c r="C5842" t="s">
        <v>5920</v>
      </c>
      <c r="D5842">
        <v>1991</v>
      </c>
      <c r="E5842" t="s">
        <v>11</v>
      </c>
      <c r="F5842" t="s">
        <v>1574</v>
      </c>
      <c r="G5842">
        <v>0</v>
      </c>
      <c r="H5842">
        <v>0</v>
      </c>
      <c r="I5842">
        <v>1</v>
      </c>
      <c r="J5842">
        <v>0</v>
      </c>
      <c r="K5842">
        <v>0</v>
      </c>
      <c r="L5842">
        <f t="shared" si="182"/>
        <v>5.6</v>
      </c>
      <c r="M5842">
        <f t="shared" si="183"/>
        <v>1</v>
      </c>
    </row>
    <row r="5843" spans="1:13" x14ac:dyDescent="0.3">
      <c r="A5843">
        <v>5841</v>
      </c>
      <c r="B5843">
        <v>5842</v>
      </c>
      <c r="C5843" t="s">
        <v>5921</v>
      </c>
      <c r="D5843">
        <v>2012</v>
      </c>
      <c r="E5843" t="s">
        <v>36</v>
      </c>
      <c r="F5843" t="s">
        <v>1574</v>
      </c>
      <c r="G5843">
        <v>0</v>
      </c>
      <c r="H5843">
        <v>0</v>
      </c>
      <c r="I5843">
        <v>1</v>
      </c>
      <c r="J5843">
        <v>0</v>
      </c>
      <c r="K5843">
        <v>0</v>
      </c>
      <c r="L5843">
        <f t="shared" si="182"/>
        <v>5.6</v>
      </c>
      <c r="M5843">
        <f t="shared" si="183"/>
        <v>1</v>
      </c>
    </row>
    <row r="5844" spans="1:13" x14ac:dyDescent="0.3">
      <c r="A5844">
        <v>5842</v>
      </c>
      <c r="B5844">
        <v>5843</v>
      </c>
      <c r="C5844" t="s">
        <v>5922</v>
      </c>
      <c r="D5844">
        <v>2019</v>
      </c>
      <c r="F5844" t="s">
        <v>1574</v>
      </c>
      <c r="G5844">
        <v>0</v>
      </c>
      <c r="H5844">
        <v>0</v>
      </c>
      <c r="I5844">
        <v>1</v>
      </c>
      <c r="J5844">
        <v>0</v>
      </c>
      <c r="K5844">
        <v>0</v>
      </c>
      <c r="L5844">
        <f t="shared" si="182"/>
        <v>5.6</v>
      </c>
      <c r="M5844">
        <f t="shared" si="183"/>
        <v>1</v>
      </c>
    </row>
    <row r="5845" spans="1:13" x14ac:dyDescent="0.3">
      <c r="A5845">
        <v>5843</v>
      </c>
      <c r="B5845">
        <v>5844</v>
      </c>
      <c r="C5845" t="s">
        <v>5923</v>
      </c>
      <c r="D5845">
        <v>1999</v>
      </c>
      <c r="F5845" t="s">
        <v>1574</v>
      </c>
      <c r="G5845">
        <v>0</v>
      </c>
      <c r="H5845">
        <v>0</v>
      </c>
      <c r="I5845">
        <v>1</v>
      </c>
      <c r="J5845">
        <v>0</v>
      </c>
      <c r="K5845">
        <v>0</v>
      </c>
      <c r="L5845">
        <f t="shared" si="182"/>
        <v>5.6</v>
      </c>
      <c r="M5845">
        <f t="shared" si="183"/>
        <v>1</v>
      </c>
    </row>
    <row r="5846" spans="1:13" x14ac:dyDescent="0.3">
      <c r="A5846">
        <v>5844</v>
      </c>
      <c r="B5846">
        <v>5845</v>
      </c>
      <c r="C5846" t="s">
        <v>5924</v>
      </c>
      <c r="D5846">
        <v>2014</v>
      </c>
      <c r="F5846" t="s">
        <v>1574</v>
      </c>
      <c r="G5846">
        <v>0</v>
      </c>
      <c r="H5846">
        <v>0</v>
      </c>
      <c r="I5846">
        <v>1</v>
      </c>
      <c r="J5846">
        <v>0</v>
      </c>
      <c r="K5846">
        <v>0</v>
      </c>
      <c r="L5846">
        <f t="shared" si="182"/>
        <v>5.6</v>
      </c>
      <c r="M5846">
        <f t="shared" si="183"/>
        <v>1</v>
      </c>
    </row>
    <row r="5847" spans="1:13" x14ac:dyDescent="0.3">
      <c r="A5847">
        <v>5845</v>
      </c>
      <c r="B5847">
        <v>5846</v>
      </c>
      <c r="C5847" t="s">
        <v>5925</v>
      </c>
      <c r="D5847">
        <v>1988</v>
      </c>
      <c r="E5847" t="s">
        <v>14</v>
      </c>
      <c r="F5847" t="s">
        <v>1574</v>
      </c>
      <c r="G5847">
        <v>0</v>
      </c>
      <c r="H5847">
        <v>0</v>
      </c>
      <c r="I5847">
        <v>1</v>
      </c>
      <c r="J5847">
        <v>0</v>
      </c>
      <c r="K5847">
        <v>0</v>
      </c>
      <c r="L5847">
        <f t="shared" si="182"/>
        <v>5.6</v>
      </c>
      <c r="M5847">
        <f t="shared" si="183"/>
        <v>1</v>
      </c>
    </row>
    <row r="5848" spans="1:13" x14ac:dyDescent="0.3">
      <c r="A5848">
        <v>5846</v>
      </c>
      <c r="B5848">
        <v>5847</v>
      </c>
      <c r="C5848" t="s">
        <v>5926</v>
      </c>
      <c r="D5848">
        <v>2010</v>
      </c>
      <c r="E5848" t="s">
        <v>28</v>
      </c>
      <c r="F5848" t="s">
        <v>1574</v>
      </c>
      <c r="G5848">
        <v>0</v>
      </c>
      <c r="H5848">
        <v>0</v>
      </c>
      <c r="I5848">
        <v>1</v>
      </c>
      <c r="J5848">
        <v>0</v>
      </c>
      <c r="K5848">
        <v>0</v>
      </c>
      <c r="L5848">
        <f t="shared" si="182"/>
        <v>5.6</v>
      </c>
      <c r="M5848">
        <f t="shared" si="183"/>
        <v>1</v>
      </c>
    </row>
    <row r="5849" spans="1:13" x14ac:dyDescent="0.3">
      <c r="A5849">
        <v>5847</v>
      </c>
      <c r="B5849">
        <v>5848</v>
      </c>
      <c r="C5849" t="s">
        <v>5927</v>
      </c>
      <c r="D5849">
        <v>2007</v>
      </c>
      <c r="E5849" t="s">
        <v>22</v>
      </c>
      <c r="F5849" t="s">
        <v>1574</v>
      </c>
      <c r="G5849">
        <v>0</v>
      </c>
      <c r="H5849">
        <v>0</v>
      </c>
      <c r="I5849">
        <v>1</v>
      </c>
      <c r="J5849">
        <v>0</v>
      </c>
      <c r="K5849">
        <v>0</v>
      </c>
      <c r="L5849">
        <f t="shared" si="182"/>
        <v>5.6</v>
      </c>
      <c r="M5849">
        <f t="shared" si="183"/>
        <v>1</v>
      </c>
    </row>
    <row r="5850" spans="1:13" x14ac:dyDescent="0.3">
      <c r="A5850">
        <v>5848</v>
      </c>
      <c r="B5850">
        <v>5849</v>
      </c>
      <c r="C5850" t="s">
        <v>5928</v>
      </c>
      <c r="D5850">
        <v>2017</v>
      </c>
      <c r="E5850" t="s">
        <v>11</v>
      </c>
      <c r="F5850" t="s">
        <v>1574</v>
      </c>
      <c r="G5850">
        <v>0</v>
      </c>
      <c r="H5850">
        <v>0</v>
      </c>
      <c r="I5850">
        <v>1</v>
      </c>
      <c r="J5850">
        <v>0</v>
      </c>
      <c r="K5850">
        <v>0</v>
      </c>
      <c r="L5850">
        <f t="shared" si="182"/>
        <v>5.6</v>
      </c>
      <c r="M5850">
        <f t="shared" si="183"/>
        <v>1</v>
      </c>
    </row>
    <row r="5851" spans="1:13" x14ac:dyDescent="0.3">
      <c r="A5851">
        <v>5849</v>
      </c>
      <c r="B5851">
        <v>5850</v>
      </c>
      <c r="C5851" t="s">
        <v>5929</v>
      </c>
      <c r="D5851">
        <v>1986</v>
      </c>
      <c r="E5851" t="s">
        <v>11</v>
      </c>
      <c r="F5851" t="s">
        <v>1574</v>
      </c>
      <c r="G5851">
        <v>0</v>
      </c>
      <c r="H5851">
        <v>0</v>
      </c>
      <c r="I5851">
        <v>1</v>
      </c>
      <c r="J5851">
        <v>0</v>
      </c>
      <c r="K5851">
        <v>0</v>
      </c>
      <c r="L5851">
        <f t="shared" si="182"/>
        <v>5.6</v>
      </c>
      <c r="M5851">
        <f t="shared" si="183"/>
        <v>1</v>
      </c>
    </row>
    <row r="5852" spans="1:13" x14ac:dyDescent="0.3">
      <c r="A5852">
        <v>5850</v>
      </c>
      <c r="B5852">
        <v>5851</v>
      </c>
      <c r="C5852" t="s">
        <v>5930</v>
      </c>
      <c r="D5852">
        <v>2012</v>
      </c>
      <c r="F5852" t="s">
        <v>1574</v>
      </c>
      <c r="G5852">
        <v>0</v>
      </c>
      <c r="H5852">
        <v>0</v>
      </c>
      <c r="I5852">
        <v>1</v>
      </c>
      <c r="J5852">
        <v>0</v>
      </c>
      <c r="K5852">
        <v>0</v>
      </c>
      <c r="L5852">
        <f t="shared" si="182"/>
        <v>5.6</v>
      </c>
      <c r="M5852">
        <f t="shared" si="183"/>
        <v>1</v>
      </c>
    </row>
    <row r="5853" spans="1:13" x14ac:dyDescent="0.3">
      <c r="A5853">
        <v>5851</v>
      </c>
      <c r="B5853">
        <v>5852</v>
      </c>
      <c r="C5853" t="s">
        <v>5931</v>
      </c>
      <c r="D5853">
        <v>2016</v>
      </c>
      <c r="E5853" t="s">
        <v>22</v>
      </c>
      <c r="F5853" t="s">
        <v>1574</v>
      </c>
      <c r="G5853">
        <v>0</v>
      </c>
      <c r="H5853">
        <v>0</v>
      </c>
      <c r="I5853">
        <v>1</v>
      </c>
      <c r="J5853">
        <v>0</v>
      </c>
      <c r="K5853">
        <v>0</v>
      </c>
      <c r="L5853">
        <f t="shared" si="182"/>
        <v>5.6</v>
      </c>
      <c r="M5853">
        <f t="shared" si="183"/>
        <v>1</v>
      </c>
    </row>
    <row r="5854" spans="1:13" x14ac:dyDescent="0.3">
      <c r="A5854">
        <v>5852</v>
      </c>
      <c r="B5854">
        <v>5853</v>
      </c>
      <c r="C5854" t="s">
        <v>5932</v>
      </c>
      <c r="D5854">
        <v>1997</v>
      </c>
      <c r="E5854" t="s">
        <v>14</v>
      </c>
      <c r="F5854" t="s">
        <v>1574</v>
      </c>
      <c r="G5854">
        <v>0</v>
      </c>
      <c r="H5854">
        <v>0</v>
      </c>
      <c r="I5854">
        <v>1</v>
      </c>
      <c r="J5854">
        <v>0</v>
      </c>
      <c r="K5854">
        <v>0</v>
      </c>
      <c r="L5854">
        <f t="shared" si="182"/>
        <v>5.6</v>
      </c>
      <c r="M5854">
        <f t="shared" si="183"/>
        <v>1</v>
      </c>
    </row>
    <row r="5855" spans="1:13" x14ac:dyDescent="0.3">
      <c r="A5855">
        <v>5853</v>
      </c>
      <c r="B5855">
        <v>5854</v>
      </c>
      <c r="C5855" t="s">
        <v>5933</v>
      </c>
      <c r="D5855">
        <v>2004</v>
      </c>
      <c r="E5855" t="s">
        <v>22</v>
      </c>
      <c r="F5855" t="s">
        <v>1574</v>
      </c>
      <c r="G5855">
        <v>0</v>
      </c>
      <c r="H5855">
        <v>0</v>
      </c>
      <c r="I5855">
        <v>1</v>
      </c>
      <c r="J5855">
        <v>0</v>
      </c>
      <c r="K5855">
        <v>0</v>
      </c>
      <c r="L5855">
        <f t="shared" si="182"/>
        <v>5.6</v>
      </c>
      <c r="M5855">
        <f t="shared" si="183"/>
        <v>1</v>
      </c>
    </row>
    <row r="5856" spans="1:13" x14ac:dyDescent="0.3">
      <c r="A5856">
        <v>5854</v>
      </c>
      <c r="B5856">
        <v>5855</v>
      </c>
      <c r="C5856" t="s">
        <v>5934</v>
      </c>
      <c r="D5856">
        <v>1999</v>
      </c>
      <c r="E5856" t="s">
        <v>14</v>
      </c>
      <c r="F5856" t="s">
        <v>1687</v>
      </c>
      <c r="G5856">
        <v>0</v>
      </c>
      <c r="H5856">
        <v>0</v>
      </c>
      <c r="I5856">
        <v>1</v>
      </c>
      <c r="J5856">
        <v>0</v>
      </c>
      <c r="K5856">
        <v>0</v>
      </c>
      <c r="L5856">
        <f t="shared" si="182"/>
        <v>5.5</v>
      </c>
      <c r="M5856">
        <f t="shared" si="183"/>
        <v>1</v>
      </c>
    </row>
    <row r="5857" spans="1:13" x14ac:dyDescent="0.3">
      <c r="A5857">
        <v>5855</v>
      </c>
      <c r="B5857">
        <v>5856</v>
      </c>
      <c r="C5857" t="s">
        <v>5935</v>
      </c>
      <c r="D5857">
        <v>2019</v>
      </c>
      <c r="E5857" t="s">
        <v>11</v>
      </c>
      <c r="F5857" t="s">
        <v>1687</v>
      </c>
      <c r="G5857">
        <v>0</v>
      </c>
      <c r="H5857">
        <v>0</v>
      </c>
      <c r="I5857">
        <v>1</v>
      </c>
      <c r="J5857">
        <v>0</v>
      </c>
      <c r="K5857">
        <v>0</v>
      </c>
      <c r="L5857">
        <f t="shared" si="182"/>
        <v>5.5</v>
      </c>
      <c r="M5857">
        <f t="shared" si="183"/>
        <v>1</v>
      </c>
    </row>
    <row r="5858" spans="1:13" x14ac:dyDescent="0.3">
      <c r="A5858">
        <v>5856</v>
      </c>
      <c r="B5858">
        <v>5857</v>
      </c>
      <c r="C5858" t="s">
        <v>5936</v>
      </c>
      <c r="D5858">
        <v>1940</v>
      </c>
      <c r="F5858" t="s">
        <v>1687</v>
      </c>
      <c r="G5858">
        <v>0</v>
      </c>
      <c r="H5858">
        <v>0</v>
      </c>
      <c r="I5858">
        <v>1</v>
      </c>
      <c r="J5858">
        <v>0</v>
      </c>
      <c r="K5858">
        <v>0</v>
      </c>
      <c r="L5858">
        <f t="shared" si="182"/>
        <v>5.5</v>
      </c>
      <c r="M5858">
        <f t="shared" si="183"/>
        <v>1</v>
      </c>
    </row>
    <row r="5859" spans="1:13" x14ac:dyDescent="0.3">
      <c r="A5859">
        <v>5857</v>
      </c>
      <c r="B5859">
        <v>5858</v>
      </c>
      <c r="C5859" t="s">
        <v>5937</v>
      </c>
      <c r="D5859">
        <v>2003</v>
      </c>
      <c r="E5859" t="s">
        <v>22</v>
      </c>
      <c r="F5859" t="s">
        <v>1687</v>
      </c>
      <c r="G5859">
        <v>0</v>
      </c>
      <c r="H5859">
        <v>0</v>
      </c>
      <c r="I5859">
        <v>1</v>
      </c>
      <c r="J5859">
        <v>0</v>
      </c>
      <c r="K5859">
        <v>0</v>
      </c>
      <c r="L5859">
        <f t="shared" si="182"/>
        <v>5.5</v>
      </c>
      <c r="M5859">
        <f t="shared" si="183"/>
        <v>1</v>
      </c>
    </row>
    <row r="5860" spans="1:13" x14ac:dyDescent="0.3">
      <c r="A5860">
        <v>5858</v>
      </c>
      <c r="B5860">
        <v>5859</v>
      </c>
      <c r="C5860" t="s">
        <v>5938</v>
      </c>
      <c r="D5860">
        <v>1920</v>
      </c>
      <c r="F5860" t="s">
        <v>1687</v>
      </c>
      <c r="G5860">
        <v>0</v>
      </c>
      <c r="H5860">
        <v>0</v>
      </c>
      <c r="I5860">
        <v>1</v>
      </c>
      <c r="J5860">
        <v>0</v>
      </c>
      <c r="K5860">
        <v>0</v>
      </c>
      <c r="L5860">
        <f t="shared" si="182"/>
        <v>5.5</v>
      </c>
      <c r="M5860">
        <f t="shared" si="183"/>
        <v>1</v>
      </c>
    </row>
    <row r="5861" spans="1:13" x14ac:dyDescent="0.3">
      <c r="A5861">
        <v>5859</v>
      </c>
      <c r="B5861">
        <v>5860</v>
      </c>
      <c r="C5861" t="s">
        <v>5939</v>
      </c>
      <c r="D5861">
        <v>2019</v>
      </c>
      <c r="F5861" t="s">
        <v>1687</v>
      </c>
      <c r="G5861">
        <v>0</v>
      </c>
      <c r="H5861">
        <v>0</v>
      </c>
      <c r="I5861">
        <v>1</v>
      </c>
      <c r="J5861">
        <v>0</v>
      </c>
      <c r="K5861">
        <v>0</v>
      </c>
      <c r="L5861">
        <f t="shared" si="182"/>
        <v>5.5</v>
      </c>
      <c r="M5861">
        <f t="shared" si="183"/>
        <v>1</v>
      </c>
    </row>
    <row r="5862" spans="1:13" x14ac:dyDescent="0.3">
      <c r="A5862">
        <v>5860</v>
      </c>
      <c r="B5862">
        <v>5861</v>
      </c>
      <c r="C5862" t="s">
        <v>5940</v>
      </c>
      <c r="D5862">
        <v>1961</v>
      </c>
      <c r="F5862" t="s">
        <v>1687</v>
      </c>
      <c r="G5862">
        <v>0</v>
      </c>
      <c r="H5862">
        <v>0</v>
      </c>
      <c r="I5862">
        <v>1</v>
      </c>
      <c r="J5862">
        <v>0</v>
      </c>
      <c r="K5862">
        <v>0</v>
      </c>
      <c r="L5862">
        <f t="shared" si="182"/>
        <v>5.5</v>
      </c>
      <c r="M5862">
        <f t="shared" si="183"/>
        <v>1</v>
      </c>
    </row>
    <row r="5863" spans="1:13" x14ac:dyDescent="0.3">
      <c r="A5863">
        <v>5861</v>
      </c>
      <c r="B5863">
        <v>5862</v>
      </c>
      <c r="C5863" t="s">
        <v>5941</v>
      </c>
      <c r="D5863">
        <v>2014</v>
      </c>
      <c r="F5863" t="s">
        <v>1687</v>
      </c>
      <c r="G5863">
        <v>0</v>
      </c>
      <c r="H5863">
        <v>0</v>
      </c>
      <c r="I5863">
        <v>1</v>
      </c>
      <c r="J5863">
        <v>0</v>
      </c>
      <c r="K5863">
        <v>0</v>
      </c>
      <c r="L5863">
        <f t="shared" si="182"/>
        <v>5.5</v>
      </c>
      <c r="M5863">
        <f t="shared" si="183"/>
        <v>1</v>
      </c>
    </row>
    <row r="5864" spans="1:13" x14ac:dyDescent="0.3">
      <c r="A5864">
        <v>5862</v>
      </c>
      <c r="B5864">
        <v>5863</v>
      </c>
      <c r="C5864" t="s">
        <v>5942</v>
      </c>
      <c r="D5864">
        <v>2005</v>
      </c>
      <c r="F5864" t="s">
        <v>1687</v>
      </c>
      <c r="G5864">
        <v>0</v>
      </c>
      <c r="H5864">
        <v>0</v>
      </c>
      <c r="I5864">
        <v>1</v>
      </c>
      <c r="J5864">
        <v>0</v>
      </c>
      <c r="K5864">
        <v>0</v>
      </c>
      <c r="L5864">
        <f t="shared" si="182"/>
        <v>5.5</v>
      </c>
      <c r="M5864">
        <f t="shared" si="183"/>
        <v>1</v>
      </c>
    </row>
    <row r="5865" spans="1:13" x14ac:dyDescent="0.3">
      <c r="A5865">
        <v>5863</v>
      </c>
      <c r="B5865">
        <v>5864</v>
      </c>
      <c r="C5865" t="s">
        <v>5943</v>
      </c>
      <c r="D5865">
        <v>2011</v>
      </c>
      <c r="E5865" t="s">
        <v>28</v>
      </c>
      <c r="F5865" t="s">
        <v>1687</v>
      </c>
      <c r="G5865">
        <v>0</v>
      </c>
      <c r="H5865">
        <v>0</v>
      </c>
      <c r="I5865">
        <v>1</v>
      </c>
      <c r="J5865">
        <v>0</v>
      </c>
      <c r="K5865">
        <v>0</v>
      </c>
      <c r="L5865">
        <f t="shared" si="182"/>
        <v>5.5</v>
      </c>
      <c r="M5865">
        <f t="shared" si="183"/>
        <v>1</v>
      </c>
    </row>
    <row r="5866" spans="1:13" x14ac:dyDescent="0.3">
      <c r="A5866">
        <v>5864</v>
      </c>
      <c r="B5866">
        <v>5865</v>
      </c>
      <c r="C5866" t="s">
        <v>5944</v>
      </c>
      <c r="D5866">
        <v>2014</v>
      </c>
      <c r="E5866" t="s">
        <v>11</v>
      </c>
      <c r="F5866" t="s">
        <v>1687</v>
      </c>
      <c r="G5866">
        <v>0</v>
      </c>
      <c r="H5866">
        <v>0</v>
      </c>
      <c r="I5866">
        <v>1</v>
      </c>
      <c r="J5866">
        <v>0</v>
      </c>
      <c r="K5866">
        <v>0</v>
      </c>
      <c r="L5866">
        <f t="shared" si="182"/>
        <v>5.5</v>
      </c>
      <c r="M5866">
        <f t="shared" si="183"/>
        <v>1</v>
      </c>
    </row>
    <row r="5867" spans="1:13" x14ac:dyDescent="0.3">
      <c r="A5867">
        <v>5865</v>
      </c>
      <c r="B5867">
        <v>5866</v>
      </c>
      <c r="C5867" t="s">
        <v>5945</v>
      </c>
      <c r="D5867">
        <v>2013</v>
      </c>
      <c r="E5867" t="s">
        <v>14</v>
      </c>
      <c r="F5867" t="s">
        <v>1687</v>
      </c>
      <c r="G5867">
        <v>0</v>
      </c>
      <c r="H5867">
        <v>0</v>
      </c>
      <c r="I5867">
        <v>1</v>
      </c>
      <c r="J5867">
        <v>0</v>
      </c>
      <c r="K5867">
        <v>0</v>
      </c>
      <c r="L5867">
        <f t="shared" si="182"/>
        <v>5.5</v>
      </c>
      <c r="M5867">
        <f t="shared" si="183"/>
        <v>1</v>
      </c>
    </row>
    <row r="5868" spans="1:13" x14ac:dyDescent="0.3">
      <c r="A5868">
        <v>5866</v>
      </c>
      <c r="B5868">
        <v>5867</v>
      </c>
      <c r="C5868" t="s">
        <v>5946</v>
      </c>
      <c r="D5868">
        <v>2018</v>
      </c>
      <c r="F5868" t="s">
        <v>1687</v>
      </c>
      <c r="G5868">
        <v>0</v>
      </c>
      <c r="H5868">
        <v>0</v>
      </c>
      <c r="I5868">
        <v>1</v>
      </c>
      <c r="J5868">
        <v>0</v>
      </c>
      <c r="K5868">
        <v>0</v>
      </c>
      <c r="L5868">
        <f t="shared" si="182"/>
        <v>5.5</v>
      </c>
      <c r="M5868">
        <f t="shared" si="183"/>
        <v>1</v>
      </c>
    </row>
    <row r="5869" spans="1:13" x14ac:dyDescent="0.3">
      <c r="A5869">
        <v>5867</v>
      </c>
      <c r="B5869">
        <v>5868</v>
      </c>
      <c r="C5869" t="s">
        <v>5947</v>
      </c>
      <c r="D5869">
        <v>2020</v>
      </c>
      <c r="E5869" t="s">
        <v>14</v>
      </c>
      <c r="F5869" t="s">
        <v>1687</v>
      </c>
      <c r="G5869">
        <v>0</v>
      </c>
      <c r="H5869">
        <v>0</v>
      </c>
      <c r="I5869">
        <v>1</v>
      </c>
      <c r="J5869">
        <v>0</v>
      </c>
      <c r="K5869">
        <v>0</v>
      </c>
      <c r="L5869">
        <f t="shared" si="182"/>
        <v>5.5</v>
      </c>
      <c r="M5869">
        <f t="shared" si="183"/>
        <v>1</v>
      </c>
    </row>
    <row r="5870" spans="1:13" x14ac:dyDescent="0.3">
      <c r="A5870">
        <v>5868</v>
      </c>
      <c r="B5870">
        <v>5869</v>
      </c>
      <c r="C5870" t="s">
        <v>5948</v>
      </c>
      <c r="D5870">
        <v>2009</v>
      </c>
      <c r="E5870" t="s">
        <v>11</v>
      </c>
      <c r="F5870" t="s">
        <v>1687</v>
      </c>
      <c r="G5870">
        <v>0</v>
      </c>
      <c r="H5870">
        <v>0</v>
      </c>
      <c r="I5870">
        <v>1</v>
      </c>
      <c r="J5870">
        <v>0</v>
      </c>
      <c r="K5870">
        <v>0</v>
      </c>
      <c r="L5870">
        <f t="shared" si="182"/>
        <v>5.5</v>
      </c>
      <c r="M5870">
        <f t="shared" si="183"/>
        <v>1</v>
      </c>
    </row>
    <row r="5871" spans="1:13" x14ac:dyDescent="0.3">
      <c r="A5871">
        <v>5869</v>
      </c>
      <c r="B5871">
        <v>5870</v>
      </c>
      <c r="C5871" t="s">
        <v>5949</v>
      </c>
      <c r="D5871">
        <v>2021</v>
      </c>
      <c r="F5871" t="s">
        <v>1687</v>
      </c>
      <c r="G5871">
        <v>0</v>
      </c>
      <c r="H5871">
        <v>0</v>
      </c>
      <c r="I5871">
        <v>1</v>
      </c>
      <c r="J5871">
        <v>0</v>
      </c>
      <c r="K5871">
        <v>0</v>
      </c>
      <c r="L5871">
        <f t="shared" si="182"/>
        <v>5.5</v>
      </c>
      <c r="M5871">
        <f t="shared" si="183"/>
        <v>1</v>
      </c>
    </row>
    <row r="5872" spans="1:13" x14ac:dyDescent="0.3">
      <c r="A5872">
        <v>5870</v>
      </c>
      <c r="B5872">
        <v>5871</v>
      </c>
      <c r="C5872" t="s">
        <v>5950</v>
      </c>
      <c r="D5872">
        <v>2008</v>
      </c>
      <c r="F5872" t="s">
        <v>1687</v>
      </c>
      <c r="G5872">
        <v>0</v>
      </c>
      <c r="H5872">
        <v>0</v>
      </c>
      <c r="I5872">
        <v>1</v>
      </c>
      <c r="J5872">
        <v>0</v>
      </c>
      <c r="K5872">
        <v>0</v>
      </c>
      <c r="L5872">
        <f t="shared" si="182"/>
        <v>5.5</v>
      </c>
      <c r="M5872">
        <f t="shared" si="183"/>
        <v>1</v>
      </c>
    </row>
    <row r="5873" spans="1:13" x14ac:dyDescent="0.3">
      <c r="A5873">
        <v>5871</v>
      </c>
      <c r="B5873">
        <v>5872</v>
      </c>
      <c r="C5873" t="s">
        <v>5951</v>
      </c>
      <c r="D5873">
        <v>2014</v>
      </c>
      <c r="F5873" t="s">
        <v>1687</v>
      </c>
      <c r="G5873">
        <v>0</v>
      </c>
      <c r="H5873">
        <v>0</v>
      </c>
      <c r="I5873">
        <v>1</v>
      </c>
      <c r="J5873">
        <v>0</v>
      </c>
      <c r="K5873">
        <v>0</v>
      </c>
      <c r="L5873">
        <f t="shared" si="182"/>
        <v>5.5</v>
      </c>
      <c r="M5873">
        <f t="shared" si="183"/>
        <v>1</v>
      </c>
    </row>
    <row r="5874" spans="1:13" x14ac:dyDescent="0.3">
      <c r="A5874">
        <v>5872</v>
      </c>
      <c r="B5874">
        <v>5873</v>
      </c>
      <c r="C5874" t="s">
        <v>5952</v>
      </c>
      <c r="D5874">
        <v>1987</v>
      </c>
      <c r="E5874" t="s">
        <v>14</v>
      </c>
      <c r="F5874" t="s">
        <v>1687</v>
      </c>
      <c r="G5874">
        <v>0</v>
      </c>
      <c r="H5874">
        <v>0</v>
      </c>
      <c r="I5874">
        <v>1</v>
      </c>
      <c r="J5874">
        <v>0</v>
      </c>
      <c r="K5874">
        <v>0</v>
      </c>
      <c r="L5874">
        <f t="shared" si="182"/>
        <v>5.5</v>
      </c>
      <c r="M5874">
        <f t="shared" si="183"/>
        <v>1</v>
      </c>
    </row>
    <row r="5875" spans="1:13" x14ac:dyDescent="0.3">
      <c r="A5875">
        <v>5873</v>
      </c>
      <c r="B5875">
        <v>5874</v>
      </c>
      <c r="C5875" t="s">
        <v>5953</v>
      </c>
      <c r="D5875">
        <v>2020</v>
      </c>
      <c r="E5875" t="s">
        <v>11</v>
      </c>
      <c r="F5875" t="s">
        <v>1687</v>
      </c>
      <c r="G5875">
        <v>0</v>
      </c>
      <c r="H5875">
        <v>0</v>
      </c>
      <c r="I5875">
        <v>1</v>
      </c>
      <c r="J5875">
        <v>0</v>
      </c>
      <c r="K5875">
        <v>0</v>
      </c>
      <c r="L5875">
        <f t="shared" si="182"/>
        <v>5.5</v>
      </c>
      <c r="M5875">
        <f t="shared" si="183"/>
        <v>1</v>
      </c>
    </row>
    <row r="5876" spans="1:13" x14ac:dyDescent="0.3">
      <c r="A5876">
        <v>5874</v>
      </c>
      <c r="B5876">
        <v>5875</v>
      </c>
      <c r="C5876" t="s">
        <v>5954</v>
      </c>
      <c r="D5876">
        <v>2011</v>
      </c>
      <c r="E5876" t="s">
        <v>11</v>
      </c>
      <c r="F5876" t="s">
        <v>1687</v>
      </c>
      <c r="G5876">
        <v>0</v>
      </c>
      <c r="H5876">
        <v>0</v>
      </c>
      <c r="I5876">
        <v>1</v>
      </c>
      <c r="J5876">
        <v>0</v>
      </c>
      <c r="K5876">
        <v>0</v>
      </c>
      <c r="L5876">
        <f t="shared" si="182"/>
        <v>5.5</v>
      </c>
      <c r="M5876">
        <f t="shared" si="183"/>
        <v>1</v>
      </c>
    </row>
    <row r="5877" spans="1:13" x14ac:dyDescent="0.3">
      <c r="A5877">
        <v>5875</v>
      </c>
      <c r="B5877">
        <v>5876</v>
      </c>
      <c r="C5877" t="s">
        <v>5955</v>
      </c>
      <c r="D5877">
        <v>1993</v>
      </c>
      <c r="E5877" t="s">
        <v>11</v>
      </c>
      <c r="F5877" t="s">
        <v>1687</v>
      </c>
      <c r="G5877">
        <v>0</v>
      </c>
      <c r="H5877">
        <v>0</v>
      </c>
      <c r="I5877">
        <v>1</v>
      </c>
      <c r="J5877">
        <v>0</v>
      </c>
      <c r="K5877">
        <v>0</v>
      </c>
      <c r="L5877">
        <f t="shared" si="182"/>
        <v>5.5</v>
      </c>
      <c r="M5877">
        <f t="shared" si="183"/>
        <v>1</v>
      </c>
    </row>
    <row r="5878" spans="1:13" x14ac:dyDescent="0.3">
      <c r="A5878">
        <v>5876</v>
      </c>
      <c r="B5878">
        <v>5877</v>
      </c>
      <c r="C5878" t="s">
        <v>5956</v>
      </c>
      <c r="D5878">
        <v>2018</v>
      </c>
      <c r="F5878" t="s">
        <v>1687</v>
      </c>
      <c r="G5878">
        <v>0</v>
      </c>
      <c r="H5878">
        <v>0</v>
      </c>
      <c r="I5878">
        <v>1</v>
      </c>
      <c r="J5878">
        <v>0</v>
      </c>
      <c r="K5878">
        <v>0</v>
      </c>
      <c r="L5878">
        <f t="shared" si="182"/>
        <v>5.5</v>
      </c>
      <c r="M5878">
        <f t="shared" si="183"/>
        <v>1</v>
      </c>
    </row>
    <row r="5879" spans="1:13" x14ac:dyDescent="0.3">
      <c r="A5879">
        <v>5877</v>
      </c>
      <c r="B5879">
        <v>5878</v>
      </c>
      <c r="C5879" t="s">
        <v>5957</v>
      </c>
      <c r="D5879">
        <v>2017</v>
      </c>
      <c r="F5879" t="s">
        <v>1687</v>
      </c>
      <c r="G5879">
        <v>0</v>
      </c>
      <c r="H5879">
        <v>0</v>
      </c>
      <c r="I5879">
        <v>1</v>
      </c>
      <c r="J5879">
        <v>0</v>
      </c>
      <c r="K5879">
        <v>0</v>
      </c>
      <c r="L5879">
        <f t="shared" si="182"/>
        <v>5.5</v>
      </c>
      <c r="M5879">
        <f t="shared" si="183"/>
        <v>1</v>
      </c>
    </row>
    <row r="5880" spans="1:13" x14ac:dyDescent="0.3">
      <c r="A5880">
        <v>5878</v>
      </c>
      <c r="B5880">
        <v>5879</v>
      </c>
      <c r="C5880" t="s">
        <v>5958</v>
      </c>
      <c r="D5880">
        <v>1980</v>
      </c>
      <c r="E5880" t="s">
        <v>14</v>
      </c>
      <c r="F5880" t="s">
        <v>1687</v>
      </c>
      <c r="G5880">
        <v>0</v>
      </c>
      <c r="H5880">
        <v>0</v>
      </c>
      <c r="I5880">
        <v>1</v>
      </c>
      <c r="J5880">
        <v>0</v>
      </c>
      <c r="K5880">
        <v>0</v>
      </c>
      <c r="L5880">
        <f t="shared" si="182"/>
        <v>5.5</v>
      </c>
      <c r="M5880">
        <f t="shared" si="183"/>
        <v>1</v>
      </c>
    </row>
    <row r="5881" spans="1:13" x14ac:dyDescent="0.3">
      <c r="A5881">
        <v>5879</v>
      </c>
      <c r="B5881">
        <v>5880</v>
      </c>
      <c r="C5881" t="s">
        <v>5959</v>
      </c>
      <c r="D5881">
        <v>1948</v>
      </c>
      <c r="F5881" t="s">
        <v>1687</v>
      </c>
      <c r="G5881">
        <v>0</v>
      </c>
      <c r="H5881">
        <v>0</v>
      </c>
      <c r="I5881">
        <v>1</v>
      </c>
      <c r="J5881">
        <v>0</v>
      </c>
      <c r="K5881">
        <v>0</v>
      </c>
      <c r="L5881">
        <f t="shared" si="182"/>
        <v>5.5</v>
      </c>
      <c r="M5881">
        <f t="shared" si="183"/>
        <v>1</v>
      </c>
    </row>
    <row r="5882" spans="1:13" x14ac:dyDescent="0.3">
      <c r="A5882">
        <v>5880</v>
      </c>
      <c r="B5882">
        <v>5881</v>
      </c>
      <c r="C5882" t="s">
        <v>5960</v>
      </c>
      <c r="D5882">
        <v>2006</v>
      </c>
      <c r="E5882" t="s">
        <v>11</v>
      </c>
      <c r="F5882" t="s">
        <v>1687</v>
      </c>
      <c r="G5882">
        <v>0</v>
      </c>
      <c r="H5882">
        <v>0</v>
      </c>
      <c r="I5882">
        <v>1</v>
      </c>
      <c r="J5882">
        <v>0</v>
      </c>
      <c r="K5882">
        <v>0</v>
      </c>
      <c r="L5882">
        <f t="shared" si="182"/>
        <v>5.5</v>
      </c>
      <c r="M5882">
        <f t="shared" si="183"/>
        <v>1</v>
      </c>
    </row>
    <row r="5883" spans="1:13" x14ac:dyDescent="0.3">
      <c r="A5883">
        <v>5881</v>
      </c>
      <c r="B5883">
        <v>5882</v>
      </c>
      <c r="C5883" t="s">
        <v>5961</v>
      </c>
      <c r="D5883">
        <v>1989</v>
      </c>
      <c r="E5883" t="s">
        <v>14</v>
      </c>
      <c r="F5883" t="s">
        <v>1687</v>
      </c>
      <c r="G5883">
        <v>0</v>
      </c>
      <c r="H5883">
        <v>0</v>
      </c>
      <c r="I5883">
        <v>1</v>
      </c>
      <c r="J5883">
        <v>0</v>
      </c>
      <c r="K5883">
        <v>0</v>
      </c>
      <c r="L5883">
        <f t="shared" si="182"/>
        <v>5.5</v>
      </c>
      <c r="M5883">
        <f t="shared" si="183"/>
        <v>1</v>
      </c>
    </row>
    <row r="5884" spans="1:13" x14ac:dyDescent="0.3">
      <c r="A5884">
        <v>5882</v>
      </c>
      <c r="B5884">
        <v>5883</v>
      </c>
      <c r="C5884" t="s">
        <v>5962</v>
      </c>
      <c r="D5884">
        <v>1975</v>
      </c>
      <c r="E5884" t="s">
        <v>11</v>
      </c>
      <c r="F5884" t="s">
        <v>1687</v>
      </c>
      <c r="G5884">
        <v>0</v>
      </c>
      <c r="H5884">
        <v>0</v>
      </c>
      <c r="I5884">
        <v>1</v>
      </c>
      <c r="J5884">
        <v>0</v>
      </c>
      <c r="K5884">
        <v>0</v>
      </c>
      <c r="L5884">
        <f t="shared" si="182"/>
        <v>5.5</v>
      </c>
      <c r="M5884">
        <f t="shared" si="183"/>
        <v>1</v>
      </c>
    </row>
    <row r="5885" spans="1:13" x14ac:dyDescent="0.3">
      <c r="A5885">
        <v>5883</v>
      </c>
      <c r="B5885">
        <v>5884</v>
      </c>
      <c r="C5885" t="s">
        <v>5963</v>
      </c>
      <c r="D5885">
        <v>2019</v>
      </c>
      <c r="E5885" t="s">
        <v>11</v>
      </c>
      <c r="F5885" t="s">
        <v>1687</v>
      </c>
      <c r="G5885">
        <v>0</v>
      </c>
      <c r="H5885">
        <v>0</v>
      </c>
      <c r="I5885">
        <v>1</v>
      </c>
      <c r="J5885">
        <v>0</v>
      </c>
      <c r="K5885">
        <v>0</v>
      </c>
      <c r="L5885">
        <f t="shared" si="182"/>
        <v>5.5</v>
      </c>
      <c r="M5885">
        <f t="shared" si="183"/>
        <v>1</v>
      </c>
    </row>
    <row r="5886" spans="1:13" x14ac:dyDescent="0.3">
      <c r="A5886">
        <v>5884</v>
      </c>
      <c r="B5886">
        <v>5885</v>
      </c>
      <c r="C5886" t="s">
        <v>5964</v>
      </c>
      <c r="D5886">
        <v>2012</v>
      </c>
      <c r="F5886" t="s">
        <v>1687</v>
      </c>
      <c r="G5886">
        <v>0</v>
      </c>
      <c r="H5886">
        <v>0</v>
      </c>
      <c r="I5886">
        <v>1</v>
      </c>
      <c r="J5886">
        <v>0</v>
      </c>
      <c r="K5886">
        <v>0</v>
      </c>
      <c r="L5886">
        <f t="shared" si="182"/>
        <v>5.5</v>
      </c>
      <c r="M5886">
        <f t="shared" si="183"/>
        <v>1</v>
      </c>
    </row>
    <row r="5887" spans="1:13" x14ac:dyDescent="0.3">
      <c r="A5887">
        <v>5885</v>
      </c>
      <c r="B5887">
        <v>5886</v>
      </c>
      <c r="C5887" t="s">
        <v>5965</v>
      </c>
      <c r="D5887">
        <v>2014</v>
      </c>
      <c r="E5887" t="s">
        <v>28</v>
      </c>
      <c r="F5887" t="s">
        <v>1687</v>
      </c>
      <c r="G5887">
        <v>0</v>
      </c>
      <c r="H5887">
        <v>0</v>
      </c>
      <c r="I5887">
        <v>1</v>
      </c>
      <c r="J5887">
        <v>0</v>
      </c>
      <c r="K5887">
        <v>0</v>
      </c>
      <c r="L5887">
        <f t="shared" si="182"/>
        <v>5.5</v>
      </c>
      <c r="M5887">
        <f t="shared" si="183"/>
        <v>1</v>
      </c>
    </row>
    <row r="5888" spans="1:13" x14ac:dyDescent="0.3">
      <c r="A5888">
        <v>5886</v>
      </c>
      <c r="B5888">
        <v>5887</v>
      </c>
      <c r="C5888" t="s">
        <v>5966</v>
      </c>
      <c r="D5888">
        <v>2018</v>
      </c>
      <c r="F5888" t="s">
        <v>1687</v>
      </c>
      <c r="G5888">
        <v>0</v>
      </c>
      <c r="H5888">
        <v>0</v>
      </c>
      <c r="I5888">
        <v>1</v>
      </c>
      <c r="J5888">
        <v>0</v>
      </c>
      <c r="K5888">
        <v>0</v>
      </c>
      <c r="L5888">
        <f t="shared" si="182"/>
        <v>5.5</v>
      </c>
      <c r="M5888">
        <f t="shared" si="183"/>
        <v>1</v>
      </c>
    </row>
    <row r="5889" spans="1:13" x14ac:dyDescent="0.3">
      <c r="A5889">
        <v>5887</v>
      </c>
      <c r="B5889">
        <v>5888</v>
      </c>
      <c r="C5889" t="s">
        <v>5967</v>
      </c>
      <c r="D5889">
        <v>2018</v>
      </c>
      <c r="E5889" t="s">
        <v>11</v>
      </c>
      <c r="F5889" t="s">
        <v>1687</v>
      </c>
      <c r="G5889">
        <v>0</v>
      </c>
      <c r="H5889">
        <v>0</v>
      </c>
      <c r="I5889">
        <v>1</v>
      </c>
      <c r="J5889">
        <v>0</v>
      </c>
      <c r="K5889">
        <v>0</v>
      </c>
      <c r="L5889">
        <f t="shared" si="182"/>
        <v>5.5</v>
      </c>
      <c r="M5889">
        <f t="shared" si="183"/>
        <v>1</v>
      </c>
    </row>
    <row r="5890" spans="1:13" x14ac:dyDescent="0.3">
      <c r="A5890">
        <v>5888</v>
      </c>
      <c r="B5890">
        <v>5889</v>
      </c>
      <c r="C5890" t="s">
        <v>5968</v>
      </c>
      <c r="D5890">
        <v>1970</v>
      </c>
      <c r="E5890" t="s">
        <v>11</v>
      </c>
      <c r="F5890" t="s">
        <v>1687</v>
      </c>
      <c r="G5890">
        <v>0</v>
      </c>
      <c r="H5890">
        <v>0</v>
      </c>
      <c r="I5890">
        <v>1</v>
      </c>
      <c r="J5890">
        <v>0</v>
      </c>
      <c r="K5890">
        <v>0</v>
      </c>
      <c r="L5890">
        <f t="shared" si="182"/>
        <v>5.5</v>
      </c>
      <c r="M5890">
        <f t="shared" si="183"/>
        <v>1</v>
      </c>
    </row>
    <row r="5891" spans="1:13" x14ac:dyDescent="0.3">
      <c r="A5891">
        <v>5889</v>
      </c>
      <c r="B5891">
        <v>5890</v>
      </c>
      <c r="C5891" t="s">
        <v>5969</v>
      </c>
      <c r="D5891">
        <v>2016</v>
      </c>
      <c r="E5891" t="s">
        <v>11</v>
      </c>
      <c r="F5891" t="s">
        <v>1687</v>
      </c>
      <c r="G5891">
        <v>0</v>
      </c>
      <c r="H5891">
        <v>0</v>
      </c>
      <c r="I5891">
        <v>1</v>
      </c>
      <c r="J5891">
        <v>0</v>
      </c>
      <c r="K5891">
        <v>0</v>
      </c>
      <c r="L5891">
        <f t="shared" ref="L5891:L5954" si="184">IFERROR(VALUE(LEFT(F5891,FIND("/",F5891)-1))/10,"")</f>
        <v>5.5</v>
      </c>
      <c r="M5891">
        <f t="shared" ref="M5891:M5954" si="185">SUM(G5891:J5891)</f>
        <v>1</v>
      </c>
    </row>
    <row r="5892" spans="1:13" x14ac:dyDescent="0.3">
      <c r="A5892">
        <v>5890</v>
      </c>
      <c r="B5892">
        <v>5891</v>
      </c>
      <c r="C5892" t="s">
        <v>5970</v>
      </c>
      <c r="D5892">
        <v>2010</v>
      </c>
      <c r="F5892" t="s">
        <v>1687</v>
      </c>
      <c r="G5892">
        <v>0</v>
      </c>
      <c r="H5892">
        <v>0</v>
      </c>
      <c r="I5892">
        <v>1</v>
      </c>
      <c r="J5892">
        <v>0</v>
      </c>
      <c r="K5892">
        <v>0</v>
      </c>
      <c r="L5892">
        <f t="shared" si="184"/>
        <v>5.5</v>
      </c>
      <c r="M5892">
        <f t="shared" si="185"/>
        <v>1</v>
      </c>
    </row>
    <row r="5893" spans="1:13" x14ac:dyDescent="0.3">
      <c r="A5893">
        <v>5891</v>
      </c>
      <c r="B5893">
        <v>5892</v>
      </c>
      <c r="C5893" t="s">
        <v>5971</v>
      </c>
      <c r="D5893">
        <v>1998</v>
      </c>
      <c r="E5893" t="s">
        <v>11</v>
      </c>
      <c r="F5893" t="s">
        <v>1687</v>
      </c>
      <c r="G5893">
        <v>0</v>
      </c>
      <c r="H5893">
        <v>0</v>
      </c>
      <c r="I5893">
        <v>1</v>
      </c>
      <c r="J5893">
        <v>0</v>
      </c>
      <c r="K5893">
        <v>0</v>
      </c>
      <c r="L5893">
        <f t="shared" si="184"/>
        <v>5.5</v>
      </c>
      <c r="M5893">
        <f t="shared" si="185"/>
        <v>1</v>
      </c>
    </row>
    <row r="5894" spans="1:13" x14ac:dyDescent="0.3">
      <c r="A5894">
        <v>5892</v>
      </c>
      <c r="B5894">
        <v>5893</v>
      </c>
      <c r="C5894" t="s">
        <v>5972</v>
      </c>
      <c r="D5894">
        <v>2012</v>
      </c>
      <c r="E5894" t="s">
        <v>11</v>
      </c>
      <c r="F5894" t="s">
        <v>1687</v>
      </c>
      <c r="G5894">
        <v>0</v>
      </c>
      <c r="H5894">
        <v>0</v>
      </c>
      <c r="I5894">
        <v>1</v>
      </c>
      <c r="J5894">
        <v>0</v>
      </c>
      <c r="K5894">
        <v>0</v>
      </c>
      <c r="L5894">
        <f t="shared" si="184"/>
        <v>5.5</v>
      </c>
      <c r="M5894">
        <f t="shared" si="185"/>
        <v>1</v>
      </c>
    </row>
    <row r="5895" spans="1:13" x14ac:dyDescent="0.3">
      <c r="A5895">
        <v>5893</v>
      </c>
      <c r="B5895">
        <v>5894</v>
      </c>
      <c r="C5895" t="s">
        <v>5973</v>
      </c>
      <c r="D5895">
        <v>2012</v>
      </c>
      <c r="E5895" t="s">
        <v>36</v>
      </c>
      <c r="F5895" t="s">
        <v>1687</v>
      </c>
      <c r="G5895">
        <v>0</v>
      </c>
      <c r="H5895">
        <v>0</v>
      </c>
      <c r="I5895">
        <v>1</v>
      </c>
      <c r="J5895">
        <v>0</v>
      </c>
      <c r="K5895">
        <v>0</v>
      </c>
      <c r="L5895">
        <f t="shared" si="184"/>
        <v>5.5</v>
      </c>
      <c r="M5895">
        <f t="shared" si="185"/>
        <v>1</v>
      </c>
    </row>
    <row r="5896" spans="1:13" x14ac:dyDescent="0.3">
      <c r="A5896">
        <v>5894</v>
      </c>
      <c r="B5896">
        <v>5895</v>
      </c>
      <c r="C5896" t="s">
        <v>5974</v>
      </c>
      <c r="D5896">
        <v>1980</v>
      </c>
      <c r="E5896" t="s">
        <v>11</v>
      </c>
      <c r="F5896" t="s">
        <v>1687</v>
      </c>
      <c r="G5896">
        <v>0</v>
      </c>
      <c r="H5896">
        <v>0</v>
      </c>
      <c r="I5896">
        <v>1</v>
      </c>
      <c r="J5896">
        <v>0</v>
      </c>
      <c r="K5896">
        <v>0</v>
      </c>
      <c r="L5896">
        <f t="shared" si="184"/>
        <v>5.5</v>
      </c>
      <c r="M5896">
        <f t="shared" si="185"/>
        <v>1</v>
      </c>
    </row>
    <row r="5897" spans="1:13" x14ac:dyDescent="0.3">
      <c r="A5897">
        <v>5895</v>
      </c>
      <c r="B5897">
        <v>5896</v>
      </c>
      <c r="C5897" t="s">
        <v>5975</v>
      </c>
      <c r="D5897">
        <v>1990</v>
      </c>
      <c r="E5897" t="s">
        <v>11</v>
      </c>
      <c r="F5897" t="s">
        <v>1687</v>
      </c>
      <c r="G5897">
        <v>0</v>
      </c>
      <c r="H5897">
        <v>0</v>
      </c>
      <c r="I5897">
        <v>1</v>
      </c>
      <c r="J5897">
        <v>0</v>
      </c>
      <c r="K5897">
        <v>0</v>
      </c>
      <c r="L5897">
        <f t="shared" si="184"/>
        <v>5.5</v>
      </c>
      <c r="M5897">
        <f t="shared" si="185"/>
        <v>1</v>
      </c>
    </row>
    <row r="5898" spans="1:13" x14ac:dyDescent="0.3">
      <c r="A5898">
        <v>5896</v>
      </c>
      <c r="B5898">
        <v>5897</v>
      </c>
      <c r="C5898" t="s">
        <v>5976</v>
      </c>
      <c r="D5898">
        <v>2017</v>
      </c>
      <c r="E5898" t="s">
        <v>22</v>
      </c>
      <c r="F5898" t="s">
        <v>1687</v>
      </c>
      <c r="G5898">
        <v>0</v>
      </c>
      <c r="H5898">
        <v>0</v>
      </c>
      <c r="I5898">
        <v>1</v>
      </c>
      <c r="J5898">
        <v>0</v>
      </c>
      <c r="K5898">
        <v>0</v>
      </c>
      <c r="L5898">
        <f t="shared" si="184"/>
        <v>5.5</v>
      </c>
      <c r="M5898">
        <f t="shared" si="185"/>
        <v>1</v>
      </c>
    </row>
    <row r="5899" spans="1:13" x14ac:dyDescent="0.3">
      <c r="A5899">
        <v>5897</v>
      </c>
      <c r="B5899">
        <v>5898</v>
      </c>
      <c r="C5899" t="s">
        <v>5977</v>
      </c>
      <c r="D5899">
        <v>2018</v>
      </c>
      <c r="E5899" t="s">
        <v>14</v>
      </c>
      <c r="F5899" t="s">
        <v>1687</v>
      </c>
      <c r="G5899">
        <v>0</v>
      </c>
      <c r="H5899">
        <v>0</v>
      </c>
      <c r="I5899">
        <v>1</v>
      </c>
      <c r="J5899">
        <v>0</v>
      </c>
      <c r="K5899">
        <v>0</v>
      </c>
      <c r="L5899">
        <f t="shared" si="184"/>
        <v>5.5</v>
      </c>
      <c r="M5899">
        <f t="shared" si="185"/>
        <v>1</v>
      </c>
    </row>
    <row r="5900" spans="1:13" x14ac:dyDescent="0.3">
      <c r="A5900">
        <v>5898</v>
      </c>
      <c r="B5900">
        <v>5899</v>
      </c>
      <c r="C5900" t="s">
        <v>5978</v>
      </c>
      <c r="D5900">
        <v>2015</v>
      </c>
      <c r="E5900" t="s">
        <v>28</v>
      </c>
      <c r="F5900" t="s">
        <v>1687</v>
      </c>
      <c r="G5900">
        <v>0</v>
      </c>
      <c r="H5900">
        <v>0</v>
      </c>
      <c r="I5900">
        <v>1</v>
      </c>
      <c r="J5900">
        <v>0</v>
      </c>
      <c r="K5900">
        <v>0</v>
      </c>
      <c r="L5900">
        <f t="shared" si="184"/>
        <v>5.5</v>
      </c>
      <c r="M5900">
        <f t="shared" si="185"/>
        <v>1</v>
      </c>
    </row>
    <row r="5901" spans="1:13" x14ac:dyDescent="0.3">
      <c r="A5901">
        <v>5899</v>
      </c>
      <c r="B5901">
        <v>5900</v>
      </c>
      <c r="C5901" t="s">
        <v>5979</v>
      </c>
      <c r="D5901">
        <v>2007</v>
      </c>
      <c r="E5901" t="s">
        <v>22</v>
      </c>
      <c r="F5901" t="s">
        <v>1687</v>
      </c>
      <c r="G5901">
        <v>0</v>
      </c>
      <c r="H5901">
        <v>0</v>
      </c>
      <c r="I5901">
        <v>1</v>
      </c>
      <c r="J5901">
        <v>0</v>
      </c>
      <c r="K5901">
        <v>0</v>
      </c>
      <c r="L5901">
        <f t="shared" si="184"/>
        <v>5.5</v>
      </c>
      <c r="M5901">
        <f t="shared" si="185"/>
        <v>1</v>
      </c>
    </row>
    <row r="5902" spans="1:13" x14ac:dyDescent="0.3">
      <c r="A5902">
        <v>5900</v>
      </c>
      <c r="B5902">
        <v>5901</v>
      </c>
      <c r="C5902" t="s">
        <v>5980</v>
      </c>
      <c r="D5902">
        <v>1985</v>
      </c>
      <c r="F5902" t="s">
        <v>1687</v>
      </c>
      <c r="G5902">
        <v>0</v>
      </c>
      <c r="H5902">
        <v>0</v>
      </c>
      <c r="I5902">
        <v>1</v>
      </c>
      <c r="J5902">
        <v>0</v>
      </c>
      <c r="K5902">
        <v>0</v>
      </c>
      <c r="L5902">
        <f t="shared" si="184"/>
        <v>5.5</v>
      </c>
      <c r="M5902">
        <f t="shared" si="185"/>
        <v>1</v>
      </c>
    </row>
    <row r="5903" spans="1:13" x14ac:dyDescent="0.3">
      <c r="A5903">
        <v>5901</v>
      </c>
      <c r="B5903">
        <v>5902</v>
      </c>
      <c r="C5903" t="s">
        <v>5981</v>
      </c>
      <c r="D5903">
        <v>2013</v>
      </c>
      <c r="F5903" t="s">
        <v>1687</v>
      </c>
      <c r="G5903">
        <v>0</v>
      </c>
      <c r="H5903">
        <v>0</v>
      </c>
      <c r="I5903">
        <v>1</v>
      </c>
      <c r="J5903">
        <v>0</v>
      </c>
      <c r="K5903">
        <v>0</v>
      </c>
      <c r="L5903">
        <f t="shared" si="184"/>
        <v>5.5</v>
      </c>
      <c r="M5903">
        <f t="shared" si="185"/>
        <v>1</v>
      </c>
    </row>
    <row r="5904" spans="1:13" x14ac:dyDescent="0.3">
      <c r="A5904">
        <v>5902</v>
      </c>
      <c r="B5904">
        <v>5903</v>
      </c>
      <c r="C5904" t="s">
        <v>5982</v>
      </c>
      <c r="D5904">
        <v>2014</v>
      </c>
      <c r="F5904" t="s">
        <v>1687</v>
      </c>
      <c r="G5904">
        <v>0</v>
      </c>
      <c r="H5904">
        <v>0</v>
      </c>
      <c r="I5904">
        <v>1</v>
      </c>
      <c r="J5904">
        <v>0</v>
      </c>
      <c r="K5904">
        <v>0</v>
      </c>
      <c r="L5904">
        <f t="shared" si="184"/>
        <v>5.5</v>
      </c>
      <c r="M5904">
        <f t="shared" si="185"/>
        <v>1</v>
      </c>
    </row>
    <row r="5905" spans="1:13" x14ac:dyDescent="0.3">
      <c r="A5905">
        <v>5903</v>
      </c>
      <c r="B5905">
        <v>5904</v>
      </c>
      <c r="C5905" t="s">
        <v>5983</v>
      </c>
      <c r="D5905">
        <v>2019</v>
      </c>
      <c r="F5905" t="s">
        <v>1687</v>
      </c>
      <c r="G5905">
        <v>0</v>
      </c>
      <c r="H5905">
        <v>0</v>
      </c>
      <c r="I5905">
        <v>1</v>
      </c>
      <c r="J5905">
        <v>0</v>
      </c>
      <c r="K5905">
        <v>0</v>
      </c>
      <c r="L5905">
        <f t="shared" si="184"/>
        <v>5.5</v>
      </c>
      <c r="M5905">
        <f t="shared" si="185"/>
        <v>1</v>
      </c>
    </row>
    <row r="5906" spans="1:13" x14ac:dyDescent="0.3">
      <c r="A5906">
        <v>5904</v>
      </c>
      <c r="B5906">
        <v>5905</v>
      </c>
      <c r="C5906" t="s">
        <v>5984</v>
      </c>
      <c r="D5906">
        <v>1994</v>
      </c>
      <c r="E5906" t="s">
        <v>11</v>
      </c>
      <c r="F5906" t="s">
        <v>1687</v>
      </c>
      <c r="G5906">
        <v>0</v>
      </c>
      <c r="H5906">
        <v>0</v>
      </c>
      <c r="I5906">
        <v>1</v>
      </c>
      <c r="J5906">
        <v>0</v>
      </c>
      <c r="K5906">
        <v>0</v>
      </c>
      <c r="L5906">
        <f t="shared" si="184"/>
        <v>5.5</v>
      </c>
      <c r="M5906">
        <f t="shared" si="185"/>
        <v>1</v>
      </c>
    </row>
    <row r="5907" spans="1:13" x14ac:dyDescent="0.3">
      <c r="A5907">
        <v>5905</v>
      </c>
      <c r="B5907">
        <v>5906</v>
      </c>
      <c r="C5907" t="s">
        <v>5985</v>
      </c>
      <c r="D5907">
        <v>2009</v>
      </c>
      <c r="E5907" t="s">
        <v>28</v>
      </c>
      <c r="F5907" t="s">
        <v>1687</v>
      </c>
      <c r="G5907">
        <v>0</v>
      </c>
      <c r="H5907">
        <v>0</v>
      </c>
      <c r="I5907">
        <v>1</v>
      </c>
      <c r="J5907">
        <v>0</v>
      </c>
      <c r="K5907">
        <v>0</v>
      </c>
      <c r="L5907">
        <f t="shared" si="184"/>
        <v>5.5</v>
      </c>
      <c r="M5907">
        <f t="shared" si="185"/>
        <v>1</v>
      </c>
    </row>
    <row r="5908" spans="1:13" x14ac:dyDescent="0.3">
      <c r="A5908">
        <v>5906</v>
      </c>
      <c r="B5908">
        <v>5907</v>
      </c>
      <c r="C5908" t="s">
        <v>5986</v>
      </c>
      <c r="D5908">
        <v>2009</v>
      </c>
      <c r="E5908" t="s">
        <v>36</v>
      </c>
      <c r="F5908" t="s">
        <v>1687</v>
      </c>
      <c r="G5908">
        <v>0</v>
      </c>
      <c r="H5908">
        <v>0</v>
      </c>
      <c r="I5908">
        <v>1</v>
      </c>
      <c r="J5908">
        <v>0</v>
      </c>
      <c r="K5908">
        <v>0</v>
      </c>
      <c r="L5908">
        <f t="shared" si="184"/>
        <v>5.5</v>
      </c>
      <c r="M5908">
        <f t="shared" si="185"/>
        <v>1</v>
      </c>
    </row>
    <row r="5909" spans="1:13" x14ac:dyDescent="0.3">
      <c r="A5909">
        <v>5907</v>
      </c>
      <c r="B5909">
        <v>5908</v>
      </c>
      <c r="C5909" t="s">
        <v>5987</v>
      </c>
      <c r="D5909">
        <v>1990</v>
      </c>
      <c r="F5909" t="s">
        <v>1687</v>
      </c>
      <c r="G5909">
        <v>0</v>
      </c>
      <c r="H5909">
        <v>0</v>
      </c>
      <c r="I5909">
        <v>1</v>
      </c>
      <c r="J5909">
        <v>0</v>
      </c>
      <c r="K5909">
        <v>0</v>
      </c>
      <c r="L5909">
        <f t="shared" si="184"/>
        <v>5.5</v>
      </c>
      <c r="M5909">
        <f t="shared" si="185"/>
        <v>1</v>
      </c>
    </row>
    <row r="5910" spans="1:13" x14ac:dyDescent="0.3">
      <c r="A5910">
        <v>5908</v>
      </c>
      <c r="B5910">
        <v>5909</v>
      </c>
      <c r="C5910" t="s">
        <v>5988</v>
      </c>
      <c r="D5910">
        <v>2016</v>
      </c>
      <c r="F5910" t="s">
        <v>1687</v>
      </c>
      <c r="G5910">
        <v>0</v>
      </c>
      <c r="H5910">
        <v>0</v>
      </c>
      <c r="I5910">
        <v>1</v>
      </c>
      <c r="J5910">
        <v>0</v>
      </c>
      <c r="K5910">
        <v>0</v>
      </c>
      <c r="L5910">
        <f t="shared" si="184"/>
        <v>5.5</v>
      </c>
      <c r="M5910">
        <f t="shared" si="185"/>
        <v>1</v>
      </c>
    </row>
    <row r="5911" spans="1:13" x14ac:dyDescent="0.3">
      <c r="A5911">
        <v>5909</v>
      </c>
      <c r="B5911">
        <v>5910</v>
      </c>
      <c r="C5911" t="s">
        <v>5989</v>
      </c>
      <c r="D5911">
        <v>2008</v>
      </c>
      <c r="F5911" t="s">
        <v>1687</v>
      </c>
      <c r="G5911">
        <v>0</v>
      </c>
      <c r="H5911">
        <v>0</v>
      </c>
      <c r="I5911">
        <v>1</v>
      </c>
      <c r="J5911">
        <v>0</v>
      </c>
      <c r="K5911">
        <v>0</v>
      </c>
      <c r="L5911">
        <f t="shared" si="184"/>
        <v>5.5</v>
      </c>
      <c r="M5911">
        <f t="shared" si="185"/>
        <v>1</v>
      </c>
    </row>
    <row r="5912" spans="1:13" x14ac:dyDescent="0.3">
      <c r="A5912">
        <v>5910</v>
      </c>
      <c r="B5912">
        <v>5911</v>
      </c>
      <c r="C5912" t="s">
        <v>5990</v>
      </c>
      <c r="D5912">
        <v>2016</v>
      </c>
      <c r="F5912" t="s">
        <v>1687</v>
      </c>
      <c r="G5912">
        <v>0</v>
      </c>
      <c r="H5912">
        <v>0</v>
      </c>
      <c r="I5912">
        <v>1</v>
      </c>
      <c r="J5912">
        <v>0</v>
      </c>
      <c r="K5912">
        <v>0</v>
      </c>
      <c r="L5912">
        <f t="shared" si="184"/>
        <v>5.5</v>
      </c>
      <c r="M5912">
        <f t="shared" si="185"/>
        <v>1</v>
      </c>
    </row>
    <row r="5913" spans="1:13" x14ac:dyDescent="0.3">
      <c r="A5913">
        <v>5911</v>
      </c>
      <c r="B5913">
        <v>5912</v>
      </c>
      <c r="C5913" t="s">
        <v>5991</v>
      </c>
      <c r="D5913">
        <v>2018</v>
      </c>
      <c r="F5913" t="s">
        <v>1687</v>
      </c>
      <c r="G5913">
        <v>0</v>
      </c>
      <c r="H5913">
        <v>0</v>
      </c>
      <c r="I5913">
        <v>1</v>
      </c>
      <c r="J5913">
        <v>0</v>
      </c>
      <c r="K5913">
        <v>0</v>
      </c>
      <c r="L5913">
        <f t="shared" si="184"/>
        <v>5.5</v>
      </c>
      <c r="M5913">
        <f t="shared" si="185"/>
        <v>1</v>
      </c>
    </row>
    <row r="5914" spans="1:13" x14ac:dyDescent="0.3">
      <c r="A5914">
        <v>5912</v>
      </c>
      <c r="B5914">
        <v>5913</v>
      </c>
      <c r="C5914" t="s">
        <v>5992</v>
      </c>
      <c r="D5914">
        <v>1952</v>
      </c>
      <c r="F5914" t="s">
        <v>1687</v>
      </c>
      <c r="G5914">
        <v>0</v>
      </c>
      <c r="H5914">
        <v>0</v>
      </c>
      <c r="I5914">
        <v>1</v>
      </c>
      <c r="J5914">
        <v>0</v>
      </c>
      <c r="K5914">
        <v>0</v>
      </c>
      <c r="L5914">
        <f t="shared" si="184"/>
        <v>5.5</v>
      </c>
      <c r="M5914">
        <f t="shared" si="185"/>
        <v>1</v>
      </c>
    </row>
    <row r="5915" spans="1:13" x14ac:dyDescent="0.3">
      <c r="A5915">
        <v>5913</v>
      </c>
      <c r="B5915">
        <v>5914</v>
      </c>
      <c r="C5915" t="s">
        <v>5993</v>
      </c>
      <c r="D5915">
        <v>1997</v>
      </c>
      <c r="E5915" t="s">
        <v>11</v>
      </c>
      <c r="F5915" t="s">
        <v>1687</v>
      </c>
      <c r="G5915">
        <v>0</v>
      </c>
      <c r="H5915">
        <v>0</v>
      </c>
      <c r="I5915">
        <v>1</v>
      </c>
      <c r="J5915">
        <v>0</v>
      </c>
      <c r="K5915">
        <v>0</v>
      </c>
      <c r="L5915">
        <f t="shared" si="184"/>
        <v>5.5</v>
      </c>
      <c r="M5915">
        <f t="shared" si="185"/>
        <v>1</v>
      </c>
    </row>
    <row r="5916" spans="1:13" x14ac:dyDescent="0.3">
      <c r="A5916">
        <v>5914</v>
      </c>
      <c r="B5916">
        <v>5915</v>
      </c>
      <c r="C5916" t="s">
        <v>5994</v>
      </c>
      <c r="D5916">
        <v>2015</v>
      </c>
      <c r="E5916" t="s">
        <v>36</v>
      </c>
      <c r="F5916" t="s">
        <v>1687</v>
      </c>
      <c r="G5916">
        <v>0</v>
      </c>
      <c r="H5916">
        <v>0</v>
      </c>
      <c r="I5916">
        <v>1</v>
      </c>
      <c r="J5916">
        <v>0</v>
      </c>
      <c r="K5916">
        <v>0</v>
      </c>
      <c r="L5916">
        <f t="shared" si="184"/>
        <v>5.5</v>
      </c>
      <c r="M5916">
        <f t="shared" si="185"/>
        <v>1</v>
      </c>
    </row>
    <row r="5917" spans="1:13" x14ac:dyDescent="0.3">
      <c r="A5917">
        <v>5915</v>
      </c>
      <c r="B5917">
        <v>5916</v>
      </c>
      <c r="C5917" t="s">
        <v>5995</v>
      </c>
      <c r="D5917">
        <v>2013</v>
      </c>
      <c r="E5917" t="s">
        <v>11</v>
      </c>
      <c r="F5917" t="s">
        <v>1687</v>
      </c>
      <c r="G5917">
        <v>0</v>
      </c>
      <c r="H5917">
        <v>0</v>
      </c>
      <c r="I5917">
        <v>1</v>
      </c>
      <c r="J5917">
        <v>0</v>
      </c>
      <c r="K5917">
        <v>0</v>
      </c>
      <c r="L5917">
        <f t="shared" si="184"/>
        <v>5.5</v>
      </c>
      <c r="M5917">
        <f t="shared" si="185"/>
        <v>1</v>
      </c>
    </row>
    <row r="5918" spans="1:13" x14ac:dyDescent="0.3">
      <c r="A5918">
        <v>5916</v>
      </c>
      <c r="B5918">
        <v>5917</v>
      </c>
      <c r="C5918" t="s">
        <v>5996</v>
      </c>
      <c r="D5918">
        <v>2012</v>
      </c>
      <c r="F5918" t="s">
        <v>1687</v>
      </c>
      <c r="G5918">
        <v>0</v>
      </c>
      <c r="H5918">
        <v>0</v>
      </c>
      <c r="I5918">
        <v>1</v>
      </c>
      <c r="J5918">
        <v>0</v>
      </c>
      <c r="K5918">
        <v>0</v>
      </c>
      <c r="L5918">
        <f t="shared" si="184"/>
        <v>5.5</v>
      </c>
      <c r="M5918">
        <f t="shared" si="185"/>
        <v>1</v>
      </c>
    </row>
    <row r="5919" spans="1:13" x14ac:dyDescent="0.3">
      <c r="A5919">
        <v>5917</v>
      </c>
      <c r="B5919">
        <v>5918</v>
      </c>
      <c r="C5919" t="s">
        <v>5997</v>
      </c>
      <c r="D5919">
        <v>2016</v>
      </c>
      <c r="E5919" t="s">
        <v>14</v>
      </c>
      <c r="F5919" t="s">
        <v>1687</v>
      </c>
      <c r="G5919">
        <v>0</v>
      </c>
      <c r="H5919">
        <v>0</v>
      </c>
      <c r="I5919">
        <v>1</v>
      </c>
      <c r="J5919">
        <v>0</v>
      </c>
      <c r="K5919">
        <v>0</v>
      </c>
      <c r="L5919">
        <f t="shared" si="184"/>
        <v>5.5</v>
      </c>
      <c r="M5919">
        <f t="shared" si="185"/>
        <v>1</v>
      </c>
    </row>
    <row r="5920" spans="1:13" x14ac:dyDescent="0.3">
      <c r="A5920">
        <v>5918</v>
      </c>
      <c r="B5920">
        <v>5919</v>
      </c>
      <c r="C5920" t="s">
        <v>5998</v>
      </c>
      <c r="D5920">
        <v>2001</v>
      </c>
      <c r="E5920" t="s">
        <v>14</v>
      </c>
      <c r="F5920" t="s">
        <v>1687</v>
      </c>
      <c r="G5920">
        <v>0</v>
      </c>
      <c r="H5920">
        <v>0</v>
      </c>
      <c r="I5920">
        <v>1</v>
      </c>
      <c r="J5920">
        <v>0</v>
      </c>
      <c r="K5920">
        <v>0</v>
      </c>
      <c r="L5920">
        <f t="shared" si="184"/>
        <v>5.5</v>
      </c>
      <c r="M5920">
        <f t="shared" si="185"/>
        <v>1</v>
      </c>
    </row>
    <row r="5921" spans="1:13" x14ac:dyDescent="0.3">
      <c r="A5921">
        <v>5919</v>
      </c>
      <c r="B5921">
        <v>5920</v>
      </c>
      <c r="C5921" t="s">
        <v>5999</v>
      </c>
      <c r="D5921">
        <v>2011</v>
      </c>
      <c r="F5921" t="s">
        <v>1687</v>
      </c>
      <c r="G5921">
        <v>0</v>
      </c>
      <c r="H5921">
        <v>0</v>
      </c>
      <c r="I5921">
        <v>1</v>
      </c>
      <c r="J5921">
        <v>0</v>
      </c>
      <c r="K5921">
        <v>0</v>
      </c>
      <c r="L5921">
        <f t="shared" si="184"/>
        <v>5.5</v>
      </c>
      <c r="M5921">
        <f t="shared" si="185"/>
        <v>1</v>
      </c>
    </row>
    <row r="5922" spans="1:13" x14ac:dyDescent="0.3">
      <c r="A5922">
        <v>5920</v>
      </c>
      <c r="B5922">
        <v>5921</v>
      </c>
      <c r="C5922" t="s">
        <v>6000</v>
      </c>
      <c r="D5922">
        <v>2014</v>
      </c>
      <c r="F5922" t="s">
        <v>1687</v>
      </c>
      <c r="G5922">
        <v>0</v>
      </c>
      <c r="H5922">
        <v>0</v>
      </c>
      <c r="I5922">
        <v>1</v>
      </c>
      <c r="J5922">
        <v>0</v>
      </c>
      <c r="K5922">
        <v>0</v>
      </c>
      <c r="L5922">
        <f t="shared" si="184"/>
        <v>5.5</v>
      </c>
      <c r="M5922">
        <f t="shared" si="185"/>
        <v>1</v>
      </c>
    </row>
    <row r="5923" spans="1:13" x14ac:dyDescent="0.3">
      <c r="A5923">
        <v>5921</v>
      </c>
      <c r="B5923">
        <v>5922</v>
      </c>
      <c r="C5923" t="s">
        <v>6001</v>
      </c>
      <c r="D5923">
        <v>2020</v>
      </c>
      <c r="E5923" t="s">
        <v>11</v>
      </c>
      <c r="F5923" t="s">
        <v>1687</v>
      </c>
      <c r="G5923">
        <v>0</v>
      </c>
      <c r="H5923">
        <v>0</v>
      </c>
      <c r="I5923">
        <v>1</v>
      </c>
      <c r="J5923">
        <v>0</v>
      </c>
      <c r="K5923">
        <v>0</v>
      </c>
      <c r="L5923">
        <f t="shared" si="184"/>
        <v>5.5</v>
      </c>
      <c r="M5923">
        <f t="shared" si="185"/>
        <v>1</v>
      </c>
    </row>
    <row r="5924" spans="1:13" x14ac:dyDescent="0.3">
      <c r="A5924">
        <v>5922</v>
      </c>
      <c r="B5924">
        <v>5923</v>
      </c>
      <c r="C5924" t="s">
        <v>6002</v>
      </c>
      <c r="D5924">
        <v>2011</v>
      </c>
      <c r="E5924" t="s">
        <v>11</v>
      </c>
      <c r="F5924" t="s">
        <v>1687</v>
      </c>
      <c r="G5924">
        <v>0</v>
      </c>
      <c r="H5924">
        <v>0</v>
      </c>
      <c r="I5924">
        <v>1</v>
      </c>
      <c r="J5924">
        <v>0</v>
      </c>
      <c r="K5924">
        <v>0</v>
      </c>
      <c r="L5924">
        <f t="shared" si="184"/>
        <v>5.5</v>
      </c>
      <c r="M5924">
        <f t="shared" si="185"/>
        <v>1</v>
      </c>
    </row>
    <row r="5925" spans="1:13" x14ac:dyDescent="0.3">
      <c r="A5925">
        <v>5923</v>
      </c>
      <c r="B5925">
        <v>5924</v>
      </c>
      <c r="C5925" t="s">
        <v>6003</v>
      </c>
      <c r="D5925">
        <v>2016</v>
      </c>
      <c r="E5925" t="s">
        <v>22</v>
      </c>
      <c r="F5925" t="s">
        <v>1687</v>
      </c>
      <c r="G5925">
        <v>0</v>
      </c>
      <c r="H5925">
        <v>0</v>
      </c>
      <c r="I5925">
        <v>1</v>
      </c>
      <c r="J5925">
        <v>0</v>
      </c>
      <c r="K5925">
        <v>0</v>
      </c>
      <c r="L5925">
        <f t="shared" si="184"/>
        <v>5.5</v>
      </c>
      <c r="M5925">
        <f t="shared" si="185"/>
        <v>1</v>
      </c>
    </row>
    <row r="5926" spans="1:13" x14ac:dyDescent="0.3">
      <c r="A5926">
        <v>5924</v>
      </c>
      <c r="B5926">
        <v>5925</v>
      </c>
      <c r="C5926" t="s">
        <v>6004</v>
      </c>
      <c r="D5926">
        <v>1989</v>
      </c>
      <c r="E5926" t="s">
        <v>11</v>
      </c>
      <c r="F5926" t="s">
        <v>1687</v>
      </c>
      <c r="G5926">
        <v>0</v>
      </c>
      <c r="H5926">
        <v>0</v>
      </c>
      <c r="I5926">
        <v>1</v>
      </c>
      <c r="J5926">
        <v>0</v>
      </c>
      <c r="K5926">
        <v>0</v>
      </c>
      <c r="L5926">
        <f t="shared" si="184"/>
        <v>5.5</v>
      </c>
      <c r="M5926">
        <f t="shared" si="185"/>
        <v>1</v>
      </c>
    </row>
    <row r="5927" spans="1:13" x14ac:dyDescent="0.3">
      <c r="A5927">
        <v>5925</v>
      </c>
      <c r="B5927">
        <v>5926</v>
      </c>
      <c r="C5927" t="s">
        <v>6005</v>
      </c>
      <c r="D5927">
        <v>2015</v>
      </c>
      <c r="E5927" t="s">
        <v>11</v>
      </c>
      <c r="F5927" t="s">
        <v>1687</v>
      </c>
      <c r="G5927">
        <v>0</v>
      </c>
      <c r="H5927">
        <v>0</v>
      </c>
      <c r="I5927">
        <v>1</v>
      </c>
      <c r="J5927">
        <v>0</v>
      </c>
      <c r="K5927">
        <v>0</v>
      </c>
      <c r="L5927">
        <f t="shared" si="184"/>
        <v>5.5</v>
      </c>
      <c r="M5927">
        <f t="shared" si="185"/>
        <v>1</v>
      </c>
    </row>
    <row r="5928" spans="1:13" x14ac:dyDescent="0.3">
      <c r="A5928">
        <v>5926</v>
      </c>
      <c r="B5928">
        <v>5927</v>
      </c>
      <c r="C5928" t="s">
        <v>6006</v>
      </c>
      <c r="D5928">
        <v>2017</v>
      </c>
      <c r="F5928" t="s">
        <v>1687</v>
      </c>
      <c r="G5928">
        <v>0</v>
      </c>
      <c r="H5928">
        <v>0</v>
      </c>
      <c r="I5928">
        <v>1</v>
      </c>
      <c r="J5928">
        <v>0</v>
      </c>
      <c r="K5928">
        <v>0</v>
      </c>
      <c r="L5928">
        <f t="shared" si="184"/>
        <v>5.5</v>
      </c>
      <c r="M5928">
        <f t="shared" si="185"/>
        <v>1</v>
      </c>
    </row>
    <row r="5929" spans="1:13" x14ac:dyDescent="0.3">
      <c r="A5929">
        <v>5927</v>
      </c>
      <c r="B5929">
        <v>5928</v>
      </c>
      <c r="C5929" t="s">
        <v>6007</v>
      </c>
      <c r="D5929">
        <v>2014</v>
      </c>
      <c r="F5929" t="s">
        <v>1687</v>
      </c>
      <c r="G5929">
        <v>0</v>
      </c>
      <c r="H5929">
        <v>0</v>
      </c>
      <c r="I5929">
        <v>1</v>
      </c>
      <c r="J5929">
        <v>0</v>
      </c>
      <c r="K5929">
        <v>0</v>
      </c>
      <c r="L5929">
        <f t="shared" si="184"/>
        <v>5.5</v>
      </c>
      <c r="M5929">
        <f t="shared" si="185"/>
        <v>1</v>
      </c>
    </row>
    <row r="5930" spans="1:13" x14ac:dyDescent="0.3">
      <c r="A5930">
        <v>5928</v>
      </c>
      <c r="B5930">
        <v>5929</v>
      </c>
      <c r="C5930" t="s">
        <v>6008</v>
      </c>
      <c r="D5930">
        <v>1970</v>
      </c>
      <c r="E5930" t="s">
        <v>22</v>
      </c>
      <c r="F5930" t="s">
        <v>1687</v>
      </c>
      <c r="G5930">
        <v>0</v>
      </c>
      <c r="H5930">
        <v>0</v>
      </c>
      <c r="I5930">
        <v>1</v>
      </c>
      <c r="J5930">
        <v>0</v>
      </c>
      <c r="K5930">
        <v>0</v>
      </c>
      <c r="L5930">
        <f t="shared" si="184"/>
        <v>5.5</v>
      </c>
      <c r="M5930">
        <f t="shared" si="185"/>
        <v>1</v>
      </c>
    </row>
    <row r="5931" spans="1:13" x14ac:dyDescent="0.3">
      <c r="A5931">
        <v>5929</v>
      </c>
      <c r="B5931">
        <v>5930</v>
      </c>
      <c r="C5931" t="s">
        <v>6009</v>
      </c>
      <c r="D5931">
        <v>2004</v>
      </c>
      <c r="F5931" t="s">
        <v>1687</v>
      </c>
      <c r="G5931">
        <v>0</v>
      </c>
      <c r="H5931">
        <v>0</v>
      </c>
      <c r="I5931">
        <v>1</v>
      </c>
      <c r="J5931">
        <v>0</v>
      </c>
      <c r="K5931">
        <v>0</v>
      </c>
      <c r="L5931">
        <f t="shared" si="184"/>
        <v>5.5</v>
      </c>
      <c r="M5931">
        <f t="shared" si="185"/>
        <v>1</v>
      </c>
    </row>
    <row r="5932" spans="1:13" x14ac:dyDescent="0.3">
      <c r="A5932">
        <v>5930</v>
      </c>
      <c r="B5932">
        <v>5931</v>
      </c>
      <c r="C5932" t="s">
        <v>6010</v>
      </c>
      <c r="D5932">
        <v>2006</v>
      </c>
      <c r="F5932" t="s">
        <v>1687</v>
      </c>
      <c r="G5932">
        <v>0</v>
      </c>
      <c r="H5932">
        <v>0</v>
      </c>
      <c r="I5932">
        <v>1</v>
      </c>
      <c r="J5932">
        <v>0</v>
      </c>
      <c r="K5932">
        <v>0</v>
      </c>
      <c r="L5932">
        <f t="shared" si="184"/>
        <v>5.5</v>
      </c>
      <c r="M5932">
        <f t="shared" si="185"/>
        <v>1</v>
      </c>
    </row>
    <row r="5933" spans="1:13" x14ac:dyDescent="0.3">
      <c r="A5933">
        <v>5931</v>
      </c>
      <c r="B5933">
        <v>5932</v>
      </c>
      <c r="C5933" t="s">
        <v>6011</v>
      </c>
      <c r="D5933">
        <v>1946</v>
      </c>
      <c r="F5933" t="s">
        <v>1687</v>
      </c>
      <c r="G5933">
        <v>0</v>
      </c>
      <c r="H5933">
        <v>0</v>
      </c>
      <c r="I5933">
        <v>1</v>
      </c>
      <c r="J5933">
        <v>0</v>
      </c>
      <c r="K5933">
        <v>0</v>
      </c>
      <c r="L5933">
        <f t="shared" si="184"/>
        <v>5.5</v>
      </c>
      <c r="M5933">
        <f t="shared" si="185"/>
        <v>1</v>
      </c>
    </row>
    <row r="5934" spans="1:13" x14ac:dyDescent="0.3">
      <c r="A5934">
        <v>5932</v>
      </c>
      <c r="B5934">
        <v>5933</v>
      </c>
      <c r="C5934" t="s">
        <v>6012</v>
      </c>
      <c r="D5934">
        <v>1931</v>
      </c>
      <c r="F5934" t="s">
        <v>1687</v>
      </c>
      <c r="G5934">
        <v>0</v>
      </c>
      <c r="H5934">
        <v>0</v>
      </c>
      <c r="I5934">
        <v>1</v>
      </c>
      <c r="J5934">
        <v>0</v>
      </c>
      <c r="K5934">
        <v>0</v>
      </c>
      <c r="L5934">
        <f t="shared" si="184"/>
        <v>5.5</v>
      </c>
      <c r="M5934">
        <f t="shared" si="185"/>
        <v>1</v>
      </c>
    </row>
    <row r="5935" spans="1:13" x14ac:dyDescent="0.3">
      <c r="A5935">
        <v>5933</v>
      </c>
      <c r="B5935">
        <v>5934</v>
      </c>
      <c r="C5935" t="s">
        <v>6013</v>
      </c>
      <c r="D5935">
        <v>2017</v>
      </c>
      <c r="F5935" t="s">
        <v>1687</v>
      </c>
      <c r="G5935">
        <v>0</v>
      </c>
      <c r="H5935">
        <v>0</v>
      </c>
      <c r="I5935">
        <v>1</v>
      </c>
      <c r="J5935">
        <v>0</v>
      </c>
      <c r="K5935">
        <v>0</v>
      </c>
      <c r="L5935">
        <f t="shared" si="184"/>
        <v>5.5</v>
      </c>
      <c r="M5935">
        <f t="shared" si="185"/>
        <v>1</v>
      </c>
    </row>
    <row r="5936" spans="1:13" x14ac:dyDescent="0.3">
      <c r="A5936">
        <v>5934</v>
      </c>
      <c r="B5936">
        <v>5935</v>
      </c>
      <c r="C5936" t="s">
        <v>6014</v>
      </c>
      <c r="D5936">
        <v>1999</v>
      </c>
      <c r="E5936" t="s">
        <v>11</v>
      </c>
      <c r="F5936" t="s">
        <v>1687</v>
      </c>
      <c r="G5936">
        <v>0</v>
      </c>
      <c r="H5936">
        <v>0</v>
      </c>
      <c r="I5936">
        <v>1</v>
      </c>
      <c r="J5936">
        <v>0</v>
      </c>
      <c r="K5936">
        <v>0</v>
      </c>
      <c r="L5936">
        <f t="shared" si="184"/>
        <v>5.5</v>
      </c>
      <c r="M5936">
        <f t="shared" si="185"/>
        <v>1</v>
      </c>
    </row>
    <row r="5937" spans="1:13" x14ac:dyDescent="0.3">
      <c r="A5937">
        <v>5935</v>
      </c>
      <c r="B5937">
        <v>5936</v>
      </c>
      <c r="C5937" t="s">
        <v>6015</v>
      </c>
      <c r="D5937">
        <v>2014</v>
      </c>
      <c r="E5937" t="s">
        <v>28</v>
      </c>
      <c r="F5937" t="s">
        <v>1687</v>
      </c>
      <c r="G5937">
        <v>0</v>
      </c>
      <c r="H5937">
        <v>0</v>
      </c>
      <c r="I5937">
        <v>1</v>
      </c>
      <c r="J5937">
        <v>0</v>
      </c>
      <c r="K5937">
        <v>0</v>
      </c>
      <c r="L5937">
        <f t="shared" si="184"/>
        <v>5.5</v>
      </c>
      <c r="M5937">
        <f t="shared" si="185"/>
        <v>1</v>
      </c>
    </row>
    <row r="5938" spans="1:13" x14ac:dyDescent="0.3">
      <c r="A5938">
        <v>5936</v>
      </c>
      <c r="B5938">
        <v>5937</v>
      </c>
      <c r="C5938" t="s">
        <v>6016</v>
      </c>
      <c r="D5938">
        <v>2013</v>
      </c>
      <c r="F5938" t="s">
        <v>1687</v>
      </c>
      <c r="G5938">
        <v>0</v>
      </c>
      <c r="H5938">
        <v>0</v>
      </c>
      <c r="I5938">
        <v>1</v>
      </c>
      <c r="J5938">
        <v>0</v>
      </c>
      <c r="K5938">
        <v>0</v>
      </c>
      <c r="L5938">
        <f t="shared" si="184"/>
        <v>5.5</v>
      </c>
      <c r="M5938">
        <f t="shared" si="185"/>
        <v>1</v>
      </c>
    </row>
    <row r="5939" spans="1:13" x14ac:dyDescent="0.3">
      <c r="A5939">
        <v>5937</v>
      </c>
      <c r="B5939">
        <v>5938</v>
      </c>
      <c r="C5939" t="s">
        <v>6017</v>
      </c>
      <c r="D5939">
        <v>1979</v>
      </c>
      <c r="F5939" t="s">
        <v>1687</v>
      </c>
      <c r="G5939">
        <v>0</v>
      </c>
      <c r="H5939">
        <v>0</v>
      </c>
      <c r="I5939">
        <v>1</v>
      </c>
      <c r="J5939">
        <v>0</v>
      </c>
      <c r="K5939">
        <v>0</v>
      </c>
      <c r="L5939">
        <f t="shared" si="184"/>
        <v>5.5</v>
      </c>
      <c r="M5939">
        <f t="shared" si="185"/>
        <v>1</v>
      </c>
    </row>
    <row r="5940" spans="1:13" x14ac:dyDescent="0.3">
      <c r="A5940">
        <v>5938</v>
      </c>
      <c r="B5940">
        <v>5939</v>
      </c>
      <c r="C5940" t="s">
        <v>6018</v>
      </c>
      <c r="D5940">
        <v>2011</v>
      </c>
      <c r="E5940" t="s">
        <v>11</v>
      </c>
      <c r="F5940" t="s">
        <v>1687</v>
      </c>
      <c r="G5940">
        <v>0</v>
      </c>
      <c r="H5940">
        <v>0</v>
      </c>
      <c r="I5940">
        <v>1</v>
      </c>
      <c r="J5940">
        <v>0</v>
      </c>
      <c r="K5940">
        <v>0</v>
      </c>
      <c r="L5940">
        <f t="shared" si="184"/>
        <v>5.5</v>
      </c>
      <c r="M5940">
        <f t="shared" si="185"/>
        <v>1</v>
      </c>
    </row>
    <row r="5941" spans="1:13" x14ac:dyDescent="0.3">
      <c r="A5941">
        <v>5939</v>
      </c>
      <c r="B5941">
        <v>5940</v>
      </c>
      <c r="C5941" t="s">
        <v>6019</v>
      </c>
      <c r="D5941">
        <v>1942</v>
      </c>
      <c r="E5941" t="s">
        <v>36</v>
      </c>
      <c r="F5941" t="s">
        <v>1687</v>
      </c>
      <c r="G5941">
        <v>0</v>
      </c>
      <c r="H5941">
        <v>0</v>
      </c>
      <c r="I5941">
        <v>1</v>
      </c>
      <c r="J5941">
        <v>0</v>
      </c>
      <c r="K5941">
        <v>0</v>
      </c>
      <c r="L5941">
        <f t="shared" si="184"/>
        <v>5.5</v>
      </c>
      <c r="M5941">
        <f t="shared" si="185"/>
        <v>1</v>
      </c>
    </row>
    <row r="5942" spans="1:13" x14ac:dyDescent="0.3">
      <c r="A5942">
        <v>5940</v>
      </c>
      <c r="B5942">
        <v>5941</v>
      </c>
      <c r="C5942" t="s">
        <v>6020</v>
      </c>
      <c r="D5942">
        <v>2015</v>
      </c>
      <c r="F5942" t="s">
        <v>1687</v>
      </c>
      <c r="G5942">
        <v>0</v>
      </c>
      <c r="H5942">
        <v>0</v>
      </c>
      <c r="I5942">
        <v>1</v>
      </c>
      <c r="J5942">
        <v>0</v>
      </c>
      <c r="K5942">
        <v>0</v>
      </c>
      <c r="L5942">
        <f t="shared" si="184"/>
        <v>5.5</v>
      </c>
      <c r="M5942">
        <f t="shared" si="185"/>
        <v>1</v>
      </c>
    </row>
    <row r="5943" spans="1:13" x14ac:dyDescent="0.3">
      <c r="A5943">
        <v>5941</v>
      </c>
      <c r="B5943">
        <v>5942</v>
      </c>
      <c r="C5943" t="s">
        <v>6021</v>
      </c>
      <c r="D5943">
        <v>2014</v>
      </c>
      <c r="E5943" t="s">
        <v>36</v>
      </c>
      <c r="F5943" t="s">
        <v>1687</v>
      </c>
      <c r="G5943">
        <v>0</v>
      </c>
      <c r="H5943">
        <v>0</v>
      </c>
      <c r="I5943">
        <v>1</v>
      </c>
      <c r="J5943">
        <v>0</v>
      </c>
      <c r="K5943">
        <v>0</v>
      </c>
      <c r="L5943">
        <f t="shared" si="184"/>
        <v>5.5</v>
      </c>
      <c r="M5943">
        <f t="shared" si="185"/>
        <v>1</v>
      </c>
    </row>
    <row r="5944" spans="1:13" x14ac:dyDescent="0.3">
      <c r="A5944">
        <v>5942</v>
      </c>
      <c r="B5944">
        <v>5943</v>
      </c>
      <c r="C5944" t="s">
        <v>6022</v>
      </c>
      <c r="D5944">
        <v>2019</v>
      </c>
      <c r="F5944" t="s">
        <v>1687</v>
      </c>
      <c r="G5944">
        <v>0</v>
      </c>
      <c r="H5944">
        <v>0</v>
      </c>
      <c r="I5944">
        <v>1</v>
      </c>
      <c r="J5944">
        <v>0</v>
      </c>
      <c r="K5944">
        <v>0</v>
      </c>
      <c r="L5944">
        <f t="shared" si="184"/>
        <v>5.5</v>
      </c>
      <c r="M5944">
        <f t="shared" si="185"/>
        <v>1</v>
      </c>
    </row>
    <row r="5945" spans="1:13" x14ac:dyDescent="0.3">
      <c r="A5945">
        <v>5943</v>
      </c>
      <c r="B5945">
        <v>5944</v>
      </c>
      <c r="C5945" t="s">
        <v>6023</v>
      </c>
      <c r="D5945">
        <v>2007</v>
      </c>
      <c r="F5945" t="s">
        <v>1687</v>
      </c>
      <c r="G5945">
        <v>0</v>
      </c>
      <c r="H5945">
        <v>0</v>
      </c>
      <c r="I5945">
        <v>1</v>
      </c>
      <c r="J5945">
        <v>0</v>
      </c>
      <c r="K5945">
        <v>0</v>
      </c>
      <c r="L5945">
        <f t="shared" si="184"/>
        <v>5.5</v>
      </c>
      <c r="M5945">
        <f t="shared" si="185"/>
        <v>1</v>
      </c>
    </row>
    <row r="5946" spans="1:13" x14ac:dyDescent="0.3">
      <c r="A5946">
        <v>5944</v>
      </c>
      <c r="B5946">
        <v>5945</v>
      </c>
      <c r="C5946" t="s">
        <v>6024</v>
      </c>
      <c r="D5946">
        <v>2017</v>
      </c>
      <c r="F5946" t="s">
        <v>1798</v>
      </c>
      <c r="G5946">
        <v>0</v>
      </c>
      <c r="H5946">
        <v>0</v>
      </c>
      <c r="I5946">
        <v>1</v>
      </c>
      <c r="J5946">
        <v>0</v>
      </c>
      <c r="K5946">
        <v>0</v>
      </c>
      <c r="L5946">
        <f t="shared" si="184"/>
        <v>5.4</v>
      </c>
      <c r="M5946">
        <f t="shared" si="185"/>
        <v>1</v>
      </c>
    </row>
    <row r="5947" spans="1:13" x14ac:dyDescent="0.3">
      <c r="A5947">
        <v>5945</v>
      </c>
      <c r="B5947">
        <v>5946</v>
      </c>
      <c r="C5947" t="s">
        <v>6025</v>
      </c>
      <c r="D5947">
        <v>2008</v>
      </c>
      <c r="E5947" t="s">
        <v>11</v>
      </c>
      <c r="F5947" t="s">
        <v>1798</v>
      </c>
      <c r="G5947">
        <v>0</v>
      </c>
      <c r="H5947">
        <v>0</v>
      </c>
      <c r="I5947">
        <v>1</v>
      </c>
      <c r="J5947">
        <v>0</v>
      </c>
      <c r="K5947">
        <v>0</v>
      </c>
      <c r="L5947">
        <f t="shared" si="184"/>
        <v>5.4</v>
      </c>
      <c r="M5947">
        <f t="shared" si="185"/>
        <v>1</v>
      </c>
    </row>
    <row r="5948" spans="1:13" x14ac:dyDescent="0.3">
      <c r="A5948">
        <v>5946</v>
      </c>
      <c r="B5948">
        <v>5947</v>
      </c>
      <c r="C5948" t="s">
        <v>6026</v>
      </c>
      <c r="D5948">
        <v>2000</v>
      </c>
      <c r="E5948" t="s">
        <v>22</v>
      </c>
      <c r="F5948" t="s">
        <v>1798</v>
      </c>
      <c r="G5948">
        <v>0</v>
      </c>
      <c r="H5948">
        <v>0</v>
      </c>
      <c r="I5948">
        <v>1</v>
      </c>
      <c r="J5948">
        <v>0</v>
      </c>
      <c r="K5948">
        <v>0</v>
      </c>
      <c r="L5948">
        <f t="shared" si="184"/>
        <v>5.4</v>
      </c>
      <c r="M5948">
        <f t="shared" si="185"/>
        <v>1</v>
      </c>
    </row>
    <row r="5949" spans="1:13" x14ac:dyDescent="0.3">
      <c r="A5949">
        <v>5947</v>
      </c>
      <c r="B5949">
        <v>5948</v>
      </c>
      <c r="C5949" t="s">
        <v>6027</v>
      </c>
      <c r="D5949">
        <v>2015</v>
      </c>
      <c r="E5949" t="s">
        <v>11</v>
      </c>
      <c r="F5949" t="s">
        <v>1798</v>
      </c>
      <c r="G5949">
        <v>0</v>
      </c>
      <c r="H5949">
        <v>0</v>
      </c>
      <c r="I5949">
        <v>1</v>
      </c>
      <c r="J5949">
        <v>0</v>
      </c>
      <c r="K5949">
        <v>0</v>
      </c>
      <c r="L5949">
        <f t="shared" si="184"/>
        <v>5.4</v>
      </c>
      <c r="M5949">
        <f t="shared" si="185"/>
        <v>1</v>
      </c>
    </row>
    <row r="5950" spans="1:13" x14ac:dyDescent="0.3">
      <c r="A5950">
        <v>5948</v>
      </c>
      <c r="B5950">
        <v>5949</v>
      </c>
      <c r="C5950" t="s">
        <v>6028</v>
      </c>
      <c r="D5950">
        <v>2017</v>
      </c>
      <c r="F5950" t="s">
        <v>1798</v>
      </c>
      <c r="G5950">
        <v>0</v>
      </c>
      <c r="H5950">
        <v>0</v>
      </c>
      <c r="I5950">
        <v>1</v>
      </c>
      <c r="J5950">
        <v>0</v>
      </c>
      <c r="K5950">
        <v>0</v>
      </c>
      <c r="L5950">
        <f t="shared" si="184"/>
        <v>5.4</v>
      </c>
      <c r="M5950">
        <f t="shared" si="185"/>
        <v>1</v>
      </c>
    </row>
    <row r="5951" spans="1:13" x14ac:dyDescent="0.3">
      <c r="A5951">
        <v>5949</v>
      </c>
      <c r="B5951">
        <v>5950</v>
      </c>
      <c r="C5951" t="s">
        <v>6029</v>
      </c>
      <c r="D5951">
        <v>2020</v>
      </c>
      <c r="F5951" t="s">
        <v>1798</v>
      </c>
      <c r="G5951">
        <v>0</v>
      </c>
      <c r="H5951">
        <v>0</v>
      </c>
      <c r="I5951">
        <v>1</v>
      </c>
      <c r="J5951">
        <v>0</v>
      </c>
      <c r="K5951">
        <v>0</v>
      </c>
      <c r="L5951">
        <f t="shared" si="184"/>
        <v>5.4</v>
      </c>
      <c r="M5951">
        <f t="shared" si="185"/>
        <v>1</v>
      </c>
    </row>
    <row r="5952" spans="1:13" x14ac:dyDescent="0.3">
      <c r="A5952">
        <v>5950</v>
      </c>
      <c r="B5952">
        <v>5951</v>
      </c>
      <c r="C5952" t="s">
        <v>6030</v>
      </c>
      <c r="D5952">
        <v>1989</v>
      </c>
      <c r="E5952" t="s">
        <v>11</v>
      </c>
      <c r="F5952" t="s">
        <v>1798</v>
      </c>
      <c r="G5952">
        <v>0</v>
      </c>
      <c r="H5952">
        <v>0</v>
      </c>
      <c r="I5952">
        <v>1</v>
      </c>
      <c r="J5952">
        <v>0</v>
      </c>
      <c r="K5952">
        <v>0</v>
      </c>
      <c r="L5952">
        <f t="shared" si="184"/>
        <v>5.4</v>
      </c>
      <c r="M5952">
        <f t="shared" si="185"/>
        <v>1</v>
      </c>
    </row>
    <row r="5953" spans="1:13" x14ac:dyDescent="0.3">
      <c r="A5953">
        <v>5951</v>
      </c>
      <c r="B5953">
        <v>5952</v>
      </c>
      <c r="C5953" t="s">
        <v>6031</v>
      </c>
      <c r="D5953">
        <v>2014</v>
      </c>
      <c r="F5953" t="s">
        <v>1798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f t="shared" si="184"/>
        <v>5.4</v>
      </c>
      <c r="M5953">
        <f t="shared" si="185"/>
        <v>1</v>
      </c>
    </row>
    <row r="5954" spans="1:13" x14ac:dyDescent="0.3">
      <c r="A5954">
        <v>5952</v>
      </c>
      <c r="B5954">
        <v>5953</v>
      </c>
      <c r="C5954" t="s">
        <v>6032</v>
      </c>
      <c r="D5954">
        <v>2014</v>
      </c>
      <c r="E5954" t="s">
        <v>36</v>
      </c>
      <c r="F5954" t="s">
        <v>1798</v>
      </c>
      <c r="G5954">
        <v>0</v>
      </c>
      <c r="H5954">
        <v>0</v>
      </c>
      <c r="I5954">
        <v>1</v>
      </c>
      <c r="J5954">
        <v>0</v>
      </c>
      <c r="K5954">
        <v>0</v>
      </c>
      <c r="L5954">
        <f t="shared" si="184"/>
        <v>5.4</v>
      </c>
      <c r="M5954">
        <f t="shared" si="185"/>
        <v>1</v>
      </c>
    </row>
    <row r="5955" spans="1:13" x14ac:dyDescent="0.3">
      <c r="A5955">
        <v>5953</v>
      </c>
      <c r="B5955">
        <v>5954</v>
      </c>
      <c r="C5955" t="s">
        <v>6033</v>
      </c>
      <c r="D5955">
        <v>1994</v>
      </c>
      <c r="E5955" t="s">
        <v>11</v>
      </c>
      <c r="F5955" t="s">
        <v>1798</v>
      </c>
      <c r="G5955">
        <v>0</v>
      </c>
      <c r="H5955">
        <v>0</v>
      </c>
      <c r="I5955">
        <v>1</v>
      </c>
      <c r="J5955">
        <v>0</v>
      </c>
      <c r="K5955">
        <v>0</v>
      </c>
      <c r="L5955">
        <f t="shared" ref="L5955:L6018" si="186">IFERROR(VALUE(LEFT(F5955,FIND("/",F5955)-1))/10,"")</f>
        <v>5.4</v>
      </c>
      <c r="M5955">
        <f t="shared" ref="M5955:M6018" si="187">SUM(G5955:J5955)</f>
        <v>1</v>
      </c>
    </row>
    <row r="5956" spans="1:13" x14ac:dyDescent="0.3">
      <c r="A5956">
        <v>5954</v>
      </c>
      <c r="B5956">
        <v>5955</v>
      </c>
      <c r="C5956" t="s">
        <v>6034</v>
      </c>
      <c r="D5956">
        <v>1979</v>
      </c>
      <c r="F5956" t="s">
        <v>1798</v>
      </c>
      <c r="G5956">
        <v>0</v>
      </c>
      <c r="H5956">
        <v>0</v>
      </c>
      <c r="I5956">
        <v>1</v>
      </c>
      <c r="J5956">
        <v>0</v>
      </c>
      <c r="K5956">
        <v>0</v>
      </c>
      <c r="L5956">
        <f t="shared" si="186"/>
        <v>5.4</v>
      </c>
      <c r="M5956">
        <f t="shared" si="187"/>
        <v>1</v>
      </c>
    </row>
    <row r="5957" spans="1:13" x14ac:dyDescent="0.3">
      <c r="A5957">
        <v>5955</v>
      </c>
      <c r="B5957">
        <v>5956</v>
      </c>
      <c r="C5957" t="s">
        <v>6035</v>
      </c>
      <c r="D5957">
        <v>2009</v>
      </c>
      <c r="E5957" t="s">
        <v>11</v>
      </c>
      <c r="F5957" t="s">
        <v>1798</v>
      </c>
      <c r="G5957">
        <v>0</v>
      </c>
      <c r="H5957">
        <v>0</v>
      </c>
      <c r="I5957">
        <v>1</v>
      </c>
      <c r="J5957">
        <v>0</v>
      </c>
      <c r="K5957">
        <v>0</v>
      </c>
      <c r="L5957">
        <f t="shared" si="186"/>
        <v>5.4</v>
      </c>
      <c r="M5957">
        <f t="shared" si="187"/>
        <v>1</v>
      </c>
    </row>
    <row r="5958" spans="1:13" x14ac:dyDescent="0.3">
      <c r="A5958">
        <v>5956</v>
      </c>
      <c r="B5958">
        <v>5957</v>
      </c>
      <c r="C5958" t="s">
        <v>6036</v>
      </c>
      <c r="D5958">
        <v>2007</v>
      </c>
      <c r="E5958" t="s">
        <v>14</v>
      </c>
      <c r="F5958" t="s">
        <v>1798</v>
      </c>
      <c r="G5958">
        <v>0</v>
      </c>
      <c r="H5958">
        <v>0</v>
      </c>
      <c r="I5958">
        <v>1</v>
      </c>
      <c r="J5958">
        <v>0</v>
      </c>
      <c r="K5958">
        <v>0</v>
      </c>
      <c r="L5958">
        <f t="shared" si="186"/>
        <v>5.4</v>
      </c>
      <c r="M5958">
        <f t="shared" si="187"/>
        <v>1</v>
      </c>
    </row>
    <row r="5959" spans="1:13" x14ac:dyDescent="0.3">
      <c r="A5959">
        <v>5957</v>
      </c>
      <c r="B5959">
        <v>5958</v>
      </c>
      <c r="C5959" t="s">
        <v>6037</v>
      </c>
      <c r="D5959">
        <v>2001</v>
      </c>
      <c r="E5959" t="s">
        <v>11</v>
      </c>
      <c r="F5959" t="s">
        <v>1798</v>
      </c>
      <c r="G5959">
        <v>0</v>
      </c>
      <c r="H5959">
        <v>0</v>
      </c>
      <c r="I5959">
        <v>1</v>
      </c>
      <c r="J5959">
        <v>0</v>
      </c>
      <c r="K5959">
        <v>0</v>
      </c>
      <c r="L5959">
        <f t="shared" si="186"/>
        <v>5.4</v>
      </c>
      <c r="M5959">
        <f t="shared" si="187"/>
        <v>1</v>
      </c>
    </row>
    <row r="5960" spans="1:13" x14ac:dyDescent="0.3">
      <c r="A5960">
        <v>5958</v>
      </c>
      <c r="B5960">
        <v>5959</v>
      </c>
      <c r="C5960" t="s">
        <v>6038</v>
      </c>
      <c r="D5960">
        <v>2015</v>
      </c>
      <c r="F5960" t="s">
        <v>1798</v>
      </c>
      <c r="G5960">
        <v>0</v>
      </c>
      <c r="H5960">
        <v>0</v>
      </c>
      <c r="I5960">
        <v>1</v>
      </c>
      <c r="J5960">
        <v>0</v>
      </c>
      <c r="K5960">
        <v>0</v>
      </c>
      <c r="L5960">
        <f t="shared" si="186"/>
        <v>5.4</v>
      </c>
      <c r="M5960">
        <f t="shared" si="187"/>
        <v>1</v>
      </c>
    </row>
    <row r="5961" spans="1:13" x14ac:dyDescent="0.3">
      <c r="A5961">
        <v>5959</v>
      </c>
      <c r="B5961">
        <v>5960</v>
      </c>
      <c r="C5961" t="s">
        <v>6039</v>
      </c>
      <c r="D5961">
        <v>2013</v>
      </c>
      <c r="E5961" t="s">
        <v>28</v>
      </c>
      <c r="F5961" t="s">
        <v>1798</v>
      </c>
      <c r="G5961">
        <v>0</v>
      </c>
      <c r="H5961">
        <v>0</v>
      </c>
      <c r="I5961">
        <v>1</v>
      </c>
      <c r="J5961">
        <v>0</v>
      </c>
      <c r="K5961">
        <v>0</v>
      </c>
      <c r="L5961">
        <f t="shared" si="186"/>
        <v>5.4</v>
      </c>
      <c r="M5961">
        <f t="shared" si="187"/>
        <v>1</v>
      </c>
    </row>
    <row r="5962" spans="1:13" x14ac:dyDescent="0.3">
      <c r="A5962">
        <v>5960</v>
      </c>
      <c r="B5962">
        <v>5961</v>
      </c>
      <c r="C5962" t="s">
        <v>6040</v>
      </c>
      <c r="D5962">
        <v>2010</v>
      </c>
      <c r="E5962" t="s">
        <v>11</v>
      </c>
      <c r="F5962" t="s">
        <v>1798</v>
      </c>
      <c r="G5962">
        <v>0</v>
      </c>
      <c r="H5962">
        <v>0</v>
      </c>
      <c r="I5962">
        <v>1</v>
      </c>
      <c r="J5962">
        <v>0</v>
      </c>
      <c r="K5962">
        <v>0</v>
      </c>
      <c r="L5962">
        <f t="shared" si="186"/>
        <v>5.4</v>
      </c>
      <c r="M5962">
        <f t="shared" si="187"/>
        <v>1</v>
      </c>
    </row>
    <row r="5963" spans="1:13" x14ac:dyDescent="0.3">
      <c r="A5963">
        <v>5961</v>
      </c>
      <c r="B5963">
        <v>5962</v>
      </c>
      <c r="C5963" t="s">
        <v>6041</v>
      </c>
      <c r="D5963">
        <v>2018</v>
      </c>
      <c r="F5963" t="s">
        <v>1798</v>
      </c>
      <c r="G5963">
        <v>0</v>
      </c>
      <c r="H5963">
        <v>0</v>
      </c>
      <c r="I5963">
        <v>1</v>
      </c>
      <c r="J5963">
        <v>0</v>
      </c>
      <c r="K5963">
        <v>0</v>
      </c>
      <c r="L5963">
        <f t="shared" si="186"/>
        <v>5.4</v>
      </c>
      <c r="M5963">
        <f t="shared" si="187"/>
        <v>1</v>
      </c>
    </row>
    <row r="5964" spans="1:13" x14ac:dyDescent="0.3">
      <c r="A5964">
        <v>5962</v>
      </c>
      <c r="B5964">
        <v>5963</v>
      </c>
      <c r="C5964" t="s">
        <v>6042</v>
      </c>
      <c r="D5964">
        <v>2020</v>
      </c>
      <c r="F5964" t="s">
        <v>1798</v>
      </c>
      <c r="G5964">
        <v>0</v>
      </c>
      <c r="H5964">
        <v>0</v>
      </c>
      <c r="I5964">
        <v>1</v>
      </c>
      <c r="J5964">
        <v>0</v>
      </c>
      <c r="K5964">
        <v>0</v>
      </c>
      <c r="L5964">
        <f t="shared" si="186"/>
        <v>5.4</v>
      </c>
      <c r="M5964">
        <f t="shared" si="187"/>
        <v>1</v>
      </c>
    </row>
    <row r="5965" spans="1:13" x14ac:dyDescent="0.3">
      <c r="A5965">
        <v>5963</v>
      </c>
      <c r="B5965">
        <v>5964</v>
      </c>
      <c r="C5965" t="s">
        <v>6043</v>
      </c>
      <c r="D5965">
        <v>2018</v>
      </c>
      <c r="E5965" t="s">
        <v>11</v>
      </c>
      <c r="F5965" t="s">
        <v>1798</v>
      </c>
      <c r="G5965">
        <v>0</v>
      </c>
      <c r="H5965">
        <v>0</v>
      </c>
      <c r="I5965">
        <v>1</v>
      </c>
      <c r="J5965">
        <v>0</v>
      </c>
      <c r="K5965">
        <v>0</v>
      </c>
      <c r="L5965">
        <f t="shared" si="186"/>
        <v>5.4</v>
      </c>
      <c r="M5965">
        <f t="shared" si="187"/>
        <v>1</v>
      </c>
    </row>
    <row r="5966" spans="1:13" x14ac:dyDescent="0.3">
      <c r="A5966">
        <v>5964</v>
      </c>
      <c r="B5966">
        <v>5965</v>
      </c>
      <c r="C5966" t="s">
        <v>6044</v>
      </c>
      <c r="D5966">
        <v>2021</v>
      </c>
      <c r="E5966" t="s">
        <v>22</v>
      </c>
      <c r="F5966" t="s">
        <v>1798</v>
      </c>
      <c r="G5966">
        <v>0</v>
      </c>
      <c r="H5966">
        <v>0</v>
      </c>
      <c r="I5966">
        <v>1</v>
      </c>
      <c r="J5966">
        <v>0</v>
      </c>
      <c r="K5966">
        <v>0</v>
      </c>
      <c r="L5966">
        <f t="shared" si="186"/>
        <v>5.4</v>
      </c>
      <c r="M5966">
        <f t="shared" si="187"/>
        <v>1</v>
      </c>
    </row>
    <row r="5967" spans="1:13" x14ac:dyDescent="0.3">
      <c r="A5967">
        <v>5965</v>
      </c>
      <c r="B5967">
        <v>5966</v>
      </c>
      <c r="C5967" t="s">
        <v>6045</v>
      </c>
      <c r="D5967">
        <v>2014</v>
      </c>
      <c r="F5967" t="s">
        <v>1798</v>
      </c>
      <c r="G5967">
        <v>0</v>
      </c>
      <c r="H5967">
        <v>0</v>
      </c>
      <c r="I5967">
        <v>1</v>
      </c>
      <c r="J5967">
        <v>0</v>
      </c>
      <c r="K5967">
        <v>0</v>
      </c>
      <c r="L5967">
        <f t="shared" si="186"/>
        <v>5.4</v>
      </c>
      <c r="M5967">
        <f t="shared" si="187"/>
        <v>1</v>
      </c>
    </row>
    <row r="5968" spans="1:13" x14ac:dyDescent="0.3">
      <c r="A5968">
        <v>5966</v>
      </c>
      <c r="B5968">
        <v>5967</v>
      </c>
      <c r="C5968" t="s">
        <v>6046</v>
      </c>
      <c r="D5968">
        <v>2005</v>
      </c>
      <c r="E5968" t="s">
        <v>11</v>
      </c>
      <c r="F5968" t="s">
        <v>1798</v>
      </c>
      <c r="G5968">
        <v>0</v>
      </c>
      <c r="H5968">
        <v>0</v>
      </c>
      <c r="I5968">
        <v>1</v>
      </c>
      <c r="J5968">
        <v>0</v>
      </c>
      <c r="K5968">
        <v>0</v>
      </c>
      <c r="L5968">
        <f t="shared" si="186"/>
        <v>5.4</v>
      </c>
      <c r="M5968">
        <f t="shared" si="187"/>
        <v>1</v>
      </c>
    </row>
    <row r="5969" spans="1:13" x14ac:dyDescent="0.3">
      <c r="A5969">
        <v>5967</v>
      </c>
      <c r="B5969">
        <v>5968</v>
      </c>
      <c r="C5969" t="s">
        <v>6047</v>
      </c>
      <c r="D5969">
        <v>2020</v>
      </c>
      <c r="F5969" t="s">
        <v>1798</v>
      </c>
      <c r="G5969">
        <v>0</v>
      </c>
      <c r="H5969">
        <v>0</v>
      </c>
      <c r="I5969">
        <v>1</v>
      </c>
      <c r="J5969">
        <v>0</v>
      </c>
      <c r="K5969">
        <v>0</v>
      </c>
      <c r="L5969">
        <f t="shared" si="186"/>
        <v>5.4</v>
      </c>
      <c r="M5969">
        <f t="shared" si="187"/>
        <v>1</v>
      </c>
    </row>
    <row r="5970" spans="1:13" x14ac:dyDescent="0.3">
      <c r="A5970">
        <v>5968</v>
      </c>
      <c r="B5970">
        <v>5969</v>
      </c>
      <c r="C5970" t="s">
        <v>6048</v>
      </c>
      <c r="D5970">
        <v>2019</v>
      </c>
      <c r="E5970" t="s">
        <v>11</v>
      </c>
      <c r="F5970" t="s">
        <v>1798</v>
      </c>
      <c r="G5970">
        <v>0</v>
      </c>
      <c r="H5970">
        <v>0</v>
      </c>
      <c r="I5970">
        <v>1</v>
      </c>
      <c r="J5970">
        <v>0</v>
      </c>
      <c r="K5970">
        <v>0</v>
      </c>
      <c r="L5970">
        <f t="shared" si="186"/>
        <v>5.4</v>
      </c>
      <c r="M5970">
        <f t="shared" si="187"/>
        <v>1</v>
      </c>
    </row>
    <row r="5971" spans="1:13" x14ac:dyDescent="0.3">
      <c r="A5971">
        <v>5969</v>
      </c>
      <c r="B5971">
        <v>5970</v>
      </c>
      <c r="C5971" t="s">
        <v>6049</v>
      </c>
      <c r="D5971">
        <v>2020</v>
      </c>
      <c r="E5971" t="s">
        <v>11</v>
      </c>
      <c r="F5971" t="s">
        <v>1798</v>
      </c>
      <c r="G5971">
        <v>0</v>
      </c>
      <c r="H5971">
        <v>0</v>
      </c>
      <c r="I5971">
        <v>1</v>
      </c>
      <c r="J5971">
        <v>0</v>
      </c>
      <c r="K5971">
        <v>0</v>
      </c>
      <c r="L5971">
        <f t="shared" si="186"/>
        <v>5.4</v>
      </c>
      <c r="M5971">
        <f t="shared" si="187"/>
        <v>1</v>
      </c>
    </row>
    <row r="5972" spans="1:13" x14ac:dyDescent="0.3">
      <c r="A5972">
        <v>5970</v>
      </c>
      <c r="B5972">
        <v>5971</v>
      </c>
      <c r="C5972" t="s">
        <v>6050</v>
      </c>
      <c r="D5972">
        <v>1990</v>
      </c>
      <c r="E5972" t="s">
        <v>14</v>
      </c>
      <c r="F5972" t="s">
        <v>1798</v>
      </c>
      <c r="G5972">
        <v>0</v>
      </c>
      <c r="H5972">
        <v>0</v>
      </c>
      <c r="I5972">
        <v>1</v>
      </c>
      <c r="J5972">
        <v>0</v>
      </c>
      <c r="K5972">
        <v>0</v>
      </c>
      <c r="L5972">
        <f t="shared" si="186"/>
        <v>5.4</v>
      </c>
      <c r="M5972">
        <f t="shared" si="187"/>
        <v>1</v>
      </c>
    </row>
    <row r="5973" spans="1:13" x14ac:dyDescent="0.3">
      <c r="A5973">
        <v>5971</v>
      </c>
      <c r="B5973">
        <v>5972</v>
      </c>
      <c r="C5973" t="s">
        <v>6051</v>
      </c>
      <c r="D5973">
        <v>2006</v>
      </c>
      <c r="F5973" t="s">
        <v>1798</v>
      </c>
      <c r="G5973">
        <v>0</v>
      </c>
      <c r="H5973">
        <v>0</v>
      </c>
      <c r="I5973">
        <v>1</v>
      </c>
      <c r="J5973">
        <v>0</v>
      </c>
      <c r="K5973">
        <v>0</v>
      </c>
      <c r="L5973">
        <f t="shared" si="186"/>
        <v>5.4</v>
      </c>
      <c r="M5973">
        <f t="shared" si="187"/>
        <v>1</v>
      </c>
    </row>
    <row r="5974" spans="1:13" x14ac:dyDescent="0.3">
      <c r="A5974">
        <v>5972</v>
      </c>
      <c r="B5974">
        <v>5973</v>
      </c>
      <c r="C5974" t="s">
        <v>6052</v>
      </c>
      <c r="D5974">
        <v>2012</v>
      </c>
      <c r="F5974" t="s">
        <v>1798</v>
      </c>
      <c r="G5974">
        <v>0</v>
      </c>
      <c r="H5974">
        <v>0</v>
      </c>
      <c r="I5974">
        <v>1</v>
      </c>
      <c r="J5974">
        <v>0</v>
      </c>
      <c r="K5974">
        <v>0</v>
      </c>
      <c r="L5974">
        <f t="shared" si="186"/>
        <v>5.4</v>
      </c>
      <c r="M5974">
        <f t="shared" si="187"/>
        <v>1</v>
      </c>
    </row>
    <row r="5975" spans="1:13" x14ac:dyDescent="0.3">
      <c r="A5975">
        <v>5973</v>
      </c>
      <c r="B5975">
        <v>5974</v>
      </c>
      <c r="C5975" t="s">
        <v>6053</v>
      </c>
      <c r="D5975">
        <v>2007</v>
      </c>
      <c r="E5975" t="s">
        <v>11</v>
      </c>
      <c r="F5975" t="s">
        <v>1798</v>
      </c>
      <c r="G5975">
        <v>0</v>
      </c>
      <c r="H5975">
        <v>0</v>
      </c>
      <c r="I5975">
        <v>1</v>
      </c>
      <c r="J5975">
        <v>0</v>
      </c>
      <c r="K5975">
        <v>0</v>
      </c>
      <c r="L5975">
        <f t="shared" si="186"/>
        <v>5.4</v>
      </c>
      <c r="M5975">
        <f t="shared" si="187"/>
        <v>1</v>
      </c>
    </row>
    <row r="5976" spans="1:13" x14ac:dyDescent="0.3">
      <c r="A5976">
        <v>5974</v>
      </c>
      <c r="B5976">
        <v>5975</v>
      </c>
      <c r="C5976" t="s">
        <v>6054</v>
      </c>
      <c r="D5976">
        <v>2014</v>
      </c>
      <c r="E5976" t="s">
        <v>11</v>
      </c>
      <c r="F5976" t="s">
        <v>1798</v>
      </c>
      <c r="G5976">
        <v>0</v>
      </c>
      <c r="H5976">
        <v>0</v>
      </c>
      <c r="I5976">
        <v>1</v>
      </c>
      <c r="J5976">
        <v>0</v>
      </c>
      <c r="K5976">
        <v>0</v>
      </c>
      <c r="L5976">
        <f t="shared" si="186"/>
        <v>5.4</v>
      </c>
      <c r="M5976">
        <f t="shared" si="187"/>
        <v>1</v>
      </c>
    </row>
    <row r="5977" spans="1:13" x14ac:dyDescent="0.3">
      <c r="A5977">
        <v>5975</v>
      </c>
      <c r="B5977">
        <v>5976</v>
      </c>
      <c r="C5977" t="s">
        <v>6055</v>
      </c>
      <c r="D5977">
        <v>2012</v>
      </c>
      <c r="F5977" t="s">
        <v>1798</v>
      </c>
      <c r="G5977">
        <v>0</v>
      </c>
      <c r="H5977">
        <v>0</v>
      </c>
      <c r="I5977">
        <v>1</v>
      </c>
      <c r="J5977">
        <v>0</v>
      </c>
      <c r="K5977">
        <v>0</v>
      </c>
      <c r="L5977">
        <f t="shared" si="186"/>
        <v>5.4</v>
      </c>
      <c r="M5977">
        <f t="shared" si="187"/>
        <v>1</v>
      </c>
    </row>
    <row r="5978" spans="1:13" x14ac:dyDescent="0.3">
      <c r="A5978">
        <v>5976</v>
      </c>
      <c r="B5978">
        <v>5977</v>
      </c>
      <c r="C5978" t="s">
        <v>6056</v>
      </c>
      <c r="D5978">
        <v>2019</v>
      </c>
      <c r="F5978" t="s">
        <v>1798</v>
      </c>
      <c r="G5978">
        <v>0</v>
      </c>
      <c r="H5978">
        <v>0</v>
      </c>
      <c r="I5978">
        <v>1</v>
      </c>
      <c r="J5978">
        <v>0</v>
      </c>
      <c r="K5978">
        <v>0</v>
      </c>
      <c r="L5978">
        <f t="shared" si="186"/>
        <v>5.4</v>
      </c>
      <c r="M5978">
        <f t="shared" si="187"/>
        <v>1</v>
      </c>
    </row>
    <row r="5979" spans="1:13" x14ac:dyDescent="0.3">
      <c r="A5979">
        <v>5977</v>
      </c>
      <c r="B5979">
        <v>5978</v>
      </c>
      <c r="C5979" t="s">
        <v>6057</v>
      </c>
      <c r="D5979">
        <v>2010</v>
      </c>
      <c r="E5979" t="s">
        <v>11</v>
      </c>
      <c r="F5979" t="s">
        <v>1798</v>
      </c>
      <c r="G5979">
        <v>0</v>
      </c>
      <c r="H5979">
        <v>0</v>
      </c>
      <c r="I5979">
        <v>1</v>
      </c>
      <c r="J5979">
        <v>0</v>
      </c>
      <c r="K5979">
        <v>0</v>
      </c>
      <c r="L5979">
        <f t="shared" si="186"/>
        <v>5.4</v>
      </c>
      <c r="M5979">
        <f t="shared" si="187"/>
        <v>1</v>
      </c>
    </row>
    <row r="5980" spans="1:13" x14ac:dyDescent="0.3">
      <c r="A5980">
        <v>5978</v>
      </c>
      <c r="B5980">
        <v>5979</v>
      </c>
      <c r="C5980" t="s">
        <v>6058</v>
      </c>
      <c r="D5980">
        <v>2019</v>
      </c>
      <c r="F5980" t="s">
        <v>1798</v>
      </c>
      <c r="G5980">
        <v>0</v>
      </c>
      <c r="H5980">
        <v>0</v>
      </c>
      <c r="I5980">
        <v>1</v>
      </c>
      <c r="J5980">
        <v>0</v>
      </c>
      <c r="K5980">
        <v>0</v>
      </c>
      <c r="L5980">
        <f t="shared" si="186"/>
        <v>5.4</v>
      </c>
      <c r="M5980">
        <f t="shared" si="187"/>
        <v>1</v>
      </c>
    </row>
    <row r="5981" spans="1:13" x14ac:dyDescent="0.3">
      <c r="A5981">
        <v>5979</v>
      </c>
      <c r="B5981">
        <v>5980</v>
      </c>
      <c r="C5981" t="s">
        <v>6059</v>
      </c>
      <c r="D5981">
        <v>2009</v>
      </c>
      <c r="E5981" t="s">
        <v>11</v>
      </c>
      <c r="F5981" t="s">
        <v>1798</v>
      </c>
      <c r="G5981">
        <v>0</v>
      </c>
      <c r="H5981">
        <v>0</v>
      </c>
      <c r="I5981">
        <v>1</v>
      </c>
      <c r="J5981">
        <v>0</v>
      </c>
      <c r="K5981">
        <v>0</v>
      </c>
      <c r="L5981">
        <f t="shared" si="186"/>
        <v>5.4</v>
      </c>
      <c r="M5981">
        <f t="shared" si="187"/>
        <v>1</v>
      </c>
    </row>
    <row r="5982" spans="1:13" x14ac:dyDescent="0.3">
      <c r="A5982">
        <v>5980</v>
      </c>
      <c r="B5982">
        <v>5981</v>
      </c>
      <c r="C5982" t="s">
        <v>6060</v>
      </c>
      <c r="D5982">
        <v>2020</v>
      </c>
      <c r="E5982" t="s">
        <v>11</v>
      </c>
      <c r="F5982" t="s">
        <v>1798</v>
      </c>
      <c r="G5982">
        <v>0</v>
      </c>
      <c r="H5982">
        <v>0</v>
      </c>
      <c r="I5982">
        <v>1</v>
      </c>
      <c r="J5982">
        <v>0</v>
      </c>
      <c r="K5982">
        <v>0</v>
      </c>
      <c r="L5982">
        <f t="shared" si="186"/>
        <v>5.4</v>
      </c>
      <c r="M5982">
        <f t="shared" si="187"/>
        <v>1</v>
      </c>
    </row>
    <row r="5983" spans="1:13" x14ac:dyDescent="0.3">
      <c r="A5983">
        <v>5981</v>
      </c>
      <c r="B5983">
        <v>5982</v>
      </c>
      <c r="C5983" t="s">
        <v>6061</v>
      </c>
      <c r="D5983">
        <v>2013</v>
      </c>
      <c r="E5983" t="s">
        <v>11</v>
      </c>
      <c r="F5983" t="s">
        <v>1798</v>
      </c>
      <c r="G5983">
        <v>0</v>
      </c>
      <c r="H5983">
        <v>0</v>
      </c>
      <c r="I5983">
        <v>1</v>
      </c>
      <c r="J5983">
        <v>0</v>
      </c>
      <c r="K5983">
        <v>0</v>
      </c>
      <c r="L5983">
        <f t="shared" si="186"/>
        <v>5.4</v>
      </c>
      <c r="M5983">
        <f t="shared" si="187"/>
        <v>1</v>
      </c>
    </row>
    <row r="5984" spans="1:13" x14ac:dyDescent="0.3">
      <c r="A5984">
        <v>5982</v>
      </c>
      <c r="B5984">
        <v>5983</v>
      </c>
      <c r="C5984" t="s">
        <v>6062</v>
      </c>
      <c r="D5984">
        <v>2019</v>
      </c>
      <c r="F5984" t="s">
        <v>1798</v>
      </c>
      <c r="G5984">
        <v>0</v>
      </c>
      <c r="H5984">
        <v>0</v>
      </c>
      <c r="I5984">
        <v>1</v>
      </c>
      <c r="J5984">
        <v>0</v>
      </c>
      <c r="K5984">
        <v>0</v>
      </c>
      <c r="L5984">
        <f t="shared" si="186"/>
        <v>5.4</v>
      </c>
      <c r="M5984">
        <f t="shared" si="187"/>
        <v>1</v>
      </c>
    </row>
    <row r="5985" spans="1:13" x14ac:dyDescent="0.3">
      <c r="A5985">
        <v>5983</v>
      </c>
      <c r="B5985">
        <v>5984</v>
      </c>
      <c r="C5985" t="s">
        <v>6063</v>
      </c>
      <c r="D5985">
        <v>2008</v>
      </c>
      <c r="E5985" t="s">
        <v>11</v>
      </c>
      <c r="F5985" t="s">
        <v>1798</v>
      </c>
      <c r="G5985">
        <v>0</v>
      </c>
      <c r="H5985">
        <v>0</v>
      </c>
      <c r="I5985">
        <v>1</v>
      </c>
      <c r="J5985">
        <v>0</v>
      </c>
      <c r="K5985">
        <v>0</v>
      </c>
      <c r="L5985">
        <f t="shared" si="186"/>
        <v>5.4</v>
      </c>
      <c r="M5985">
        <f t="shared" si="187"/>
        <v>1</v>
      </c>
    </row>
    <row r="5986" spans="1:13" x14ac:dyDescent="0.3">
      <c r="A5986">
        <v>5984</v>
      </c>
      <c r="B5986">
        <v>5985</v>
      </c>
      <c r="C5986" t="s">
        <v>6064</v>
      </c>
      <c r="D5986">
        <v>2002</v>
      </c>
      <c r="E5986" t="s">
        <v>11</v>
      </c>
      <c r="F5986" t="s">
        <v>1798</v>
      </c>
      <c r="G5986">
        <v>0</v>
      </c>
      <c r="H5986">
        <v>0</v>
      </c>
      <c r="I5986">
        <v>1</v>
      </c>
      <c r="J5986">
        <v>0</v>
      </c>
      <c r="K5986">
        <v>0</v>
      </c>
      <c r="L5986">
        <f t="shared" si="186"/>
        <v>5.4</v>
      </c>
      <c r="M5986">
        <f t="shared" si="187"/>
        <v>1</v>
      </c>
    </row>
    <row r="5987" spans="1:13" x14ac:dyDescent="0.3">
      <c r="A5987">
        <v>5985</v>
      </c>
      <c r="B5987">
        <v>5986</v>
      </c>
      <c r="C5987" t="s">
        <v>6065</v>
      </c>
      <c r="D5987">
        <v>2012</v>
      </c>
      <c r="E5987" t="s">
        <v>28</v>
      </c>
      <c r="F5987" t="s">
        <v>1798</v>
      </c>
      <c r="G5987">
        <v>0</v>
      </c>
      <c r="H5987">
        <v>0</v>
      </c>
      <c r="I5987">
        <v>1</v>
      </c>
      <c r="J5987">
        <v>0</v>
      </c>
      <c r="K5987">
        <v>0</v>
      </c>
      <c r="L5987">
        <f t="shared" si="186"/>
        <v>5.4</v>
      </c>
      <c r="M5987">
        <f t="shared" si="187"/>
        <v>1</v>
      </c>
    </row>
    <row r="5988" spans="1:13" x14ac:dyDescent="0.3">
      <c r="A5988">
        <v>5986</v>
      </c>
      <c r="B5988">
        <v>5987</v>
      </c>
      <c r="C5988" t="s">
        <v>6066</v>
      </c>
      <c r="D5988">
        <v>2014</v>
      </c>
      <c r="E5988" t="s">
        <v>11</v>
      </c>
      <c r="F5988" t="s">
        <v>1798</v>
      </c>
      <c r="G5988">
        <v>0</v>
      </c>
      <c r="H5988">
        <v>0</v>
      </c>
      <c r="I5988">
        <v>1</v>
      </c>
      <c r="J5988">
        <v>0</v>
      </c>
      <c r="K5988">
        <v>0</v>
      </c>
      <c r="L5988">
        <f t="shared" si="186"/>
        <v>5.4</v>
      </c>
      <c r="M5988">
        <f t="shared" si="187"/>
        <v>1</v>
      </c>
    </row>
    <row r="5989" spans="1:13" x14ac:dyDescent="0.3">
      <c r="A5989">
        <v>5987</v>
      </c>
      <c r="B5989">
        <v>5988</v>
      </c>
      <c r="C5989" t="s">
        <v>6067</v>
      </c>
      <c r="D5989">
        <v>2013</v>
      </c>
      <c r="F5989" t="s">
        <v>1798</v>
      </c>
      <c r="G5989">
        <v>0</v>
      </c>
      <c r="H5989">
        <v>0</v>
      </c>
      <c r="I5989">
        <v>1</v>
      </c>
      <c r="J5989">
        <v>0</v>
      </c>
      <c r="K5989">
        <v>0</v>
      </c>
      <c r="L5989">
        <f t="shared" si="186"/>
        <v>5.4</v>
      </c>
      <c r="M5989">
        <f t="shared" si="187"/>
        <v>1</v>
      </c>
    </row>
    <row r="5990" spans="1:13" x14ac:dyDescent="0.3">
      <c r="A5990">
        <v>5988</v>
      </c>
      <c r="B5990">
        <v>5989</v>
      </c>
      <c r="C5990" t="s">
        <v>6068</v>
      </c>
      <c r="D5990">
        <v>2009</v>
      </c>
      <c r="E5990" t="s">
        <v>11</v>
      </c>
      <c r="F5990" t="s">
        <v>1798</v>
      </c>
      <c r="G5990">
        <v>0</v>
      </c>
      <c r="H5990">
        <v>0</v>
      </c>
      <c r="I5990">
        <v>1</v>
      </c>
      <c r="J5990">
        <v>0</v>
      </c>
      <c r="K5990">
        <v>0</v>
      </c>
      <c r="L5990">
        <f t="shared" si="186"/>
        <v>5.4</v>
      </c>
      <c r="M5990">
        <f t="shared" si="187"/>
        <v>1</v>
      </c>
    </row>
    <row r="5991" spans="1:13" x14ac:dyDescent="0.3">
      <c r="A5991">
        <v>5989</v>
      </c>
      <c r="B5991">
        <v>5990</v>
      </c>
      <c r="C5991" t="s">
        <v>6069</v>
      </c>
      <c r="D5991">
        <v>2019</v>
      </c>
      <c r="E5991" t="s">
        <v>11</v>
      </c>
      <c r="F5991" t="s">
        <v>1798</v>
      </c>
      <c r="G5991">
        <v>0</v>
      </c>
      <c r="H5991">
        <v>0</v>
      </c>
      <c r="I5991">
        <v>1</v>
      </c>
      <c r="J5991">
        <v>0</v>
      </c>
      <c r="K5991">
        <v>0</v>
      </c>
      <c r="L5991">
        <f t="shared" si="186"/>
        <v>5.4</v>
      </c>
      <c r="M5991">
        <f t="shared" si="187"/>
        <v>1</v>
      </c>
    </row>
    <row r="5992" spans="1:13" x14ac:dyDescent="0.3">
      <c r="A5992">
        <v>5990</v>
      </c>
      <c r="B5992">
        <v>5991</v>
      </c>
      <c r="C5992" t="s">
        <v>6070</v>
      </c>
      <c r="D5992">
        <v>1944</v>
      </c>
      <c r="F5992" t="s">
        <v>1798</v>
      </c>
      <c r="G5992">
        <v>0</v>
      </c>
      <c r="H5992">
        <v>0</v>
      </c>
      <c r="I5992">
        <v>1</v>
      </c>
      <c r="J5992">
        <v>0</v>
      </c>
      <c r="K5992">
        <v>0</v>
      </c>
      <c r="L5992">
        <f t="shared" si="186"/>
        <v>5.4</v>
      </c>
      <c r="M5992">
        <f t="shared" si="187"/>
        <v>1</v>
      </c>
    </row>
    <row r="5993" spans="1:13" x14ac:dyDescent="0.3">
      <c r="A5993">
        <v>5991</v>
      </c>
      <c r="B5993">
        <v>5992</v>
      </c>
      <c r="C5993" t="s">
        <v>6071</v>
      </c>
      <c r="D5993">
        <v>2008</v>
      </c>
      <c r="F5993" t="s">
        <v>1798</v>
      </c>
      <c r="G5993">
        <v>0</v>
      </c>
      <c r="H5993">
        <v>0</v>
      </c>
      <c r="I5993">
        <v>1</v>
      </c>
      <c r="J5993">
        <v>0</v>
      </c>
      <c r="K5993">
        <v>0</v>
      </c>
      <c r="L5993">
        <f t="shared" si="186"/>
        <v>5.4</v>
      </c>
      <c r="M5993">
        <f t="shared" si="187"/>
        <v>1</v>
      </c>
    </row>
    <row r="5994" spans="1:13" x14ac:dyDescent="0.3">
      <c r="A5994">
        <v>5992</v>
      </c>
      <c r="B5994">
        <v>5993</v>
      </c>
      <c r="C5994" t="s">
        <v>6072</v>
      </c>
      <c r="D5994">
        <v>2016</v>
      </c>
      <c r="F5994" t="s">
        <v>1798</v>
      </c>
      <c r="G5994">
        <v>0</v>
      </c>
      <c r="H5994">
        <v>0</v>
      </c>
      <c r="I5994">
        <v>1</v>
      </c>
      <c r="J5994">
        <v>0</v>
      </c>
      <c r="K5994">
        <v>0</v>
      </c>
      <c r="L5994">
        <f t="shared" si="186"/>
        <v>5.4</v>
      </c>
      <c r="M5994">
        <f t="shared" si="187"/>
        <v>1</v>
      </c>
    </row>
    <row r="5995" spans="1:13" x14ac:dyDescent="0.3">
      <c r="A5995">
        <v>5993</v>
      </c>
      <c r="B5995">
        <v>5994</v>
      </c>
      <c r="C5995" t="s">
        <v>6073</v>
      </c>
      <c r="D5995">
        <v>2016</v>
      </c>
      <c r="F5995" t="s">
        <v>1798</v>
      </c>
      <c r="G5995">
        <v>0</v>
      </c>
      <c r="H5995">
        <v>0</v>
      </c>
      <c r="I5995">
        <v>1</v>
      </c>
      <c r="J5995">
        <v>0</v>
      </c>
      <c r="K5995">
        <v>0</v>
      </c>
      <c r="L5995">
        <f t="shared" si="186"/>
        <v>5.4</v>
      </c>
      <c r="M5995">
        <f t="shared" si="187"/>
        <v>1</v>
      </c>
    </row>
    <row r="5996" spans="1:13" x14ac:dyDescent="0.3">
      <c r="A5996">
        <v>5994</v>
      </c>
      <c r="B5996">
        <v>5995</v>
      </c>
      <c r="C5996" t="s">
        <v>6074</v>
      </c>
      <c r="D5996">
        <v>2012</v>
      </c>
      <c r="E5996" t="s">
        <v>22</v>
      </c>
      <c r="F5996" t="s">
        <v>1798</v>
      </c>
      <c r="G5996">
        <v>0</v>
      </c>
      <c r="H5996">
        <v>0</v>
      </c>
      <c r="I5996">
        <v>1</v>
      </c>
      <c r="J5996">
        <v>0</v>
      </c>
      <c r="K5996">
        <v>0</v>
      </c>
      <c r="L5996">
        <f t="shared" si="186"/>
        <v>5.4</v>
      </c>
      <c r="M5996">
        <f t="shared" si="187"/>
        <v>1</v>
      </c>
    </row>
    <row r="5997" spans="1:13" x14ac:dyDescent="0.3">
      <c r="A5997">
        <v>5995</v>
      </c>
      <c r="B5997">
        <v>5996</v>
      </c>
      <c r="C5997" t="s">
        <v>6075</v>
      </c>
      <c r="D5997">
        <v>2017</v>
      </c>
      <c r="E5997" t="s">
        <v>14</v>
      </c>
      <c r="F5997" t="s">
        <v>1798</v>
      </c>
      <c r="G5997">
        <v>0</v>
      </c>
      <c r="H5997">
        <v>0</v>
      </c>
      <c r="I5997">
        <v>1</v>
      </c>
      <c r="J5997">
        <v>0</v>
      </c>
      <c r="K5997">
        <v>0</v>
      </c>
      <c r="L5997">
        <f t="shared" si="186"/>
        <v>5.4</v>
      </c>
      <c r="M5997">
        <f t="shared" si="187"/>
        <v>1</v>
      </c>
    </row>
    <row r="5998" spans="1:13" x14ac:dyDescent="0.3">
      <c r="A5998">
        <v>5996</v>
      </c>
      <c r="B5998">
        <v>5997</v>
      </c>
      <c r="C5998" t="s">
        <v>6076</v>
      </c>
      <c r="D5998">
        <v>2021</v>
      </c>
      <c r="F5998" t="s">
        <v>1798</v>
      </c>
      <c r="G5998">
        <v>0</v>
      </c>
      <c r="H5998">
        <v>0</v>
      </c>
      <c r="I5998">
        <v>1</v>
      </c>
      <c r="J5998">
        <v>0</v>
      </c>
      <c r="K5998">
        <v>0</v>
      </c>
      <c r="L5998">
        <f t="shared" si="186"/>
        <v>5.4</v>
      </c>
      <c r="M5998">
        <f t="shared" si="187"/>
        <v>1</v>
      </c>
    </row>
    <row r="5999" spans="1:13" x14ac:dyDescent="0.3">
      <c r="A5999">
        <v>5997</v>
      </c>
      <c r="B5999">
        <v>5998</v>
      </c>
      <c r="C5999" t="s">
        <v>6077</v>
      </c>
      <c r="D5999">
        <v>2012</v>
      </c>
      <c r="E5999" t="s">
        <v>11</v>
      </c>
      <c r="F5999" t="s">
        <v>1798</v>
      </c>
      <c r="G5999">
        <v>0</v>
      </c>
      <c r="H5999">
        <v>0</v>
      </c>
      <c r="I5999">
        <v>1</v>
      </c>
      <c r="J5999">
        <v>0</v>
      </c>
      <c r="K5999">
        <v>0</v>
      </c>
      <c r="L5999">
        <f t="shared" si="186"/>
        <v>5.4</v>
      </c>
      <c r="M5999">
        <f t="shared" si="187"/>
        <v>1</v>
      </c>
    </row>
    <row r="6000" spans="1:13" x14ac:dyDescent="0.3">
      <c r="A6000">
        <v>5998</v>
      </c>
      <c r="B6000">
        <v>5999</v>
      </c>
      <c r="C6000" t="s">
        <v>6078</v>
      </c>
      <c r="D6000">
        <v>2016</v>
      </c>
      <c r="E6000" t="s">
        <v>14</v>
      </c>
      <c r="F6000" t="s">
        <v>1798</v>
      </c>
      <c r="G6000">
        <v>0</v>
      </c>
      <c r="H6000">
        <v>0</v>
      </c>
      <c r="I6000">
        <v>1</v>
      </c>
      <c r="J6000">
        <v>0</v>
      </c>
      <c r="K6000">
        <v>0</v>
      </c>
      <c r="L6000">
        <f t="shared" si="186"/>
        <v>5.4</v>
      </c>
      <c r="M6000">
        <f t="shared" si="187"/>
        <v>1</v>
      </c>
    </row>
    <row r="6001" spans="1:13" x14ac:dyDescent="0.3">
      <c r="A6001">
        <v>5999</v>
      </c>
      <c r="B6001">
        <v>6000</v>
      </c>
      <c r="C6001" t="s">
        <v>6079</v>
      </c>
      <c r="D6001">
        <v>2021</v>
      </c>
      <c r="F6001" t="s">
        <v>1798</v>
      </c>
      <c r="G6001">
        <v>0</v>
      </c>
      <c r="H6001">
        <v>0</v>
      </c>
      <c r="I6001">
        <v>1</v>
      </c>
      <c r="J6001">
        <v>0</v>
      </c>
      <c r="K6001">
        <v>0</v>
      </c>
      <c r="L6001">
        <f t="shared" si="186"/>
        <v>5.4</v>
      </c>
      <c r="M6001">
        <f t="shared" si="187"/>
        <v>1</v>
      </c>
    </row>
    <row r="6002" spans="1:13" x14ac:dyDescent="0.3">
      <c r="A6002">
        <v>6000</v>
      </c>
      <c r="B6002">
        <v>6001</v>
      </c>
      <c r="C6002" t="s">
        <v>6080</v>
      </c>
      <c r="D6002">
        <v>2018</v>
      </c>
      <c r="F6002" t="s">
        <v>1798</v>
      </c>
      <c r="G6002">
        <v>0</v>
      </c>
      <c r="H6002">
        <v>0</v>
      </c>
      <c r="I6002">
        <v>1</v>
      </c>
      <c r="J6002">
        <v>0</v>
      </c>
      <c r="K6002">
        <v>0</v>
      </c>
      <c r="L6002">
        <f t="shared" si="186"/>
        <v>5.4</v>
      </c>
      <c r="M6002">
        <f t="shared" si="187"/>
        <v>1</v>
      </c>
    </row>
    <row r="6003" spans="1:13" x14ac:dyDescent="0.3">
      <c r="A6003">
        <v>6001</v>
      </c>
      <c r="B6003">
        <v>6002</v>
      </c>
      <c r="C6003" t="s">
        <v>6081</v>
      </c>
      <c r="D6003">
        <v>2017</v>
      </c>
      <c r="F6003" t="s">
        <v>1798</v>
      </c>
      <c r="G6003">
        <v>0</v>
      </c>
      <c r="H6003">
        <v>0</v>
      </c>
      <c r="I6003">
        <v>1</v>
      </c>
      <c r="J6003">
        <v>0</v>
      </c>
      <c r="K6003">
        <v>0</v>
      </c>
      <c r="L6003">
        <f t="shared" si="186"/>
        <v>5.4</v>
      </c>
      <c r="M6003">
        <f t="shared" si="187"/>
        <v>1</v>
      </c>
    </row>
    <row r="6004" spans="1:13" x14ac:dyDescent="0.3">
      <c r="A6004">
        <v>6002</v>
      </c>
      <c r="B6004">
        <v>6003</v>
      </c>
      <c r="C6004" t="s">
        <v>6082</v>
      </c>
      <c r="D6004">
        <v>2017</v>
      </c>
      <c r="E6004" t="s">
        <v>11</v>
      </c>
      <c r="F6004" t="s">
        <v>1798</v>
      </c>
      <c r="G6004">
        <v>0</v>
      </c>
      <c r="H6004">
        <v>0</v>
      </c>
      <c r="I6004">
        <v>1</v>
      </c>
      <c r="J6004">
        <v>0</v>
      </c>
      <c r="K6004">
        <v>0</v>
      </c>
      <c r="L6004">
        <f t="shared" si="186"/>
        <v>5.4</v>
      </c>
      <c r="M6004">
        <f t="shared" si="187"/>
        <v>1</v>
      </c>
    </row>
    <row r="6005" spans="1:13" x14ac:dyDescent="0.3">
      <c r="A6005">
        <v>6003</v>
      </c>
      <c r="B6005">
        <v>6004</v>
      </c>
      <c r="C6005" t="s">
        <v>6083</v>
      </c>
      <c r="D6005">
        <v>1941</v>
      </c>
      <c r="F6005" t="s">
        <v>1798</v>
      </c>
      <c r="G6005">
        <v>0</v>
      </c>
      <c r="H6005">
        <v>0</v>
      </c>
      <c r="I6005">
        <v>1</v>
      </c>
      <c r="J6005">
        <v>0</v>
      </c>
      <c r="K6005">
        <v>0</v>
      </c>
      <c r="L6005">
        <f t="shared" si="186"/>
        <v>5.4</v>
      </c>
      <c r="M6005">
        <f t="shared" si="187"/>
        <v>1</v>
      </c>
    </row>
    <row r="6006" spans="1:13" x14ac:dyDescent="0.3">
      <c r="A6006">
        <v>6004</v>
      </c>
      <c r="B6006">
        <v>6005</v>
      </c>
      <c r="C6006" t="s">
        <v>6084</v>
      </c>
      <c r="D6006">
        <v>2010</v>
      </c>
      <c r="F6006" t="s">
        <v>1798</v>
      </c>
      <c r="G6006">
        <v>0</v>
      </c>
      <c r="H6006">
        <v>0</v>
      </c>
      <c r="I6006">
        <v>1</v>
      </c>
      <c r="J6006">
        <v>0</v>
      </c>
      <c r="K6006">
        <v>0</v>
      </c>
      <c r="L6006">
        <f t="shared" si="186"/>
        <v>5.4</v>
      </c>
      <c r="M6006">
        <f t="shared" si="187"/>
        <v>1</v>
      </c>
    </row>
    <row r="6007" spans="1:13" x14ac:dyDescent="0.3">
      <c r="A6007">
        <v>6005</v>
      </c>
      <c r="B6007">
        <v>6006</v>
      </c>
      <c r="C6007" t="s">
        <v>6085</v>
      </c>
      <c r="D6007">
        <v>2016</v>
      </c>
      <c r="F6007" t="s">
        <v>1798</v>
      </c>
      <c r="G6007">
        <v>0</v>
      </c>
      <c r="H6007">
        <v>0</v>
      </c>
      <c r="I6007">
        <v>1</v>
      </c>
      <c r="J6007">
        <v>0</v>
      </c>
      <c r="K6007">
        <v>0</v>
      </c>
      <c r="L6007">
        <f t="shared" si="186"/>
        <v>5.4</v>
      </c>
      <c r="M6007">
        <f t="shared" si="187"/>
        <v>1</v>
      </c>
    </row>
    <row r="6008" spans="1:13" x14ac:dyDescent="0.3">
      <c r="A6008">
        <v>6006</v>
      </c>
      <c r="B6008">
        <v>6007</v>
      </c>
      <c r="C6008" t="s">
        <v>6086</v>
      </c>
      <c r="D6008">
        <v>2007</v>
      </c>
      <c r="E6008" t="s">
        <v>11</v>
      </c>
      <c r="F6008" t="s">
        <v>1798</v>
      </c>
      <c r="G6008">
        <v>0</v>
      </c>
      <c r="H6008">
        <v>0</v>
      </c>
      <c r="I6008">
        <v>1</v>
      </c>
      <c r="J6008">
        <v>0</v>
      </c>
      <c r="K6008">
        <v>0</v>
      </c>
      <c r="L6008">
        <f t="shared" si="186"/>
        <v>5.4</v>
      </c>
      <c r="M6008">
        <f t="shared" si="187"/>
        <v>1</v>
      </c>
    </row>
    <row r="6009" spans="1:13" x14ac:dyDescent="0.3">
      <c r="A6009">
        <v>6007</v>
      </c>
      <c r="B6009">
        <v>6008</v>
      </c>
      <c r="C6009" t="s">
        <v>6087</v>
      </c>
      <c r="D6009">
        <v>2014</v>
      </c>
      <c r="E6009" t="s">
        <v>22</v>
      </c>
      <c r="F6009" t="s">
        <v>1798</v>
      </c>
      <c r="G6009">
        <v>0</v>
      </c>
      <c r="H6009">
        <v>0</v>
      </c>
      <c r="I6009">
        <v>1</v>
      </c>
      <c r="J6009">
        <v>0</v>
      </c>
      <c r="K6009">
        <v>0</v>
      </c>
      <c r="L6009">
        <f t="shared" si="186"/>
        <v>5.4</v>
      </c>
      <c r="M6009">
        <f t="shared" si="187"/>
        <v>1</v>
      </c>
    </row>
    <row r="6010" spans="1:13" x14ac:dyDescent="0.3">
      <c r="A6010">
        <v>6008</v>
      </c>
      <c r="B6010">
        <v>6009</v>
      </c>
      <c r="C6010" t="s">
        <v>6088</v>
      </c>
      <c r="D6010">
        <v>2016</v>
      </c>
      <c r="F6010" t="s">
        <v>1798</v>
      </c>
      <c r="G6010">
        <v>0</v>
      </c>
      <c r="H6010">
        <v>0</v>
      </c>
      <c r="I6010">
        <v>1</v>
      </c>
      <c r="J6010">
        <v>0</v>
      </c>
      <c r="K6010">
        <v>0</v>
      </c>
      <c r="L6010">
        <f t="shared" si="186"/>
        <v>5.4</v>
      </c>
      <c r="M6010">
        <f t="shared" si="187"/>
        <v>1</v>
      </c>
    </row>
    <row r="6011" spans="1:13" x14ac:dyDescent="0.3">
      <c r="A6011">
        <v>6009</v>
      </c>
      <c r="B6011">
        <v>6010</v>
      </c>
      <c r="C6011" t="s">
        <v>6089</v>
      </c>
      <c r="D6011">
        <v>1995</v>
      </c>
      <c r="E6011" t="s">
        <v>14</v>
      </c>
      <c r="F6011" t="s">
        <v>1798</v>
      </c>
      <c r="G6011">
        <v>0</v>
      </c>
      <c r="H6011">
        <v>0</v>
      </c>
      <c r="I6011">
        <v>1</v>
      </c>
      <c r="J6011">
        <v>0</v>
      </c>
      <c r="K6011">
        <v>0</v>
      </c>
      <c r="L6011">
        <f t="shared" si="186"/>
        <v>5.4</v>
      </c>
      <c r="M6011">
        <f t="shared" si="187"/>
        <v>1</v>
      </c>
    </row>
    <row r="6012" spans="1:13" x14ac:dyDescent="0.3">
      <c r="A6012">
        <v>6010</v>
      </c>
      <c r="B6012">
        <v>6011</v>
      </c>
      <c r="C6012" t="s">
        <v>6090</v>
      </c>
      <c r="D6012">
        <v>2016</v>
      </c>
      <c r="E6012" t="s">
        <v>11</v>
      </c>
      <c r="F6012" t="s">
        <v>1798</v>
      </c>
      <c r="G6012">
        <v>0</v>
      </c>
      <c r="H6012">
        <v>0</v>
      </c>
      <c r="I6012">
        <v>1</v>
      </c>
      <c r="J6012">
        <v>0</v>
      </c>
      <c r="K6012">
        <v>0</v>
      </c>
      <c r="L6012">
        <f t="shared" si="186"/>
        <v>5.4</v>
      </c>
      <c r="M6012">
        <f t="shared" si="187"/>
        <v>1</v>
      </c>
    </row>
    <row r="6013" spans="1:13" x14ac:dyDescent="0.3">
      <c r="A6013">
        <v>6011</v>
      </c>
      <c r="B6013">
        <v>6012</v>
      </c>
      <c r="C6013" t="s">
        <v>6091</v>
      </c>
      <c r="D6013">
        <v>2001</v>
      </c>
      <c r="E6013" t="s">
        <v>11</v>
      </c>
      <c r="F6013" t="s">
        <v>1798</v>
      </c>
      <c r="G6013">
        <v>0</v>
      </c>
      <c r="H6013">
        <v>0</v>
      </c>
      <c r="I6013">
        <v>1</v>
      </c>
      <c r="J6013">
        <v>0</v>
      </c>
      <c r="K6013">
        <v>0</v>
      </c>
      <c r="L6013">
        <f t="shared" si="186"/>
        <v>5.4</v>
      </c>
      <c r="M6013">
        <f t="shared" si="187"/>
        <v>1</v>
      </c>
    </row>
    <row r="6014" spans="1:13" x14ac:dyDescent="0.3">
      <c r="A6014">
        <v>6012</v>
      </c>
      <c r="B6014">
        <v>6013</v>
      </c>
      <c r="C6014" t="s">
        <v>6092</v>
      </c>
      <c r="D6014">
        <v>2012</v>
      </c>
      <c r="F6014" t="s">
        <v>1798</v>
      </c>
      <c r="G6014">
        <v>0</v>
      </c>
      <c r="H6014">
        <v>0</v>
      </c>
      <c r="I6014">
        <v>1</v>
      </c>
      <c r="J6014">
        <v>0</v>
      </c>
      <c r="K6014">
        <v>0</v>
      </c>
      <c r="L6014">
        <f t="shared" si="186"/>
        <v>5.4</v>
      </c>
      <c r="M6014">
        <f t="shared" si="187"/>
        <v>1</v>
      </c>
    </row>
    <row r="6015" spans="1:13" x14ac:dyDescent="0.3">
      <c r="A6015">
        <v>6013</v>
      </c>
      <c r="B6015">
        <v>6014</v>
      </c>
      <c r="C6015" t="s">
        <v>6093</v>
      </c>
      <c r="D6015">
        <v>2014</v>
      </c>
      <c r="F6015" t="s">
        <v>1798</v>
      </c>
      <c r="G6015">
        <v>0</v>
      </c>
      <c r="H6015">
        <v>0</v>
      </c>
      <c r="I6015">
        <v>1</v>
      </c>
      <c r="J6015">
        <v>0</v>
      </c>
      <c r="K6015">
        <v>0</v>
      </c>
      <c r="L6015">
        <f t="shared" si="186"/>
        <v>5.4</v>
      </c>
      <c r="M6015">
        <f t="shared" si="187"/>
        <v>1</v>
      </c>
    </row>
    <row r="6016" spans="1:13" x14ac:dyDescent="0.3">
      <c r="A6016">
        <v>6014</v>
      </c>
      <c r="B6016">
        <v>6015</v>
      </c>
      <c r="C6016" t="s">
        <v>6094</v>
      </c>
      <c r="D6016">
        <v>2016</v>
      </c>
      <c r="F6016" t="s">
        <v>1798</v>
      </c>
      <c r="G6016">
        <v>0</v>
      </c>
      <c r="H6016">
        <v>0</v>
      </c>
      <c r="I6016">
        <v>1</v>
      </c>
      <c r="J6016">
        <v>0</v>
      </c>
      <c r="K6016">
        <v>0</v>
      </c>
      <c r="L6016">
        <f t="shared" si="186"/>
        <v>5.4</v>
      </c>
      <c r="M6016">
        <f t="shared" si="187"/>
        <v>1</v>
      </c>
    </row>
    <row r="6017" spans="1:13" x14ac:dyDescent="0.3">
      <c r="A6017">
        <v>6015</v>
      </c>
      <c r="B6017">
        <v>6016</v>
      </c>
      <c r="C6017" t="s">
        <v>6095</v>
      </c>
      <c r="D6017">
        <v>2009</v>
      </c>
      <c r="F6017" t="s">
        <v>1798</v>
      </c>
      <c r="G6017">
        <v>0</v>
      </c>
      <c r="H6017">
        <v>0</v>
      </c>
      <c r="I6017">
        <v>1</v>
      </c>
      <c r="J6017">
        <v>0</v>
      </c>
      <c r="K6017">
        <v>0</v>
      </c>
      <c r="L6017">
        <f t="shared" si="186"/>
        <v>5.4</v>
      </c>
      <c r="M6017">
        <f t="shared" si="187"/>
        <v>1</v>
      </c>
    </row>
    <row r="6018" spans="1:13" x14ac:dyDescent="0.3">
      <c r="A6018">
        <v>6016</v>
      </c>
      <c r="B6018">
        <v>6017</v>
      </c>
      <c r="C6018" t="s">
        <v>6096</v>
      </c>
      <c r="D6018">
        <v>2016</v>
      </c>
      <c r="E6018" t="s">
        <v>11</v>
      </c>
      <c r="F6018" t="s">
        <v>1798</v>
      </c>
      <c r="G6018">
        <v>0</v>
      </c>
      <c r="H6018">
        <v>0</v>
      </c>
      <c r="I6018">
        <v>1</v>
      </c>
      <c r="J6018">
        <v>0</v>
      </c>
      <c r="K6018">
        <v>0</v>
      </c>
      <c r="L6018">
        <f t="shared" si="186"/>
        <v>5.4</v>
      </c>
      <c r="M6018">
        <f t="shared" si="187"/>
        <v>1</v>
      </c>
    </row>
    <row r="6019" spans="1:13" x14ac:dyDescent="0.3">
      <c r="A6019">
        <v>6017</v>
      </c>
      <c r="B6019">
        <v>6018</v>
      </c>
      <c r="C6019" t="s">
        <v>6097</v>
      </c>
      <c r="D6019">
        <v>2018</v>
      </c>
      <c r="E6019" t="s">
        <v>28</v>
      </c>
      <c r="F6019" t="s">
        <v>1798</v>
      </c>
      <c r="G6019">
        <v>0</v>
      </c>
      <c r="H6019">
        <v>0</v>
      </c>
      <c r="I6019">
        <v>1</v>
      </c>
      <c r="J6019">
        <v>0</v>
      </c>
      <c r="K6019">
        <v>0</v>
      </c>
      <c r="L6019">
        <f t="shared" ref="L6019:L6082" si="188">IFERROR(VALUE(LEFT(F6019,FIND("/",F6019)-1))/10,"")</f>
        <v>5.4</v>
      </c>
      <c r="M6019">
        <f t="shared" ref="M6019:M6082" si="189">SUM(G6019:J6019)</f>
        <v>1</v>
      </c>
    </row>
    <row r="6020" spans="1:13" x14ac:dyDescent="0.3">
      <c r="A6020">
        <v>6018</v>
      </c>
      <c r="B6020">
        <v>6019</v>
      </c>
      <c r="C6020" t="s">
        <v>6098</v>
      </c>
      <c r="D6020">
        <v>1971</v>
      </c>
      <c r="E6020" t="s">
        <v>11</v>
      </c>
      <c r="F6020" t="s">
        <v>1798</v>
      </c>
      <c r="G6020">
        <v>0</v>
      </c>
      <c r="H6020">
        <v>0</v>
      </c>
      <c r="I6020">
        <v>1</v>
      </c>
      <c r="J6020">
        <v>0</v>
      </c>
      <c r="K6020">
        <v>0</v>
      </c>
      <c r="L6020">
        <f t="shared" si="188"/>
        <v>5.4</v>
      </c>
      <c r="M6020">
        <f t="shared" si="189"/>
        <v>1</v>
      </c>
    </row>
    <row r="6021" spans="1:13" x14ac:dyDescent="0.3">
      <c r="A6021">
        <v>6019</v>
      </c>
      <c r="B6021">
        <v>6020</v>
      </c>
      <c r="C6021" t="s">
        <v>6099</v>
      </c>
      <c r="D6021">
        <v>2000</v>
      </c>
      <c r="E6021" t="s">
        <v>11</v>
      </c>
      <c r="F6021" t="s">
        <v>1798</v>
      </c>
      <c r="G6021">
        <v>0</v>
      </c>
      <c r="H6021">
        <v>0</v>
      </c>
      <c r="I6021">
        <v>1</v>
      </c>
      <c r="J6021">
        <v>0</v>
      </c>
      <c r="K6021">
        <v>0</v>
      </c>
      <c r="L6021">
        <f t="shared" si="188"/>
        <v>5.4</v>
      </c>
      <c r="M6021">
        <f t="shared" si="189"/>
        <v>1</v>
      </c>
    </row>
    <row r="6022" spans="1:13" x14ac:dyDescent="0.3">
      <c r="A6022">
        <v>6020</v>
      </c>
      <c r="B6022">
        <v>6021</v>
      </c>
      <c r="C6022" t="s">
        <v>6100</v>
      </c>
      <c r="D6022">
        <v>2018</v>
      </c>
      <c r="E6022" t="s">
        <v>11</v>
      </c>
      <c r="F6022" t="s">
        <v>1798</v>
      </c>
      <c r="G6022">
        <v>0</v>
      </c>
      <c r="H6022">
        <v>0</v>
      </c>
      <c r="I6022">
        <v>1</v>
      </c>
      <c r="J6022">
        <v>0</v>
      </c>
      <c r="K6022">
        <v>0</v>
      </c>
      <c r="L6022">
        <f t="shared" si="188"/>
        <v>5.4</v>
      </c>
      <c r="M6022">
        <f t="shared" si="189"/>
        <v>1</v>
      </c>
    </row>
    <row r="6023" spans="1:13" x14ac:dyDescent="0.3">
      <c r="A6023">
        <v>6021</v>
      </c>
      <c r="B6023">
        <v>6022</v>
      </c>
      <c r="C6023" t="s">
        <v>6101</v>
      </c>
      <c r="D6023">
        <v>2013</v>
      </c>
      <c r="E6023" t="s">
        <v>11</v>
      </c>
      <c r="F6023" t="s">
        <v>1798</v>
      </c>
      <c r="G6023">
        <v>0</v>
      </c>
      <c r="H6023">
        <v>0</v>
      </c>
      <c r="I6023">
        <v>1</v>
      </c>
      <c r="J6023">
        <v>0</v>
      </c>
      <c r="K6023">
        <v>0</v>
      </c>
      <c r="L6023">
        <f t="shared" si="188"/>
        <v>5.4</v>
      </c>
      <c r="M6023">
        <f t="shared" si="189"/>
        <v>1</v>
      </c>
    </row>
    <row r="6024" spans="1:13" x14ac:dyDescent="0.3">
      <c r="A6024">
        <v>6022</v>
      </c>
      <c r="B6024">
        <v>6023</v>
      </c>
      <c r="C6024" t="s">
        <v>6102</v>
      </c>
      <c r="D6024">
        <v>2006</v>
      </c>
      <c r="E6024" t="s">
        <v>14</v>
      </c>
      <c r="F6024" t="s">
        <v>1798</v>
      </c>
      <c r="G6024">
        <v>0</v>
      </c>
      <c r="H6024">
        <v>0</v>
      </c>
      <c r="I6024">
        <v>1</v>
      </c>
      <c r="J6024">
        <v>0</v>
      </c>
      <c r="K6024">
        <v>0</v>
      </c>
      <c r="L6024">
        <f t="shared" si="188"/>
        <v>5.4</v>
      </c>
      <c r="M6024">
        <f t="shared" si="189"/>
        <v>1</v>
      </c>
    </row>
    <row r="6025" spans="1:13" x14ac:dyDescent="0.3">
      <c r="A6025">
        <v>6023</v>
      </c>
      <c r="B6025">
        <v>6024</v>
      </c>
      <c r="C6025" t="s">
        <v>6103</v>
      </c>
      <c r="D6025">
        <v>1987</v>
      </c>
      <c r="E6025" t="s">
        <v>11</v>
      </c>
      <c r="F6025" t="s">
        <v>1798</v>
      </c>
      <c r="G6025">
        <v>0</v>
      </c>
      <c r="H6025">
        <v>0</v>
      </c>
      <c r="I6025">
        <v>1</v>
      </c>
      <c r="J6025">
        <v>0</v>
      </c>
      <c r="K6025">
        <v>0</v>
      </c>
      <c r="L6025">
        <f t="shared" si="188"/>
        <v>5.4</v>
      </c>
      <c r="M6025">
        <f t="shared" si="189"/>
        <v>1</v>
      </c>
    </row>
    <row r="6026" spans="1:13" x14ac:dyDescent="0.3">
      <c r="A6026">
        <v>6024</v>
      </c>
      <c r="B6026">
        <v>6025</v>
      </c>
      <c r="C6026" t="s">
        <v>6104</v>
      </c>
      <c r="D6026">
        <v>2013</v>
      </c>
      <c r="E6026" t="s">
        <v>11</v>
      </c>
      <c r="F6026" t="s">
        <v>1798</v>
      </c>
      <c r="G6026">
        <v>0</v>
      </c>
      <c r="H6026">
        <v>0</v>
      </c>
      <c r="I6026">
        <v>1</v>
      </c>
      <c r="J6026">
        <v>0</v>
      </c>
      <c r="K6026">
        <v>0</v>
      </c>
      <c r="L6026">
        <f t="shared" si="188"/>
        <v>5.4</v>
      </c>
      <c r="M6026">
        <f t="shared" si="189"/>
        <v>1</v>
      </c>
    </row>
    <row r="6027" spans="1:13" x14ac:dyDescent="0.3">
      <c r="A6027">
        <v>6025</v>
      </c>
      <c r="B6027">
        <v>6026</v>
      </c>
      <c r="C6027" t="s">
        <v>6105</v>
      </c>
      <c r="D6027">
        <v>1966</v>
      </c>
      <c r="E6027" t="s">
        <v>36</v>
      </c>
      <c r="F6027" t="s">
        <v>1798</v>
      </c>
      <c r="G6027">
        <v>0</v>
      </c>
      <c r="H6027">
        <v>0</v>
      </c>
      <c r="I6027">
        <v>1</v>
      </c>
      <c r="J6027">
        <v>0</v>
      </c>
      <c r="K6027">
        <v>0</v>
      </c>
      <c r="L6027">
        <f t="shared" si="188"/>
        <v>5.4</v>
      </c>
      <c r="M6027">
        <f t="shared" si="189"/>
        <v>1</v>
      </c>
    </row>
    <row r="6028" spans="1:13" x14ac:dyDescent="0.3">
      <c r="A6028">
        <v>6026</v>
      </c>
      <c r="B6028">
        <v>6027</v>
      </c>
      <c r="C6028" t="s">
        <v>6106</v>
      </c>
      <c r="D6028">
        <v>2009</v>
      </c>
      <c r="E6028" t="s">
        <v>11</v>
      </c>
      <c r="F6028" t="s">
        <v>1798</v>
      </c>
      <c r="G6028">
        <v>0</v>
      </c>
      <c r="H6028">
        <v>0</v>
      </c>
      <c r="I6028">
        <v>1</v>
      </c>
      <c r="J6028">
        <v>0</v>
      </c>
      <c r="K6028">
        <v>0</v>
      </c>
      <c r="L6028">
        <f t="shared" si="188"/>
        <v>5.4</v>
      </c>
      <c r="M6028">
        <f t="shared" si="189"/>
        <v>1</v>
      </c>
    </row>
    <row r="6029" spans="1:13" x14ac:dyDescent="0.3">
      <c r="A6029">
        <v>6027</v>
      </c>
      <c r="B6029">
        <v>6028</v>
      </c>
      <c r="C6029" t="s">
        <v>6107</v>
      </c>
      <c r="D6029">
        <v>2017</v>
      </c>
      <c r="F6029" t="s">
        <v>1798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f t="shared" si="188"/>
        <v>5.4</v>
      </c>
      <c r="M6029">
        <f t="shared" si="189"/>
        <v>1</v>
      </c>
    </row>
    <row r="6030" spans="1:13" x14ac:dyDescent="0.3">
      <c r="A6030">
        <v>6028</v>
      </c>
      <c r="B6030">
        <v>6029</v>
      </c>
      <c r="C6030" t="s">
        <v>6108</v>
      </c>
      <c r="D6030">
        <v>1995</v>
      </c>
      <c r="E6030" t="s">
        <v>11</v>
      </c>
      <c r="F6030" t="s">
        <v>1798</v>
      </c>
      <c r="G6030">
        <v>0</v>
      </c>
      <c r="H6030">
        <v>0</v>
      </c>
      <c r="I6030">
        <v>1</v>
      </c>
      <c r="J6030">
        <v>0</v>
      </c>
      <c r="K6030">
        <v>0</v>
      </c>
      <c r="L6030">
        <f t="shared" si="188"/>
        <v>5.4</v>
      </c>
      <c r="M6030">
        <f t="shared" si="189"/>
        <v>1</v>
      </c>
    </row>
    <row r="6031" spans="1:13" x14ac:dyDescent="0.3">
      <c r="A6031">
        <v>6029</v>
      </c>
      <c r="B6031">
        <v>6030</v>
      </c>
      <c r="C6031" t="s">
        <v>6109</v>
      </c>
      <c r="D6031">
        <v>2014</v>
      </c>
      <c r="F6031" t="s">
        <v>1798</v>
      </c>
      <c r="G6031">
        <v>0</v>
      </c>
      <c r="H6031">
        <v>0</v>
      </c>
      <c r="I6031">
        <v>1</v>
      </c>
      <c r="J6031">
        <v>0</v>
      </c>
      <c r="K6031">
        <v>0</v>
      </c>
      <c r="L6031">
        <f t="shared" si="188"/>
        <v>5.4</v>
      </c>
      <c r="M6031">
        <f t="shared" si="189"/>
        <v>1</v>
      </c>
    </row>
    <row r="6032" spans="1:13" x14ac:dyDescent="0.3">
      <c r="A6032">
        <v>6030</v>
      </c>
      <c r="B6032">
        <v>6031</v>
      </c>
      <c r="C6032" t="s">
        <v>6110</v>
      </c>
      <c r="D6032">
        <v>2013</v>
      </c>
      <c r="F6032" t="s">
        <v>1798</v>
      </c>
      <c r="G6032">
        <v>0</v>
      </c>
      <c r="H6032">
        <v>0</v>
      </c>
      <c r="I6032">
        <v>1</v>
      </c>
      <c r="J6032">
        <v>0</v>
      </c>
      <c r="K6032">
        <v>0</v>
      </c>
      <c r="L6032">
        <f t="shared" si="188"/>
        <v>5.4</v>
      </c>
      <c r="M6032">
        <f t="shared" si="189"/>
        <v>1</v>
      </c>
    </row>
    <row r="6033" spans="1:13" x14ac:dyDescent="0.3">
      <c r="A6033">
        <v>6031</v>
      </c>
      <c r="B6033">
        <v>6032</v>
      </c>
      <c r="C6033" t="s">
        <v>6111</v>
      </c>
      <c r="D6033">
        <v>2016</v>
      </c>
      <c r="E6033" t="s">
        <v>14</v>
      </c>
      <c r="F6033" t="s">
        <v>1798</v>
      </c>
      <c r="G6033">
        <v>0</v>
      </c>
      <c r="H6033">
        <v>0</v>
      </c>
      <c r="I6033">
        <v>1</v>
      </c>
      <c r="J6033">
        <v>0</v>
      </c>
      <c r="K6033">
        <v>0</v>
      </c>
      <c r="L6033">
        <f t="shared" si="188"/>
        <v>5.4</v>
      </c>
      <c r="M6033">
        <f t="shared" si="189"/>
        <v>1</v>
      </c>
    </row>
    <row r="6034" spans="1:13" x14ac:dyDescent="0.3">
      <c r="A6034">
        <v>6032</v>
      </c>
      <c r="B6034">
        <v>6033</v>
      </c>
      <c r="C6034" t="s">
        <v>6112</v>
      </c>
      <c r="D6034">
        <v>2019</v>
      </c>
      <c r="F6034" t="s">
        <v>1798</v>
      </c>
      <c r="G6034">
        <v>0</v>
      </c>
      <c r="H6034">
        <v>0</v>
      </c>
      <c r="I6034">
        <v>1</v>
      </c>
      <c r="J6034">
        <v>0</v>
      </c>
      <c r="K6034">
        <v>0</v>
      </c>
      <c r="L6034">
        <f t="shared" si="188"/>
        <v>5.4</v>
      </c>
      <c r="M6034">
        <f t="shared" si="189"/>
        <v>1</v>
      </c>
    </row>
    <row r="6035" spans="1:13" x14ac:dyDescent="0.3">
      <c r="A6035">
        <v>6033</v>
      </c>
      <c r="B6035">
        <v>6034</v>
      </c>
      <c r="C6035" t="s">
        <v>6113</v>
      </c>
      <c r="D6035">
        <v>2012</v>
      </c>
      <c r="F6035" t="s">
        <v>1798</v>
      </c>
      <c r="G6035">
        <v>0</v>
      </c>
      <c r="H6035">
        <v>0</v>
      </c>
      <c r="I6035">
        <v>1</v>
      </c>
      <c r="J6035">
        <v>0</v>
      </c>
      <c r="K6035">
        <v>0</v>
      </c>
      <c r="L6035">
        <f t="shared" si="188"/>
        <v>5.4</v>
      </c>
      <c r="M6035">
        <f t="shared" si="189"/>
        <v>1</v>
      </c>
    </row>
    <row r="6036" spans="1:13" x14ac:dyDescent="0.3">
      <c r="A6036">
        <v>6034</v>
      </c>
      <c r="B6036">
        <v>6035</v>
      </c>
      <c r="C6036" t="s">
        <v>6114</v>
      </c>
      <c r="D6036">
        <v>2016</v>
      </c>
      <c r="E6036" t="s">
        <v>14</v>
      </c>
      <c r="F6036" t="s">
        <v>1798</v>
      </c>
      <c r="G6036">
        <v>0</v>
      </c>
      <c r="H6036">
        <v>0</v>
      </c>
      <c r="I6036">
        <v>1</v>
      </c>
      <c r="J6036">
        <v>0</v>
      </c>
      <c r="K6036">
        <v>0</v>
      </c>
      <c r="L6036">
        <f t="shared" si="188"/>
        <v>5.4</v>
      </c>
      <c r="M6036">
        <f t="shared" si="189"/>
        <v>1</v>
      </c>
    </row>
    <row r="6037" spans="1:13" x14ac:dyDescent="0.3">
      <c r="A6037">
        <v>6035</v>
      </c>
      <c r="B6037">
        <v>6036</v>
      </c>
      <c r="C6037" t="s">
        <v>6115</v>
      </c>
      <c r="D6037">
        <v>2020</v>
      </c>
      <c r="E6037" t="s">
        <v>11</v>
      </c>
      <c r="F6037" t="s">
        <v>1798</v>
      </c>
      <c r="G6037">
        <v>0</v>
      </c>
      <c r="H6037">
        <v>0</v>
      </c>
      <c r="I6037">
        <v>1</v>
      </c>
      <c r="J6037">
        <v>0</v>
      </c>
      <c r="K6037">
        <v>0</v>
      </c>
      <c r="L6037">
        <f t="shared" si="188"/>
        <v>5.4</v>
      </c>
      <c r="M6037">
        <f t="shared" si="189"/>
        <v>1</v>
      </c>
    </row>
    <row r="6038" spans="1:13" x14ac:dyDescent="0.3">
      <c r="A6038">
        <v>6036</v>
      </c>
      <c r="B6038">
        <v>6037</v>
      </c>
      <c r="C6038" t="s">
        <v>6116</v>
      </c>
      <c r="D6038">
        <v>2010</v>
      </c>
      <c r="E6038" t="s">
        <v>11</v>
      </c>
      <c r="F6038" t="s">
        <v>1798</v>
      </c>
      <c r="G6038">
        <v>0</v>
      </c>
      <c r="H6038">
        <v>0</v>
      </c>
      <c r="I6038">
        <v>1</v>
      </c>
      <c r="J6038">
        <v>0</v>
      </c>
      <c r="K6038">
        <v>0</v>
      </c>
      <c r="L6038">
        <f t="shared" si="188"/>
        <v>5.4</v>
      </c>
      <c r="M6038">
        <f t="shared" si="189"/>
        <v>1</v>
      </c>
    </row>
    <row r="6039" spans="1:13" x14ac:dyDescent="0.3">
      <c r="A6039">
        <v>6037</v>
      </c>
      <c r="B6039">
        <v>6038</v>
      </c>
      <c r="C6039" t="s">
        <v>6117</v>
      </c>
      <c r="D6039">
        <v>2019</v>
      </c>
      <c r="F6039" t="s">
        <v>1890</v>
      </c>
      <c r="G6039">
        <v>0</v>
      </c>
      <c r="H6039">
        <v>0</v>
      </c>
      <c r="I6039">
        <v>1</v>
      </c>
      <c r="J6039">
        <v>0</v>
      </c>
      <c r="K6039">
        <v>0</v>
      </c>
      <c r="L6039">
        <f t="shared" si="188"/>
        <v>5.3</v>
      </c>
      <c r="M6039">
        <f t="shared" si="189"/>
        <v>1</v>
      </c>
    </row>
    <row r="6040" spans="1:13" x14ac:dyDescent="0.3">
      <c r="A6040">
        <v>6038</v>
      </c>
      <c r="B6040">
        <v>6039</v>
      </c>
      <c r="C6040" t="s">
        <v>6118</v>
      </c>
      <c r="D6040">
        <v>1978</v>
      </c>
      <c r="E6040" t="s">
        <v>14</v>
      </c>
      <c r="F6040" t="s">
        <v>1890</v>
      </c>
      <c r="G6040">
        <v>0</v>
      </c>
      <c r="H6040">
        <v>0</v>
      </c>
      <c r="I6040">
        <v>1</v>
      </c>
      <c r="J6040">
        <v>0</v>
      </c>
      <c r="K6040">
        <v>0</v>
      </c>
      <c r="L6040">
        <f t="shared" si="188"/>
        <v>5.3</v>
      </c>
      <c r="M6040">
        <f t="shared" si="189"/>
        <v>1</v>
      </c>
    </row>
    <row r="6041" spans="1:13" x14ac:dyDescent="0.3">
      <c r="A6041">
        <v>6039</v>
      </c>
      <c r="B6041">
        <v>6040</v>
      </c>
      <c r="C6041" t="s">
        <v>6119</v>
      </c>
      <c r="D6041">
        <v>2005</v>
      </c>
      <c r="E6041" t="s">
        <v>22</v>
      </c>
      <c r="F6041" t="s">
        <v>1890</v>
      </c>
      <c r="G6041">
        <v>0</v>
      </c>
      <c r="H6041">
        <v>0</v>
      </c>
      <c r="I6041">
        <v>1</v>
      </c>
      <c r="J6041">
        <v>0</v>
      </c>
      <c r="K6041">
        <v>0</v>
      </c>
      <c r="L6041">
        <f t="shared" si="188"/>
        <v>5.3</v>
      </c>
      <c r="M6041">
        <f t="shared" si="189"/>
        <v>1</v>
      </c>
    </row>
    <row r="6042" spans="1:13" x14ac:dyDescent="0.3">
      <c r="A6042">
        <v>6040</v>
      </c>
      <c r="B6042">
        <v>6041</v>
      </c>
      <c r="C6042" t="s">
        <v>6120</v>
      </c>
      <c r="D6042">
        <v>2016</v>
      </c>
      <c r="E6042" t="s">
        <v>11</v>
      </c>
      <c r="F6042" t="s">
        <v>1890</v>
      </c>
      <c r="G6042">
        <v>0</v>
      </c>
      <c r="H6042">
        <v>0</v>
      </c>
      <c r="I6042">
        <v>1</v>
      </c>
      <c r="J6042">
        <v>0</v>
      </c>
      <c r="K6042">
        <v>0</v>
      </c>
      <c r="L6042">
        <f t="shared" si="188"/>
        <v>5.3</v>
      </c>
      <c r="M6042">
        <f t="shared" si="189"/>
        <v>1</v>
      </c>
    </row>
    <row r="6043" spans="1:13" x14ac:dyDescent="0.3">
      <c r="A6043">
        <v>6041</v>
      </c>
      <c r="B6043">
        <v>6042</v>
      </c>
      <c r="C6043" t="s">
        <v>6121</v>
      </c>
      <c r="D6043">
        <v>2021</v>
      </c>
      <c r="F6043" t="s">
        <v>1890</v>
      </c>
      <c r="G6043">
        <v>0</v>
      </c>
      <c r="H6043">
        <v>0</v>
      </c>
      <c r="I6043">
        <v>1</v>
      </c>
      <c r="J6043">
        <v>0</v>
      </c>
      <c r="K6043">
        <v>0</v>
      </c>
      <c r="L6043">
        <f t="shared" si="188"/>
        <v>5.3</v>
      </c>
      <c r="M6043">
        <f t="shared" si="189"/>
        <v>1</v>
      </c>
    </row>
    <row r="6044" spans="1:13" x14ac:dyDescent="0.3">
      <c r="A6044">
        <v>6042</v>
      </c>
      <c r="B6044">
        <v>6043</v>
      </c>
      <c r="C6044" t="s">
        <v>6122</v>
      </c>
      <c r="D6044">
        <v>2007</v>
      </c>
      <c r="E6044" t="s">
        <v>22</v>
      </c>
      <c r="F6044" t="s">
        <v>1890</v>
      </c>
      <c r="G6044">
        <v>0</v>
      </c>
      <c r="H6044">
        <v>0</v>
      </c>
      <c r="I6044">
        <v>1</v>
      </c>
      <c r="J6044">
        <v>0</v>
      </c>
      <c r="K6044">
        <v>0</v>
      </c>
      <c r="L6044">
        <f t="shared" si="188"/>
        <v>5.3</v>
      </c>
      <c r="M6044">
        <f t="shared" si="189"/>
        <v>1</v>
      </c>
    </row>
    <row r="6045" spans="1:13" x14ac:dyDescent="0.3">
      <c r="A6045">
        <v>6043</v>
      </c>
      <c r="B6045">
        <v>6044</v>
      </c>
      <c r="C6045" t="s">
        <v>6123</v>
      </c>
      <c r="D6045">
        <v>1979</v>
      </c>
      <c r="E6045" t="s">
        <v>14</v>
      </c>
      <c r="F6045" t="s">
        <v>1890</v>
      </c>
      <c r="G6045">
        <v>0</v>
      </c>
      <c r="H6045">
        <v>0</v>
      </c>
      <c r="I6045">
        <v>1</v>
      </c>
      <c r="J6045">
        <v>0</v>
      </c>
      <c r="K6045">
        <v>0</v>
      </c>
      <c r="L6045">
        <f t="shared" si="188"/>
        <v>5.3</v>
      </c>
      <c r="M6045">
        <f t="shared" si="189"/>
        <v>1</v>
      </c>
    </row>
    <row r="6046" spans="1:13" x14ac:dyDescent="0.3">
      <c r="A6046">
        <v>6044</v>
      </c>
      <c r="B6046">
        <v>6045</v>
      </c>
      <c r="C6046" t="s">
        <v>6124</v>
      </c>
      <c r="D6046">
        <v>1997</v>
      </c>
      <c r="E6046" t="s">
        <v>11</v>
      </c>
      <c r="F6046" t="s">
        <v>1890</v>
      </c>
      <c r="G6046">
        <v>0</v>
      </c>
      <c r="H6046">
        <v>0</v>
      </c>
      <c r="I6046">
        <v>1</v>
      </c>
      <c r="J6046">
        <v>0</v>
      </c>
      <c r="K6046">
        <v>0</v>
      </c>
      <c r="L6046">
        <f t="shared" si="188"/>
        <v>5.3</v>
      </c>
      <c r="M6046">
        <f t="shared" si="189"/>
        <v>1</v>
      </c>
    </row>
    <row r="6047" spans="1:13" x14ac:dyDescent="0.3">
      <c r="A6047">
        <v>6045</v>
      </c>
      <c r="B6047">
        <v>6046</v>
      </c>
      <c r="C6047" t="s">
        <v>6125</v>
      </c>
      <c r="D6047">
        <v>2020</v>
      </c>
      <c r="F6047" t="s">
        <v>1890</v>
      </c>
      <c r="G6047">
        <v>0</v>
      </c>
      <c r="H6047">
        <v>0</v>
      </c>
      <c r="I6047">
        <v>1</v>
      </c>
      <c r="J6047">
        <v>0</v>
      </c>
      <c r="K6047">
        <v>0</v>
      </c>
      <c r="L6047">
        <f t="shared" si="188"/>
        <v>5.3</v>
      </c>
      <c r="M6047">
        <f t="shared" si="189"/>
        <v>1</v>
      </c>
    </row>
    <row r="6048" spans="1:13" x14ac:dyDescent="0.3">
      <c r="A6048">
        <v>6046</v>
      </c>
      <c r="B6048">
        <v>6047</v>
      </c>
      <c r="C6048" t="s">
        <v>6126</v>
      </c>
      <c r="D6048">
        <v>2011</v>
      </c>
      <c r="E6048" t="s">
        <v>11</v>
      </c>
      <c r="F6048" t="s">
        <v>1890</v>
      </c>
      <c r="G6048">
        <v>0</v>
      </c>
      <c r="H6048">
        <v>0</v>
      </c>
      <c r="I6048">
        <v>1</v>
      </c>
      <c r="J6048">
        <v>0</v>
      </c>
      <c r="K6048">
        <v>0</v>
      </c>
      <c r="L6048">
        <f t="shared" si="188"/>
        <v>5.3</v>
      </c>
      <c r="M6048">
        <f t="shared" si="189"/>
        <v>1</v>
      </c>
    </row>
    <row r="6049" spans="1:13" x14ac:dyDescent="0.3">
      <c r="A6049">
        <v>6047</v>
      </c>
      <c r="B6049">
        <v>6048</v>
      </c>
      <c r="C6049" t="s">
        <v>6127</v>
      </c>
      <c r="D6049">
        <v>2017</v>
      </c>
      <c r="E6049" t="s">
        <v>11</v>
      </c>
      <c r="F6049" t="s">
        <v>1890</v>
      </c>
      <c r="G6049">
        <v>0</v>
      </c>
      <c r="H6049">
        <v>0</v>
      </c>
      <c r="I6049">
        <v>1</v>
      </c>
      <c r="J6049">
        <v>0</v>
      </c>
      <c r="K6049">
        <v>0</v>
      </c>
      <c r="L6049">
        <f t="shared" si="188"/>
        <v>5.3</v>
      </c>
      <c r="M6049">
        <f t="shared" si="189"/>
        <v>1</v>
      </c>
    </row>
    <row r="6050" spans="1:13" x14ac:dyDescent="0.3">
      <c r="A6050">
        <v>6048</v>
      </c>
      <c r="B6050">
        <v>6049</v>
      </c>
      <c r="C6050" t="s">
        <v>6128</v>
      </c>
      <c r="D6050">
        <v>2002</v>
      </c>
      <c r="E6050" t="s">
        <v>22</v>
      </c>
      <c r="F6050" t="s">
        <v>1890</v>
      </c>
      <c r="G6050">
        <v>0</v>
      </c>
      <c r="H6050">
        <v>0</v>
      </c>
      <c r="I6050">
        <v>1</v>
      </c>
      <c r="J6050">
        <v>0</v>
      </c>
      <c r="K6050">
        <v>0</v>
      </c>
      <c r="L6050">
        <f t="shared" si="188"/>
        <v>5.3</v>
      </c>
      <c r="M6050">
        <f t="shared" si="189"/>
        <v>1</v>
      </c>
    </row>
    <row r="6051" spans="1:13" x14ac:dyDescent="0.3">
      <c r="A6051">
        <v>6049</v>
      </c>
      <c r="B6051">
        <v>6050</v>
      </c>
      <c r="C6051" t="s">
        <v>6129</v>
      </c>
      <c r="D6051">
        <v>2018</v>
      </c>
      <c r="F6051" t="s">
        <v>1890</v>
      </c>
      <c r="G6051">
        <v>0</v>
      </c>
      <c r="H6051">
        <v>0</v>
      </c>
      <c r="I6051">
        <v>1</v>
      </c>
      <c r="J6051">
        <v>0</v>
      </c>
      <c r="K6051">
        <v>0</v>
      </c>
      <c r="L6051">
        <f t="shared" si="188"/>
        <v>5.3</v>
      </c>
      <c r="M6051">
        <f t="shared" si="189"/>
        <v>1</v>
      </c>
    </row>
    <row r="6052" spans="1:13" x14ac:dyDescent="0.3">
      <c r="A6052">
        <v>6050</v>
      </c>
      <c r="B6052">
        <v>6051</v>
      </c>
      <c r="C6052" t="s">
        <v>6130</v>
      </c>
      <c r="D6052">
        <v>1950</v>
      </c>
      <c r="F6052" t="s">
        <v>1890</v>
      </c>
      <c r="G6052">
        <v>0</v>
      </c>
      <c r="H6052">
        <v>0</v>
      </c>
      <c r="I6052">
        <v>1</v>
      </c>
      <c r="J6052">
        <v>0</v>
      </c>
      <c r="K6052">
        <v>0</v>
      </c>
      <c r="L6052">
        <f t="shared" si="188"/>
        <v>5.3</v>
      </c>
      <c r="M6052">
        <f t="shared" si="189"/>
        <v>1</v>
      </c>
    </row>
    <row r="6053" spans="1:13" x14ac:dyDescent="0.3">
      <c r="A6053">
        <v>6051</v>
      </c>
      <c r="B6053">
        <v>6052</v>
      </c>
      <c r="C6053" t="s">
        <v>6131</v>
      </c>
      <c r="D6053">
        <v>2006</v>
      </c>
      <c r="E6053" t="s">
        <v>11</v>
      </c>
      <c r="F6053" t="s">
        <v>1890</v>
      </c>
      <c r="G6053">
        <v>0</v>
      </c>
      <c r="H6053">
        <v>0</v>
      </c>
      <c r="I6053">
        <v>1</v>
      </c>
      <c r="J6053">
        <v>0</v>
      </c>
      <c r="K6053">
        <v>0</v>
      </c>
      <c r="L6053">
        <f t="shared" si="188"/>
        <v>5.3</v>
      </c>
      <c r="M6053">
        <f t="shared" si="189"/>
        <v>1</v>
      </c>
    </row>
    <row r="6054" spans="1:13" x14ac:dyDescent="0.3">
      <c r="A6054">
        <v>6052</v>
      </c>
      <c r="B6054">
        <v>6053</v>
      </c>
      <c r="C6054" t="s">
        <v>6132</v>
      </c>
      <c r="D6054">
        <v>2021</v>
      </c>
      <c r="F6054" t="s">
        <v>1890</v>
      </c>
      <c r="G6054">
        <v>0</v>
      </c>
      <c r="H6054">
        <v>0</v>
      </c>
      <c r="I6054">
        <v>1</v>
      </c>
      <c r="J6054">
        <v>0</v>
      </c>
      <c r="K6054">
        <v>0</v>
      </c>
      <c r="L6054">
        <f t="shared" si="188"/>
        <v>5.3</v>
      </c>
      <c r="M6054">
        <f t="shared" si="189"/>
        <v>1</v>
      </c>
    </row>
    <row r="6055" spans="1:13" x14ac:dyDescent="0.3">
      <c r="A6055">
        <v>6053</v>
      </c>
      <c r="B6055">
        <v>6054</v>
      </c>
      <c r="C6055" t="s">
        <v>6133</v>
      </c>
      <c r="D6055">
        <v>2008</v>
      </c>
      <c r="F6055" t="s">
        <v>1890</v>
      </c>
      <c r="G6055">
        <v>0</v>
      </c>
      <c r="H6055">
        <v>0</v>
      </c>
      <c r="I6055">
        <v>1</v>
      </c>
      <c r="J6055">
        <v>0</v>
      </c>
      <c r="K6055">
        <v>0</v>
      </c>
      <c r="L6055">
        <f t="shared" si="188"/>
        <v>5.3</v>
      </c>
      <c r="M6055">
        <f t="shared" si="189"/>
        <v>1</v>
      </c>
    </row>
    <row r="6056" spans="1:13" x14ac:dyDescent="0.3">
      <c r="A6056">
        <v>6054</v>
      </c>
      <c r="B6056">
        <v>6055</v>
      </c>
      <c r="C6056" t="s">
        <v>6134</v>
      </c>
      <c r="D6056">
        <v>2013</v>
      </c>
      <c r="E6056" t="s">
        <v>14</v>
      </c>
      <c r="F6056" t="s">
        <v>1890</v>
      </c>
      <c r="G6056">
        <v>0</v>
      </c>
      <c r="H6056">
        <v>0</v>
      </c>
      <c r="I6056">
        <v>1</v>
      </c>
      <c r="J6056">
        <v>0</v>
      </c>
      <c r="K6056">
        <v>0</v>
      </c>
      <c r="L6056">
        <f t="shared" si="188"/>
        <v>5.3</v>
      </c>
      <c r="M6056">
        <f t="shared" si="189"/>
        <v>1</v>
      </c>
    </row>
    <row r="6057" spans="1:13" x14ac:dyDescent="0.3">
      <c r="A6057">
        <v>6055</v>
      </c>
      <c r="B6057">
        <v>6056</v>
      </c>
      <c r="C6057" t="s">
        <v>6135</v>
      </c>
      <c r="D6057">
        <v>2018</v>
      </c>
      <c r="F6057" t="s">
        <v>1890</v>
      </c>
      <c r="G6057">
        <v>0</v>
      </c>
      <c r="H6057">
        <v>0</v>
      </c>
      <c r="I6057">
        <v>1</v>
      </c>
      <c r="J6057">
        <v>0</v>
      </c>
      <c r="K6057">
        <v>0</v>
      </c>
      <c r="L6057">
        <f t="shared" si="188"/>
        <v>5.3</v>
      </c>
      <c r="M6057">
        <f t="shared" si="189"/>
        <v>1</v>
      </c>
    </row>
    <row r="6058" spans="1:13" x14ac:dyDescent="0.3">
      <c r="A6058">
        <v>6056</v>
      </c>
      <c r="B6058">
        <v>6057</v>
      </c>
      <c r="C6058" t="s">
        <v>6136</v>
      </c>
      <c r="D6058">
        <v>1920</v>
      </c>
      <c r="F6058" t="s">
        <v>1890</v>
      </c>
      <c r="G6058">
        <v>0</v>
      </c>
      <c r="H6058">
        <v>0</v>
      </c>
      <c r="I6058">
        <v>1</v>
      </c>
      <c r="J6058">
        <v>0</v>
      </c>
      <c r="K6058">
        <v>0</v>
      </c>
      <c r="L6058">
        <f t="shared" si="188"/>
        <v>5.3</v>
      </c>
      <c r="M6058">
        <f t="shared" si="189"/>
        <v>1</v>
      </c>
    </row>
    <row r="6059" spans="1:13" x14ac:dyDescent="0.3">
      <c r="A6059">
        <v>6057</v>
      </c>
      <c r="B6059">
        <v>6058</v>
      </c>
      <c r="C6059" t="s">
        <v>6137</v>
      </c>
      <c r="D6059">
        <v>2017</v>
      </c>
      <c r="E6059" t="s">
        <v>22</v>
      </c>
      <c r="F6059" t="s">
        <v>1890</v>
      </c>
      <c r="G6059">
        <v>0</v>
      </c>
      <c r="H6059">
        <v>0</v>
      </c>
      <c r="I6059">
        <v>1</v>
      </c>
      <c r="J6059">
        <v>0</v>
      </c>
      <c r="K6059">
        <v>0</v>
      </c>
      <c r="L6059">
        <f t="shared" si="188"/>
        <v>5.3</v>
      </c>
      <c r="M6059">
        <f t="shared" si="189"/>
        <v>1</v>
      </c>
    </row>
    <row r="6060" spans="1:13" x14ac:dyDescent="0.3">
      <c r="A6060">
        <v>6058</v>
      </c>
      <c r="B6060">
        <v>6059</v>
      </c>
      <c r="C6060" t="s">
        <v>6138</v>
      </c>
      <c r="D6060">
        <v>2000</v>
      </c>
      <c r="E6060" t="s">
        <v>22</v>
      </c>
      <c r="F6060" t="s">
        <v>1890</v>
      </c>
      <c r="G6060">
        <v>0</v>
      </c>
      <c r="H6060">
        <v>0</v>
      </c>
      <c r="I6060">
        <v>1</v>
      </c>
      <c r="J6060">
        <v>0</v>
      </c>
      <c r="K6060">
        <v>0</v>
      </c>
      <c r="L6060">
        <f t="shared" si="188"/>
        <v>5.3</v>
      </c>
      <c r="M6060">
        <f t="shared" si="189"/>
        <v>1</v>
      </c>
    </row>
    <row r="6061" spans="1:13" x14ac:dyDescent="0.3">
      <c r="A6061">
        <v>6059</v>
      </c>
      <c r="B6061">
        <v>6060</v>
      </c>
      <c r="C6061" t="s">
        <v>6139</v>
      </c>
      <c r="D6061">
        <v>2009</v>
      </c>
      <c r="E6061" t="s">
        <v>11</v>
      </c>
      <c r="F6061" t="s">
        <v>1890</v>
      </c>
      <c r="G6061">
        <v>0</v>
      </c>
      <c r="H6061">
        <v>0</v>
      </c>
      <c r="I6061">
        <v>1</v>
      </c>
      <c r="J6061">
        <v>0</v>
      </c>
      <c r="K6061">
        <v>0</v>
      </c>
      <c r="L6061">
        <f t="shared" si="188"/>
        <v>5.3</v>
      </c>
      <c r="M6061">
        <f t="shared" si="189"/>
        <v>1</v>
      </c>
    </row>
    <row r="6062" spans="1:13" x14ac:dyDescent="0.3">
      <c r="A6062">
        <v>6060</v>
      </c>
      <c r="B6062">
        <v>6061</v>
      </c>
      <c r="C6062" t="s">
        <v>6140</v>
      </c>
      <c r="D6062">
        <v>2020</v>
      </c>
      <c r="E6062" t="s">
        <v>11</v>
      </c>
      <c r="F6062" t="s">
        <v>1890</v>
      </c>
      <c r="G6062">
        <v>0</v>
      </c>
      <c r="H6062">
        <v>0</v>
      </c>
      <c r="I6062">
        <v>1</v>
      </c>
      <c r="J6062">
        <v>0</v>
      </c>
      <c r="K6062">
        <v>0</v>
      </c>
      <c r="L6062">
        <f t="shared" si="188"/>
        <v>5.3</v>
      </c>
      <c r="M6062">
        <f t="shared" si="189"/>
        <v>1</v>
      </c>
    </row>
    <row r="6063" spans="1:13" x14ac:dyDescent="0.3">
      <c r="A6063">
        <v>6061</v>
      </c>
      <c r="B6063">
        <v>6062</v>
      </c>
      <c r="C6063" t="s">
        <v>6141</v>
      </c>
      <c r="D6063">
        <v>1999</v>
      </c>
      <c r="E6063" t="s">
        <v>11</v>
      </c>
      <c r="F6063" t="s">
        <v>1890</v>
      </c>
      <c r="G6063">
        <v>0</v>
      </c>
      <c r="H6063">
        <v>0</v>
      </c>
      <c r="I6063">
        <v>1</v>
      </c>
      <c r="J6063">
        <v>0</v>
      </c>
      <c r="K6063">
        <v>0</v>
      </c>
      <c r="L6063">
        <f t="shared" si="188"/>
        <v>5.3</v>
      </c>
      <c r="M6063">
        <f t="shared" si="189"/>
        <v>1</v>
      </c>
    </row>
    <row r="6064" spans="1:13" x14ac:dyDescent="0.3">
      <c r="A6064">
        <v>6062</v>
      </c>
      <c r="B6064">
        <v>6063</v>
      </c>
      <c r="C6064" t="s">
        <v>6142</v>
      </c>
      <c r="D6064">
        <v>2008</v>
      </c>
      <c r="F6064" t="s">
        <v>1890</v>
      </c>
      <c r="G6064">
        <v>0</v>
      </c>
      <c r="H6064">
        <v>0</v>
      </c>
      <c r="I6064">
        <v>1</v>
      </c>
      <c r="J6064">
        <v>0</v>
      </c>
      <c r="K6064">
        <v>0</v>
      </c>
      <c r="L6064">
        <f t="shared" si="188"/>
        <v>5.3</v>
      </c>
      <c r="M6064">
        <f t="shared" si="189"/>
        <v>1</v>
      </c>
    </row>
    <row r="6065" spans="1:13" x14ac:dyDescent="0.3">
      <c r="A6065">
        <v>6063</v>
      </c>
      <c r="B6065">
        <v>6064</v>
      </c>
      <c r="C6065" t="s">
        <v>6143</v>
      </c>
      <c r="D6065">
        <v>2020</v>
      </c>
      <c r="F6065" t="s">
        <v>1890</v>
      </c>
      <c r="G6065">
        <v>0</v>
      </c>
      <c r="H6065">
        <v>0</v>
      </c>
      <c r="I6065">
        <v>1</v>
      </c>
      <c r="J6065">
        <v>0</v>
      </c>
      <c r="K6065">
        <v>0</v>
      </c>
      <c r="L6065">
        <f t="shared" si="188"/>
        <v>5.3</v>
      </c>
      <c r="M6065">
        <f t="shared" si="189"/>
        <v>1</v>
      </c>
    </row>
    <row r="6066" spans="1:13" x14ac:dyDescent="0.3">
      <c r="A6066">
        <v>6064</v>
      </c>
      <c r="B6066">
        <v>6065</v>
      </c>
      <c r="C6066" t="s">
        <v>6144</v>
      </c>
      <c r="D6066">
        <v>1996</v>
      </c>
      <c r="E6066" t="s">
        <v>14</v>
      </c>
      <c r="F6066" t="s">
        <v>1890</v>
      </c>
      <c r="G6066">
        <v>0</v>
      </c>
      <c r="H6066">
        <v>0</v>
      </c>
      <c r="I6066">
        <v>1</v>
      </c>
      <c r="J6066">
        <v>0</v>
      </c>
      <c r="K6066">
        <v>0</v>
      </c>
      <c r="L6066">
        <f t="shared" si="188"/>
        <v>5.3</v>
      </c>
      <c r="M6066">
        <f t="shared" si="189"/>
        <v>1</v>
      </c>
    </row>
    <row r="6067" spans="1:13" x14ac:dyDescent="0.3">
      <c r="A6067">
        <v>6065</v>
      </c>
      <c r="B6067">
        <v>6066</v>
      </c>
      <c r="C6067" t="s">
        <v>6145</v>
      </c>
      <c r="D6067">
        <v>2015</v>
      </c>
      <c r="E6067" t="s">
        <v>11</v>
      </c>
      <c r="F6067" t="s">
        <v>1890</v>
      </c>
      <c r="G6067">
        <v>0</v>
      </c>
      <c r="H6067">
        <v>0</v>
      </c>
      <c r="I6067">
        <v>1</v>
      </c>
      <c r="J6067">
        <v>0</v>
      </c>
      <c r="K6067">
        <v>0</v>
      </c>
      <c r="L6067">
        <f t="shared" si="188"/>
        <v>5.3</v>
      </c>
      <c r="M6067">
        <f t="shared" si="189"/>
        <v>1</v>
      </c>
    </row>
    <row r="6068" spans="1:13" x14ac:dyDescent="0.3">
      <c r="A6068">
        <v>6066</v>
      </c>
      <c r="B6068">
        <v>6067</v>
      </c>
      <c r="C6068" t="s">
        <v>6146</v>
      </c>
      <c r="D6068">
        <v>2020</v>
      </c>
      <c r="E6068" t="s">
        <v>11</v>
      </c>
      <c r="F6068" t="s">
        <v>1890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f t="shared" si="188"/>
        <v>5.3</v>
      </c>
      <c r="M6068">
        <f t="shared" si="189"/>
        <v>1</v>
      </c>
    </row>
    <row r="6069" spans="1:13" x14ac:dyDescent="0.3">
      <c r="A6069">
        <v>6067</v>
      </c>
      <c r="B6069">
        <v>6068</v>
      </c>
      <c r="C6069" t="s">
        <v>6147</v>
      </c>
      <c r="D6069">
        <v>1994</v>
      </c>
      <c r="E6069" t="s">
        <v>11</v>
      </c>
      <c r="F6069" t="s">
        <v>1890</v>
      </c>
      <c r="G6069">
        <v>0</v>
      </c>
      <c r="H6069">
        <v>0</v>
      </c>
      <c r="I6069">
        <v>1</v>
      </c>
      <c r="J6069">
        <v>0</v>
      </c>
      <c r="K6069">
        <v>0</v>
      </c>
      <c r="L6069">
        <f t="shared" si="188"/>
        <v>5.3</v>
      </c>
      <c r="M6069">
        <f t="shared" si="189"/>
        <v>1</v>
      </c>
    </row>
    <row r="6070" spans="1:13" x14ac:dyDescent="0.3">
      <c r="A6070">
        <v>6068</v>
      </c>
      <c r="B6070">
        <v>6069</v>
      </c>
      <c r="C6070" t="s">
        <v>6148</v>
      </c>
      <c r="D6070">
        <v>2019</v>
      </c>
      <c r="F6070" t="s">
        <v>1890</v>
      </c>
      <c r="G6070">
        <v>0</v>
      </c>
      <c r="H6070">
        <v>0</v>
      </c>
      <c r="I6070">
        <v>1</v>
      </c>
      <c r="J6070">
        <v>0</v>
      </c>
      <c r="K6070">
        <v>0</v>
      </c>
      <c r="L6070">
        <f t="shared" si="188"/>
        <v>5.3</v>
      </c>
      <c r="M6070">
        <f t="shared" si="189"/>
        <v>1</v>
      </c>
    </row>
    <row r="6071" spans="1:13" x14ac:dyDescent="0.3">
      <c r="A6071">
        <v>6069</v>
      </c>
      <c r="B6071">
        <v>6070</v>
      </c>
      <c r="C6071" t="s">
        <v>6149</v>
      </c>
      <c r="D6071">
        <v>2009</v>
      </c>
      <c r="E6071" t="s">
        <v>11</v>
      </c>
      <c r="F6071" t="s">
        <v>1890</v>
      </c>
      <c r="G6071">
        <v>0</v>
      </c>
      <c r="H6071">
        <v>0</v>
      </c>
      <c r="I6071">
        <v>1</v>
      </c>
      <c r="J6071">
        <v>0</v>
      </c>
      <c r="K6071">
        <v>0</v>
      </c>
      <c r="L6071">
        <f t="shared" si="188"/>
        <v>5.3</v>
      </c>
      <c r="M6071">
        <f t="shared" si="189"/>
        <v>1</v>
      </c>
    </row>
    <row r="6072" spans="1:13" x14ac:dyDescent="0.3">
      <c r="A6072">
        <v>6070</v>
      </c>
      <c r="B6072">
        <v>6071</v>
      </c>
      <c r="C6072" t="s">
        <v>6150</v>
      </c>
      <c r="D6072">
        <v>2019</v>
      </c>
      <c r="E6072" t="s">
        <v>11</v>
      </c>
      <c r="F6072" t="s">
        <v>1890</v>
      </c>
      <c r="G6072">
        <v>0</v>
      </c>
      <c r="H6072">
        <v>0</v>
      </c>
      <c r="I6072">
        <v>1</v>
      </c>
      <c r="J6072">
        <v>0</v>
      </c>
      <c r="K6072">
        <v>0</v>
      </c>
      <c r="L6072">
        <f t="shared" si="188"/>
        <v>5.3</v>
      </c>
      <c r="M6072">
        <f t="shared" si="189"/>
        <v>1</v>
      </c>
    </row>
    <row r="6073" spans="1:13" x14ac:dyDescent="0.3">
      <c r="A6073">
        <v>6071</v>
      </c>
      <c r="B6073">
        <v>6072</v>
      </c>
      <c r="C6073" t="s">
        <v>6151</v>
      </c>
      <c r="D6073">
        <v>2016</v>
      </c>
      <c r="E6073" t="s">
        <v>11</v>
      </c>
      <c r="F6073" t="s">
        <v>1890</v>
      </c>
      <c r="G6073">
        <v>0</v>
      </c>
      <c r="H6073">
        <v>0</v>
      </c>
      <c r="I6073">
        <v>1</v>
      </c>
      <c r="J6073">
        <v>0</v>
      </c>
      <c r="K6073">
        <v>0</v>
      </c>
      <c r="L6073">
        <f t="shared" si="188"/>
        <v>5.3</v>
      </c>
      <c r="M6073">
        <f t="shared" si="189"/>
        <v>1</v>
      </c>
    </row>
    <row r="6074" spans="1:13" x14ac:dyDescent="0.3">
      <c r="A6074">
        <v>6072</v>
      </c>
      <c r="B6074">
        <v>6073</v>
      </c>
      <c r="C6074" t="s">
        <v>6152</v>
      </c>
      <c r="D6074">
        <v>1994</v>
      </c>
      <c r="E6074" t="s">
        <v>11</v>
      </c>
      <c r="F6074" t="s">
        <v>1890</v>
      </c>
      <c r="G6074">
        <v>0</v>
      </c>
      <c r="H6074">
        <v>0</v>
      </c>
      <c r="I6074">
        <v>1</v>
      </c>
      <c r="J6074">
        <v>0</v>
      </c>
      <c r="K6074">
        <v>0</v>
      </c>
      <c r="L6074">
        <f t="shared" si="188"/>
        <v>5.3</v>
      </c>
      <c r="M6074">
        <f t="shared" si="189"/>
        <v>1</v>
      </c>
    </row>
    <row r="6075" spans="1:13" x14ac:dyDescent="0.3">
      <c r="A6075">
        <v>6073</v>
      </c>
      <c r="B6075">
        <v>6074</v>
      </c>
      <c r="C6075" t="s">
        <v>6153</v>
      </c>
      <c r="D6075">
        <v>1997</v>
      </c>
      <c r="E6075" t="s">
        <v>22</v>
      </c>
      <c r="F6075" t="s">
        <v>1890</v>
      </c>
      <c r="G6075">
        <v>0</v>
      </c>
      <c r="H6075">
        <v>0</v>
      </c>
      <c r="I6075">
        <v>1</v>
      </c>
      <c r="J6075">
        <v>0</v>
      </c>
      <c r="K6075">
        <v>0</v>
      </c>
      <c r="L6075">
        <f t="shared" si="188"/>
        <v>5.3</v>
      </c>
      <c r="M6075">
        <f t="shared" si="189"/>
        <v>1</v>
      </c>
    </row>
    <row r="6076" spans="1:13" x14ac:dyDescent="0.3">
      <c r="A6076">
        <v>6074</v>
      </c>
      <c r="B6076">
        <v>6075</v>
      </c>
      <c r="C6076" t="s">
        <v>6154</v>
      </c>
      <c r="D6076">
        <v>2012</v>
      </c>
      <c r="E6076" t="s">
        <v>22</v>
      </c>
      <c r="F6076" t="s">
        <v>1890</v>
      </c>
      <c r="G6076">
        <v>0</v>
      </c>
      <c r="H6076">
        <v>0</v>
      </c>
      <c r="I6076">
        <v>1</v>
      </c>
      <c r="J6076">
        <v>0</v>
      </c>
      <c r="K6076">
        <v>0</v>
      </c>
      <c r="L6076">
        <f t="shared" si="188"/>
        <v>5.3</v>
      </c>
      <c r="M6076">
        <f t="shared" si="189"/>
        <v>1</v>
      </c>
    </row>
    <row r="6077" spans="1:13" x14ac:dyDescent="0.3">
      <c r="A6077">
        <v>6075</v>
      </c>
      <c r="B6077">
        <v>6076</v>
      </c>
      <c r="C6077" t="s">
        <v>6155</v>
      </c>
      <c r="D6077">
        <v>2019</v>
      </c>
      <c r="F6077" t="s">
        <v>1890</v>
      </c>
      <c r="G6077">
        <v>0</v>
      </c>
      <c r="H6077">
        <v>0</v>
      </c>
      <c r="I6077">
        <v>1</v>
      </c>
      <c r="J6077">
        <v>0</v>
      </c>
      <c r="K6077">
        <v>0</v>
      </c>
      <c r="L6077">
        <f t="shared" si="188"/>
        <v>5.3</v>
      </c>
      <c r="M6077">
        <f t="shared" si="189"/>
        <v>1</v>
      </c>
    </row>
    <row r="6078" spans="1:13" x14ac:dyDescent="0.3">
      <c r="A6078">
        <v>6076</v>
      </c>
      <c r="B6078">
        <v>6077</v>
      </c>
      <c r="C6078" t="s">
        <v>6156</v>
      </c>
      <c r="D6078">
        <v>2017</v>
      </c>
      <c r="F6078" t="s">
        <v>1890</v>
      </c>
      <c r="G6078">
        <v>0</v>
      </c>
      <c r="H6078">
        <v>0</v>
      </c>
      <c r="I6078">
        <v>1</v>
      </c>
      <c r="J6078">
        <v>0</v>
      </c>
      <c r="K6078">
        <v>0</v>
      </c>
      <c r="L6078">
        <f t="shared" si="188"/>
        <v>5.3</v>
      </c>
      <c r="M6078">
        <f t="shared" si="189"/>
        <v>1</v>
      </c>
    </row>
    <row r="6079" spans="1:13" x14ac:dyDescent="0.3">
      <c r="A6079">
        <v>6077</v>
      </c>
      <c r="B6079">
        <v>6078</v>
      </c>
      <c r="C6079" t="s">
        <v>6157</v>
      </c>
      <c r="D6079">
        <v>2015</v>
      </c>
      <c r="E6079" t="s">
        <v>14</v>
      </c>
      <c r="F6079" t="s">
        <v>1890</v>
      </c>
      <c r="G6079">
        <v>0</v>
      </c>
      <c r="H6079">
        <v>0</v>
      </c>
      <c r="I6079">
        <v>1</v>
      </c>
      <c r="J6079">
        <v>0</v>
      </c>
      <c r="K6079">
        <v>0</v>
      </c>
      <c r="L6079">
        <f t="shared" si="188"/>
        <v>5.3</v>
      </c>
      <c r="M6079">
        <f t="shared" si="189"/>
        <v>1</v>
      </c>
    </row>
    <row r="6080" spans="1:13" x14ac:dyDescent="0.3">
      <c r="A6080">
        <v>6078</v>
      </c>
      <c r="B6080">
        <v>6079</v>
      </c>
      <c r="C6080" t="s">
        <v>6158</v>
      </c>
      <c r="D6080">
        <v>2014</v>
      </c>
      <c r="E6080" t="s">
        <v>11</v>
      </c>
      <c r="F6080" t="s">
        <v>1890</v>
      </c>
      <c r="G6080">
        <v>0</v>
      </c>
      <c r="H6080">
        <v>0</v>
      </c>
      <c r="I6080">
        <v>1</v>
      </c>
      <c r="J6080">
        <v>0</v>
      </c>
      <c r="K6080">
        <v>0</v>
      </c>
      <c r="L6080">
        <f t="shared" si="188"/>
        <v>5.3</v>
      </c>
      <c r="M6080">
        <f t="shared" si="189"/>
        <v>1</v>
      </c>
    </row>
    <row r="6081" spans="1:13" x14ac:dyDescent="0.3">
      <c r="A6081">
        <v>6079</v>
      </c>
      <c r="B6081">
        <v>6080</v>
      </c>
      <c r="C6081" t="s">
        <v>6159</v>
      </c>
      <c r="D6081">
        <v>2018</v>
      </c>
      <c r="E6081" t="s">
        <v>11</v>
      </c>
      <c r="F6081" t="s">
        <v>1890</v>
      </c>
      <c r="G6081">
        <v>0</v>
      </c>
      <c r="H6081">
        <v>0</v>
      </c>
      <c r="I6081">
        <v>1</v>
      </c>
      <c r="J6081">
        <v>0</v>
      </c>
      <c r="K6081">
        <v>0</v>
      </c>
      <c r="L6081">
        <f t="shared" si="188"/>
        <v>5.3</v>
      </c>
      <c r="M6081">
        <f t="shared" si="189"/>
        <v>1</v>
      </c>
    </row>
    <row r="6082" spans="1:13" x14ac:dyDescent="0.3">
      <c r="A6082">
        <v>6080</v>
      </c>
      <c r="B6082">
        <v>6081</v>
      </c>
      <c r="C6082" t="s">
        <v>6160</v>
      </c>
      <c r="D6082">
        <v>2018</v>
      </c>
      <c r="E6082" t="s">
        <v>11</v>
      </c>
      <c r="F6082" t="s">
        <v>1890</v>
      </c>
      <c r="G6082">
        <v>0</v>
      </c>
      <c r="H6082">
        <v>0</v>
      </c>
      <c r="I6082">
        <v>1</v>
      </c>
      <c r="J6082">
        <v>0</v>
      </c>
      <c r="K6082">
        <v>0</v>
      </c>
      <c r="L6082">
        <f t="shared" si="188"/>
        <v>5.3</v>
      </c>
      <c r="M6082">
        <f t="shared" si="189"/>
        <v>1</v>
      </c>
    </row>
    <row r="6083" spans="1:13" x14ac:dyDescent="0.3">
      <c r="A6083">
        <v>6081</v>
      </c>
      <c r="B6083">
        <v>6082</v>
      </c>
      <c r="C6083" t="s">
        <v>6161</v>
      </c>
      <c r="D6083">
        <v>2012</v>
      </c>
      <c r="E6083" t="s">
        <v>28</v>
      </c>
      <c r="F6083" t="s">
        <v>1890</v>
      </c>
      <c r="G6083">
        <v>0</v>
      </c>
      <c r="H6083">
        <v>0</v>
      </c>
      <c r="I6083">
        <v>1</v>
      </c>
      <c r="J6083">
        <v>0</v>
      </c>
      <c r="K6083">
        <v>0</v>
      </c>
      <c r="L6083">
        <f t="shared" ref="L6083:L6146" si="190">IFERROR(VALUE(LEFT(F6083,FIND("/",F6083)-1))/10,"")</f>
        <v>5.3</v>
      </c>
      <c r="M6083">
        <f t="shared" ref="M6083:M6146" si="191">SUM(G6083:J6083)</f>
        <v>1</v>
      </c>
    </row>
    <row r="6084" spans="1:13" x14ac:dyDescent="0.3">
      <c r="A6084">
        <v>6082</v>
      </c>
      <c r="B6084">
        <v>6083</v>
      </c>
      <c r="C6084" t="s">
        <v>6162</v>
      </c>
      <c r="D6084">
        <v>2006</v>
      </c>
      <c r="E6084" t="s">
        <v>11</v>
      </c>
      <c r="F6084" t="s">
        <v>1890</v>
      </c>
      <c r="G6084">
        <v>0</v>
      </c>
      <c r="H6084">
        <v>0</v>
      </c>
      <c r="I6084">
        <v>1</v>
      </c>
      <c r="J6084">
        <v>0</v>
      </c>
      <c r="K6084">
        <v>0</v>
      </c>
      <c r="L6084">
        <f t="shared" si="190"/>
        <v>5.3</v>
      </c>
      <c r="M6084">
        <f t="shared" si="191"/>
        <v>1</v>
      </c>
    </row>
    <row r="6085" spans="1:13" x14ac:dyDescent="0.3">
      <c r="A6085">
        <v>6083</v>
      </c>
      <c r="B6085">
        <v>6084</v>
      </c>
      <c r="C6085" t="s">
        <v>6163</v>
      </c>
      <c r="D6085">
        <v>2017</v>
      </c>
      <c r="E6085" t="s">
        <v>22</v>
      </c>
      <c r="F6085" t="s">
        <v>1890</v>
      </c>
      <c r="G6085">
        <v>0</v>
      </c>
      <c r="H6085">
        <v>0</v>
      </c>
      <c r="I6085">
        <v>1</v>
      </c>
      <c r="J6085">
        <v>0</v>
      </c>
      <c r="K6085">
        <v>0</v>
      </c>
      <c r="L6085">
        <f t="shared" si="190"/>
        <v>5.3</v>
      </c>
      <c r="M6085">
        <f t="shared" si="191"/>
        <v>1</v>
      </c>
    </row>
    <row r="6086" spans="1:13" x14ac:dyDescent="0.3">
      <c r="A6086">
        <v>6084</v>
      </c>
      <c r="B6086">
        <v>6085</v>
      </c>
      <c r="C6086" t="s">
        <v>6164</v>
      </c>
      <c r="D6086">
        <v>2016</v>
      </c>
      <c r="E6086" t="s">
        <v>11</v>
      </c>
      <c r="F6086" t="s">
        <v>1890</v>
      </c>
      <c r="G6086">
        <v>0</v>
      </c>
      <c r="H6086">
        <v>0</v>
      </c>
      <c r="I6086">
        <v>1</v>
      </c>
      <c r="J6086">
        <v>0</v>
      </c>
      <c r="K6086">
        <v>0</v>
      </c>
      <c r="L6086">
        <f t="shared" si="190"/>
        <v>5.3</v>
      </c>
      <c r="M6086">
        <f t="shared" si="191"/>
        <v>1</v>
      </c>
    </row>
    <row r="6087" spans="1:13" x14ac:dyDescent="0.3">
      <c r="A6087">
        <v>6085</v>
      </c>
      <c r="B6087">
        <v>6086</v>
      </c>
      <c r="C6087" t="s">
        <v>6165</v>
      </c>
      <c r="D6087">
        <v>2017</v>
      </c>
      <c r="F6087" t="s">
        <v>1890</v>
      </c>
      <c r="G6087">
        <v>0</v>
      </c>
      <c r="H6087">
        <v>0</v>
      </c>
      <c r="I6087">
        <v>1</v>
      </c>
      <c r="J6087">
        <v>0</v>
      </c>
      <c r="K6087">
        <v>0</v>
      </c>
      <c r="L6087">
        <f t="shared" si="190"/>
        <v>5.3</v>
      </c>
      <c r="M6087">
        <f t="shared" si="191"/>
        <v>1</v>
      </c>
    </row>
    <row r="6088" spans="1:13" x14ac:dyDescent="0.3">
      <c r="A6088">
        <v>6086</v>
      </c>
      <c r="B6088">
        <v>6087</v>
      </c>
      <c r="C6088" t="s">
        <v>6166</v>
      </c>
      <c r="D6088">
        <v>2008</v>
      </c>
      <c r="E6088" t="s">
        <v>11</v>
      </c>
      <c r="F6088" t="s">
        <v>1890</v>
      </c>
      <c r="G6088">
        <v>0</v>
      </c>
      <c r="H6088">
        <v>0</v>
      </c>
      <c r="I6088">
        <v>1</v>
      </c>
      <c r="J6088">
        <v>0</v>
      </c>
      <c r="K6088">
        <v>0</v>
      </c>
      <c r="L6088">
        <f t="shared" si="190"/>
        <v>5.3</v>
      </c>
      <c r="M6088">
        <f t="shared" si="191"/>
        <v>1</v>
      </c>
    </row>
    <row r="6089" spans="1:13" x14ac:dyDescent="0.3">
      <c r="A6089">
        <v>6087</v>
      </c>
      <c r="B6089">
        <v>6088</v>
      </c>
      <c r="C6089" t="s">
        <v>6167</v>
      </c>
      <c r="D6089">
        <v>2015</v>
      </c>
      <c r="F6089" t="s">
        <v>1890</v>
      </c>
      <c r="G6089">
        <v>0</v>
      </c>
      <c r="H6089">
        <v>0</v>
      </c>
      <c r="I6089">
        <v>1</v>
      </c>
      <c r="J6089">
        <v>0</v>
      </c>
      <c r="K6089">
        <v>0</v>
      </c>
      <c r="L6089">
        <f t="shared" si="190"/>
        <v>5.3</v>
      </c>
      <c r="M6089">
        <f t="shared" si="191"/>
        <v>1</v>
      </c>
    </row>
    <row r="6090" spans="1:13" x14ac:dyDescent="0.3">
      <c r="A6090">
        <v>6088</v>
      </c>
      <c r="B6090">
        <v>6089</v>
      </c>
      <c r="C6090" t="s">
        <v>6168</v>
      </c>
      <c r="D6090">
        <v>2003</v>
      </c>
      <c r="E6090" t="s">
        <v>11</v>
      </c>
      <c r="F6090" t="s">
        <v>1890</v>
      </c>
      <c r="G6090">
        <v>0</v>
      </c>
      <c r="H6090">
        <v>0</v>
      </c>
      <c r="I6090">
        <v>1</v>
      </c>
      <c r="J6090">
        <v>0</v>
      </c>
      <c r="K6090">
        <v>0</v>
      </c>
      <c r="L6090">
        <f t="shared" si="190"/>
        <v>5.3</v>
      </c>
      <c r="M6090">
        <f t="shared" si="191"/>
        <v>1</v>
      </c>
    </row>
    <row r="6091" spans="1:13" x14ac:dyDescent="0.3">
      <c r="A6091">
        <v>6089</v>
      </c>
      <c r="B6091">
        <v>6090</v>
      </c>
      <c r="C6091" t="s">
        <v>6169</v>
      </c>
      <c r="D6091">
        <v>2017</v>
      </c>
      <c r="E6091" t="s">
        <v>11</v>
      </c>
      <c r="F6091" t="s">
        <v>1890</v>
      </c>
      <c r="G6091">
        <v>0</v>
      </c>
      <c r="H6091">
        <v>0</v>
      </c>
      <c r="I6091">
        <v>1</v>
      </c>
      <c r="J6091">
        <v>0</v>
      </c>
      <c r="K6091">
        <v>0</v>
      </c>
      <c r="L6091">
        <f t="shared" si="190"/>
        <v>5.3</v>
      </c>
      <c r="M6091">
        <f t="shared" si="191"/>
        <v>1</v>
      </c>
    </row>
    <row r="6092" spans="1:13" x14ac:dyDescent="0.3">
      <c r="A6092">
        <v>6090</v>
      </c>
      <c r="B6092">
        <v>6091</v>
      </c>
      <c r="C6092" t="s">
        <v>6170</v>
      </c>
      <c r="D6092">
        <v>2018</v>
      </c>
      <c r="E6092" t="s">
        <v>11</v>
      </c>
      <c r="F6092" t="s">
        <v>1890</v>
      </c>
      <c r="G6092">
        <v>0</v>
      </c>
      <c r="H6092">
        <v>0</v>
      </c>
      <c r="I6092">
        <v>1</v>
      </c>
      <c r="J6092">
        <v>0</v>
      </c>
      <c r="K6092">
        <v>0</v>
      </c>
      <c r="L6092">
        <f t="shared" si="190"/>
        <v>5.3</v>
      </c>
      <c r="M6092">
        <f t="shared" si="191"/>
        <v>1</v>
      </c>
    </row>
    <row r="6093" spans="1:13" x14ac:dyDescent="0.3">
      <c r="A6093">
        <v>6091</v>
      </c>
      <c r="B6093">
        <v>6092</v>
      </c>
      <c r="C6093" t="s">
        <v>6171</v>
      </c>
      <c r="D6093">
        <v>1975</v>
      </c>
      <c r="E6093" t="s">
        <v>14</v>
      </c>
      <c r="F6093" t="s">
        <v>1890</v>
      </c>
      <c r="G6093">
        <v>0</v>
      </c>
      <c r="H6093">
        <v>0</v>
      </c>
      <c r="I6093">
        <v>1</v>
      </c>
      <c r="J6093">
        <v>0</v>
      </c>
      <c r="K6093">
        <v>0</v>
      </c>
      <c r="L6093">
        <f t="shared" si="190"/>
        <v>5.3</v>
      </c>
      <c r="M6093">
        <f t="shared" si="191"/>
        <v>1</v>
      </c>
    </row>
    <row r="6094" spans="1:13" x14ac:dyDescent="0.3">
      <c r="A6094">
        <v>6092</v>
      </c>
      <c r="B6094">
        <v>6093</v>
      </c>
      <c r="C6094" t="s">
        <v>6172</v>
      </c>
      <c r="D6094">
        <v>2017</v>
      </c>
      <c r="F6094" t="s">
        <v>1890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f t="shared" si="190"/>
        <v>5.3</v>
      </c>
      <c r="M6094">
        <f t="shared" si="191"/>
        <v>1</v>
      </c>
    </row>
    <row r="6095" spans="1:13" x14ac:dyDescent="0.3">
      <c r="A6095">
        <v>6093</v>
      </c>
      <c r="B6095">
        <v>6094</v>
      </c>
      <c r="C6095" t="s">
        <v>6173</v>
      </c>
      <c r="D6095">
        <v>2017</v>
      </c>
      <c r="E6095" t="s">
        <v>28</v>
      </c>
      <c r="F6095" t="s">
        <v>1890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f t="shared" si="190"/>
        <v>5.3</v>
      </c>
      <c r="M6095">
        <f t="shared" si="191"/>
        <v>1</v>
      </c>
    </row>
    <row r="6096" spans="1:13" x14ac:dyDescent="0.3">
      <c r="A6096">
        <v>6094</v>
      </c>
      <c r="B6096">
        <v>6095</v>
      </c>
      <c r="C6096" t="s">
        <v>6174</v>
      </c>
      <c r="D6096">
        <v>2017</v>
      </c>
      <c r="F6096" t="s">
        <v>1890</v>
      </c>
      <c r="G6096">
        <v>0</v>
      </c>
      <c r="H6096">
        <v>0</v>
      </c>
      <c r="I6096">
        <v>1</v>
      </c>
      <c r="J6096">
        <v>0</v>
      </c>
      <c r="K6096">
        <v>0</v>
      </c>
      <c r="L6096">
        <f t="shared" si="190"/>
        <v>5.3</v>
      </c>
      <c r="M6096">
        <f t="shared" si="191"/>
        <v>1</v>
      </c>
    </row>
    <row r="6097" spans="1:13" x14ac:dyDescent="0.3">
      <c r="A6097">
        <v>6095</v>
      </c>
      <c r="B6097">
        <v>6096</v>
      </c>
      <c r="C6097" t="s">
        <v>6175</v>
      </c>
      <c r="D6097">
        <v>2018</v>
      </c>
      <c r="E6097" t="s">
        <v>22</v>
      </c>
      <c r="F6097" t="s">
        <v>1890</v>
      </c>
      <c r="G6097">
        <v>0</v>
      </c>
      <c r="H6097">
        <v>0</v>
      </c>
      <c r="I6097">
        <v>1</v>
      </c>
      <c r="J6097">
        <v>0</v>
      </c>
      <c r="K6097">
        <v>0</v>
      </c>
      <c r="L6097">
        <f t="shared" si="190"/>
        <v>5.3</v>
      </c>
      <c r="M6097">
        <f t="shared" si="191"/>
        <v>1</v>
      </c>
    </row>
    <row r="6098" spans="1:13" x14ac:dyDescent="0.3">
      <c r="A6098">
        <v>6096</v>
      </c>
      <c r="B6098">
        <v>6097</v>
      </c>
      <c r="C6098" t="s">
        <v>6176</v>
      </c>
      <c r="D6098">
        <v>1947</v>
      </c>
      <c r="F6098" t="s">
        <v>1890</v>
      </c>
      <c r="G6098">
        <v>0</v>
      </c>
      <c r="H6098">
        <v>0</v>
      </c>
      <c r="I6098">
        <v>1</v>
      </c>
      <c r="J6098">
        <v>0</v>
      </c>
      <c r="K6098">
        <v>0</v>
      </c>
      <c r="L6098">
        <f t="shared" si="190"/>
        <v>5.3</v>
      </c>
      <c r="M6098">
        <f t="shared" si="191"/>
        <v>1</v>
      </c>
    </row>
    <row r="6099" spans="1:13" x14ac:dyDescent="0.3">
      <c r="A6099">
        <v>6097</v>
      </c>
      <c r="B6099">
        <v>6098</v>
      </c>
      <c r="C6099" t="s">
        <v>6177</v>
      </c>
      <c r="D6099">
        <v>2019</v>
      </c>
      <c r="F6099" t="s">
        <v>1890</v>
      </c>
      <c r="G6099">
        <v>0</v>
      </c>
      <c r="H6099">
        <v>0</v>
      </c>
      <c r="I6099">
        <v>1</v>
      </c>
      <c r="J6099">
        <v>0</v>
      </c>
      <c r="K6099">
        <v>0</v>
      </c>
      <c r="L6099">
        <f t="shared" si="190"/>
        <v>5.3</v>
      </c>
      <c r="M6099">
        <f t="shared" si="191"/>
        <v>1</v>
      </c>
    </row>
    <row r="6100" spans="1:13" x14ac:dyDescent="0.3">
      <c r="A6100">
        <v>6098</v>
      </c>
      <c r="B6100">
        <v>6099</v>
      </c>
      <c r="C6100" t="s">
        <v>6178</v>
      </c>
      <c r="D6100">
        <v>2019</v>
      </c>
      <c r="F6100" t="s">
        <v>1890</v>
      </c>
      <c r="G6100">
        <v>0</v>
      </c>
      <c r="H6100">
        <v>0</v>
      </c>
      <c r="I6100">
        <v>1</v>
      </c>
      <c r="J6100">
        <v>0</v>
      </c>
      <c r="K6100">
        <v>0</v>
      </c>
      <c r="L6100">
        <f t="shared" si="190"/>
        <v>5.3</v>
      </c>
      <c r="M6100">
        <f t="shared" si="191"/>
        <v>1</v>
      </c>
    </row>
    <row r="6101" spans="1:13" x14ac:dyDescent="0.3">
      <c r="A6101">
        <v>6099</v>
      </c>
      <c r="B6101">
        <v>6100</v>
      </c>
      <c r="C6101" t="s">
        <v>6179</v>
      </c>
      <c r="D6101">
        <v>1958</v>
      </c>
      <c r="F6101" t="s">
        <v>1890</v>
      </c>
      <c r="G6101">
        <v>0</v>
      </c>
      <c r="H6101">
        <v>0</v>
      </c>
      <c r="I6101">
        <v>1</v>
      </c>
      <c r="J6101">
        <v>0</v>
      </c>
      <c r="K6101">
        <v>0</v>
      </c>
      <c r="L6101">
        <f t="shared" si="190"/>
        <v>5.3</v>
      </c>
      <c r="M6101">
        <f t="shared" si="191"/>
        <v>1</v>
      </c>
    </row>
    <row r="6102" spans="1:13" x14ac:dyDescent="0.3">
      <c r="A6102">
        <v>6100</v>
      </c>
      <c r="B6102">
        <v>6101</v>
      </c>
      <c r="C6102" t="s">
        <v>6180</v>
      </c>
      <c r="D6102">
        <v>2005</v>
      </c>
      <c r="F6102" t="s">
        <v>1890</v>
      </c>
      <c r="G6102">
        <v>0</v>
      </c>
      <c r="H6102">
        <v>0</v>
      </c>
      <c r="I6102">
        <v>1</v>
      </c>
      <c r="J6102">
        <v>0</v>
      </c>
      <c r="K6102">
        <v>0</v>
      </c>
      <c r="L6102">
        <f t="shared" si="190"/>
        <v>5.3</v>
      </c>
      <c r="M6102">
        <f t="shared" si="191"/>
        <v>1</v>
      </c>
    </row>
    <row r="6103" spans="1:13" x14ac:dyDescent="0.3">
      <c r="A6103">
        <v>6101</v>
      </c>
      <c r="B6103">
        <v>6102</v>
      </c>
      <c r="C6103" t="s">
        <v>6181</v>
      </c>
      <c r="D6103">
        <v>2009</v>
      </c>
      <c r="F6103" t="s">
        <v>1890</v>
      </c>
      <c r="G6103">
        <v>0</v>
      </c>
      <c r="H6103">
        <v>0</v>
      </c>
      <c r="I6103">
        <v>1</v>
      </c>
      <c r="J6103">
        <v>0</v>
      </c>
      <c r="K6103">
        <v>0</v>
      </c>
      <c r="L6103">
        <f t="shared" si="190"/>
        <v>5.3</v>
      </c>
      <c r="M6103">
        <f t="shared" si="191"/>
        <v>1</v>
      </c>
    </row>
    <row r="6104" spans="1:13" x14ac:dyDescent="0.3">
      <c r="A6104">
        <v>6102</v>
      </c>
      <c r="B6104">
        <v>6103</v>
      </c>
      <c r="C6104" t="s">
        <v>6182</v>
      </c>
      <c r="D6104">
        <v>1943</v>
      </c>
      <c r="F6104" t="s">
        <v>1890</v>
      </c>
      <c r="G6104">
        <v>0</v>
      </c>
      <c r="H6104">
        <v>0</v>
      </c>
      <c r="I6104">
        <v>1</v>
      </c>
      <c r="J6104">
        <v>0</v>
      </c>
      <c r="K6104">
        <v>0</v>
      </c>
      <c r="L6104">
        <f t="shared" si="190"/>
        <v>5.3</v>
      </c>
      <c r="M6104">
        <f t="shared" si="191"/>
        <v>1</v>
      </c>
    </row>
    <row r="6105" spans="1:13" x14ac:dyDescent="0.3">
      <c r="A6105">
        <v>6103</v>
      </c>
      <c r="B6105">
        <v>6104</v>
      </c>
      <c r="C6105" t="s">
        <v>6183</v>
      </c>
      <c r="D6105">
        <v>1992</v>
      </c>
      <c r="F6105" t="s">
        <v>1890</v>
      </c>
      <c r="G6105">
        <v>0</v>
      </c>
      <c r="H6105">
        <v>0</v>
      </c>
      <c r="I6105">
        <v>1</v>
      </c>
      <c r="J6105">
        <v>0</v>
      </c>
      <c r="K6105">
        <v>0</v>
      </c>
      <c r="L6105">
        <f t="shared" si="190"/>
        <v>5.3</v>
      </c>
      <c r="M6105">
        <f t="shared" si="191"/>
        <v>1</v>
      </c>
    </row>
    <row r="6106" spans="1:13" x14ac:dyDescent="0.3">
      <c r="A6106">
        <v>6104</v>
      </c>
      <c r="B6106">
        <v>6105</v>
      </c>
      <c r="C6106" t="s">
        <v>6184</v>
      </c>
      <c r="D6106">
        <v>2017</v>
      </c>
      <c r="E6106" t="s">
        <v>11</v>
      </c>
      <c r="F6106" t="s">
        <v>1890</v>
      </c>
      <c r="G6106">
        <v>0</v>
      </c>
      <c r="H6106">
        <v>0</v>
      </c>
      <c r="I6106">
        <v>1</v>
      </c>
      <c r="J6106">
        <v>0</v>
      </c>
      <c r="K6106">
        <v>0</v>
      </c>
      <c r="L6106">
        <f t="shared" si="190"/>
        <v>5.3</v>
      </c>
      <c r="M6106">
        <f t="shared" si="191"/>
        <v>1</v>
      </c>
    </row>
    <row r="6107" spans="1:13" x14ac:dyDescent="0.3">
      <c r="A6107">
        <v>6105</v>
      </c>
      <c r="B6107">
        <v>6106</v>
      </c>
      <c r="C6107" t="s">
        <v>6185</v>
      </c>
      <c r="D6107">
        <v>2016</v>
      </c>
      <c r="E6107" t="s">
        <v>14</v>
      </c>
      <c r="F6107" t="s">
        <v>1890</v>
      </c>
      <c r="G6107">
        <v>0</v>
      </c>
      <c r="H6107">
        <v>0</v>
      </c>
      <c r="I6107">
        <v>1</v>
      </c>
      <c r="J6107">
        <v>0</v>
      </c>
      <c r="K6107">
        <v>0</v>
      </c>
      <c r="L6107">
        <f t="shared" si="190"/>
        <v>5.3</v>
      </c>
      <c r="M6107">
        <f t="shared" si="191"/>
        <v>1</v>
      </c>
    </row>
    <row r="6108" spans="1:13" x14ac:dyDescent="0.3">
      <c r="A6108">
        <v>6106</v>
      </c>
      <c r="B6108">
        <v>6107</v>
      </c>
      <c r="C6108" t="s">
        <v>6186</v>
      </c>
      <c r="D6108">
        <v>2012</v>
      </c>
      <c r="F6108" t="s">
        <v>1890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f t="shared" si="190"/>
        <v>5.3</v>
      </c>
      <c r="M6108">
        <f t="shared" si="191"/>
        <v>1</v>
      </c>
    </row>
    <row r="6109" spans="1:13" x14ac:dyDescent="0.3">
      <c r="A6109">
        <v>6107</v>
      </c>
      <c r="B6109">
        <v>6108</v>
      </c>
      <c r="C6109" t="s">
        <v>6187</v>
      </c>
      <c r="D6109">
        <v>2016</v>
      </c>
      <c r="E6109" t="s">
        <v>14</v>
      </c>
      <c r="F6109" t="s">
        <v>1890</v>
      </c>
      <c r="G6109">
        <v>0</v>
      </c>
      <c r="H6109">
        <v>0</v>
      </c>
      <c r="I6109">
        <v>1</v>
      </c>
      <c r="J6109">
        <v>0</v>
      </c>
      <c r="K6109">
        <v>0</v>
      </c>
      <c r="L6109">
        <f t="shared" si="190"/>
        <v>5.3</v>
      </c>
      <c r="M6109">
        <f t="shared" si="191"/>
        <v>1</v>
      </c>
    </row>
    <row r="6110" spans="1:13" x14ac:dyDescent="0.3">
      <c r="A6110">
        <v>6108</v>
      </c>
      <c r="B6110">
        <v>6109</v>
      </c>
      <c r="C6110" t="s">
        <v>6188</v>
      </c>
      <c r="D6110">
        <v>1993</v>
      </c>
      <c r="F6110" t="s">
        <v>1890</v>
      </c>
      <c r="G6110">
        <v>0</v>
      </c>
      <c r="H6110">
        <v>0</v>
      </c>
      <c r="I6110">
        <v>1</v>
      </c>
      <c r="J6110">
        <v>0</v>
      </c>
      <c r="K6110">
        <v>0</v>
      </c>
      <c r="L6110">
        <f t="shared" si="190"/>
        <v>5.3</v>
      </c>
      <c r="M6110">
        <f t="shared" si="191"/>
        <v>1</v>
      </c>
    </row>
    <row r="6111" spans="1:13" x14ac:dyDescent="0.3">
      <c r="A6111">
        <v>6109</v>
      </c>
      <c r="B6111">
        <v>6110</v>
      </c>
      <c r="C6111" t="s">
        <v>6189</v>
      </c>
      <c r="D6111">
        <v>2018</v>
      </c>
      <c r="F6111" t="s">
        <v>1890</v>
      </c>
      <c r="G6111">
        <v>0</v>
      </c>
      <c r="H6111">
        <v>0</v>
      </c>
      <c r="I6111">
        <v>1</v>
      </c>
      <c r="J6111">
        <v>0</v>
      </c>
      <c r="K6111">
        <v>0</v>
      </c>
      <c r="L6111">
        <f t="shared" si="190"/>
        <v>5.3</v>
      </c>
      <c r="M6111">
        <f t="shared" si="191"/>
        <v>1</v>
      </c>
    </row>
    <row r="6112" spans="1:13" x14ac:dyDescent="0.3">
      <c r="A6112">
        <v>6110</v>
      </c>
      <c r="B6112">
        <v>6111</v>
      </c>
      <c r="C6112" t="s">
        <v>6190</v>
      </c>
      <c r="D6112">
        <v>1994</v>
      </c>
      <c r="E6112" t="s">
        <v>22</v>
      </c>
      <c r="F6112" t="s">
        <v>1890</v>
      </c>
      <c r="G6112">
        <v>0</v>
      </c>
      <c r="H6112">
        <v>0</v>
      </c>
      <c r="I6112">
        <v>1</v>
      </c>
      <c r="J6112">
        <v>0</v>
      </c>
      <c r="K6112">
        <v>0</v>
      </c>
      <c r="L6112">
        <f t="shared" si="190"/>
        <v>5.3</v>
      </c>
      <c r="M6112">
        <f t="shared" si="191"/>
        <v>1</v>
      </c>
    </row>
    <row r="6113" spans="1:13" x14ac:dyDescent="0.3">
      <c r="A6113">
        <v>6111</v>
      </c>
      <c r="B6113">
        <v>6112</v>
      </c>
      <c r="C6113" t="s">
        <v>6191</v>
      </c>
      <c r="D6113">
        <v>2021</v>
      </c>
      <c r="F6113" t="s">
        <v>1890</v>
      </c>
      <c r="G6113">
        <v>0</v>
      </c>
      <c r="H6113">
        <v>0</v>
      </c>
      <c r="I6113">
        <v>1</v>
      </c>
      <c r="J6113">
        <v>0</v>
      </c>
      <c r="K6113">
        <v>0</v>
      </c>
      <c r="L6113">
        <f t="shared" si="190"/>
        <v>5.3</v>
      </c>
      <c r="M6113">
        <f t="shared" si="191"/>
        <v>1</v>
      </c>
    </row>
    <row r="6114" spans="1:13" x14ac:dyDescent="0.3">
      <c r="A6114">
        <v>6112</v>
      </c>
      <c r="B6114">
        <v>6113</v>
      </c>
      <c r="C6114" t="s">
        <v>6192</v>
      </c>
      <c r="D6114">
        <v>2011</v>
      </c>
      <c r="E6114" t="s">
        <v>11</v>
      </c>
      <c r="F6114" t="s">
        <v>1890</v>
      </c>
      <c r="G6114">
        <v>0</v>
      </c>
      <c r="H6114">
        <v>0</v>
      </c>
      <c r="I6114">
        <v>1</v>
      </c>
      <c r="J6114">
        <v>0</v>
      </c>
      <c r="K6114">
        <v>0</v>
      </c>
      <c r="L6114">
        <f t="shared" si="190"/>
        <v>5.3</v>
      </c>
      <c r="M6114">
        <f t="shared" si="191"/>
        <v>1</v>
      </c>
    </row>
    <row r="6115" spans="1:13" x14ac:dyDescent="0.3">
      <c r="A6115">
        <v>6113</v>
      </c>
      <c r="B6115">
        <v>6114</v>
      </c>
      <c r="C6115" t="s">
        <v>6193</v>
      </c>
      <c r="D6115">
        <v>2020</v>
      </c>
      <c r="E6115" t="s">
        <v>14</v>
      </c>
      <c r="F6115" t="s">
        <v>1890</v>
      </c>
      <c r="G6115">
        <v>0</v>
      </c>
      <c r="H6115">
        <v>0</v>
      </c>
      <c r="I6115">
        <v>1</v>
      </c>
      <c r="J6115">
        <v>0</v>
      </c>
      <c r="K6115">
        <v>0</v>
      </c>
      <c r="L6115">
        <f t="shared" si="190"/>
        <v>5.3</v>
      </c>
      <c r="M6115">
        <f t="shared" si="191"/>
        <v>1</v>
      </c>
    </row>
    <row r="6116" spans="1:13" x14ac:dyDescent="0.3">
      <c r="A6116">
        <v>6114</v>
      </c>
      <c r="B6116">
        <v>6115</v>
      </c>
      <c r="C6116" t="s">
        <v>6194</v>
      </c>
      <c r="D6116">
        <v>1982</v>
      </c>
      <c r="E6116" t="s">
        <v>11</v>
      </c>
      <c r="F6116" t="s">
        <v>1890</v>
      </c>
      <c r="G6116">
        <v>0</v>
      </c>
      <c r="H6116">
        <v>0</v>
      </c>
      <c r="I6116">
        <v>1</v>
      </c>
      <c r="J6116">
        <v>0</v>
      </c>
      <c r="K6116">
        <v>0</v>
      </c>
      <c r="L6116">
        <f t="shared" si="190"/>
        <v>5.3</v>
      </c>
      <c r="M6116">
        <f t="shared" si="191"/>
        <v>1</v>
      </c>
    </row>
    <row r="6117" spans="1:13" x14ac:dyDescent="0.3">
      <c r="A6117">
        <v>6115</v>
      </c>
      <c r="B6117">
        <v>6116</v>
      </c>
      <c r="C6117" t="s">
        <v>6195</v>
      </c>
      <c r="D6117">
        <v>2013</v>
      </c>
      <c r="F6117" t="s">
        <v>1890</v>
      </c>
      <c r="G6117">
        <v>0</v>
      </c>
      <c r="H6117">
        <v>0</v>
      </c>
      <c r="I6117">
        <v>1</v>
      </c>
      <c r="J6117">
        <v>0</v>
      </c>
      <c r="K6117">
        <v>0</v>
      </c>
      <c r="L6117">
        <f t="shared" si="190"/>
        <v>5.3</v>
      </c>
      <c r="M6117">
        <f t="shared" si="191"/>
        <v>1</v>
      </c>
    </row>
    <row r="6118" spans="1:13" x14ac:dyDescent="0.3">
      <c r="A6118">
        <v>6116</v>
      </c>
      <c r="B6118">
        <v>6117</v>
      </c>
      <c r="C6118" t="s">
        <v>6196</v>
      </c>
      <c r="D6118">
        <v>2017</v>
      </c>
      <c r="F6118" t="s">
        <v>1890</v>
      </c>
      <c r="G6118">
        <v>0</v>
      </c>
      <c r="H6118">
        <v>0</v>
      </c>
      <c r="I6118">
        <v>1</v>
      </c>
      <c r="J6118">
        <v>0</v>
      </c>
      <c r="K6118">
        <v>0</v>
      </c>
      <c r="L6118">
        <f t="shared" si="190"/>
        <v>5.3</v>
      </c>
      <c r="M6118">
        <f t="shared" si="191"/>
        <v>1</v>
      </c>
    </row>
    <row r="6119" spans="1:13" x14ac:dyDescent="0.3">
      <c r="A6119">
        <v>6117</v>
      </c>
      <c r="B6119">
        <v>6118</v>
      </c>
      <c r="C6119" t="s">
        <v>6197</v>
      </c>
      <c r="D6119">
        <v>2016</v>
      </c>
      <c r="E6119" t="s">
        <v>28</v>
      </c>
      <c r="F6119" t="s">
        <v>1890</v>
      </c>
      <c r="G6119">
        <v>0</v>
      </c>
      <c r="H6119">
        <v>0</v>
      </c>
      <c r="I6119">
        <v>1</v>
      </c>
      <c r="J6119">
        <v>0</v>
      </c>
      <c r="K6119">
        <v>0</v>
      </c>
      <c r="L6119">
        <f t="shared" si="190"/>
        <v>5.3</v>
      </c>
      <c r="M6119">
        <f t="shared" si="191"/>
        <v>1</v>
      </c>
    </row>
    <row r="6120" spans="1:13" x14ac:dyDescent="0.3">
      <c r="A6120">
        <v>6118</v>
      </c>
      <c r="B6120">
        <v>6119</v>
      </c>
      <c r="C6120" t="s">
        <v>6198</v>
      </c>
      <c r="D6120">
        <v>2009</v>
      </c>
      <c r="E6120" t="s">
        <v>11</v>
      </c>
      <c r="F6120" t="s">
        <v>1890</v>
      </c>
      <c r="G6120">
        <v>0</v>
      </c>
      <c r="H6120">
        <v>0</v>
      </c>
      <c r="I6120">
        <v>1</v>
      </c>
      <c r="J6120">
        <v>0</v>
      </c>
      <c r="K6120">
        <v>0</v>
      </c>
      <c r="L6120">
        <f t="shared" si="190"/>
        <v>5.3</v>
      </c>
      <c r="M6120">
        <f t="shared" si="191"/>
        <v>1</v>
      </c>
    </row>
    <row r="6121" spans="1:13" x14ac:dyDescent="0.3">
      <c r="A6121">
        <v>6119</v>
      </c>
      <c r="B6121">
        <v>6120</v>
      </c>
      <c r="C6121" t="s">
        <v>6199</v>
      </c>
      <c r="D6121">
        <v>2015</v>
      </c>
      <c r="F6121" t="s">
        <v>1890</v>
      </c>
      <c r="G6121">
        <v>0</v>
      </c>
      <c r="H6121">
        <v>0</v>
      </c>
      <c r="I6121">
        <v>1</v>
      </c>
      <c r="J6121">
        <v>0</v>
      </c>
      <c r="K6121">
        <v>0</v>
      </c>
      <c r="L6121">
        <f t="shared" si="190"/>
        <v>5.3</v>
      </c>
      <c r="M6121">
        <f t="shared" si="191"/>
        <v>1</v>
      </c>
    </row>
    <row r="6122" spans="1:13" x14ac:dyDescent="0.3">
      <c r="A6122">
        <v>6120</v>
      </c>
      <c r="B6122">
        <v>6121</v>
      </c>
      <c r="C6122" t="s">
        <v>6200</v>
      </c>
      <c r="D6122">
        <v>2012</v>
      </c>
      <c r="E6122" t="s">
        <v>11</v>
      </c>
      <c r="F6122" t="s">
        <v>1890</v>
      </c>
      <c r="G6122">
        <v>0</v>
      </c>
      <c r="H6122">
        <v>0</v>
      </c>
      <c r="I6122">
        <v>1</v>
      </c>
      <c r="J6122">
        <v>0</v>
      </c>
      <c r="K6122">
        <v>0</v>
      </c>
      <c r="L6122">
        <f t="shared" si="190"/>
        <v>5.3</v>
      </c>
      <c r="M6122">
        <f t="shared" si="191"/>
        <v>1</v>
      </c>
    </row>
    <row r="6123" spans="1:13" x14ac:dyDescent="0.3">
      <c r="A6123">
        <v>6121</v>
      </c>
      <c r="B6123">
        <v>6122</v>
      </c>
      <c r="C6123" t="s">
        <v>6201</v>
      </c>
      <c r="D6123">
        <v>1925</v>
      </c>
      <c r="F6123" t="s">
        <v>1890</v>
      </c>
      <c r="G6123">
        <v>0</v>
      </c>
      <c r="H6123">
        <v>0</v>
      </c>
      <c r="I6123">
        <v>1</v>
      </c>
      <c r="J6123">
        <v>0</v>
      </c>
      <c r="K6123">
        <v>0</v>
      </c>
      <c r="L6123">
        <f t="shared" si="190"/>
        <v>5.3</v>
      </c>
      <c r="M6123">
        <f t="shared" si="191"/>
        <v>1</v>
      </c>
    </row>
    <row r="6124" spans="1:13" x14ac:dyDescent="0.3">
      <c r="A6124">
        <v>6122</v>
      </c>
      <c r="B6124">
        <v>6123</v>
      </c>
      <c r="C6124" t="s">
        <v>6202</v>
      </c>
      <c r="D6124">
        <v>2015</v>
      </c>
      <c r="F6124" t="s">
        <v>1890</v>
      </c>
      <c r="G6124">
        <v>0</v>
      </c>
      <c r="H6124">
        <v>0</v>
      </c>
      <c r="I6124">
        <v>1</v>
      </c>
      <c r="J6124">
        <v>0</v>
      </c>
      <c r="K6124">
        <v>0</v>
      </c>
      <c r="L6124">
        <f t="shared" si="190"/>
        <v>5.3</v>
      </c>
      <c r="M6124">
        <f t="shared" si="191"/>
        <v>1</v>
      </c>
    </row>
    <row r="6125" spans="1:13" x14ac:dyDescent="0.3">
      <c r="A6125">
        <v>6123</v>
      </c>
      <c r="B6125">
        <v>6124</v>
      </c>
      <c r="C6125" t="s">
        <v>6203</v>
      </c>
      <c r="D6125">
        <v>2014</v>
      </c>
      <c r="F6125" t="s">
        <v>1890</v>
      </c>
      <c r="G6125">
        <v>0</v>
      </c>
      <c r="H6125">
        <v>0</v>
      </c>
      <c r="I6125">
        <v>1</v>
      </c>
      <c r="J6125">
        <v>0</v>
      </c>
      <c r="K6125">
        <v>0</v>
      </c>
      <c r="L6125">
        <f t="shared" si="190"/>
        <v>5.3</v>
      </c>
      <c r="M6125">
        <f t="shared" si="191"/>
        <v>1</v>
      </c>
    </row>
    <row r="6126" spans="1:13" x14ac:dyDescent="0.3">
      <c r="A6126">
        <v>6124</v>
      </c>
      <c r="B6126">
        <v>6125</v>
      </c>
      <c r="C6126" t="s">
        <v>6204</v>
      </c>
      <c r="D6126">
        <v>2004</v>
      </c>
      <c r="E6126" t="s">
        <v>11</v>
      </c>
      <c r="F6126" t="s">
        <v>1890</v>
      </c>
      <c r="G6126">
        <v>0</v>
      </c>
      <c r="H6126">
        <v>0</v>
      </c>
      <c r="I6126">
        <v>1</v>
      </c>
      <c r="J6126">
        <v>0</v>
      </c>
      <c r="K6126">
        <v>0</v>
      </c>
      <c r="L6126">
        <f t="shared" si="190"/>
        <v>5.3</v>
      </c>
      <c r="M6126">
        <f t="shared" si="191"/>
        <v>1</v>
      </c>
    </row>
    <row r="6127" spans="1:13" x14ac:dyDescent="0.3">
      <c r="A6127">
        <v>6125</v>
      </c>
      <c r="B6127">
        <v>6126</v>
      </c>
      <c r="C6127" t="s">
        <v>6205</v>
      </c>
      <c r="D6127">
        <v>2017</v>
      </c>
      <c r="E6127" t="s">
        <v>11</v>
      </c>
      <c r="F6127" t="s">
        <v>1890</v>
      </c>
      <c r="G6127">
        <v>0</v>
      </c>
      <c r="H6127">
        <v>0</v>
      </c>
      <c r="I6127">
        <v>1</v>
      </c>
      <c r="J6127">
        <v>0</v>
      </c>
      <c r="K6127">
        <v>0</v>
      </c>
      <c r="L6127">
        <f t="shared" si="190"/>
        <v>5.3</v>
      </c>
      <c r="M6127">
        <f t="shared" si="191"/>
        <v>1</v>
      </c>
    </row>
    <row r="6128" spans="1:13" x14ac:dyDescent="0.3">
      <c r="A6128">
        <v>6126</v>
      </c>
      <c r="B6128">
        <v>6127</v>
      </c>
      <c r="C6128" t="s">
        <v>6206</v>
      </c>
      <c r="D6128">
        <v>2019</v>
      </c>
      <c r="E6128" t="s">
        <v>11</v>
      </c>
      <c r="F6128" t="s">
        <v>1890</v>
      </c>
      <c r="G6128">
        <v>0</v>
      </c>
      <c r="H6128">
        <v>0</v>
      </c>
      <c r="I6128">
        <v>1</v>
      </c>
      <c r="J6128">
        <v>0</v>
      </c>
      <c r="K6128">
        <v>0</v>
      </c>
      <c r="L6128">
        <f t="shared" si="190"/>
        <v>5.3</v>
      </c>
      <c r="M6128">
        <f t="shared" si="191"/>
        <v>1</v>
      </c>
    </row>
    <row r="6129" spans="1:13" x14ac:dyDescent="0.3">
      <c r="A6129">
        <v>6127</v>
      </c>
      <c r="B6129">
        <v>6128</v>
      </c>
      <c r="C6129" t="s">
        <v>6207</v>
      </c>
      <c r="D6129">
        <v>2020</v>
      </c>
      <c r="E6129" t="s">
        <v>28</v>
      </c>
      <c r="F6129" t="s">
        <v>1890</v>
      </c>
      <c r="G6129">
        <v>0</v>
      </c>
      <c r="H6129">
        <v>0</v>
      </c>
      <c r="I6129">
        <v>1</v>
      </c>
      <c r="J6129">
        <v>0</v>
      </c>
      <c r="K6129">
        <v>0</v>
      </c>
      <c r="L6129">
        <f t="shared" si="190"/>
        <v>5.3</v>
      </c>
      <c r="M6129">
        <f t="shared" si="191"/>
        <v>1</v>
      </c>
    </row>
    <row r="6130" spans="1:13" x14ac:dyDescent="0.3">
      <c r="A6130">
        <v>6128</v>
      </c>
      <c r="B6130">
        <v>6129</v>
      </c>
      <c r="C6130" t="s">
        <v>6208</v>
      </c>
      <c r="D6130">
        <v>2017</v>
      </c>
      <c r="F6130" t="s">
        <v>1985</v>
      </c>
      <c r="G6130">
        <v>0</v>
      </c>
      <c r="H6130">
        <v>0</v>
      </c>
      <c r="I6130">
        <v>1</v>
      </c>
      <c r="J6130">
        <v>0</v>
      </c>
      <c r="K6130">
        <v>0</v>
      </c>
      <c r="L6130">
        <f t="shared" si="190"/>
        <v>5.2</v>
      </c>
      <c r="M6130">
        <f t="shared" si="191"/>
        <v>1</v>
      </c>
    </row>
    <row r="6131" spans="1:13" x14ac:dyDescent="0.3">
      <c r="A6131">
        <v>6129</v>
      </c>
      <c r="B6131">
        <v>6130</v>
      </c>
      <c r="C6131" t="s">
        <v>6209</v>
      </c>
      <c r="D6131">
        <v>2016</v>
      </c>
      <c r="E6131" t="s">
        <v>22</v>
      </c>
      <c r="F6131" t="s">
        <v>1985</v>
      </c>
      <c r="G6131">
        <v>0</v>
      </c>
      <c r="H6131">
        <v>0</v>
      </c>
      <c r="I6131">
        <v>1</v>
      </c>
      <c r="J6131">
        <v>0</v>
      </c>
      <c r="K6131">
        <v>0</v>
      </c>
      <c r="L6131">
        <f t="shared" si="190"/>
        <v>5.2</v>
      </c>
      <c r="M6131">
        <f t="shared" si="191"/>
        <v>1</v>
      </c>
    </row>
    <row r="6132" spans="1:13" x14ac:dyDescent="0.3">
      <c r="A6132">
        <v>6130</v>
      </c>
      <c r="B6132">
        <v>6131</v>
      </c>
      <c r="C6132" t="s">
        <v>6210</v>
      </c>
      <c r="D6132">
        <v>2015</v>
      </c>
      <c r="F6132" t="s">
        <v>1985</v>
      </c>
      <c r="G6132">
        <v>0</v>
      </c>
      <c r="H6132">
        <v>0</v>
      </c>
      <c r="I6132">
        <v>1</v>
      </c>
      <c r="J6132">
        <v>0</v>
      </c>
      <c r="K6132">
        <v>0</v>
      </c>
      <c r="L6132">
        <f t="shared" si="190"/>
        <v>5.2</v>
      </c>
      <c r="M6132">
        <f t="shared" si="191"/>
        <v>1</v>
      </c>
    </row>
    <row r="6133" spans="1:13" x14ac:dyDescent="0.3">
      <c r="A6133">
        <v>6131</v>
      </c>
      <c r="B6133">
        <v>6132</v>
      </c>
      <c r="C6133" t="s">
        <v>6211</v>
      </c>
      <c r="D6133">
        <v>2011</v>
      </c>
      <c r="E6133" t="s">
        <v>11</v>
      </c>
      <c r="F6133" t="s">
        <v>1985</v>
      </c>
      <c r="G6133">
        <v>0</v>
      </c>
      <c r="H6133">
        <v>0</v>
      </c>
      <c r="I6133">
        <v>1</v>
      </c>
      <c r="J6133">
        <v>0</v>
      </c>
      <c r="K6133">
        <v>0</v>
      </c>
      <c r="L6133">
        <f t="shared" si="190"/>
        <v>5.2</v>
      </c>
      <c r="M6133">
        <f t="shared" si="191"/>
        <v>1</v>
      </c>
    </row>
    <row r="6134" spans="1:13" x14ac:dyDescent="0.3">
      <c r="A6134">
        <v>6132</v>
      </c>
      <c r="B6134">
        <v>6133</v>
      </c>
      <c r="C6134" t="s">
        <v>6212</v>
      </c>
      <c r="D6134">
        <v>2006</v>
      </c>
      <c r="E6134" t="s">
        <v>11</v>
      </c>
      <c r="F6134" t="s">
        <v>1985</v>
      </c>
      <c r="G6134">
        <v>0</v>
      </c>
      <c r="H6134">
        <v>0</v>
      </c>
      <c r="I6134">
        <v>1</v>
      </c>
      <c r="J6134">
        <v>0</v>
      </c>
      <c r="K6134">
        <v>0</v>
      </c>
      <c r="L6134">
        <f t="shared" si="190"/>
        <v>5.2</v>
      </c>
      <c r="M6134">
        <f t="shared" si="191"/>
        <v>1</v>
      </c>
    </row>
    <row r="6135" spans="1:13" x14ac:dyDescent="0.3">
      <c r="A6135">
        <v>6133</v>
      </c>
      <c r="B6135">
        <v>6134</v>
      </c>
      <c r="C6135" t="s">
        <v>6213</v>
      </c>
      <c r="D6135">
        <v>1994</v>
      </c>
      <c r="E6135" t="s">
        <v>22</v>
      </c>
      <c r="F6135" t="s">
        <v>1985</v>
      </c>
      <c r="G6135">
        <v>0</v>
      </c>
      <c r="H6135">
        <v>0</v>
      </c>
      <c r="I6135">
        <v>1</v>
      </c>
      <c r="J6135">
        <v>0</v>
      </c>
      <c r="K6135">
        <v>0</v>
      </c>
      <c r="L6135">
        <f t="shared" si="190"/>
        <v>5.2</v>
      </c>
      <c r="M6135">
        <f t="shared" si="191"/>
        <v>1</v>
      </c>
    </row>
    <row r="6136" spans="1:13" x14ac:dyDescent="0.3">
      <c r="A6136">
        <v>6134</v>
      </c>
      <c r="B6136">
        <v>6135</v>
      </c>
      <c r="C6136" t="s">
        <v>6214</v>
      </c>
      <c r="D6136">
        <v>2014</v>
      </c>
      <c r="E6136" t="s">
        <v>14</v>
      </c>
      <c r="F6136" t="s">
        <v>1985</v>
      </c>
      <c r="G6136">
        <v>0</v>
      </c>
      <c r="H6136">
        <v>0</v>
      </c>
      <c r="I6136">
        <v>1</v>
      </c>
      <c r="J6136">
        <v>0</v>
      </c>
      <c r="K6136">
        <v>0</v>
      </c>
      <c r="L6136">
        <f t="shared" si="190"/>
        <v>5.2</v>
      </c>
      <c r="M6136">
        <f t="shared" si="191"/>
        <v>1</v>
      </c>
    </row>
    <row r="6137" spans="1:13" x14ac:dyDescent="0.3">
      <c r="A6137">
        <v>6135</v>
      </c>
      <c r="B6137">
        <v>6136</v>
      </c>
      <c r="C6137" t="s">
        <v>6215</v>
      </c>
      <c r="D6137">
        <v>2007</v>
      </c>
      <c r="E6137" t="s">
        <v>36</v>
      </c>
      <c r="F6137" t="s">
        <v>1985</v>
      </c>
      <c r="G6137">
        <v>0</v>
      </c>
      <c r="H6137">
        <v>0</v>
      </c>
      <c r="I6137">
        <v>1</v>
      </c>
      <c r="J6137">
        <v>0</v>
      </c>
      <c r="K6137">
        <v>0</v>
      </c>
      <c r="L6137">
        <f t="shared" si="190"/>
        <v>5.2</v>
      </c>
      <c r="M6137">
        <f t="shared" si="191"/>
        <v>1</v>
      </c>
    </row>
    <row r="6138" spans="1:13" x14ac:dyDescent="0.3">
      <c r="A6138">
        <v>6136</v>
      </c>
      <c r="B6138">
        <v>6137</v>
      </c>
      <c r="C6138" t="s">
        <v>6216</v>
      </c>
      <c r="D6138">
        <v>2016</v>
      </c>
      <c r="F6138" t="s">
        <v>1985</v>
      </c>
      <c r="G6138">
        <v>0</v>
      </c>
      <c r="H6138">
        <v>0</v>
      </c>
      <c r="I6138">
        <v>1</v>
      </c>
      <c r="J6138">
        <v>0</v>
      </c>
      <c r="K6138">
        <v>0</v>
      </c>
      <c r="L6138">
        <f t="shared" si="190"/>
        <v>5.2</v>
      </c>
      <c r="M6138">
        <f t="shared" si="191"/>
        <v>1</v>
      </c>
    </row>
    <row r="6139" spans="1:13" x14ac:dyDescent="0.3">
      <c r="A6139">
        <v>6137</v>
      </c>
      <c r="B6139">
        <v>6138</v>
      </c>
      <c r="C6139" t="s">
        <v>6217</v>
      </c>
      <c r="D6139">
        <v>2018</v>
      </c>
      <c r="F6139" t="s">
        <v>1985</v>
      </c>
      <c r="G6139">
        <v>0</v>
      </c>
      <c r="H6139">
        <v>0</v>
      </c>
      <c r="I6139">
        <v>1</v>
      </c>
      <c r="J6139">
        <v>0</v>
      </c>
      <c r="K6139">
        <v>0</v>
      </c>
      <c r="L6139">
        <f t="shared" si="190"/>
        <v>5.2</v>
      </c>
      <c r="M6139">
        <f t="shared" si="191"/>
        <v>1</v>
      </c>
    </row>
    <row r="6140" spans="1:13" x14ac:dyDescent="0.3">
      <c r="A6140">
        <v>6138</v>
      </c>
      <c r="B6140">
        <v>6139</v>
      </c>
      <c r="C6140" t="s">
        <v>6218</v>
      </c>
      <c r="D6140">
        <v>2018</v>
      </c>
      <c r="F6140" t="s">
        <v>1985</v>
      </c>
      <c r="G6140">
        <v>0</v>
      </c>
      <c r="H6140">
        <v>0</v>
      </c>
      <c r="I6140">
        <v>1</v>
      </c>
      <c r="J6140">
        <v>0</v>
      </c>
      <c r="K6140">
        <v>0</v>
      </c>
      <c r="L6140">
        <f t="shared" si="190"/>
        <v>5.2</v>
      </c>
      <c r="M6140">
        <f t="shared" si="191"/>
        <v>1</v>
      </c>
    </row>
    <row r="6141" spans="1:13" x14ac:dyDescent="0.3">
      <c r="A6141">
        <v>6139</v>
      </c>
      <c r="B6141">
        <v>6140</v>
      </c>
      <c r="C6141" t="s">
        <v>6219</v>
      </c>
      <c r="D6141">
        <v>2014</v>
      </c>
      <c r="E6141" t="s">
        <v>11</v>
      </c>
      <c r="F6141" t="s">
        <v>1985</v>
      </c>
      <c r="G6141">
        <v>0</v>
      </c>
      <c r="H6141">
        <v>0</v>
      </c>
      <c r="I6141">
        <v>1</v>
      </c>
      <c r="J6141">
        <v>0</v>
      </c>
      <c r="K6141">
        <v>0</v>
      </c>
      <c r="L6141">
        <f t="shared" si="190"/>
        <v>5.2</v>
      </c>
      <c r="M6141">
        <f t="shared" si="191"/>
        <v>1</v>
      </c>
    </row>
    <row r="6142" spans="1:13" x14ac:dyDescent="0.3">
      <c r="A6142">
        <v>6140</v>
      </c>
      <c r="B6142">
        <v>6141</v>
      </c>
      <c r="C6142" t="s">
        <v>6220</v>
      </c>
      <c r="D6142">
        <v>2019</v>
      </c>
      <c r="F6142" t="s">
        <v>1985</v>
      </c>
      <c r="G6142">
        <v>0</v>
      </c>
      <c r="H6142">
        <v>0</v>
      </c>
      <c r="I6142">
        <v>1</v>
      </c>
      <c r="J6142">
        <v>0</v>
      </c>
      <c r="K6142">
        <v>0</v>
      </c>
      <c r="L6142">
        <f t="shared" si="190"/>
        <v>5.2</v>
      </c>
      <c r="M6142">
        <f t="shared" si="191"/>
        <v>1</v>
      </c>
    </row>
    <row r="6143" spans="1:13" x14ac:dyDescent="0.3">
      <c r="A6143">
        <v>6141</v>
      </c>
      <c r="B6143">
        <v>6142</v>
      </c>
      <c r="C6143" t="s">
        <v>6221</v>
      </c>
      <c r="D6143">
        <v>2019</v>
      </c>
      <c r="F6143" t="s">
        <v>1985</v>
      </c>
      <c r="G6143">
        <v>0</v>
      </c>
      <c r="H6143">
        <v>0</v>
      </c>
      <c r="I6143">
        <v>1</v>
      </c>
      <c r="J6143">
        <v>0</v>
      </c>
      <c r="K6143">
        <v>0</v>
      </c>
      <c r="L6143">
        <f t="shared" si="190"/>
        <v>5.2</v>
      </c>
      <c r="M6143">
        <f t="shared" si="191"/>
        <v>1</v>
      </c>
    </row>
    <row r="6144" spans="1:13" x14ac:dyDescent="0.3">
      <c r="A6144">
        <v>6142</v>
      </c>
      <c r="B6144">
        <v>6143</v>
      </c>
      <c r="C6144" t="s">
        <v>6222</v>
      </c>
      <c r="D6144">
        <v>2016</v>
      </c>
      <c r="F6144" t="s">
        <v>1985</v>
      </c>
      <c r="G6144">
        <v>0</v>
      </c>
      <c r="H6144">
        <v>0</v>
      </c>
      <c r="I6144">
        <v>1</v>
      </c>
      <c r="J6144">
        <v>0</v>
      </c>
      <c r="K6144">
        <v>0</v>
      </c>
      <c r="L6144">
        <f t="shared" si="190"/>
        <v>5.2</v>
      </c>
      <c r="M6144">
        <f t="shared" si="191"/>
        <v>1</v>
      </c>
    </row>
    <row r="6145" spans="1:13" x14ac:dyDescent="0.3">
      <c r="A6145">
        <v>6143</v>
      </c>
      <c r="B6145">
        <v>6144</v>
      </c>
      <c r="C6145" t="s">
        <v>6223</v>
      </c>
      <c r="D6145">
        <v>2018</v>
      </c>
      <c r="E6145" t="s">
        <v>11</v>
      </c>
      <c r="F6145" t="s">
        <v>1985</v>
      </c>
      <c r="G6145">
        <v>0</v>
      </c>
      <c r="H6145">
        <v>0</v>
      </c>
      <c r="I6145">
        <v>1</v>
      </c>
      <c r="J6145">
        <v>0</v>
      </c>
      <c r="K6145">
        <v>0</v>
      </c>
      <c r="L6145">
        <f t="shared" si="190"/>
        <v>5.2</v>
      </c>
      <c r="M6145">
        <f t="shared" si="191"/>
        <v>1</v>
      </c>
    </row>
    <row r="6146" spans="1:13" x14ac:dyDescent="0.3">
      <c r="A6146">
        <v>6144</v>
      </c>
      <c r="B6146">
        <v>6145</v>
      </c>
      <c r="C6146" t="s">
        <v>6224</v>
      </c>
      <c r="D6146">
        <v>2014</v>
      </c>
      <c r="E6146" t="s">
        <v>22</v>
      </c>
      <c r="F6146" t="s">
        <v>1985</v>
      </c>
      <c r="G6146">
        <v>0</v>
      </c>
      <c r="H6146">
        <v>0</v>
      </c>
      <c r="I6146">
        <v>1</v>
      </c>
      <c r="J6146">
        <v>0</v>
      </c>
      <c r="K6146">
        <v>0</v>
      </c>
      <c r="L6146">
        <f t="shared" si="190"/>
        <v>5.2</v>
      </c>
      <c r="M6146">
        <f t="shared" si="191"/>
        <v>1</v>
      </c>
    </row>
    <row r="6147" spans="1:13" x14ac:dyDescent="0.3">
      <c r="A6147">
        <v>6145</v>
      </c>
      <c r="B6147">
        <v>6146</v>
      </c>
      <c r="C6147" t="s">
        <v>6225</v>
      </c>
      <c r="D6147">
        <v>1973</v>
      </c>
      <c r="F6147" t="s">
        <v>1985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f t="shared" ref="L6147:L6210" si="192">IFERROR(VALUE(LEFT(F6147,FIND("/",F6147)-1))/10,"")</f>
        <v>5.2</v>
      </c>
      <c r="M6147">
        <f t="shared" ref="M6147:M6210" si="193">SUM(G6147:J6147)</f>
        <v>1</v>
      </c>
    </row>
    <row r="6148" spans="1:13" x14ac:dyDescent="0.3">
      <c r="A6148">
        <v>6146</v>
      </c>
      <c r="B6148">
        <v>6147</v>
      </c>
      <c r="C6148" t="s">
        <v>6226</v>
      </c>
      <c r="D6148">
        <v>2006</v>
      </c>
      <c r="E6148" t="s">
        <v>11</v>
      </c>
      <c r="F6148" t="s">
        <v>1985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f t="shared" si="192"/>
        <v>5.2</v>
      </c>
      <c r="M6148">
        <f t="shared" si="193"/>
        <v>1</v>
      </c>
    </row>
    <row r="6149" spans="1:13" x14ac:dyDescent="0.3">
      <c r="A6149">
        <v>6147</v>
      </c>
      <c r="B6149">
        <v>6148</v>
      </c>
      <c r="C6149" t="s">
        <v>6227</v>
      </c>
      <c r="D6149">
        <v>2014</v>
      </c>
      <c r="F6149" t="s">
        <v>1985</v>
      </c>
      <c r="G6149">
        <v>0</v>
      </c>
      <c r="H6149">
        <v>0</v>
      </c>
      <c r="I6149">
        <v>1</v>
      </c>
      <c r="J6149">
        <v>0</v>
      </c>
      <c r="K6149">
        <v>0</v>
      </c>
      <c r="L6149">
        <f t="shared" si="192"/>
        <v>5.2</v>
      </c>
      <c r="M6149">
        <f t="shared" si="193"/>
        <v>1</v>
      </c>
    </row>
    <row r="6150" spans="1:13" x14ac:dyDescent="0.3">
      <c r="A6150">
        <v>6148</v>
      </c>
      <c r="B6150">
        <v>6149</v>
      </c>
      <c r="C6150" t="s">
        <v>6228</v>
      </c>
      <c r="D6150">
        <v>1981</v>
      </c>
      <c r="E6150" t="s">
        <v>11</v>
      </c>
      <c r="F6150" t="s">
        <v>1985</v>
      </c>
      <c r="G6150">
        <v>0</v>
      </c>
      <c r="H6150">
        <v>0</v>
      </c>
      <c r="I6150">
        <v>1</v>
      </c>
      <c r="J6150">
        <v>0</v>
      </c>
      <c r="K6150">
        <v>0</v>
      </c>
      <c r="L6150">
        <f t="shared" si="192"/>
        <v>5.2</v>
      </c>
      <c r="M6150">
        <f t="shared" si="193"/>
        <v>1</v>
      </c>
    </row>
    <row r="6151" spans="1:13" x14ac:dyDescent="0.3">
      <c r="A6151">
        <v>6149</v>
      </c>
      <c r="B6151">
        <v>6150</v>
      </c>
      <c r="C6151" t="s">
        <v>6229</v>
      </c>
      <c r="D6151">
        <v>2012</v>
      </c>
      <c r="E6151" t="s">
        <v>11</v>
      </c>
      <c r="F6151" t="s">
        <v>1985</v>
      </c>
      <c r="G6151">
        <v>0</v>
      </c>
      <c r="H6151">
        <v>0</v>
      </c>
      <c r="I6151">
        <v>1</v>
      </c>
      <c r="J6151">
        <v>0</v>
      </c>
      <c r="K6151">
        <v>0</v>
      </c>
      <c r="L6151">
        <f t="shared" si="192"/>
        <v>5.2</v>
      </c>
      <c r="M6151">
        <f t="shared" si="193"/>
        <v>1</v>
      </c>
    </row>
    <row r="6152" spans="1:13" x14ac:dyDescent="0.3">
      <c r="A6152">
        <v>6150</v>
      </c>
      <c r="B6152">
        <v>6151</v>
      </c>
      <c r="C6152" t="s">
        <v>6230</v>
      </c>
      <c r="D6152">
        <v>2005</v>
      </c>
      <c r="E6152" t="s">
        <v>22</v>
      </c>
      <c r="F6152" t="s">
        <v>1985</v>
      </c>
      <c r="G6152">
        <v>0</v>
      </c>
      <c r="H6152">
        <v>0</v>
      </c>
      <c r="I6152">
        <v>1</v>
      </c>
      <c r="J6152">
        <v>0</v>
      </c>
      <c r="K6152">
        <v>0</v>
      </c>
      <c r="L6152">
        <f t="shared" si="192"/>
        <v>5.2</v>
      </c>
      <c r="M6152">
        <f t="shared" si="193"/>
        <v>1</v>
      </c>
    </row>
    <row r="6153" spans="1:13" x14ac:dyDescent="0.3">
      <c r="A6153">
        <v>6151</v>
      </c>
      <c r="B6153">
        <v>6152</v>
      </c>
      <c r="C6153" t="s">
        <v>6231</v>
      </c>
      <c r="D6153">
        <v>1915</v>
      </c>
      <c r="F6153" t="s">
        <v>1985</v>
      </c>
      <c r="G6153">
        <v>0</v>
      </c>
      <c r="H6153">
        <v>0</v>
      </c>
      <c r="I6153">
        <v>1</v>
      </c>
      <c r="J6153">
        <v>0</v>
      </c>
      <c r="K6153">
        <v>0</v>
      </c>
      <c r="L6153">
        <f t="shared" si="192"/>
        <v>5.2</v>
      </c>
      <c r="M6153">
        <f t="shared" si="193"/>
        <v>1</v>
      </c>
    </row>
    <row r="6154" spans="1:13" x14ac:dyDescent="0.3">
      <c r="A6154">
        <v>6152</v>
      </c>
      <c r="B6154">
        <v>6153</v>
      </c>
      <c r="C6154" t="s">
        <v>6232</v>
      </c>
      <c r="D6154">
        <v>2018</v>
      </c>
      <c r="E6154" t="s">
        <v>28</v>
      </c>
      <c r="F6154" t="s">
        <v>1985</v>
      </c>
      <c r="G6154">
        <v>0</v>
      </c>
      <c r="H6154">
        <v>0</v>
      </c>
      <c r="I6154">
        <v>1</v>
      </c>
      <c r="J6154">
        <v>0</v>
      </c>
      <c r="K6154">
        <v>0</v>
      </c>
      <c r="L6154">
        <f t="shared" si="192"/>
        <v>5.2</v>
      </c>
      <c r="M6154">
        <f t="shared" si="193"/>
        <v>1</v>
      </c>
    </row>
    <row r="6155" spans="1:13" x14ac:dyDescent="0.3">
      <c r="A6155">
        <v>6153</v>
      </c>
      <c r="B6155">
        <v>6154</v>
      </c>
      <c r="C6155" t="s">
        <v>6233</v>
      </c>
      <c r="D6155">
        <v>2016</v>
      </c>
      <c r="E6155" t="s">
        <v>36</v>
      </c>
      <c r="F6155" t="s">
        <v>1985</v>
      </c>
      <c r="G6155">
        <v>0</v>
      </c>
      <c r="H6155">
        <v>0</v>
      </c>
      <c r="I6155">
        <v>1</v>
      </c>
      <c r="J6155">
        <v>0</v>
      </c>
      <c r="K6155">
        <v>0</v>
      </c>
      <c r="L6155">
        <f t="shared" si="192"/>
        <v>5.2</v>
      </c>
      <c r="M6155">
        <f t="shared" si="193"/>
        <v>1</v>
      </c>
    </row>
    <row r="6156" spans="1:13" x14ac:dyDescent="0.3">
      <c r="A6156">
        <v>6154</v>
      </c>
      <c r="B6156">
        <v>6155</v>
      </c>
      <c r="C6156" t="s">
        <v>6234</v>
      </c>
      <c r="D6156">
        <v>1982</v>
      </c>
      <c r="E6156" t="s">
        <v>14</v>
      </c>
      <c r="F6156" t="s">
        <v>1985</v>
      </c>
      <c r="G6156">
        <v>0</v>
      </c>
      <c r="H6156">
        <v>0</v>
      </c>
      <c r="I6156">
        <v>1</v>
      </c>
      <c r="J6156">
        <v>0</v>
      </c>
      <c r="K6156">
        <v>0</v>
      </c>
      <c r="L6156">
        <f t="shared" si="192"/>
        <v>5.2</v>
      </c>
      <c r="M6156">
        <f t="shared" si="193"/>
        <v>1</v>
      </c>
    </row>
    <row r="6157" spans="1:13" x14ac:dyDescent="0.3">
      <c r="A6157">
        <v>6155</v>
      </c>
      <c r="B6157">
        <v>6156</v>
      </c>
      <c r="C6157" t="s">
        <v>6235</v>
      </c>
      <c r="D6157">
        <v>2001</v>
      </c>
      <c r="E6157" t="s">
        <v>36</v>
      </c>
      <c r="F6157" t="s">
        <v>1985</v>
      </c>
      <c r="G6157">
        <v>0</v>
      </c>
      <c r="H6157">
        <v>0</v>
      </c>
      <c r="I6157">
        <v>1</v>
      </c>
      <c r="J6157">
        <v>0</v>
      </c>
      <c r="K6157">
        <v>0</v>
      </c>
      <c r="L6157">
        <f t="shared" si="192"/>
        <v>5.2</v>
      </c>
      <c r="M6157">
        <f t="shared" si="193"/>
        <v>1</v>
      </c>
    </row>
    <row r="6158" spans="1:13" x14ac:dyDescent="0.3">
      <c r="A6158">
        <v>6156</v>
      </c>
      <c r="B6158">
        <v>6157</v>
      </c>
      <c r="C6158" t="s">
        <v>6236</v>
      </c>
      <c r="D6158">
        <v>2010</v>
      </c>
      <c r="E6158" t="s">
        <v>22</v>
      </c>
      <c r="F6158" t="s">
        <v>1985</v>
      </c>
      <c r="G6158">
        <v>0</v>
      </c>
      <c r="H6158">
        <v>0</v>
      </c>
      <c r="I6158">
        <v>1</v>
      </c>
      <c r="J6158">
        <v>0</v>
      </c>
      <c r="K6158">
        <v>0</v>
      </c>
      <c r="L6158">
        <f t="shared" si="192"/>
        <v>5.2</v>
      </c>
      <c r="M6158">
        <f t="shared" si="193"/>
        <v>1</v>
      </c>
    </row>
    <row r="6159" spans="1:13" x14ac:dyDescent="0.3">
      <c r="A6159">
        <v>6157</v>
      </c>
      <c r="B6159">
        <v>6158</v>
      </c>
      <c r="C6159" t="s">
        <v>6237</v>
      </c>
      <c r="D6159">
        <v>2017</v>
      </c>
      <c r="E6159" t="s">
        <v>28</v>
      </c>
      <c r="F6159" t="s">
        <v>1985</v>
      </c>
      <c r="G6159">
        <v>0</v>
      </c>
      <c r="H6159">
        <v>0</v>
      </c>
      <c r="I6159">
        <v>1</v>
      </c>
      <c r="J6159">
        <v>0</v>
      </c>
      <c r="K6159">
        <v>0</v>
      </c>
      <c r="L6159">
        <f t="shared" si="192"/>
        <v>5.2</v>
      </c>
      <c r="M6159">
        <f t="shared" si="193"/>
        <v>1</v>
      </c>
    </row>
    <row r="6160" spans="1:13" x14ac:dyDescent="0.3">
      <c r="A6160">
        <v>6158</v>
      </c>
      <c r="B6160">
        <v>6159</v>
      </c>
      <c r="C6160" t="s">
        <v>6238</v>
      </c>
      <c r="D6160">
        <v>2016</v>
      </c>
      <c r="F6160" t="s">
        <v>1985</v>
      </c>
      <c r="G6160">
        <v>0</v>
      </c>
      <c r="H6160">
        <v>0</v>
      </c>
      <c r="I6160">
        <v>1</v>
      </c>
      <c r="J6160">
        <v>0</v>
      </c>
      <c r="K6160">
        <v>0</v>
      </c>
      <c r="L6160">
        <f t="shared" si="192"/>
        <v>5.2</v>
      </c>
      <c r="M6160">
        <f t="shared" si="193"/>
        <v>1</v>
      </c>
    </row>
    <row r="6161" spans="1:13" x14ac:dyDescent="0.3">
      <c r="A6161">
        <v>6159</v>
      </c>
      <c r="B6161">
        <v>6160</v>
      </c>
      <c r="C6161" t="s">
        <v>6239</v>
      </c>
      <c r="D6161">
        <v>2010</v>
      </c>
      <c r="E6161" t="s">
        <v>36</v>
      </c>
      <c r="F6161" t="s">
        <v>1985</v>
      </c>
      <c r="G6161">
        <v>0</v>
      </c>
      <c r="H6161">
        <v>0</v>
      </c>
      <c r="I6161">
        <v>1</v>
      </c>
      <c r="J6161">
        <v>0</v>
      </c>
      <c r="K6161">
        <v>0</v>
      </c>
      <c r="L6161">
        <f t="shared" si="192"/>
        <v>5.2</v>
      </c>
      <c r="M6161">
        <f t="shared" si="193"/>
        <v>1</v>
      </c>
    </row>
    <row r="6162" spans="1:13" x14ac:dyDescent="0.3">
      <c r="A6162">
        <v>6160</v>
      </c>
      <c r="B6162">
        <v>6161</v>
      </c>
      <c r="C6162" t="s">
        <v>6240</v>
      </c>
      <c r="D6162">
        <v>1936</v>
      </c>
      <c r="F6162" t="s">
        <v>1985</v>
      </c>
      <c r="G6162">
        <v>0</v>
      </c>
      <c r="H6162">
        <v>0</v>
      </c>
      <c r="I6162">
        <v>1</v>
      </c>
      <c r="J6162">
        <v>0</v>
      </c>
      <c r="K6162">
        <v>0</v>
      </c>
      <c r="L6162">
        <f t="shared" si="192"/>
        <v>5.2</v>
      </c>
      <c r="M6162">
        <f t="shared" si="193"/>
        <v>1</v>
      </c>
    </row>
    <row r="6163" spans="1:13" x14ac:dyDescent="0.3">
      <c r="A6163">
        <v>6161</v>
      </c>
      <c r="B6163">
        <v>6162</v>
      </c>
      <c r="C6163" t="s">
        <v>6241</v>
      </c>
      <c r="D6163">
        <v>1958</v>
      </c>
      <c r="E6163" t="s">
        <v>14</v>
      </c>
      <c r="F6163" t="s">
        <v>1985</v>
      </c>
      <c r="G6163">
        <v>0</v>
      </c>
      <c r="H6163">
        <v>0</v>
      </c>
      <c r="I6163">
        <v>1</v>
      </c>
      <c r="J6163">
        <v>0</v>
      </c>
      <c r="K6163">
        <v>0</v>
      </c>
      <c r="L6163">
        <f t="shared" si="192"/>
        <v>5.2</v>
      </c>
      <c r="M6163">
        <f t="shared" si="193"/>
        <v>1</v>
      </c>
    </row>
    <row r="6164" spans="1:13" x14ac:dyDescent="0.3">
      <c r="A6164">
        <v>6162</v>
      </c>
      <c r="B6164">
        <v>6163</v>
      </c>
      <c r="C6164" t="s">
        <v>6242</v>
      </c>
      <c r="D6164">
        <v>1998</v>
      </c>
      <c r="E6164" t="s">
        <v>14</v>
      </c>
      <c r="F6164" t="s">
        <v>1985</v>
      </c>
      <c r="G6164">
        <v>0</v>
      </c>
      <c r="H6164">
        <v>0</v>
      </c>
      <c r="I6164">
        <v>1</v>
      </c>
      <c r="J6164">
        <v>0</v>
      </c>
      <c r="K6164">
        <v>0</v>
      </c>
      <c r="L6164">
        <f t="shared" si="192"/>
        <v>5.2</v>
      </c>
      <c r="M6164">
        <f t="shared" si="193"/>
        <v>1</v>
      </c>
    </row>
    <row r="6165" spans="1:13" x14ac:dyDescent="0.3">
      <c r="A6165">
        <v>6163</v>
      </c>
      <c r="B6165">
        <v>6164</v>
      </c>
      <c r="C6165" t="s">
        <v>6243</v>
      </c>
      <c r="D6165">
        <v>2019</v>
      </c>
      <c r="E6165" t="s">
        <v>11</v>
      </c>
      <c r="F6165" t="s">
        <v>1985</v>
      </c>
      <c r="G6165">
        <v>0</v>
      </c>
      <c r="H6165">
        <v>0</v>
      </c>
      <c r="I6165">
        <v>1</v>
      </c>
      <c r="J6165">
        <v>0</v>
      </c>
      <c r="K6165">
        <v>0</v>
      </c>
      <c r="L6165">
        <f t="shared" si="192"/>
        <v>5.2</v>
      </c>
      <c r="M6165">
        <f t="shared" si="193"/>
        <v>1</v>
      </c>
    </row>
    <row r="6166" spans="1:13" x14ac:dyDescent="0.3">
      <c r="A6166">
        <v>6164</v>
      </c>
      <c r="B6166">
        <v>6165</v>
      </c>
      <c r="C6166" t="s">
        <v>6244</v>
      </c>
      <c r="D6166">
        <v>1934</v>
      </c>
      <c r="F6166" t="s">
        <v>1985</v>
      </c>
      <c r="G6166">
        <v>0</v>
      </c>
      <c r="H6166">
        <v>0</v>
      </c>
      <c r="I6166">
        <v>1</v>
      </c>
      <c r="J6166">
        <v>0</v>
      </c>
      <c r="K6166">
        <v>0</v>
      </c>
      <c r="L6166">
        <f t="shared" si="192"/>
        <v>5.2</v>
      </c>
      <c r="M6166">
        <f t="shared" si="193"/>
        <v>1</v>
      </c>
    </row>
    <row r="6167" spans="1:13" x14ac:dyDescent="0.3">
      <c r="A6167">
        <v>6165</v>
      </c>
      <c r="B6167">
        <v>6166</v>
      </c>
      <c r="C6167" t="s">
        <v>6245</v>
      </c>
      <c r="D6167">
        <v>2016</v>
      </c>
      <c r="F6167" t="s">
        <v>1985</v>
      </c>
      <c r="G6167">
        <v>0</v>
      </c>
      <c r="H6167">
        <v>0</v>
      </c>
      <c r="I6167">
        <v>1</v>
      </c>
      <c r="J6167">
        <v>0</v>
      </c>
      <c r="K6167">
        <v>0</v>
      </c>
      <c r="L6167">
        <f t="shared" si="192"/>
        <v>5.2</v>
      </c>
      <c r="M6167">
        <f t="shared" si="193"/>
        <v>1</v>
      </c>
    </row>
    <row r="6168" spans="1:13" x14ac:dyDescent="0.3">
      <c r="A6168">
        <v>6166</v>
      </c>
      <c r="B6168">
        <v>6167</v>
      </c>
      <c r="C6168" t="s">
        <v>6246</v>
      </c>
      <c r="D6168">
        <v>2020</v>
      </c>
      <c r="F6168" t="s">
        <v>1985</v>
      </c>
      <c r="G6168">
        <v>0</v>
      </c>
      <c r="H6168">
        <v>0</v>
      </c>
      <c r="I6168">
        <v>1</v>
      </c>
      <c r="J6168">
        <v>0</v>
      </c>
      <c r="K6168">
        <v>0</v>
      </c>
      <c r="L6168">
        <f t="shared" si="192"/>
        <v>5.2</v>
      </c>
      <c r="M6168">
        <f t="shared" si="193"/>
        <v>1</v>
      </c>
    </row>
    <row r="6169" spans="1:13" x14ac:dyDescent="0.3">
      <c r="A6169">
        <v>6167</v>
      </c>
      <c r="B6169">
        <v>6168</v>
      </c>
      <c r="C6169" t="s">
        <v>6247</v>
      </c>
      <c r="D6169">
        <v>2016</v>
      </c>
      <c r="E6169" t="s">
        <v>11</v>
      </c>
      <c r="F6169" t="s">
        <v>1985</v>
      </c>
      <c r="G6169">
        <v>0</v>
      </c>
      <c r="H6169">
        <v>0</v>
      </c>
      <c r="I6169">
        <v>1</v>
      </c>
      <c r="J6169">
        <v>0</v>
      </c>
      <c r="K6169">
        <v>0</v>
      </c>
      <c r="L6169">
        <f t="shared" si="192"/>
        <v>5.2</v>
      </c>
      <c r="M6169">
        <f t="shared" si="193"/>
        <v>1</v>
      </c>
    </row>
    <row r="6170" spans="1:13" x14ac:dyDescent="0.3">
      <c r="A6170">
        <v>6168</v>
      </c>
      <c r="B6170">
        <v>6169</v>
      </c>
      <c r="C6170" t="s">
        <v>6248</v>
      </c>
      <c r="D6170">
        <v>2002</v>
      </c>
      <c r="E6170" t="s">
        <v>11</v>
      </c>
      <c r="F6170" t="s">
        <v>1985</v>
      </c>
      <c r="G6170">
        <v>0</v>
      </c>
      <c r="H6170">
        <v>0</v>
      </c>
      <c r="I6170">
        <v>1</v>
      </c>
      <c r="J6170">
        <v>0</v>
      </c>
      <c r="K6170">
        <v>0</v>
      </c>
      <c r="L6170">
        <f t="shared" si="192"/>
        <v>5.2</v>
      </c>
      <c r="M6170">
        <f t="shared" si="193"/>
        <v>1</v>
      </c>
    </row>
    <row r="6171" spans="1:13" x14ac:dyDescent="0.3">
      <c r="A6171">
        <v>6169</v>
      </c>
      <c r="B6171">
        <v>6170</v>
      </c>
      <c r="C6171" t="s">
        <v>6249</v>
      </c>
      <c r="D6171">
        <v>2019</v>
      </c>
      <c r="E6171" t="s">
        <v>22</v>
      </c>
      <c r="F6171" t="s">
        <v>1985</v>
      </c>
      <c r="G6171">
        <v>0</v>
      </c>
      <c r="H6171">
        <v>0</v>
      </c>
      <c r="I6171">
        <v>1</v>
      </c>
      <c r="J6171">
        <v>0</v>
      </c>
      <c r="K6171">
        <v>0</v>
      </c>
      <c r="L6171">
        <f t="shared" si="192"/>
        <v>5.2</v>
      </c>
      <c r="M6171">
        <f t="shared" si="193"/>
        <v>1</v>
      </c>
    </row>
    <row r="6172" spans="1:13" x14ac:dyDescent="0.3">
      <c r="A6172">
        <v>6170</v>
      </c>
      <c r="B6172">
        <v>6171</v>
      </c>
      <c r="C6172" t="s">
        <v>6250</v>
      </c>
      <c r="D6172">
        <v>2016</v>
      </c>
      <c r="F6172" t="s">
        <v>1985</v>
      </c>
      <c r="G6172">
        <v>0</v>
      </c>
      <c r="H6172">
        <v>0</v>
      </c>
      <c r="I6172">
        <v>1</v>
      </c>
      <c r="J6172">
        <v>0</v>
      </c>
      <c r="K6172">
        <v>0</v>
      </c>
      <c r="L6172">
        <f t="shared" si="192"/>
        <v>5.2</v>
      </c>
      <c r="M6172">
        <f t="shared" si="193"/>
        <v>1</v>
      </c>
    </row>
    <row r="6173" spans="1:13" x14ac:dyDescent="0.3">
      <c r="A6173">
        <v>6171</v>
      </c>
      <c r="B6173">
        <v>6172</v>
      </c>
      <c r="C6173" t="s">
        <v>6251</v>
      </c>
      <c r="D6173">
        <v>2003</v>
      </c>
      <c r="F6173" t="s">
        <v>1985</v>
      </c>
      <c r="G6173">
        <v>0</v>
      </c>
      <c r="H6173">
        <v>0</v>
      </c>
      <c r="I6173">
        <v>1</v>
      </c>
      <c r="J6173">
        <v>0</v>
      </c>
      <c r="K6173">
        <v>0</v>
      </c>
      <c r="L6173">
        <f t="shared" si="192"/>
        <v>5.2</v>
      </c>
      <c r="M6173">
        <f t="shared" si="193"/>
        <v>1</v>
      </c>
    </row>
    <row r="6174" spans="1:13" x14ac:dyDescent="0.3">
      <c r="A6174">
        <v>6172</v>
      </c>
      <c r="B6174">
        <v>6173</v>
      </c>
      <c r="C6174" t="s">
        <v>6252</v>
      </c>
      <c r="D6174">
        <v>2016</v>
      </c>
      <c r="F6174" t="s">
        <v>1985</v>
      </c>
      <c r="G6174">
        <v>0</v>
      </c>
      <c r="H6174">
        <v>0</v>
      </c>
      <c r="I6174">
        <v>1</v>
      </c>
      <c r="J6174">
        <v>0</v>
      </c>
      <c r="K6174">
        <v>0</v>
      </c>
      <c r="L6174">
        <f t="shared" si="192"/>
        <v>5.2</v>
      </c>
      <c r="M6174">
        <f t="shared" si="193"/>
        <v>1</v>
      </c>
    </row>
    <row r="6175" spans="1:13" x14ac:dyDescent="0.3">
      <c r="A6175">
        <v>6173</v>
      </c>
      <c r="B6175">
        <v>6174</v>
      </c>
      <c r="C6175" t="s">
        <v>6253</v>
      </c>
      <c r="D6175">
        <v>2019</v>
      </c>
      <c r="F6175" t="s">
        <v>1985</v>
      </c>
      <c r="G6175">
        <v>0</v>
      </c>
      <c r="H6175">
        <v>0</v>
      </c>
      <c r="I6175">
        <v>1</v>
      </c>
      <c r="J6175">
        <v>0</v>
      </c>
      <c r="K6175">
        <v>0</v>
      </c>
      <c r="L6175">
        <f t="shared" si="192"/>
        <v>5.2</v>
      </c>
      <c r="M6175">
        <f t="shared" si="193"/>
        <v>1</v>
      </c>
    </row>
    <row r="6176" spans="1:13" x14ac:dyDescent="0.3">
      <c r="A6176">
        <v>6174</v>
      </c>
      <c r="B6176">
        <v>6175</v>
      </c>
      <c r="C6176" t="s">
        <v>6254</v>
      </c>
      <c r="D6176">
        <v>2013</v>
      </c>
      <c r="F6176" t="s">
        <v>1985</v>
      </c>
      <c r="G6176">
        <v>0</v>
      </c>
      <c r="H6176">
        <v>0</v>
      </c>
      <c r="I6176">
        <v>1</v>
      </c>
      <c r="J6176">
        <v>0</v>
      </c>
      <c r="K6176">
        <v>0</v>
      </c>
      <c r="L6176">
        <f t="shared" si="192"/>
        <v>5.2</v>
      </c>
      <c r="M6176">
        <f t="shared" si="193"/>
        <v>1</v>
      </c>
    </row>
    <row r="6177" spans="1:13" x14ac:dyDescent="0.3">
      <c r="A6177">
        <v>6175</v>
      </c>
      <c r="B6177">
        <v>6176</v>
      </c>
      <c r="C6177" t="s">
        <v>6255</v>
      </c>
      <c r="D6177">
        <v>2014</v>
      </c>
      <c r="E6177" t="s">
        <v>22</v>
      </c>
      <c r="F6177" t="s">
        <v>1985</v>
      </c>
      <c r="G6177">
        <v>0</v>
      </c>
      <c r="H6177">
        <v>0</v>
      </c>
      <c r="I6177">
        <v>1</v>
      </c>
      <c r="J6177">
        <v>0</v>
      </c>
      <c r="K6177">
        <v>0</v>
      </c>
      <c r="L6177">
        <f t="shared" si="192"/>
        <v>5.2</v>
      </c>
      <c r="M6177">
        <f t="shared" si="193"/>
        <v>1</v>
      </c>
    </row>
    <row r="6178" spans="1:13" x14ac:dyDescent="0.3">
      <c r="A6178">
        <v>6176</v>
      </c>
      <c r="B6178">
        <v>6177</v>
      </c>
      <c r="C6178" t="s">
        <v>6256</v>
      </c>
      <c r="D6178">
        <v>2015</v>
      </c>
      <c r="F6178" t="s">
        <v>1985</v>
      </c>
      <c r="G6178">
        <v>0</v>
      </c>
      <c r="H6178">
        <v>0</v>
      </c>
      <c r="I6178">
        <v>1</v>
      </c>
      <c r="J6178">
        <v>0</v>
      </c>
      <c r="K6178">
        <v>0</v>
      </c>
      <c r="L6178">
        <f t="shared" si="192"/>
        <v>5.2</v>
      </c>
      <c r="M6178">
        <f t="shared" si="193"/>
        <v>1</v>
      </c>
    </row>
    <row r="6179" spans="1:13" x14ac:dyDescent="0.3">
      <c r="A6179">
        <v>6177</v>
      </c>
      <c r="B6179">
        <v>6178</v>
      </c>
      <c r="C6179" t="s">
        <v>6257</v>
      </c>
      <c r="D6179">
        <v>2015</v>
      </c>
      <c r="F6179" t="s">
        <v>1985</v>
      </c>
      <c r="G6179">
        <v>0</v>
      </c>
      <c r="H6179">
        <v>0</v>
      </c>
      <c r="I6179">
        <v>1</v>
      </c>
      <c r="J6179">
        <v>0</v>
      </c>
      <c r="K6179">
        <v>0</v>
      </c>
      <c r="L6179">
        <f t="shared" si="192"/>
        <v>5.2</v>
      </c>
      <c r="M6179">
        <f t="shared" si="193"/>
        <v>1</v>
      </c>
    </row>
    <row r="6180" spans="1:13" x14ac:dyDescent="0.3">
      <c r="A6180">
        <v>6178</v>
      </c>
      <c r="B6180">
        <v>6179</v>
      </c>
      <c r="C6180" t="s">
        <v>6258</v>
      </c>
      <c r="D6180">
        <v>2013</v>
      </c>
      <c r="E6180" t="s">
        <v>14</v>
      </c>
      <c r="F6180" t="s">
        <v>1985</v>
      </c>
      <c r="G6180">
        <v>0</v>
      </c>
      <c r="H6180">
        <v>0</v>
      </c>
      <c r="I6180">
        <v>1</v>
      </c>
      <c r="J6180">
        <v>0</v>
      </c>
      <c r="K6180">
        <v>0</v>
      </c>
      <c r="L6180">
        <f t="shared" si="192"/>
        <v>5.2</v>
      </c>
      <c r="M6180">
        <f t="shared" si="193"/>
        <v>1</v>
      </c>
    </row>
    <row r="6181" spans="1:13" x14ac:dyDescent="0.3">
      <c r="A6181">
        <v>6179</v>
      </c>
      <c r="B6181">
        <v>6180</v>
      </c>
      <c r="C6181" t="s">
        <v>6259</v>
      </c>
      <c r="D6181">
        <v>1964</v>
      </c>
      <c r="F6181" t="s">
        <v>1985</v>
      </c>
      <c r="G6181">
        <v>0</v>
      </c>
      <c r="H6181">
        <v>0</v>
      </c>
      <c r="I6181">
        <v>1</v>
      </c>
      <c r="J6181">
        <v>0</v>
      </c>
      <c r="K6181">
        <v>0</v>
      </c>
      <c r="L6181">
        <f t="shared" si="192"/>
        <v>5.2</v>
      </c>
      <c r="M6181">
        <f t="shared" si="193"/>
        <v>1</v>
      </c>
    </row>
    <row r="6182" spans="1:13" x14ac:dyDescent="0.3">
      <c r="A6182">
        <v>6180</v>
      </c>
      <c r="B6182">
        <v>6181</v>
      </c>
      <c r="C6182" t="s">
        <v>6260</v>
      </c>
      <c r="D6182">
        <v>2006</v>
      </c>
      <c r="F6182" t="s">
        <v>1985</v>
      </c>
      <c r="G6182">
        <v>0</v>
      </c>
      <c r="H6182">
        <v>0</v>
      </c>
      <c r="I6182">
        <v>1</v>
      </c>
      <c r="J6182">
        <v>0</v>
      </c>
      <c r="K6182">
        <v>0</v>
      </c>
      <c r="L6182">
        <f t="shared" si="192"/>
        <v>5.2</v>
      </c>
      <c r="M6182">
        <f t="shared" si="193"/>
        <v>1</v>
      </c>
    </row>
    <row r="6183" spans="1:13" x14ac:dyDescent="0.3">
      <c r="A6183">
        <v>6181</v>
      </c>
      <c r="B6183">
        <v>6182</v>
      </c>
      <c r="C6183" t="s">
        <v>6261</v>
      </c>
      <c r="D6183">
        <v>2019</v>
      </c>
      <c r="F6183" t="s">
        <v>1985</v>
      </c>
      <c r="G6183">
        <v>0</v>
      </c>
      <c r="H6183">
        <v>0</v>
      </c>
      <c r="I6183">
        <v>1</v>
      </c>
      <c r="J6183">
        <v>0</v>
      </c>
      <c r="K6183">
        <v>0</v>
      </c>
      <c r="L6183">
        <f t="shared" si="192"/>
        <v>5.2</v>
      </c>
      <c r="M6183">
        <f t="shared" si="193"/>
        <v>1</v>
      </c>
    </row>
    <row r="6184" spans="1:13" x14ac:dyDescent="0.3">
      <c r="A6184">
        <v>6182</v>
      </c>
      <c r="B6184">
        <v>6183</v>
      </c>
      <c r="C6184" t="s">
        <v>6262</v>
      </c>
      <c r="D6184">
        <v>2019</v>
      </c>
      <c r="F6184" t="s">
        <v>1985</v>
      </c>
      <c r="G6184">
        <v>0</v>
      </c>
      <c r="H6184">
        <v>0</v>
      </c>
      <c r="I6184">
        <v>1</v>
      </c>
      <c r="J6184">
        <v>0</v>
      </c>
      <c r="K6184">
        <v>0</v>
      </c>
      <c r="L6184">
        <f t="shared" si="192"/>
        <v>5.2</v>
      </c>
      <c r="M6184">
        <f t="shared" si="193"/>
        <v>1</v>
      </c>
    </row>
    <row r="6185" spans="1:13" x14ac:dyDescent="0.3">
      <c r="A6185">
        <v>6183</v>
      </c>
      <c r="B6185">
        <v>6184</v>
      </c>
      <c r="C6185" t="s">
        <v>6263</v>
      </c>
      <c r="D6185">
        <v>2016</v>
      </c>
      <c r="E6185" t="s">
        <v>11</v>
      </c>
      <c r="F6185" t="s">
        <v>1985</v>
      </c>
      <c r="G6185">
        <v>0</v>
      </c>
      <c r="H6185">
        <v>0</v>
      </c>
      <c r="I6185">
        <v>1</v>
      </c>
      <c r="J6185">
        <v>0</v>
      </c>
      <c r="K6185">
        <v>0</v>
      </c>
      <c r="L6185">
        <f t="shared" si="192"/>
        <v>5.2</v>
      </c>
      <c r="M6185">
        <f t="shared" si="193"/>
        <v>1</v>
      </c>
    </row>
    <row r="6186" spans="1:13" x14ac:dyDescent="0.3">
      <c r="A6186">
        <v>6184</v>
      </c>
      <c r="B6186">
        <v>6185</v>
      </c>
      <c r="C6186" t="s">
        <v>6264</v>
      </c>
      <c r="D6186">
        <v>2013</v>
      </c>
      <c r="E6186" t="s">
        <v>11</v>
      </c>
      <c r="F6186" t="s">
        <v>1985</v>
      </c>
      <c r="G6186">
        <v>0</v>
      </c>
      <c r="H6186">
        <v>0</v>
      </c>
      <c r="I6186">
        <v>1</v>
      </c>
      <c r="J6186">
        <v>0</v>
      </c>
      <c r="K6186">
        <v>0</v>
      </c>
      <c r="L6186">
        <f t="shared" si="192"/>
        <v>5.2</v>
      </c>
      <c r="M6186">
        <f t="shared" si="193"/>
        <v>1</v>
      </c>
    </row>
    <row r="6187" spans="1:13" x14ac:dyDescent="0.3">
      <c r="A6187">
        <v>6185</v>
      </c>
      <c r="B6187">
        <v>6186</v>
      </c>
      <c r="C6187" t="s">
        <v>6265</v>
      </c>
      <c r="D6187">
        <v>2018</v>
      </c>
      <c r="E6187" t="s">
        <v>28</v>
      </c>
      <c r="F6187" t="s">
        <v>1985</v>
      </c>
      <c r="G6187">
        <v>0</v>
      </c>
      <c r="H6187">
        <v>0</v>
      </c>
      <c r="I6187">
        <v>1</v>
      </c>
      <c r="J6187">
        <v>0</v>
      </c>
      <c r="K6187">
        <v>0</v>
      </c>
      <c r="L6187">
        <f t="shared" si="192"/>
        <v>5.2</v>
      </c>
      <c r="M6187">
        <f t="shared" si="193"/>
        <v>1</v>
      </c>
    </row>
    <row r="6188" spans="1:13" x14ac:dyDescent="0.3">
      <c r="A6188">
        <v>6186</v>
      </c>
      <c r="B6188">
        <v>6187</v>
      </c>
      <c r="C6188" t="s">
        <v>6266</v>
      </c>
      <c r="D6188">
        <v>2020</v>
      </c>
      <c r="E6188" t="s">
        <v>22</v>
      </c>
      <c r="F6188" t="s">
        <v>1985</v>
      </c>
      <c r="G6188">
        <v>0</v>
      </c>
      <c r="H6188">
        <v>0</v>
      </c>
      <c r="I6188">
        <v>1</v>
      </c>
      <c r="J6188">
        <v>0</v>
      </c>
      <c r="K6188">
        <v>0</v>
      </c>
      <c r="L6188">
        <f t="shared" si="192"/>
        <v>5.2</v>
      </c>
      <c r="M6188">
        <f t="shared" si="193"/>
        <v>1</v>
      </c>
    </row>
    <row r="6189" spans="1:13" x14ac:dyDescent="0.3">
      <c r="A6189">
        <v>6187</v>
      </c>
      <c r="B6189">
        <v>6188</v>
      </c>
      <c r="C6189" t="s">
        <v>6267</v>
      </c>
      <c r="D6189">
        <v>1999</v>
      </c>
      <c r="E6189" t="s">
        <v>14</v>
      </c>
      <c r="F6189" t="s">
        <v>1985</v>
      </c>
      <c r="G6189">
        <v>0</v>
      </c>
      <c r="H6189">
        <v>0</v>
      </c>
      <c r="I6189">
        <v>1</v>
      </c>
      <c r="J6189">
        <v>0</v>
      </c>
      <c r="K6189">
        <v>0</v>
      </c>
      <c r="L6189">
        <f t="shared" si="192"/>
        <v>5.2</v>
      </c>
      <c r="M6189">
        <f t="shared" si="193"/>
        <v>1</v>
      </c>
    </row>
    <row r="6190" spans="1:13" x14ac:dyDescent="0.3">
      <c r="A6190">
        <v>6188</v>
      </c>
      <c r="B6190">
        <v>6189</v>
      </c>
      <c r="C6190" t="s">
        <v>6268</v>
      </c>
      <c r="D6190">
        <v>2020</v>
      </c>
      <c r="F6190" t="s">
        <v>1985</v>
      </c>
      <c r="G6190">
        <v>0</v>
      </c>
      <c r="H6190">
        <v>0</v>
      </c>
      <c r="I6190">
        <v>1</v>
      </c>
      <c r="J6190">
        <v>0</v>
      </c>
      <c r="K6190">
        <v>0</v>
      </c>
      <c r="L6190">
        <f t="shared" si="192"/>
        <v>5.2</v>
      </c>
      <c r="M6190">
        <f t="shared" si="193"/>
        <v>1</v>
      </c>
    </row>
    <row r="6191" spans="1:13" x14ac:dyDescent="0.3">
      <c r="A6191">
        <v>6189</v>
      </c>
      <c r="B6191">
        <v>6190</v>
      </c>
      <c r="C6191" t="s">
        <v>6269</v>
      </c>
      <c r="D6191">
        <v>2020</v>
      </c>
      <c r="F6191" t="s">
        <v>1985</v>
      </c>
      <c r="G6191">
        <v>0</v>
      </c>
      <c r="H6191">
        <v>0</v>
      </c>
      <c r="I6191">
        <v>1</v>
      </c>
      <c r="J6191">
        <v>0</v>
      </c>
      <c r="K6191">
        <v>0</v>
      </c>
      <c r="L6191">
        <f t="shared" si="192"/>
        <v>5.2</v>
      </c>
      <c r="M6191">
        <f t="shared" si="193"/>
        <v>1</v>
      </c>
    </row>
    <row r="6192" spans="1:13" x14ac:dyDescent="0.3">
      <c r="A6192">
        <v>6190</v>
      </c>
      <c r="B6192">
        <v>6191</v>
      </c>
      <c r="C6192" t="s">
        <v>6270</v>
      </c>
      <c r="D6192">
        <v>2019</v>
      </c>
      <c r="F6192" t="s">
        <v>1985</v>
      </c>
      <c r="G6192">
        <v>0</v>
      </c>
      <c r="H6192">
        <v>0</v>
      </c>
      <c r="I6192">
        <v>1</v>
      </c>
      <c r="J6192">
        <v>0</v>
      </c>
      <c r="K6192">
        <v>0</v>
      </c>
      <c r="L6192">
        <f t="shared" si="192"/>
        <v>5.2</v>
      </c>
      <c r="M6192">
        <f t="shared" si="193"/>
        <v>1</v>
      </c>
    </row>
    <row r="6193" spans="1:13" x14ac:dyDescent="0.3">
      <c r="A6193">
        <v>6191</v>
      </c>
      <c r="B6193">
        <v>6192</v>
      </c>
      <c r="C6193" t="s">
        <v>6271</v>
      </c>
      <c r="D6193">
        <v>2018</v>
      </c>
      <c r="F6193" t="s">
        <v>1985</v>
      </c>
      <c r="G6193">
        <v>0</v>
      </c>
      <c r="H6193">
        <v>0</v>
      </c>
      <c r="I6193">
        <v>1</v>
      </c>
      <c r="J6193">
        <v>0</v>
      </c>
      <c r="K6193">
        <v>0</v>
      </c>
      <c r="L6193">
        <f t="shared" si="192"/>
        <v>5.2</v>
      </c>
      <c r="M6193">
        <f t="shared" si="193"/>
        <v>1</v>
      </c>
    </row>
    <row r="6194" spans="1:13" x14ac:dyDescent="0.3">
      <c r="A6194">
        <v>6192</v>
      </c>
      <c r="B6194">
        <v>6193</v>
      </c>
      <c r="C6194" t="s">
        <v>6272</v>
      </c>
      <c r="D6194">
        <v>2018</v>
      </c>
      <c r="E6194" t="s">
        <v>36</v>
      </c>
      <c r="F6194" t="s">
        <v>1985</v>
      </c>
      <c r="G6194">
        <v>0</v>
      </c>
      <c r="H6194">
        <v>0</v>
      </c>
      <c r="I6194">
        <v>1</v>
      </c>
      <c r="J6194">
        <v>0</v>
      </c>
      <c r="K6194">
        <v>0</v>
      </c>
      <c r="L6194">
        <f t="shared" si="192"/>
        <v>5.2</v>
      </c>
      <c r="M6194">
        <f t="shared" si="193"/>
        <v>1</v>
      </c>
    </row>
    <row r="6195" spans="1:13" x14ac:dyDescent="0.3">
      <c r="A6195">
        <v>6193</v>
      </c>
      <c r="B6195">
        <v>6194</v>
      </c>
      <c r="C6195" t="s">
        <v>6273</v>
      </c>
      <c r="D6195">
        <v>2019</v>
      </c>
      <c r="F6195" t="s">
        <v>1985</v>
      </c>
      <c r="G6195">
        <v>0</v>
      </c>
      <c r="H6195">
        <v>0</v>
      </c>
      <c r="I6195">
        <v>1</v>
      </c>
      <c r="J6195">
        <v>0</v>
      </c>
      <c r="K6195">
        <v>0</v>
      </c>
      <c r="L6195">
        <f t="shared" si="192"/>
        <v>5.2</v>
      </c>
      <c r="M6195">
        <f t="shared" si="193"/>
        <v>1</v>
      </c>
    </row>
    <row r="6196" spans="1:13" x14ac:dyDescent="0.3">
      <c r="A6196">
        <v>6194</v>
      </c>
      <c r="B6196">
        <v>6195</v>
      </c>
      <c r="C6196" t="s">
        <v>6274</v>
      </c>
      <c r="D6196">
        <v>2016</v>
      </c>
      <c r="F6196" t="s">
        <v>1985</v>
      </c>
      <c r="G6196">
        <v>0</v>
      </c>
      <c r="H6196">
        <v>0</v>
      </c>
      <c r="I6196">
        <v>1</v>
      </c>
      <c r="J6196">
        <v>0</v>
      </c>
      <c r="K6196">
        <v>0</v>
      </c>
      <c r="L6196">
        <f t="shared" si="192"/>
        <v>5.2</v>
      </c>
      <c r="M6196">
        <f t="shared" si="193"/>
        <v>1</v>
      </c>
    </row>
    <row r="6197" spans="1:13" x14ac:dyDescent="0.3">
      <c r="A6197">
        <v>6195</v>
      </c>
      <c r="B6197">
        <v>6196</v>
      </c>
      <c r="C6197" t="s">
        <v>6275</v>
      </c>
      <c r="D6197">
        <v>2016</v>
      </c>
      <c r="F6197" t="s">
        <v>1985</v>
      </c>
      <c r="G6197">
        <v>0</v>
      </c>
      <c r="H6197">
        <v>0</v>
      </c>
      <c r="I6197">
        <v>1</v>
      </c>
      <c r="J6197">
        <v>0</v>
      </c>
      <c r="K6197">
        <v>0</v>
      </c>
      <c r="L6197">
        <f t="shared" si="192"/>
        <v>5.2</v>
      </c>
      <c r="M6197">
        <f t="shared" si="193"/>
        <v>1</v>
      </c>
    </row>
    <row r="6198" spans="1:13" x14ac:dyDescent="0.3">
      <c r="A6198">
        <v>6196</v>
      </c>
      <c r="B6198">
        <v>6197</v>
      </c>
      <c r="C6198" t="s">
        <v>6276</v>
      </c>
      <c r="D6198">
        <v>2010</v>
      </c>
      <c r="E6198" t="s">
        <v>14</v>
      </c>
      <c r="F6198" t="s">
        <v>1985</v>
      </c>
      <c r="G6198">
        <v>0</v>
      </c>
      <c r="H6198">
        <v>0</v>
      </c>
      <c r="I6198">
        <v>1</v>
      </c>
      <c r="J6198">
        <v>0</v>
      </c>
      <c r="K6198">
        <v>0</v>
      </c>
      <c r="L6198">
        <f t="shared" si="192"/>
        <v>5.2</v>
      </c>
      <c r="M6198">
        <f t="shared" si="193"/>
        <v>1</v>
      </c>
    </row>
    <row r="6199" spans="1:13" x14ac:dyDescent="0.3">
      <c r="A6199">
        <v>6197</v>
      </c>
      <c r="B6199">
        <v>6198</v>
      </c>
      <c r="C6199" t="s">
        <v>6277</v>
      </c>
      <c r="D6199">
        <v>2016</v>
      </c>
      <c r="E6199" t="s">
        <v>11</v>
      </c>
      <c r="F6199" t="s">
        <v>1985</v>
      </c>
      <c r="G6199">
        <v>0</v>
      </c>
      <c r="H6199">
        <v>0</v>
      </c>
      <c r="I6199">
        <v>1</v>
      </c>
      <c r="J6199">
        <v>0</v>
      </c>
      <c r="K6199">
        <v>0</v>
      </c>
      <c r="L6199">
        <f t="shared" si="192"/>
        <v>5.2</v>
      </c>
      <c r="M6199">
        <f t="shared" si="193"/>
        <v>1</v>
      </c>
    </row>
    <row r="6200" spans="1:13" x14ac:dyDescent="0.3">
      <c r="A6200">
        <v>6198</v>
      </c>
      <c r="B6200">
        <v>6199</v>
      </c>
      <c r="C6200" t="s">
        <v>6278</v>
      </c>
      <c r="D6200">
        <v>2017</v>
      </c>
      <c r="F6200" t="s">
        <v>1985</v>
      </c>
      <c r="G6200">
        <v>0</v>
      </c>
      <c r="H6200">
        <v>0</v>
      </c>
      <c r="I6200">
        <v>1</v>
      </c>
      <c r="J6200">
        <v>0</v>
      </c>
      <c r="K6200">
        <v>0</v>
      </c>
      <c r="L6200">
        <f t="shared" si="192"/>
        <v>5.2</v>
      </c>
      <c r="M6200">
        <f t="shared" si="193"/>
        <v>1</v>
      </c>
    </row>
    <row r="6201" spans="1:13" x14ac:dyDescent="0.3">
      <c r="A6201">
        <v>6199</v>
      </c>
      <c r="B6201">
        <v>6200</v>
      </c>
      <c r="C6201" t="s">
        <v>6279</v>
      </c>
      <c r="D6201">
        <v>2017</v>
      </c>
      <c r="E6201" t="s">
        <v>36</v>
      </c>
      <c r="F6201" t="s">
        <v>1985</v>
      </c>
      <c r="G6201">
        <v>0</v>
      </c>
      <c r="H6201">
        <v>0</v>
      </c>
      <c r="I6201">
        <v>1</v>
      </c>
      <c r="J6201">
        <v>0</v>
      </c>
      <c r="K6201">
        <v>0</v>
      </c>
      <c r="L6201">
        <f t="shared" si="192"/>
        <v>5.2</v>
      </c>
      <c r="M6201">
        <f t="shared" si="193"/>
        <v>1</v>
      </c>
    </row>
    <row r="6202" spans="1:13" x14ac:dyDescent="0.3">
      <c r="A6202">
        <v>6200</v>
      </c>
      <c r="B6202">
        <v>6201</v>
      </c>
      <c r="C6202" t="s">
        <v>6280</v>
      </c>
      <c r="D6202">
        <v>2013</v>
      </c>
      <c r="E6202" t="s">
        <v>11</v>
      </c>
      <c r="F6202" t="s">
        <v>1985</v>
      </c>
      <c r="G6202">
        <v>0</v>
      </c>
      <c r="H6202">
        <v>0</v>
      </c>
      <c r="I6202">
        <v>1</v>
      </c>
      <c r="J6202">
        <v>0</v>
      </c>
      <c r="K6202">
        <v>0</v>
      </c>
      <c r="L6202">
        <f t="shared" si="192"/>
        <v>5.2</v>
      </c>
      <c r="M6202">
        <f t="shared" si="193"/>
        <v>1</v>
      </c>
    </row>
    <row r="6203" spans="1:13" x14ac:dyDescent="0.3">
      <c r="A6203">
        <v>6201</v>
      </c>
      <c r="B6203">
        <v>6202</v>
      </c>
      <c r="C6203" t="s">
        <v>6281</v>
      </c>
      <c r="D6203">
        <v>2006</v>
      </c>
      <c r="F6203" t="s">
        <v>1985</v>
      </c>
      <c r="G6203">
        <v>0</v>
      </c>
      <c r="H6203">
        <v>0</v>
      </c>
      <c r="I6203">
        <v>1</v>
      </c>
      <c r="J6203">
        <v>0</v>
      </c>
      <c r="K6203">
        <v>0</v>
      </c>
      <c r="L6203">
        <f t="shared" si="192"/>
        <v>5.2</v>
      </c>
      <c r="M6203">
        <f t="shared" si="193"/>
        <v>1</v>
      </c>
    </row>
    <row r="6204" spans="1:13" x14ac:dyDescent="0.3">
      <c r="A6204">
        <v>6202</v>
      </c>
      <c r="B6204">
        <v>6203</v>
      </c>
      <c r="C6204" t="s">
        <v>6282</v>
      </c>
      <c r="D6204">
        <v>2015</v>
      </c>
      <c r="F6204" t="s">
        <v>1985</v>
      </c>
      <c r="G6204">
        <v>0</v>
      </c>
      <c r="H6204">
        <v>0</v>
      </c>
      <c r="I6204">
        <v>1</v>
      </c>
      <c r="J6204">
        <v>0</v>
      </c>
      <c r="K6204">
        <v>0</v>
      </c>
      <c r="L6204">
        <f t="shared" si="192"/>
        <v>5.2</v>
      </c>
      <c r="M6204">
        <f t="shared" si="193"/>
        <v>1</v>
      </c>
    </row>
    <row r="6205" spans="1:13" x14ac:dyDescent="0.3">
      <c r="A6205">
        <v>6203</v>
      </c>
      <c r="B6205">
        <v>6204</v>
      </c>
      <c r="C6205" t="s">
        <v>6283</v>
      </c>
      <c r="D6205">
        <v>2020</v>
      </c>
      <c r="E6205" t="s">
        <v>14</v>
      </c>
      <c r="F6205" t="s">
        <v>1985</v>
      </c>
      <c r="G6205">
        <v>0</v>
      </c>
      <c r="H6205">
        <v>0</v>
      </c>
      <c r="I6205">
        <v>1</v>
      </c>
      <c r="J6205">
        <v>0</v>
      </c>
      <c r="K6205">
        <v>0</v>
      </c>
      <c r="L6205">
        <f t="shared" si="192"/>
        <v>5.2</v>
      </c>
      <c r="M6205">
        <f t="shared" si="193"/>
        <v>1</v>
      </c>
    </row>
    <row r="6206" spans="1:13" x14ac:dyDescent="0.3">
      <c r="A6206">
        <v>6204</v>
      </c>
      <c r="B6206">
        <v>6205</v>
      </c>
      <c r="C6206" t="s">
        <v>6284</v>
      </c>
      <c r="D6206">
        <v>2009</v>
      </c>
      <c r="F6206" t="s">
        <v>1985</v>
      </c>
      <c r="G6206">
        <v>0</v>
      </c>
      <c r="H6206">
        <v>0</v>
      </c>
      <c r="I6206">
        <v>1</v>
      </c>
      <c r="J6206">
        <v>0</v>
      </c>
      <c r="K6206">
        <v>0</v>
      </c>
      <c r="L6206">
        <f t="shared" si="192"/>
        <v>5.2</v>
      </c>
      <c r="M6206">
        <f t="shared" si="193"/>
        <v>1</v>
      </c>
    </row>
    <row r="6207" spans="1:13" x14ac:dyDescent="0.3">
      <c r="A6207">
        <v>6205</v>
      </c>
      <c r="B6207">
        <v>6206</v>
      </c>
      <c r="C6207" t="s">
        <v>6285</v>
      </c>
      <c r="D6207">
        <v>1996</v>
      </c>
      <c r="E6207" t="s">
        <v>11</v>
      </c>
      <c r="F6207" t="s">
        <v>1985</v>
      </c>
      <c r="G6207">
        <v>0</v>
      </c>
      <c r="H6207">
        <v>0</v>
      </c>
      <c r="I6207">
        <v>1</v>
      </c>
      <c r="J6207">
        <v>0</v>
      </c>
      <c r="K6207">
        <v>0</v>
      </c>
      <c r="L6207">
        <f t="shared" si="192"/>
        <v>5.2</v>
      </c>
      <c r="M6207">
        <f t="shared" si="193"/>
        <v>1</v>
      </c>
    </row>
    <row r="6208" spans="1:13" x14ac:dyDescent="0.3">
      <c r="A6208">
        <v>6206</v>
      </c>
      <c r="B6208">
        <v>6207</v>
      </c>
      <c r="C6208" t="s">
        <v>6286</v>
      </c>
      <c r="D6208">
        <v>2019</v>
      </c>
      <c r="F6208" t="s">
        <v>1985</v>
      </c>
      <c r="G6208">
        <v>0</v>
      </c>
      <c r="H6208">
        <v>0</v>
      </c>
      <c r="I6208">
        <v>1</v>
      </c>
      <c r="J6208">
        <v>0</v>
      </c>
      <c r="K6208">
        <v>0</v>
      </c>
      <c r="L6208">
        <f t="shared" si="192"/>
        <v>5.2</v>
      </c>
      <c r="M6208">
        <f t="shared" si="193"/>
        <v>1</v>
      </c>
    </row>
    <row r="6209" spans="1:13" x14ac:dyDescent="0.3">
      <c r="A6209">
        <v>6207</v>
      </c>
      <c r="B6209">
        <v>6208</v>
      </c>
      <c r="C6209" t="s">
        <v>6287</v>
      </c>
      <c r="D6209">
        <v>1997</v>
      </c>
      <c r="E6209" t="s">
        <v>22</v>
      </c>
      <c r="F6209" t="s">
        <v>1985</v>
      </c>
      <c r="G6209">
        <v>0</v>
      </c>
      <c r="H6209">
        <v>0</v>
      </c>
      <c r="I6209">
        <v>1</v>
      </c>
      <c r="J6209">
        <v>0</v>
      </c>
      <c r="K6209">
        <v>0</v>
      </c>
      <c r="L6209">
        <f t="shared" si="192"/>
        <v>5.2</v>
      </c>
      <c r="M6209">
        <f t="shared" si="193"/>
        <v>1</v>
      </c>
    </row>
    <row r="6210" spans="1:13" x14ac:dyDescent="0.3">
      <c r="A6210">
        <v>6208</v>
      </c>
      <c r="B6210">
        <v>6209</v>
      </c>
      <c r="C6210" t="s">
        <v>6288</v>
      </c>
      <c r="D6210">
        <v>2015</v>
      </c>
      <c r="E6210" t="s">
        <v>28</v>
      </c>
      <c r="F6210" t="s">
        <v>1985</v>
      </c>
      <c r="G6210">
        <v>0</v>
      </c>
      <c r="H6210">
        <v>0</v>
      </c>
      <c r="I6210">
        <v>1</v>
      </c>
      <c r="J6210">
        <v>0</v>
      </c>
      <c r="K6210">
        <v>0</v>
      </c>
      <c r="L6210">
        <f t="shared" si="192"/>
        <v>5.2</v>
      </c>
      <c r="M6210">
        <f t="shared" si="193"/>
        <v>1</v>
      </c>
    </row>
    <row r="6211" spans="1:13" x14ac:dyDescent="0.3">
      <c r="A6211">
        <v>6209</v>
      </c>
      <c r="B6211">
        <v>6210</v>
      </c>
      <c r="C6211" t="s">
        <v>6289</v>
      </c>
      <c r="D6211">
        <v>2013</v>
      </c>
      <c r="E6211" t="s">
        <v>14</v>
      </c>
      <c r="F6211" t="s">
        <v>1985</v>
      </c>
      <c r="G6211">
        <v>0</v>
      </c>
      <c r="H6211">
        <v>0</v>
      </c>
      <c r="I6211">
        <v>1</v>
      </c>
      <c r="J6211">
        <v>0</v>
      </c>
      <c r="K6211">
        <v>0</v>
      </c>
      <c r="L6211">
        <f t="shared" ref="L6211:L6274" si="194">IFERROR(VALUE(LEFT(F6211,FIND("/",F6211)-1))/10,"")</f>
        <v>5.2</v>
      </c>
      <c r="M6211">
        <f t="shared" ref="M6211:M6274" si="195">SUM(G6211:J6211)</f>
        <v>1</v>
      </c>
    </row>
    <row r="6212" spans="1:13" x14ac:dyDescent="0.3">
      <c r="A6212">
        <v>6210</v>
      </c>
      <c r="B6212">
        <v>6211</v>
      </c>
      <c r="C6212" t="s">
        <v>6290</v>
      </c>
      <c r="D6212">
        <v>1989</v>
      </c>
      <c r="E6212" t="s">
        <v>11</v>
      </c>
      <c r="F6212" t="s">
        <v>1985</v>
      </c>
      <c r="G6212">
        <v>0</v>
      </c>
      <c r="H6212">
        <v>0</v>
      </c>
      <c r="I6212">
        <v>1</v>
      </c>
      <c r="J6212">
        <v>0</v>
      </c>
      <c r="K6212">
        <v>0</v>
      </c>
      <c r="L6212">
        <f t="shared" si="194"/>
        <v>5.2</v>
      </c>
      <c r="M6212">
        <f t="shared" si="195"/>
        <v>1</v>
      </c>
    </row>
    <row r="6213" spans="1:13" x14ac:dyDescent="0.3">
      <c r="A6213">
        <v>6211</v>
      </c>
      <c r="B6213">
        <v>6212</v>
      </c>
      <c r="C6213" t="s">
        <v>6291</v>
      </c>
      <c r="D6213">
        <v>1973</v>
      </c>
      <c r="E6213" t="s">
        <v>14</v>
      </c>
      <c r="F6213" t="s">
        <v>1985</v>
      </c>
      <c r="G6213">
        <v>0</v>
      </c>
      <c r="H6213">
        <v>0</v>
      </c>
      <c r="I6213">
        <v>1</v>
      </c>
      <c r="J6213">
        <v>0</v>
      </c>
      <c r="K6213">
        <v>0</v>
      </c>
      <c r="L6213">
        <f t="shared" si="194"/>
        <v>5.2</v>
      </c>
      <c r="M6213">
        <f t="shared" si="195"/>
        <v>1</v>
      </c>
    </row>
    <row r="6214" spans="1:13" x14ac:dyDescent="0.3">
      <c r="A6214">
        <v>6212</v>
      </c>
      <c r="B6214">
        <v>6213</v>
      </c>
      <c r="C6214" t="s">
        <v>6292</v>
      </c>
      <c r="D6214">
        <v>2018</v>
      </c>
      <c r="F6214" t="s">
        <v>1985</v>
      </c>
      <c r="G6214">
        <v>0</v>
      </c>
      <c r="H6214">
        <v>0</v>
      </c>
      <c r="I6214">
        <v>1</v>
      </c>
      <c r="J6214">
        <v>0</v>
      </c>
      <c r="K6214">
        <v>0</v>
      </c>
      <c r="L6214">
        <f t="shared" si="194"/>
        <v>5.2</v>
      </c>
      <c r="M6214">
        <f t="shared" si="195"/>
        <v>1</v>
      </c>
    </row>
    <row r="6215" spans="1:13" x14ac:dyDescent="0.3">
      <c r="A6215">
        <v>6213</v>
      </c>
      <c r="B6215">
        <v>6214</v>
      </c>
      <c r="C6215" t="s">
        <v>6293</v>
      </c>
      <c r="D6215">
        <v>1991</v>
      </c>
      <c r="E6215" t="s">
        <v>11</v>
      </c>
      <c r="F6215" t="s">
        <v>1985</v>
      </c>
      <c r="G6215">
        <v>0</v>
      </c>
      <c r="H6215">
        <v>0</v>
      </c>
      <c r="I6215">
        <v>1</v>
      </c>
      <c r="J6215">
        <v>0</v>
      </c>
      <c r="K6215">
        <v>0</v>
      </c>
      <c r="L6215">
        <f t="shared" si="194"/>
        <v>5.2</v>
      </c>
      <c r="M6215">
        <f t="shared" si="195"/>
        <v>1</v>
      </c>
    </row>
    <row r="6216" spans="1:13" x14ac:dyDescent="0.3">
      <c r="A6216">
        <v>6214</v>
      </c>
      <c r="B6216">
        <v>6215</v>
      </c>
      <c r="C6216" t="s">
        <v>6294</v>
      </c>
      <c r="D6216">
        <v>2009</v>
      </c>
      <c r="E6216" t="s">
        <v>22</v>
      </c>
      <c r="F6216" t="s">
        <v>1985</v>
      </c>
      <c r="G6216">
        <v>0</v>
      </c>
      <c r="H6216">
        <v>0</v>
      </c>
      <c r="I6216">
        <v>1</v>
      </c>
      <c r="J6216">
        <v>0</v>
      </c>
      <c r="K6216">
        <v>0</v>
      </c>
      <c r="L6216">
        <f t="shared" si="194"/>
        <v>5.2</v>
      </c>
      <c r="M6216">
        <f t="shared" si="195"/>
        <v>1</v>
      </c>
    </row>
    <row r="6217" spans="1:13" x14ac:dyDescent="0.3">
      <c r="A6217">
        <v>6215</v>
      </c>
      <c r="B6217">
        <v>6216</v>
      </c>
      <c r="C6217" t="s">
        <v>6295</v>
      </c>
      <c r="D6217">
        <v>2020</v>
      </c>
      <c r="F6217" t="s">
        <v>1985</v>
      </c>
      <c r="G6217">
        <v>0</v>
      </c>
      <c r="H6217">
        <v>0</v>
      </c>
      <c r="I6217">
        <v>1</v>
      </c>
      <c r="J6217">
        <v>0</v>
      </c>
      <c r="K6217">
        <v>0</v>
      </c>
      <c r="L6217">
        <f t="shared" si="194"/>
        <v>5.2</v>
      </c>
      <c r="M6217">
        <f t="shared" si="195"/>
        <v>1</v>
      </c>
    </row>
    <row r="6218" spans="1:13" x14ac:dyDescent="0.3">
      <c r="A6218">
        <v>6216</v>
      </c>
      <c r="B6218">
        <v>6217</v>
      </c>
      <c r="C6218" t="s">
        <v>6296</v>
      </c>
      <c r="D6218">
        <v>2018</v>
      </c>
      <c r="E6218" t="s">
        <v>36</v>
      </c>
      <c r="F6218" t="s">
        <v>1985</v>
      </c>
      <c r="G6218">
        <v>0</v>
      </c>
      <c r="H6218">
        <v>0</v>
      </c>
      <c r="I6218">
        <v>1</v>
      </c>
      <c r="J6218">
        <v>0</v>
      </c>
      <c r="K6218">
        <v>0</v>
      </c>
      <c r="L6218">
        <f t="shared" si="194"/>
        <v>5.2</v>
      </c>
      <c r="M6218">
        <f t="shared" si="195"/>
        <v>1</v>
      </c>
    </row>
    <row r="6219" spans="1:13" x14ac:dyDescent="0.3">
      <c r="A6219">
        <v>6217</v>
      </c>
      <c r="B6219">
        <v>6218</v>
      </c>
      <c r="C6219" t="s">
        <v>6297</v>
      </c>
      <c r="D6219">
        <v>2014</v>
      </c>
      <c r="E6219" t="s">
        <v>14</v>
      </c>
      <c r="F6219" t="s">
        <v>1985</v>
      </c>
      <c r="G6219">
        <v>0</v>
      </c>
      <c r="H6219">
        <v>0</v>
      </c>
      <c r="I6219">
        <v>1</v>
      </c>
      <c r="J6219">
        <v>0</v>
      </c>
      <c r="K6219">
        <v>0</v>
      </c>
      <c r="L6219">
        <f t="shared" si="194"/>
        <v>5.2</v>
      </c>
      <c r="M6219">
        <f t="shared" si="195"/>
        <v>1</v>
      </c>
    </row>
    <row r="6220" spans="1:13" x14ac:dyDescent="0.3">
      <c r="A6220">
        <v>6218</v>
      </c>
      <c r="B6220">
        <v>6219</v>
      </c>
      <c r="C6220" t="s">
        <v>6298</v>
      </c>
      <c r="D6220">
        <v>2019</v>
      </c>
      <c r="E6220" t="s">
        <v>11</v>
      </c>
      <c r="F6220" t="s">
        <v>1985</v>
      </c>
      <c r="G6220">
        <v>0</v>
      </c>
      <c r="H6220">
        <v>0</v>
      </c>
      <c r="I6220">
        <v>1</v>
      </c>
      <c r="J6220">
        <v>0</v>
      </c>
      <c r="K6220">
        <v>0</v>
      </c>
      <c r="L6220">
        <f t="shared" si="194"/>
        <v>5.2</v>
      </c>
      <c r="M6220">
        <f t="shared" si="195"/>
        <v>1</v>
      </c>
    </row>
    <row r="6221" spans="1:13" x14ac:dyDescent="0.3">
      <c r="A6221">
        <v>6219</v>
      </c>
      <c r="B6221">
        <v>6220</v>
      </c>
      <c r="C6221" t="s">
        <v>6299</v>
      </c>
      <c r="D6221">
        <v>2014</v>
      </c>
      <c r="E6221" t="s">
        <v>14</v>
      </c>
      <c r="F6221" t="s">
        <v>1985</v>
      </c>
      <c r="G6221">
        <v>0</v>
      </c>
      <c r="H6221">
        <v>0</v>
      </c>
      <c r="I6221">
        <v>1</v>
      </c>
      <c r="J6221">
        <v>0</v>
      </c>
      <c r="K6221">
        <v>0</v>
      </c>
      <c r="L6221">
        <f t="shared" si="194"/>
        <v>5.2</v>
      </c>
      <c r="M6221">
        <f t="shared" si="195"/>
        <v>1</v>
      </c>
    </row>
    <row r="6222" spans="1:13" x14ac:dyDescent="0.3">
      <c r="A6222">
        <v>6220</v>
      </c>
      <c r="B6222">
        <v>6221</v>
      </c>
      <c r="C6222" t="s">
        <v>6300</v>
      </c>
      <c r="D6222">
        <v>2018</v>
      </c>
      <c r="E6222" t="s">
        <v>11</v>
      </c>
      <c r="F6222" t="s">
        <v>1985</v>
      </c>
      <c r="G6222">
        <v>0</v>
      </c>
      <c r="H6222">
        <v>0</v>
      </c>
      <c r="I6222">
        <v>1</v>
      </c>
      <c r="J6222">
        <v>0</v>
      </c>
      <c r="K6222">
        <v>0</v>
      </c>
      <c r="L6222">
        <f t="shared" si="194"/>
        <v>5.2</v>
      </c>
      <c r="M6222">
        <f t="shared" si="195"/>
        <v>1</v>
      </c>
    </row>
    <row r="6223" spans="1:13" x14ac:dyDescent="0.3">
      <c r="A6223">
        <v>6221</v>
      </c>
      <c r="B6223">
        <v>6222</v>
      </c>
      <c r="C6223" t="s">
        <v>6301</v>
      </c>
      <c r="D6223">
        <v>2020</v>
      </c>
      <c r="F6223" t="s">
        <v>1985</v>
      </c>
      <c r="G6223">
        <v>0</v>
      </c>
      <c r="H6223">
        <v>0</v>
      </c>
      <c r="I6223">
        <v>1</v>
      </c>
      <c r="J6223">
        <v>0</v>
      </c>
      <c r="K6223">
        <v>0</v>
      </c>
      <c r="L6223">
        <f t="shared" si="194"/>
        <v>5.2</v>
      </c>
      <c r="M6223">
        <f t="shared" si="195"/>
        <v>1</v>
      </c>
    </row>
    <row r="6224" spans="1:13" x14ac:dyDescent="0.3">
      <c r="A6224">
        <v>6222</v>
      </c>
      <c r="B6224">
        <v>6223</v>
      </c>
      <c r="C6224" t="s">
        <v>6302</v>
      </c>
      <c r="D6224">
        <v>2018</v>
      </c>
      <c r="E6224" t="s">
        <v>28</v>
      </c>
      <c r="F6224" t="s">
        <v>1985</v>
      </c>
      <c r="G6224">
        <v>0</v>
      </c>
      <c r="H6224">
        <v>0</v>
      </c>
      <c r="I6224">
        <v>1</v>
      </c>
      <c r="J6224">
        <v>0</v>
      </c>
      <c r="K6224">
        <v>0</v>
      </c>
      <c r="L6224">
        <f t="shared" si="194"/>
        <v>5.2</v>
      </c>
      <c r="M6224">
        <f t="shared" si="195"/>
        <v>1</v>
      </c>
    </row>
    <row r="6225" spans="1:13" x14ac:dyDescent="0.3">
      <c r="A6225">
        <v>6223</v>
      </c>
      <c r="B6225">
        <v>6224</v>
      </c>
      <c r="C6225" t="s">
        <v>6303</v>
      </c>
      <c r="D6225">
        <v>2017</v>
      </c>
      <c r="E6225" t="s">
        <v>14</v>
      </c>
      <c r="F6225" t="s">
        <v>1985</v>
      </c>
      <c r="G6225">
        <v>0</v>
      </c>
      <c r="H6225">
        <v>0</v>
      </c>
      <c r="I6225">
        <v>1</v>
      </c>
      <c r="J6225">
        <v>0</v>
      </c>
      <c r="K6225">
        <v>0</v>
      </c>
      <c r="L6225">
        <f t="shared" si="194"/>
        <v>5.2</v>
      </c>
      <c r="M6225">
        <f t="shared" si="195"/>
        <v>1</v>
      </c>
    </row>
    <row r="6226" spans="1:13" x14ac:dyDescent="0.3">
      <c r="A6226">
        <v>6224</v>
      </c>
      <c r="B6226">
        <v>6225</v>
      </c>
      <c r="C6226" t="s">
        <v>6304</v>
      </c>
      <c r="D6226">
        <v>1929</v>
      </c>
      <c r="F6226" t="s">
        <v>1985</v>
      </c>
      <c r="G6226">
        <v>0</v>
      </c>
      <c r="H6226">
        <v>0</v>
      </c>
      <c r="I6226">
        <v>1</v>
      </c>
      <c r="J6226">
        <v>0</v>
      </c>
      <c r="K6226">
        <v>0</v>
      </c>
      <c r="L6226">
        <f t="shared" si="194"/>
        <v>5.2</v>
      </c>
      <c r="M6226">
        <f t="shared" si="195"/>
        <v>1</v>
      </c>
    </row>
    <row r="6227" spans="1:13" x14ac:dyDescent="0.3">
      <c r="A6227">
        <v>6225</v>
      </c>
      <c r="B6227">
        <v>6226</v>
      </c>
      <c r="C6227" t="s">
        <v>6305</v>
      </c>
      <c r="D6227">
        <v>2007</v>
      </c>
      <c r="E6227" t="s">
        <v>22</v>
      </c>
      <c r="F6227" t="s">
        <v>1985</v>
      </c>
      <c r="G6227">
        <v>0</v>
      </c>
      <c r="H6227">
        <v>0</v>
      </c>
      <c r="I6227">
        <v>1</v>
      </c>
      <c r="J6227">
        <v>0</v>
      </c>
      <c r="K6227">
        <v>0</v>
      </c>
      <c r="L6227">
        <f t="shared" si="194"/>
        <v>5.2</v>
      </c>
      <c r="M6227">
        <f t="shared" si="195"/>
        <v>1</v>
      </c>
    </row>
    <row r="6228" spans="1:13" x14ac:dyDescent="0.3">
      <c r="A6228">
        <v>6226</v>
      </c>
      <c r="B6228">
        <v>6227</v>
      </c>
      <c r="C6228" t="s">
        <v>6306</v>
      </c>
      <c r="D6228">
        <v>2013</v>
      </c>
      <c r="F6228" t="s">
        <v>1985</v>
      </c>
      <c r="G6228">
        <v>0</v>
      </c>
      <c r="H6228">
        <v>0</v>
      </c>
      <c r="I6228">
        <v>1</v>
      </c>
      <c r="J6228">
        <v>0</v>
      </c>
      <c r="K6228">
        <v>0</v>
      </c>
      <c r="L6228">
        <f t="shared" si="194"/>
        <v>5.2</v>
      </c>
      <c r="M6228">
        <f t="shared" si="195"/>
        <v>1</v>
      </c>
    </row>
    <row r="6229" spans="1:13" x14ac:dyDescent="0.3">
      <c r="A6229">
        <v>6227</v>
      </c>
      <c r="B6229">
        <v>6228</v>
      </c>
      <c r="C6229" t="s">
        <v>6307</v>
      </c>
      <c r="D6229">
        <v>2016</v>
      </c>
      <c r="F6229" t="s">
        <v>1985</v>
      </c>
      <c r="G6229">
        <v>0</v>
      </c>
      <c r="H6229">
        <v>0</v>
      </c>
      <c r="I6229">
        <v>1</v>
      </c>
      <c r="J6229">
        <v>0</v>
      </c>
      <c r="K6229">
        <v>0</v>
      </c>
      <c r="L6229">
        <f t="shared" si="194"/>
        <v>5.2</v>
      </c>
      <c r="M6229">
        <f t="shared" si="195"/>
        <v>1</v>
      </c>
    </row>
    <row r="6230" spans="1:13" x14ac:dyDescent="0.3">
      <c r="A6230">
        <v>6228</v>
      </c>
      <c r="B6230">
        <v>6229</v>
      </c>
      <c r="C6230" t="s">
        <v>6308</v>
      </c>
      <c r="D6230">
        <v>2010</v>
      </c>
      <c r="E6230" t="s">
        <v>11</v>
      </c>
      <c r="F6230" t="s">
        <v>1985</v>
      </c>
      <c r="G6230">
        <v>0</v>
      </c>
      <c r="H6230">
        <v>0</v>
      </c>
      <c r="I6230">
        <v>1</v>
      </c>
      <c r="J6230">
        <v>0</v>
      </c>
      <c r="K6230">
        <v>0</v>
      </c>
      <c r="L6230">
        <f t="shared" si="194"/>
        <v>5.2</v>
      </c>
      <c r="M6230">
        <f t="shared" si="195"/>
        <v>1</v>
      </c>
    </row>
    <row r="6231" spans="1:13" x14ac:dyDescent="0.3">
      <c r="A6231">
        <v>6229</v>
      </c>
      <c r="B6231">
        <v>6230</v>
      </c>
      <c r="C6231" t="s">
        <v>6309</v>
      </c>
      <c r="D6231">
        <v>1948</v>
      </c>
      <c r="F6231" t="s">
        <v>1985</v>
      </c>
      <c r="G6231">
        <v>0</v>
      </c>
      <c r="H6231">
        <v>0</v>
      </c>
      <c r="I6231">
        <v>1</v>
      </c>
      <c r="J6231">
        <v>0</v>
      </c>
      <c r="K6231">
        <v>0</v>
      </c>
      <c r="L6231">
        <f t="shared" si="194"/>
        <v>5.2</v>
      </c>
      <c r="M6231">
        <f t="shared" si="195"/>
        <v>1</v>
      </c>
    </row>
    <row r="6232" spans="1:13" x14ac:dyDescent="0.3">
      <c r="A6232">
        <v>6230</v>
      </c>
      <c r="B6232">
        <v>6231</v>
      </c>
      <c r="C6232" t="s">
        <v>6310</v>
      </c>
      <c r="D6232">
        <v>2009</v>
      </c>
      <c r="F6232" t="s">
        <v>1985</v>
      </c>
      <c r="G6232">
        <v>0</v>
      </c>
      <c r="H6232">
        <v>0</v>
      </c>
      <c r="I6232">
        <v>1</v>
      </c>
      <c r="J6232">
        <v>0</v>
      </c>
      <c r="K6232">
        <v>0</v>
      </c>
      <c r="L6232">
        <f t="shared" si="194"/>
        <v>5.2</v>
      </c>
      <c r="M6232">
        <f t="shared" si="195"/>
        <v>1</v>
      </c>
    </row>
    <row r="6233" spans="1:13" x14ac:dyDescent="0.3">
      <c r="A6233">
        <v>6231</v>
      </c>
      <c r="B6233">
        <v>6232</v>
      </c>
      <c r="C6233" t="s">
        <v>6311</v>
      </c>
      <c r="D6233">
        <v>2017</v>
      </c>
      <c r="F6233" t="s">
        <v>1985</v>
      </c>
      <c r="G6233">
        <v>0</v>
      </c>
      <c r="H6233">
        <v>0</v>
      </c>
      <c r="I6233">
        <v>1</v>
      </c>
      <c r="J6233">
        <v>0</v>
      </c>
      <c r="K6233">
        <v>0</v>
      </c>
      <c r="L6233">
        <f t="shared" si="194"/>
        <v>5.2</v>
      </c>
      <c r="M6233">
        <f t="shared" si="195"/>
        <v>1</v>
      </c>
    </row>
    <row r="6234" spans="1:13" x14ac:dyDescent="0.3">
      <c r="A6234">
        <v>6232</v>
      </c>
      <c r="B6234">
        <v>6233</v>
      </c>
      <c r="C6234" t="s">
        <v>6312</v>
      </c>
      <c r="D6234">
        <v>2018</v>
      </c>
      <c r="F6234" t="s">
        <v>1985</v>
      </c>
      <c r="G6234">
        <v>0</v>
      </c>
      <c r="H6234">
        <v>0</v>
      </c>
      <c r="I6234">
        <v>1</v>
      </c>
      <c r="J6234">
        <v>0</v>
      </c>
      <c r="K6234">
        <v>0</v>
      </c>
      <c r="L6234">
        <f t="shared" si="194"/>
        <v>5.2</v>
      </c>
      <c r="M6234">
        <f t="shared" si="195"/>
        <v>1</v>
      </c>
    </row>
    <row r="6235" spans="1:13" x14ac:dyDescent="0.3">
      <c r="A6235">
        <v>6233</v>
      </c>
      <c r="B6235">
        <v>6234</v>
      </c>
      <c r="C6235" t="s">
        <v>6313</v>
      </c>
      <c r="D6235">
        <v>2011</v>
      </c>
      <c r="E6235" t="s">
        <v>14</v>
      </c>
      <c r="F6235" t="s">
        <v>1985</v>
      </c>
      <c r="G6235">
        <v>0</v>
      </c>
      <c r="H6235">
        <v>0</v>
      </c>
      <c r="I6235">
        <v>1</v>
      </c>
      <c r="J6235">
        <v>0</v>
      </c>
      <c r="K6235">
        <v>0</v>
      </c>
      <c r="L6235">
        <f t="shared" si="194"/>
        <v>5.2</v>
      </c>
      <c r="M6235">
        <f t="shared" si="195"/>
        <v>1</v>
      </c>
    </row>
    <row r="6236" spans="1:13" x14ac:dyDescent="0.3">
      <c r="A6236">
        <v>6234</v>
      </c>
      <c r="B6236">
        <v>6235</v>
      </c>
      <c r="C6236" t="s">
        <v>6314</v>
      </c>
      <c r="D6236">
        <v>2020</v>
      </c>
      <c r="F6236" t="s">
        <v>1985</v>
      </c>
      <c r="G6236">
        <v>0</v>
      </c>
      <c r="H6236">
        <v>0</v>
      </c>
      <c r="I6236">
        <v>1</v>
      </c>
      <c r="J6236">
        <v>0</v>
      </c>
      <c r="K6236">
        <v>0</v>
      </c>
      <c r="L6236">
        <f t="shared" si="194"/>
        <v>5.2</v>
      </c>
      <c r="M6236">
        <f t="shared" si="195"/>
        <v>1</v>
      </c>
    </row>
    <row r="6237" spans="1:13" x14ac:dyDescent="0.3">
      <c r="A6237">
        <v>6235</v>
      </c>
      <c r="B6237">
        <v>6236</v>
      </c>
      <c r="C6237" t="s">
        <v>6315</v>
      </c>
      <c r="D6237">
        <v>1996</v>
      </c>
      <c r="E6237" t="s">
        <v>22</v>
      </c>
      <c r="F6237" t="s">
        <v>1985</v>
      </c>
      <c r="G6237">
        <v>0</v>
      </c>
      <c r="H6237">
        <v>0</v>
      </c>
      <c r="I6237">
        <v>1</v>
      </c>
      <c r="J6237">
        <v>0</v>
      </c>
      <c r="K6237">
        <v>0</v>
      </c>
      <c r="L6237">
        <f t="shared" si="194"/>
        <v>5.2</v>
      </c>
      <c r="M6237">
        <f t="shared" si="195"/>
        <v>1</v>
      </c>
    </row>
    <row r="6238" spans="1:13" x14ac:dyDescent="0.3">
      <c r="A6238">
        <v>6236</v>
      </c>
      <c r="B6238">
        <v>6237</v>
      </c>
      <c r="C6238" t="s">
        <v>6316</v>
      </c>
      <c r="D6238">
        <v>2008</v>
      </c>
      <c r="E6238" t="s">
        <v>14</v>
      </c>
      <c r="F6238" t="s">
        <v>1985</v>
      </c>
      <c r="G6238">
        <v>0</v>
      </c>
      <c r="H6238">
        <v>0</v>
      </c>
      <c r="I6238">
        <v>1</v>
      </c>
      <c r="J6238">
        <v>0</v>
      </c>
      <c r="K6238">
        <v>0</v>
      </c>
      <c r="L6238">
        <f t="shared" si="194"/>
        <v>5.2</v>
      </c>
      <c r="M6238">
        <f t="shared" si="195"/>
        <v>1</v>
      </c>
    </row>
    <row r="6239" spans="1:13" x14ac:dyDescent="0.3">
      <c r="A6239">
        <v>6237</v>
      </c>
      <c r="B6239">
        <v>6238</v>
      </c>
      <c r="C6239" t="s">
        <v>6317</v>
      </c>
      <c r="D6239">
        <v>2014</v>
      </c>
      <c r="E6239" t="s">
        <v>22</v>
      </c>
      <c r="F6239" t="s">
        <v>1985</v>
      </c>
      <c r="G6239">
        <v>0</v>
      </c>
      <c r="H6239">
        <v>0</v>
      </c>
      <c r="I6239">
        <v>1</v>
      </c>
      <c r="J6239">
        <v>0</v>
      </c>
      <c r="K6239">
        <v>0</v>
      </c>
      <c r="L6239">
        <f t="shared" si="194"/>
        <v>5.2</v>
      </c>
      <c r="M6239">
        <f t="shared" si="195"/>
        <v>1</v>
      </c>
    </row>
    <row r="6240" spans="1:13" x14ac:dyDescent="0.3">
      <c r="A6240">
        <v>6238</v>
      </c>
      <c r="B6240">
        <v>6239</v>
      </c>
      <c r="C6240" t="s">
        <v>6318</v>
      </c>
      <c r="D6240">
        <v>2017</v>
      </c>
      <c r="F6240" t="s">
        <v>1985</v>
      </c>
      <c r="G6240">
        <v>0</v>
      </c>
      <c r="H6240">
        <v>0</v>
      </c>
      <c r="I6240">
        <v>1</v>
      </c>
      <c r="J6240">
        <v>0</v>
      </c>
      <c r="K6240">
        <v>0</v>
      </c>
      <c r="L6240">
        <f t="shared" si="194"/>
        <v>5.2</v>
      </c>
      <c r="M6240">
        <f t="shared" si="195"/>
        <v>1</v>
      </c>
    </row>
    <row r="6241" spans="1:13" x14ac:dyDescent="0.3">
      <c r="A6241">
        <v>6239</v>
      </c>
      <c r="B6241">
        <v>6240</v>
      </c>
      <c r="C6241" t="s">
        <v>6319</v>
      </c>
      <c r="D6241">
        <v>1997</v>
      </c>
      <c r="E6241" t="s">
        <v>11</v>
      </c>
      <c r="F6241" t="s">
        <v>1985</v>
      </c>
      <c r="G6241">
        <v>0</v>
      </c>
      <c r="H6241">
        <v>0</v>
      </c>
      <c r="I6241">
        <v>1</v>
      </c>
      <c r="J6241">
        <v>0</v>
      </c>
      <c r="K6241">
        <v>0</v>
      </c>
      <c r="L6241">
        <f t="shared" si="194"/>
        <v>5.2</v>
      </c>
      <c r="M6241">
        <f t="shared" si="195"/>
        <v>1</v>
      </c>
    </row>
    <row r="6242" spans="1:13" x14ac:dyDescent="0.3">
      <c r="A6242">
        <v>6240</v>
      </c>
      <c r="B6242">
        <v>6241</v>
      </c>
      <c r="C6242" t="s">
        <v>6320</v>
      </c>
      <c r="D6242">
        <v>2014</v>
      </c>
      <c r="F6242" t="s">
        <v>1985</v>
      </c>
      <c r="G6242">
        <v>0</v>
      </c>
      <c r="H6242">
        <v>0</v>
      </c>
      <c r="I6242">
        <v>1</v>
      </c>
      <c r="J6242">
        <v>0</v>
      </c>
      <c r="K6242">
        <v>0</v>
      </c>
      <c r="L6242">
        <f t="shared" si="194"/>
        <v>5.2</v>
      </c>
      <c r="M6242">
        <f t="shared" si="195"/>
        <v>1</v>
      </c>
    </row>
    <row r="6243" spans="1:13" x14ac:dyDescent="0.3">
      <c r="A6243">
        <v>6241</v>
      </c>
      <c r="B6243">
        <v>6242</v>
      </c>
      <c r="C6243" t="s">
        <v>6321</v>
      </c>
      <c r="D6243">
        <v>2011</v>
      </c>
      <c r="E6243" t="s">
        <v>14</v>
      </c>
      <c r="F6243" t="s">
        <v>1985</v>
      </c>
      <c r="G6243">
        <v>0</v>
      </c>
      <c r="H6243">
        <v>0</v>
      </c>
      <c r="I6243">
        <v>1</v>
      </c>
      <c r="J6243">
        <v>0</v>
      </c>
      <c r="K6243">
        <v>0</v>
      </c>
      <c r="L6243">
        <f t="shared" si="194"/>
        <v>5.2</v>
      </c>
      <c r="M6243">
        <f t="shared" si="195"/>
        <v>1</v>
      </c>
    </row>
    <row r="6244" spans="1:13" x14ac:dyDescent="0.3">
      <c r="A6244">
        <v>6242</v>
      </c>
      <c r="B6244">
        <v>6243</v>
      </c>
      <c r="C6244" t="s">
        <v>6322</v>
      </c>
      <c r="D6244">
        <v>2014</v>
      </c>
      <c r="F6244" t="s">
        <v>2084</v>
      </c>
      <c r="G6244">
        <v>0</v>
      </c>
      <c r="H6244">
        <v>0</v>
      </c>
      <c r="I6244">
        <v>1</v>
      </c>
      <c r="J6244">
        <v>0</v>
      </c>
      <c r="K6244">
        <v>0</v>
      </c>
      <c r="L6244">
        <f t="shared" si="194"/>
        <v>5.0999999999999996</v>
      </c>
      <c r="M6244">
        <f t="shared" si="195"/>
        <v>1</v>
      </c>
    </row>
    <row r="6245" spans="1:13" x14ac:dyDescent="0.3">
      <c r="A6245">
        <v>6243</v>
      </c>
      <c r="B6245">
        <v>6244</v>
      </c>
      <c r="C6245" t="s">
        <v>6323</v>
      </c>
      <c r="D6245">
        <v>2011</v>
      </c>
      <c r="F6245" t="s">
        <v>2084</v>
      </c>
      <c r="G6245">
        <v>0</v>
      </c>
      <c r="H6245">
        <v>0</v>
      </c>
      <c r="I6245">
        <v>1</v>
      </c>
      <c r="J6245">
        <v>0</v>
      </c>
      <c r="K6245">
        <v>0</v>
      </c>
      <c r="L6245">
        <f t="shared" si="194"/>
        <v>5.0999999999999996</v>
      </c>
      <c r="M6245">
        <f t="shared" si="195"/>
        <v>1</v>
      </c>
    </row>
    <row r="6246" spans="1:13" x14ac:dyDescent="0.3">
      <c r="A6246">
        <v>6244</v>
      </c>
      <c r="B6246">
        <v>6245</v>
      </c>
      <c r="C6246" t="s">
        <v>6324</v>
      </c>
      <c r="D6246">
        <v>2015</v>
      </c>
      <c r="E6246" t="s">
        <v>14</v>
      </c>
      <c r="F6246" t="s">
        <v>2084</v>
      </c>
      <c r="G6246">
        <v>0</v>
      </c>
      <c r="H6246">
        <v>0</v>
      </c>
      <c r="I6246">
        <v>1</v>
      </c>
      <c r="J6246">
        <v>0</v>
      </c>
      <c r="K6246">
        <v>0</v>
      </c>
      <c r="L6246">
        <f t="shared" si="194"/>
        <v>5.0999999999999996</v>
      </c>
      <c r="M6246">
        <f t="shared" si="195"/>
        <v>1</v>
      </c>
    </row>
    <row r="6247" spans="1:13" x14ac:dyDescent="0.3">
      <c r="A6247">
        <v>6245</v>
      </c>
      <c r="B6247">
        <v>6246</v>
      </c>
      <c r="C6247" t="s">
        <v>6325</v>
      </c>
      <c r="D6247">
        <v>1959</v>
      </c>
      <c r="F6247" t="s">
        <v>2084</v>
      </c>
      <c r="G6247">
        <v>0</v>
      </c>
      <c r="H6247">
        <v>0</v>
      </c>
      <c r="I6247">
        <v>1</v>
      </c>
      <c r="J6247">
        <v>0</v>
      </c>
      <c r="K6247">
        <v>0</v>
      </c>
      <c r="L6247">
        <f t="shared" si="194"/>
        <v>5.0999999999999996</v>
      </c>
      <c r="M6247">
        <f t="shared" si="195"/>
        <v>1</v>
      </c>
    </row>
    <row r="6248" spans="1:13" x14ac:dyDescent="0.3">
      <c r="A6248">
        <v>6246</v>
      </c>
      <c r="B6248">
        <v>6247</v>
      </c>
      <c r="C6248" t="s">
        <v>6326</v>
      </c>
      <c r="D6248">
        <v>2018</v>
      </c>
      <c r="F6248" t="s">
        <v>2084</v>
      </c>
      <c r="G6248">
        <v>0</v>
      </c>
      <c r="H6248">
        <v>0</v>
      </c>
      <c r="I6248">
        <v>1</v>
      </c>
      <c r="J6248">
        <v>0</v>
      </c>
      <c r="K6248">
        <v>0</v>
      </c>
      <c r="L6248">
        <f t="shared" si="194"/>
        <v>5.0999999999999996</v>
      </c>
      <c r="M6248">
        <f t="shared" si="195"/>
        <v>1</v>
      </c>
    </row>
    <row r="6249" spans="1:13" x14ac:dyDescent="0.3">
      <c r="A6249">
        <v>6247</v>
      </c>
      <c r="B6249">
        <v>6248</v>
      </c>
      <c r="C6249" t="s">
        <v>6327</v>
      </c>
      <c r="D6249">
        <v>2005</v>
      </c>
      <c r="E6249" t="s">
        <v>11</v>
      </c>
      <c r="F6249" t="s">
        <v>2084</v>
      </c>
      <c r="G6249">
        <v>0</v>
      </c>
      <c r="H6249">
        <v>0</v>
      </c>
      <c r="I6249">
        <v>1</v>
      </c>
      <c r="J6249">
        <v>0</v>
      </c>
      <c r="K6249">
        <v>0</v>
      </c>
      <c r="L6249">
        <f t="shared" si="194"/>
        <v>5.0999999999999996</v>
      </c>
      <c r="M6249">
        <f t="shared" si="195"/>
        <v>1</v>
      </c>
    </row>
    <row r="6250" spans="1:13" x14ac:dyDescent="0.3">
      <c r="A6250">
        <v>6248</v>
      </c>
      <c r="B6250">
        <v>6249</v>
      </c>
      <c r="C6250" t="s">
        <v>6328</v>
      </c>
      <c r="D6250">
        <v>1987</v>
      </c>
      <c r="E6250" t="s">
        <v>14</v>
      </c>
      <c r="F6250" t="s">
        <v>2084</v>
      </c>
      <c r="G6250">
        <v>0</v>
      </c>
      <c r="H6250">
        <v>0</v>
      </c>
      <c r="I6250">
        <v>1</v>
      </c>
      <c r="J6250">
        <v>0</v>
      </c>
      <c r="K6250">
        <v>0</v>
      </c>
      <c r="L6250">
        <f t="shared" si="194"/>
        <v>5.0999999999999996</v>
      </c>
      <c r="M6250">
        <f t="shared" si="195"/>
        <v>1</v>
      </c>
    </row>
    <row r="6251" spans="1:13" x14ac:dyDescent="0.3">
      <c r="A6251">
        <v>6249</v>
      </c>
      <c r="B6251">
        <v>6250</v>
      </c>
      <c r="C6251" t="s">
        <v>6329</v>
      </c>
      <c r="D6251">
        <v>1961</v>
      </c>
      <c r="E6251" t="s">
        <v>22</v>
      </c>
      <c r="F6251" t="s">
        <v>2084</v>
      </c>
      <c r="G6251">
        <v>0</v>
      </c>
      <c r="H6251">
        <v>0</v>
      </c>
      <c r="I6251">
        <v>1</v>
      </c>
      <c r="J6251">
        <v>0</v>
      </c>
      <c r="K6251">
        <v>0</v>
      </c>
      <c r="L6251">
        <f t="shared" si="194"/>
        <v>5.0999999999999996</v>
      </c>
      <c r="M6251">
        <f t="shared" si="195"/>
        <v>1</v>
      </c>
    </row>
    <row r="6252" spans="1:13" x14ac:dyDescent="0.3">
      <c r="A6252">
        <v>6250</v>
      </c>
      <c r="B6252">
        <v>6251</v>
      </c>
      <c r="C6252" t="s">
        <v>6330</v>
      </c>
      <c r="D6252">
        <v>2016</v>
      </c>
      <c r="F6252" t="s">
        <v>2084</v>
      </c>
      <c r="G6252">
        <v>0</v>
      </c>
      <c r="H6252">
        <v>0</v>
      </c>
      <c r="I6252">
        <v>1</v>
      </c>
      <c r="J6252">
        <v>0</v>
      </c>
      <c r="K6252">
        <v>0</v>
      </c>
      <c r="L6252">
        <f t="shared" si="194"/>
        <v>5.0999999999999996</v>
      </c>
      <c r="M6252">
        <f t="shared" si="195"/>
        <v>1</v>
      </c>
    </row>
    <row r="6253" spans="1:13" x14ac:dyDescent="0.3">
      <c r="A6253">
        <v>6251</v>
      </c>
      <c r="B6253">
        <v>6252</v>
      </c>
      <c r="C6253" t="s">
        <v>6331</v>
      </c>
      <c r="D6253">
        <v>1992</v>
      </c>
      <c r="E6253" t="s">
        <v>11</v>
      </c>
      <c r="F6253" t="s">
        <v>2084</v>
      </c>
      <c r="G6253">
        <v>0</v>
      </c>
      <c r="H6253">
        <v>0</v>
      </c>
      <c r="I6253">
        <v>1</v>
      </c>
      <c r="J6253">
        <v>0</v>
      </c>
      <c r="K6253">
        <v>0</v>
      </c>
      <c r="L6253">
        <f t="shared" si="194"/>
        <v>5.0999999999999996</v>
      </c>
      <c r="M6253">
        <f t="shared" si="195"/>
        <v>1</v>
      </c>
    </row>
    <row r="6254" spans="1:13" x14ac:dyDescent="0.3">
      <c r="A6254">
        <v>6252</v>
      </c>
      <c r="B6254">
        <v>6253</v>
      </c>
      <c r="C6254" t="s">
        <v>6332</v>
      </c>
      <c r="D6254">
        <v>2019</v>
      </c>
      <c r="F6254" t="s">
        <v>2084</v>
      </c>
      <c r="G6254">
        <v>0</v>
      </c>
      <c r="H6254">
        <v>0</v>
      </c>
      <c r="I6254">
        <v>1</v>
      </c>
      <c r="J6254">
        <v>0</v>
      </c>
      <c r="K6254">
        <v>0</v>
      </c>
      <c r="L6254">
        <f t="shared" si="194"/>
        <v>5.0999999999999996</v>
      </c>
      <c r="M6254">
        <f t="shared" si="195"/>
        <v>1</v>
      </c>
    </row>
    <row r="6255" spans="1:13" x14ac:dyDescent="0.3">
      <c r="A6255">
        <v>6253</v>
      </c>
      <c r="B6255">
        <v>6254</v>
      </c>
      <c r="C6255" t="s">
        <v>6333</v>
      </c>
      <c r="D6255">
        <v>2005</v>
      </c>
      <c r="F6255" t="s">
        <v>2084</v>
      </c>
      <c r="G6255">
        <v>0</v>
      </c>
      <c r="H6255">
        <v>0</v>
      </c>
      <c r="I6255">
        <v>1</v>
      </c>
      <c r="J6255">
        <v>0</v>
      </c>
      <c r="K6255">
        <v>0</v>
      </c>
      <c r="L6255">
        <f t="shared" si="194"/>
        <v>5.0999999999999996</v>
      </c>
      <c r="M6255">
        <f t="shared" si="195"/>
        <v>1</v>
      </c>
    </row>
    <row r="6256" spans="1:13" x14ac:dyDescent="0.3">
      <c r="A6256">
        <v>6254</v>
      </c>
      <c r="B6256">
        <v>6255</v>
      </c>
      <c r="C6256" t="s">
        <v>6334</v>
      </c>
      <c r="D6256">
        <v>2011</v>
      </c>
      <c r="F6256" t="s">
        <v>2084</v>
      </c>
      <c r="G6256">
        <v>0</v>
      </c>
      <c r="H6256">
        <v>0</v>
      </c>
      <c r="I6256">
        <v>1</v>
      </c>
      <c r="J6256">
        <v>0</v>
      </c>
      <c r="K6256">
        <v>0</v>
      </c>
      <c r="L6256">
        <f t="shared" si="194"/>
        <v>5.0999999999999996</v>
      </c>
      <c r="M6256">
        <f t="shared" si="195"/>
        <v>1</v>
      </c>
    </row>
    <row r="6257" spans="1:13" x14ac:dyDescent="0.3">
      <c r="A6257">
        <v>6255</v>
      </c>
      <c r="B6257">
        <v>6256</v>
      </c>
      <c r="C6257" t="s">
        <v>6335</v>
      </c>
      <c r="D6257">
        <v>2016</v>
      </c>
      <c r="E6257" t="s">
        <v>14</v>
      </c>
      <c r="F6257" t="s">
        <v>2084</v>
      </c>
      <c r="G6257">
        <v>0</v>
      </c>
      <c r="H6257">
        <v>0</v>
      </c>
      <c r="I6257">
        <v>1</v>
      </c>
      <c r="J6257">
        <v>0</v>
      </c>
      <c r="K6257">
        <v>0</v>
      </c>
      <c r="L6257">
        <f t="shared" si="194"/>
        <v>5.0999999999999996</v>
      </c>
      <c r="M6257">
        <f t="shared" si="195"/>
        <v>1</v>
      </c>
    </row>
    <row r="6258" spans="1:13" x14ac:dyDescent="0.3">
      <c r="A6258">
        <v>6256</v>
      </c>
      <c r="B6258">
        <v>6257</v>
      </c>
      <c r="C6258" t="s">
        <v>6336</v>
      </c>
      <c r="D6258">
        <v>1997</v>
      </c>
      <c r="E6258" t="s">
        <v>11</v>
      </c>
      <c r="F6258" t="s">
        <v>2084</v>
      </c>
      <c r="G6258">
        <v>0</v>
      </c>
      <c r="H6258">
        <v>0</v>
      </c>
      <c r="I6258">
        <v>1</v>
      </c>
      <c r="J6258">
        <v>0</v>
      </c>
      <c r="K6258">
        <v>0</v>
      </c>
      <c r="L6258">
        <f t="shared" si="194"/>
        <v>5.0999999999999996</v>
      </c>
      <c r="M6258">
        <f t="shared" si="195"/>
        <v>1</v>
      </c>
    </row>
    <row r="6259" spans="1:13" x14ac:dyDescent="0.3">
      <c r="A6259">
        <v>6257</v>
      </c>
      <c r="B6259">
        <v>6258</v>
      </c>
      <c r="C6259" t="s">
        <v>6337</v>
      </c>
      <c r="D6259">
        <v>2014</v>
      </c>
      <c r="E6259" t="s">
        <v>11</v>
      </c>
      <c r="F6259" t="s">
        <v>2084</v>
      </c>
      <c r="G6259">
        <v>0</v>
      </c>
      <c r="H6259">
        <v>0</v>
      </c>
      <c r="I6259">
        <v>1</v>
      </c>
      <c r="J6259">
        <v>0</v>
      </c>
      <c r="K6259">
        <v>0</v>
      </c>
      <c r="L6259">
        <f t="shared" si="194"/>
        <v>5.0999999999999996</v>
      </c>
      <c r="M6259">
        <f t="shared" si="195"/>
        <v>1</v>
      </c>
    </row>
    <row r="6260" spans="1:13" x14ac:dyDescent="0.3">
      <c r="A6260">
        <v>6258</v>
      </c>
      <c r="B6260">
        <v>6259</v>
      </c>
      <c r="C6260" t="s">
        <v>6338</v>
      </c>
      <c r="D6260">
        <v>2015</v>
      </c>
      <c r="E6260" t="s">
        <v>14</v>
      </c>
      <c r="F6260" t="s">
        <v>2084</v>
      </c>
      <c r="G6260">
        <v>0</v>
      </c>
      <c r="H6260">
        <v>0</v>
      </c>
      <c r="I6260">
        <v>1</v>
      </c>
      <c r="J6260">
        <v>0</v>
      </c>
      <c r="K6260">
        <v>0</v>
      </c>
      <c r="L6260">
        <f t="shared" si="194"/>
        <v>5.0999999999999996</v>
      </c>
      <c r="M6260">
        <f t="shared" si="195"/>
        <v>1</v>
      </c>
    </row>
    <row r="6261" spans="1:13" x14ac:dyDescent="0.3">
      <c r="A6261">
        <v>6259</v>
      </c>
      <c r="B6261">
        <v>6260</v>
      </c>
      <c r="C6261" t="s">
        <v>6339</v>
      </c>
      <c r="D6261">
        <v>2009</v>
      </c>
      <c r="E6261" t="s">
        <v>11</v>
      </c>
      <c r="F6261" t="s">
        <v>2084</v>
      </c>
      <c r="G6261">
        <v>0</v>
      </c>
      <c r="H6261">
        <v>0</v>
      </c>
      <c r="I6261">
        <v>1</v>
      </c>
      <c r="J6261">
        <v>0</v>
      </c>
      <c r="K6261">
        <v>0</v>
      </c>
      <c r="L6261">
        <f t="shared" si="194"/>
        <v>5.0999999999999996</v>
      </c>
      <c r="M6261">
        <f t="shared" si="195"/>
        <v>1</v>
      </c>
    </row>
    <row r="6262" spans="1:13" x14ac:dyDescent="0.3">
      <c r="A6262">
        <v>6260</v>
      </c>
      <c r="B6262">
        <v>6261</v>
      </c>
      <c r="C6262" t="s">
        <v>6340</v>
      </c>
      <c r="D6262">
        <v>2005</v>
      </c>
      <c r="E6262" t="s">
        <v>22</v>
      </c>
      <c r="F6262" t="s">
        <v>2084</v>
      </c>
      <c r="G6262">
        <v>0</v>
      </c>
      <c r="H6262">
        <v>0</v>
      </c>
      <c r="I6262">
        <v>1</v>
      </c>
      <c r="J6262">
        <v>0</v>
      </c>
      <c r="K6262">
        <v>0</v>
      </c>
      <c r="L6262">
        <f t="shared" si="194"/>
        <v>5.0999999999999996</v>
      </c>
      <c r="M6262">
        <f t="shared" si="195"/>
        <v>1</v>
      </c>
    </row>
    <row r="6263" spans="1:13" x14ac:dyDescent="0.3">
      <c r="A6263">
        <v>6261</v>
      </c>
      <c r="B6263">
        <v>6262</v>
      </c>
      <c r="C6263" t="s">
        <v>6341</v>
      </c>
      <c r="D6263">
        <v>2000</v>
      </c>
      <c r="E6263" t="s">
        <v>11</v>
      </c>
      <c r="F6263" t="s">
        <v>2084</v>
      </c>
      <c r="G6263">
        <v>0</v>
      </c>
      <c r="H6263">
        <v>0</v>
      </c>
      <c r="I6263">
        <v>1</v>
      </c>
      <c r="J6263">
        <v>0</v>
      </c>
      <c r="K6263">
        <v>0</v>
      </c>
      <c r="L6263">
        <f t="shared" si="194"/>
        <v>5.0999999999999996</v>
      </c>
      <c r="M6263">
        <f t="shared" si="195"/>
        <v>1</v>
      </c>
    </row>
    <row r="6264" spans="1:13" x14ac:dyDescent="0.3">
      <c r="A6264">
        <v>6262</v>
      </c>
      <c r="B6264">
        <v>6263</v>
      </c>
      <c r="C6264" t="s">
        <v>6342</v>
      </c>
      <c r="D6264">
        <v>2012</v>
      </c>
      <c r="E6264" t="s">
        <v>22</v>
      </c>
      <c r="F6264" t="s">
        <v>2084</v>
      </c>
      <c r="G6264">
        <v>0</v>
      </c>
      <c r="H6264">
        <v>0</v>
      </c>
      <c r="I6264">
        <v>1</v>
      </c>
      <c r="J6264">
        <v>0</v>
      </c>
      <c r="K6264">
        <v>0</v>
      </c>
      <c r="L6264">
        <f t="shared" si="194"/>
        <v>5.0999999999999996</v>
      </c>
      <c r="M6264">
        <f t="shared" si="195"/>
        <v>1</v>
      </c>
    </row>
    <row r="6265" spans="1:13" x14ac:dyDescent="0.3">
      <c r="A6265">
        <v>6263</v>
      </c>
      <c r="B6265">
        <v>6264</v>
      </c>
      <c r="C6265" t="s">
        <v>6343</v>
      </c>
      <c r="D6265">
        <v>2016</v>
      </c>
      <c r="E6265" t="s">
        <v>11</v>
      </c>
      <c r="F6265" t="s">
        <v>2084</v>
      </c>
      <c r="G6265">
        <v>0</v>
      </c>
      <c r="H6265">
        <v>0</v>
      </c>
      <c r="I6265">
        <v>1</v>
      </c>
      <c r="J6265">
        <v>0</v>
      </c>
      <c r="K6265">
        <v>0</v>
      </c>
      <c r="L6265">
        <f t="shared" si="194"/>
        <v>5.0999999999999996</v>
      </c>
      <c r="M6265">
        <f t="shared" si="195"/>
        <v>1</v>
      </c>
    </row>
    <row r="6266" spans="1:13" x14ac:dyDescent="0.3">
      <c r="A6266">
        <v>6264</v>
      </c>
      <c r="B6266">
        <v>6265</v>
      </c>
      <c r="C6266" t="s">
        <v>6344</v>
      </c>
      <c r="D6266">
        <v>2010</v>
      </c>
      <c r="E6266" t="s">
        <v>22</v>
      </c>
      <c r="F6266" t="s">
        <v>2084</v>
      </c>
      <c r="G6266">
        <v>0</v>
      </c>
      <c r="H6266">
        <v>0</v>
      </c>
      <c r="I6266">
        <v>1</v>
      </c>
      <c r="J6266">
        <v>0</v>
      </c>
      <c r="K6266">
        <v>0</v>
      </c>
      <c r="L6266">
        <f t="shared" si="194"/>
        <v>5.0999999999999996</v>
      </c>
      <c r="M6266">
        <f t="shared" si="195"/>
        <v>1</v>
      </c>
    </row>
    <row r="6267" spans="1:13" x14ac:dyDescent="0.3">
      <c r="A6267">
        <v>6265</v>
      </c>
      <c r="B6267">
        <v>6266</v>
      </c>
      <c r="C6267" t="s">
        <v>6345</v>
      </c>
      <c r="D6267">
        <v>2019</v>
      </c>
      <c r="E6267" t="s">
        <v>22</v>
      </c>
      <c r="F6267" t="s">
        <v>2084</v>
      </c>
      <c r="G6267">
        <v>0</v>
      </c>
      <c r="H6267">
        <v>0</v>
      </c>
      <c r="I6267">
        <v>1</v>
      </c>
      <c r="J6267">
        <v>0</v>
      </c>
      <c r="K6267">
        <v>0</v>
      </c>
      <c r="L6267">
        <f t="shared" si="194"/>
        <v>5.0999999999999996</v>
      </c>
      <c r="M6267">
        <f t="shared" si="195"/>
        <v>1</v>
      </c>
    </row>
    <row r="6268" spans="1:13" x14ac:dyDescent="0.3">
      <c r="A6268">
        <v>6266</v>
      </c>
      <c r="B6268">
        <v>6267</v>
      </c>
      <c r="C6268" t="s">
        <v>6346</v>
      </c>
      <c r="D6268">
        <v>2008</v>
      </c>
      <c r="E6268" t="s">
        <v>11</v>
      </c>
      <c r="F6268" t="s">
        <v>2084</v>
      </c>
      <c r="G6268">
        <v>0</v>
      </c>
      <c r="H6268">
        <v>0</v>
      </c>
      <c r="I6268">
        <v>1</v>
      </c>
      <c r="J6268">
        <v>0</v>
      </c>
      <c r="K6268">
        <v>0</v>
      </c>
      <c r="L6268">
        <f t="shared" si="194"/>
        <v>5.0999999999999996</v>
      </c>
      <c r="M6268">
        <f t="shared" si="195"/>
        <v>1</v>
      </c>
    </row>
    <row r="6269" spans="1:13" x14ac:dyDescent="0.3">
      <c r="A6269">
        <v>6267</v>
      </c>
      <c r="B6269">
        <v>6268</v>
      </c>
      <c r="C6269" t="s">
        <v>6347</v>
      </c>
      <c r="D6269">
        <v>2020</v>
      </c>
      <c r="E6269" t="s">
        <v>14</v>
      </c>
      <c r="F6269" t="s">
        <v>2084</v>
      </c>
      <c r="G6269">
        <v>0</v>
      </c>
      <c r="H6269">
        <v>0</v>
      </c>
      <c r="I6269">
        <v>1</v>
      </c>
      <c r="J6269">
        <v>0</v>
      </c>
      <c r="K6269">
        <v>0</v>
      </c>
      <c r="L6269">
        <f t="shared" si="194"/>
        <v>5.0999999999999996</v>
      </c>
      <c r="M6269">
        <f t="shared" si="195"/>
        <v>1</v>
      </c>
    </row>
    <row r="6270" spans="1:13" x14ac:dyDescent="0.3">
      <c r="A6270">
        <v>6268</v>
      </c>
      <c r="B6270">
        <v>6269</v>
      </c>
      <c r="C6270" t="s">
        <v>6348</v>
      </c>
      <c r="D6270">
        <v>2014</v>
      </c>
      <c r="E6270" t="s">
        <v>14</v>
      </c>
      <c r="F6270" t="s">
        <v>2084</v>
      </c>
      <c r="G6270">
        <v>0</v>
      </c>
      <c r="H6270">
        <v>0</v>
      </c>
      <c r="I6270">
        <v>1</v>
      </c>
      <c r="J6270">
        <v>0</v>
      </c>
      <c r="K6270">
        <v>0</v>
      </c>
      <c r="L6270">
        <f t="shared" si="194"/>
        <v>5.0999999999999996</v>
      </c>
      <c r="M6270">
        <f t="shared" si="195"/>
        <v>1</v>
      </c>
    </row>
    <row r="6271" spans="1:13" x14ac:dyDescent="0.3">
      <c r="A6271">
        <v>6269</v>
      </c>
      <c r="B6271">
        <v>6270</v>
      </c>
      <c r="C6271" t="s">
        <v>6349</v>
      </c>
      <c r="D6271">
        <v>2007</v>
      </c>
      <c r="F6271" t="s">
        <v>2084</v>
      </c>
      <c r="G6271">
        <v>0</v>
      </c>
      <c r="H6271">
        <v>0</v>
      </c>
      <c r="I6271">
        <v>1</v>
      </c>
      <c r="J6271">
        <v>0</v>
      </c>
      <c r="K6271">
        <v>0</v>
      </c>
      <c r="L6271">
        <f t="shared" si="194"/>
        <v>5.0999999999999996</v>
      </c>
      <c r="M6271">
        <f t="shared" si="195"/>
        <v>1</v>
      </c>
    </row>
    <row r="6272" spans="1:13" x14ac:dyDescent="0.3">
      <c r="A6272">
        <v>6270</v>
      </c>
      <c r="B6272">
        <v>6271</v>
      </c>
      <c r="C6272" t="s">
        <v>6350</v>
      </c>
      <c r="D6272">
        <v>2016</v>
      </c>
      <c r="E6272" t="s">
        <v>11</v>
      </c>
      <c r="F6272" t="s">
        <v>2084</v>
      </c>
      <c r="G6272">
        <v>0</v>
      </c>
      <c r="H6272">
        <v>0</v>
      </c>
      <c r="I6272">
        <v>1</v>
      </c>
      <c r="J6272">
        <v>0</v>
      </c>
      <c r="K6272">
        <v>0</v>
      </c>
      <c r="L6272">
        <f t="shared" si="194"/>
        <v>5.0999999999999996</v>
      </c>
      <c r="M6272">
        <f t="shared" si="195"/>
        <v>1</v>
      </c>
    </row>
    <row r="6273" spans="1:13" x14ac:dyDescent="0.3">
      <c r="A6273">
        <v>6271</v>
      </c>
      <c r="B6273">
        <v>6272</v>
      </c>
      <c r="C6273" t="s">
        <v>6351</v>
      </c>
      <c r="D6273">
        <v>2016</v>
      </c>
      <c r="E6273" t="s">
        <v>22</v>
      </c>
      <c r="F6273" t="s">
        <v>2084</v>
      </c>
      <c r="G6273">
        <v>0</v>
      </c>
      <c r="H6273">
        <v>0</v>
      </c>
      <c r="I6273">
        <v>1</v>
      </c>
      <c r="J6273">
        <v>0</v>
      </c>
      <c r="K6273">
        <v>0</v>
      </c>
      <c r="L6273">
        <f t="shared" si="194"/>
        <v>5.0999999999999996</v>
      </c>
      <c r="M6273">
        <f t="shared" si="195"/>
        <v>1</v>
      </c>
    </row>
    <row r="6274" spans="1:13" x14ac:dyDescent="0.3">
      <c r="A6274">
        <v>6272</v>
      </c>
      <c r="B6274">
        <v>6273</v>
      </c>
      <c r="C6274" t="s">
        <v>6352</v>
      </c>
      <c r="D6274">
        <v>1972</v>
      </c>
      <c r="E6274" t="s">
        <v>11</v>
      </c>
      <c r="F6274" t="s">
        <v>2084</v>
      </c>
      <c r="G6274">
        <v>0</v>
      </c>
      <c r="H6274">
        <v>0</v>
      </c>
      <c r="I6274">
        <v>1</v>
      </c>
      <c r="J6274">
        <v>0</v>
      </c>
      <c r="K6274">
        <v>0</v>
      </c>
      <c r="L6274">
        <f t="shared" si="194"/>
        <v>5.0999999999999996</v>
      </c>
      <c r="M6274">
        <f t="shared" si="195"/>
        <v>1</v>
      </c>
    </row>
    <row r="6275" spans="1:13" x14ac:dyDescent="0.3">
      <c r="A6275">
        <v>6273</v>
      </c>
      <c r="B6275">
        <v>6274</v>
      </c>
      <c r="C6275" t="s">
        <v>6353</v>
      </c>
      <c r="D6275">
        <v>1991</v>
      </c>
      <c r="E6275" t="s">
        <v>11</v>
      </c>
      <c r="F6275" t="s">
        <v>2084</v>
      </c>
      <c r="G6275">
        <v>0</v>
      </c>
      <c r="H6275">
        <v>0</v>
      </c>
      <c r="I6275">
        <v>1</v>
      </c>
      <c r="J6275">
        <v>0</v>
      </c>
      <c r="K6275">
        <v>0</v>
      </c>
      <c r="L6275">
        <f t="shared" ref="L6275:L6338" si="196">IFERROR(VALUE(LEFT(F6275,FIND("/",F6275)-1))/10,"")</f>
        <v>5.0999999999999996</v>
      </c>
      <c r="M6275">
        <f t="shared" ref="M6275:M6338" si="197">SUM(G6275:J6275)</f>
        <v>1</v>
      </c>
    </row>
    <row r="6276" spans="1:13" x14ac:dyDescent="0.3">
      <c r="A6276">
        <v>6274</v>
      </c>
      <c r="B6276">
        <v>6275</v>
      </c>
      <c r="C6276" t="s">
        <v>6354</v>
      </c>
      <c r="D6276">
        <v>2014</v>
      </c>
      <c r="E6276" t="s">
        <v>14</v>
      </c>
      <c r="F6276" t="s">
        <v>2084</v>
      </c>
      <c r="G6276">
        <v>0</v>
      </c>
      <c r="H6276">
        <v>0</v>
      </c>
      <c r="I6276">
        <v>1</v>
      </c>
      <c r="J6276">
        <v>0</v>
      </c>
      <c r="K6276">
        <v>0</v>
      </c>
      <c r="L6276">
        <f t="shared" si="196"/>
        <v>5.0999999999999996</v>
      </c>
      <c r="M6276">
        <f t="shared" si="197"/>
        <v>1</v>
      </c>
    </row>
    <row r="6277" spans="1:13" x14ac:dyDescent="0.3">
      <c r="A6277">
        <v>6275</v>
      </c>
      <c r="B6277">
        <v>6276</v>
      </c>
      <c r="C6277" t="s">
        <v>6355</v>
      </c>
      <c r="D6277">
        <v>2018</v>
      </c>
      <c r="F6277" t="s">
        <v>2084</v>
      </c>
      <c r="G6277">
        <v>0</v>
      </c>
      <c r="H6277">
        <v>0</v>
      </c>
      <c r="I6277">
        <v>1</v>
      </c>
      <c r="J6277">
        <v>0</v>
      </c>
      <c r="K6277">
        <v>0</v>
      </c>
      <c r="L6277">
        <f t="shared" si="196"/>
        <v>5.0999999999999996</v>
      </c>
      <c r="M6277">
        <f t="shared" si="197"/>
        <v>1</v>
      </c>
    </row>
    <row r="6278" spans="1:13" x14ac:dyDescent="0.3">
      <c r="A6278">
        <v>6276</v>
      </c>
      <c r="B6278">
        <v>6277</v>
      </c>
      <c r="C6278" t="s">
        <v>6356</v>
      </c>
      <c r="D6278">
        <v>2019</v>
      </c>
      <c r="E6278" t="s">
        <v>11</v>
      </c>
      <c r="F6278" t="s">
        <v>2084</v>
      </c>
      <c r="G6278">
        <v>0</v>
      </c>
      <c r="H6278">
        <v>0</v>
      </c>
      <c r="I6278">
        <v>1</v>
      </c>
      <c r="J6278">
        <v>0</v>
      </c>
      <c r="K6278">
        <v>0</v>
      </c>
      <c r="L6278">
        <f t="shared" si="196"/>
        <v>5.0999999999999996</v>
      </c>
      <c r="M6278">
        <f t="shared" si="197"/>
        <v>1</v>
      </c>
    </row>
    <row r="6279" spans="1:13" x14ac:dyDescent="0.3">
      <c r="A6279">
        <v>6277</v>
      </c>
      <c r="B6279">
        <v>6278</v>
      </c>
      <c r="C6279" t="s">
        <v>6357</v>
      </c>
      <c r="D6279">
        <v>1989</v>
      </c>
      <c r="E6279" t="s">
        <v>22</v>
      </c>
      <c r="F6279" t="s">
        <v>2084</v>
      </c>
      <c r="G6279">
        <v>0</v>
      </c>
      <c r="H6279">
        <v>0</v>
      </c>
      <c r="I6279">
        <v>1</v>
      </c>
      <c r="J6279">
        <v>0</v>
      </c>
      <c r="K6279">
        <v>0</v>
      </c>
      <c r="L6279">
        <f t="shared" si="196"/>
        <v>5.0999999999999996</v>
      </c>
      <c r="M6279">
        <f t="shared" si="197"/>
        <v>1</v>
      </c>
    </row>
    <row r="6280" spans="1:13" x14ac:dyDescent="0.3">
      <c r="A6280">
        <v>6278</v>
      </c>
      <c r="B6280">
        <v>6279</v>
      </c>
      <c r="C6280" t="s">
        <v>6358</v>
      </c>
      <c r="D6280">
        <v>2001</v>
      </c>
      <c r="F6280" t="s">
        <v>2084</v>
      </c>
      <c r="G6280">
        <v>0</v>
      </c>
      <c r="H6280">
        <v>0</v>
      </c>
      <c r="I6280">
        <v>1</v>
      </c>
      <c r="J6280">
        <v>0</v>
      </c>
      <c r="K6280">
        <v>0</v>
      </c>
      <c r="L6280">
        <f t="shared" si="196"/>
        <v>5.0999999999999996</v>
      </c>
      <c r="M6280">
        <f t="shared" si="197"/>
        <v>1</v>
      </c>
    </row>
    <row r="6281" spans="1:13" x14ac:dyDescent="0.3">
      <c r="A6281">
        <v>6279</v>
      </c>
      <c r="B6281">
        <v>6280</v>
      </c>
      <c r="C6281" t="s">
        <v>6359</v>
      </c>
      <c r="D6281">
        <v>2016</v>
      </c>
      <c r="F6281" t="s">
        <v>2084</v>
      </c>
      <c r="G6281">
        <v>0</v>
      </c>
      <c r="H6281">
        <v>0</v>
      </c>
      <c r="I6281">
        <v>1</v>
      </c>
      <c r="J6281">
        <v>0</v>
      </c>
      <c r="K6281">
        <v>0</v>
      </c>
      <c r="L6281">
        <f t="shared" si="196"/>
        <v>5.0999999999999996</v>
      </c>
      <c r="M6281">
        <f t="shared" si="197"/>
        <v>1</v>
      </c>
    </row>
    <row r="6282" spans="1:13" x14ac:dyDescent="0.3">
      <c r="A6282">
        <v>6280</v>
      </c>
      <c r="B6282">
        <v>6281</v>
      </c>
      <c r="C6282" t="s">
        <v>6360</v>
      </c>
      <c r="D6282">
        <v>2019</v>
      </c>
      <c r="E6282" t="s">
        <v>22</v>
      </c>
      <c r="F6282" t="s">
        <v>2084</v>
      </c>
      <c r="G6282">
        <v>0</v>
      </c>
      <c r="H6282">
        <v>0</v>
      </c>
      <c r="I6282">
        <v>1</v>
      </c>
      <c r="J6282">
        <v>0</v>
      </c>
      <c r="K6282">
        <v>0</v>
      </c>
      <c r="L6282">
        <f t="shared" si="196"/>
        <v>5.0999999999999996</v>
      </c>
      <c r="M6282">
        <f t="shared" si="197"/>
        <v>1</v>
      </c>
    </row>
    <row r="6283" spans="1:13" x14ac:dyDescent="0.3">
      <c r="A6283">
        <v>6281</v>
      </c>
      <c r="B6283">
        <v>6282</v>
      </c>
      <c r="C6283" t="s">
        <v>6361</v>
      </c>
      <c r="D6283">
        <v>2019</v>
      </c>
      <c r="F6283" t="s">
        <v>2084</v>
      </c>
      <c r="G6283">
        <v>0</v>
      </c>
      <c r="H6283">
        <v>0</v>
      </c>
      <c r="I6283">
        <v>1</v>
      </c>
      <c r="J6283">
        <v>0</v>
      </c>
      <c r="K6283">
        <v>0</v>
      </c>
      <c r="L6283">
        <f t="shared" si="196"/>
        <v>5.0999999999999996</v>
      </c>
      <c r="M6283">
        <f t="shared" si="197"/>
        <v>1</v>
      </c>
    </row>
    <row r="6284" spans="1:13" x14ac:dyDescent="0.3">
      <c r="A6284">
        <v>6282</v>
      </c>
      <c r="B6284">
        <v>6283</v>
      </c>
      <c r="C6284" t="s">
        <v>6362</v>
      </c>
      <c r="D6284">
        <v>2014</v>
      </c>
      <c r="F6284" t="s">
        <v>2084</v>
      </c>
      <c r="G6284">
        <v>0</v>
      </c>
      <c r="H6284">
        <v>0</v>
      </c>
      <c r="I6284">
        <v>1</v>
      </c>
      <c r="J6284">
        <v>0</v>
      </c>
      <c r="K6284">
        <v>0</v>
      </c>
      <c r="L6284">
        <f t="shared" si="196"/>
        <v>5.0999999999999996</v>
      </c>
      <c r="M6284">
        <f t="shared" si="197"/>
        <v>1</v>
      </c>
    </row>
    <row r="6285" spans="1:13" x14ac:dyDescent="0.3">
      <c r="A6285">
        <v>6283</v>
      </c>
      <c r="B6285">
        <v>6284</v>
      </c>
      <c r="C6285" t="s">
        <v>6363</v>
      </c>
      <c r="D6285">
        <v>2001</v>
      </c>
      <c r="E6285" t="s">
        <v>11</v>
      </c>
      <c r="F6285" t="s">
        <v>2084</v>
      </c>
      <c r="G6285">
        <v>0</v>
      </c>
      <c r="H6285">
        <v>0</v>
      </c>
      <c r="I6285">
        <v>1</v>
      </c>
      <c r="J6285">
        <v>0</v>
      </c>
      <c r="K6285">
        <v>0</v>
      </c>
      <c r="L6285">
        <f t="shared" si="196"/>
        <v>5.0999999999999996</v>
      </c>
      <c r="M6285">
        <f t="shared" si="197"/>
        <v>1</v>
      </c>
    </row>
    <row r="6286" spans="1:13" x14ac:dyDescent="0.3">
      <c r="A6286">
        <v>6284</v>
      </c>
      <c r="B6286">
        <v>6285</v>
      </c>
      <c r="C6286" t="s">
        <v>6364</v>
      </c>
      <c r="D6286">
        <v>2012</v>
      </c>
      <c r="E6286" t="s">
        <v>11</v>
      </c>
      <c r="F6286" t="s">
        <v>2084</v>
      </c>
      <c r="G6286">
        <v>0</v>
      </c>
      <c r="H6286">
        <v>0</v>
      </c>
      <c r="I6286">
        <v>1</v>
      </c>
      <c r="J6286">
        <v>0</v>
      </c>
      <c r="K6286">
        <v>0</v>
      </c>
      <c r="L6286">
        <f t="shared" si="196"/>
        <v>5.0999999999999996</v>
      </c>
      <c r="M6286">
        <f t="shared" si="197"/>
        <v>1</v>
      </c>
    </row>
    <row r="6287" spans="1:13" x14ac:dyDescent="0.3">
      <c r="A6287">
        <v>6285</v>
      </c>
      <c r="B6287">
        <v>6286</v>
      </c>
      <c r="C6287" t="s">
        <v>6365</v>
      </c>
      <c r="D6287">
        <v>2012</v>
      </c>
      <c r="E6287" t="s">
        <v>11</v>
      </c>
      <c r="F6287" t="s">
        <v>2084</v>
      </c>
      <c r="G6287">
        <v>0</v>
      </c>
      <c r="H6287">
        <v>0</v>
      </c>
      <c r="I6287">
        <v>1</v>
      </c>
      <c r="J6287">
        <v>0</v>
      </c>
      <c r="K6287">
        <v>0</v>
      </c>
      <c r="L6287">
        <f t="shared" si="196"/>
        <v>5.0999999999999996</v>
      </c>
      <c r="M6287">
        <f t="shared" si="197"/>
        <v>1</v>
      </c>
    </row>
    <row r="6288" spans="1:13" x14ac:dyDescent="0.3">
      <c r="A6288">
        <v>6286</v>
      </c>
      <c r="B6288">
        <v>6287</v>
      </c>
      <c r="C6288" t="s">
        <v>6366</v>
      </c>
      <c r="D6288">
        <v>2000</v>
      </c>
      <c r="F6288" t="s">
        <v>2084</v>
      </c>
      <c r="G6288">
        <v>0</v>
      </c>
      <c r="H6288">
        <v>0</v>
      </c>
      <c r="I6288">
        <v>1</v>
      </c>
      <c r="J6288">
        <v>0</v>
      </c>
      <c r="K6288">
        <v>0</v>
      </c>
      <c r="L6288">
        <f t="shared" si="196"/>
        <v>5.0999999999999996</v>
      </c>
      <c r="M6288">
        <f t="shared" si="197"/>
        <v>1</v>
      </c>
    </row>
    <row r="6289" spans="1:13" x14ac:dyDescent="0.3">
      <c r="A6289">
        <v>6287</v>
      </c>
      <c r="B6289">
        <v>6288</v>
      </c>
      <c r="C6289" t="s">
        <v>6367</v>
      </c>
      <c r="D6289">
        <v>2015</v>
      </c>
      <c r="E6289" t="s">
        <v>11</v>
      </c>
      <c r="F6289" t="s">
        <v>2084</v>
      </c>
      <c r="G6289">
        <v>0</v>
      </c>
      <c r="H6289">
        <v>0</v>
      </c>
      <c r="I6289">
        <v>1</v>
      </c>
      <c r="J6289">
        <v>0</v>
      </c>
      <c r="K6289">
        <v>0</v>
      </c>
      <c r="L6289">
        <f t="shared" si="196"/>
        <v>5.0999999999999996</v>
      </c>
      <c r="M6289">
        <f t="shared" si="197"/>
        <v>1</v>
      </c>
    </row>
    <row r="6290" spans="1:13" x14ac:dyDescent="0.3">
      <c r="A6290">
        <v>6288</v>
      </c>
      <c r="B6290">
        <v>6289</v>
      </c>
      <c r="C6290" t="s">
        <v>6368</v>
      </c>
      <c r="D6290">
        <v>2012</v>
      </c>
      <c r="E6290" t="s">
        <v>22</v>
      </c>
      <c r="F6290" t="s">
        <v>2084</v>
      </c>
      <c r="G6290">
        <v>0</v>
      </c>
      <c r="H6290">
        <v>0</v>
      </c>
      <c r="I6290">
        <v>1</v>
      </c>
      <c r="J6290">
        <v>0</v>
      </c>
      <c r="K6290">
        <v>0</v>
      </c>
      <c r="L6290">
        <f t="shared" si="196"/>
        <v>5.0999999999999996</v>
      </c>
      <c r="M6290">
        <f t="shared" si="197"/>
        <v>1</v>
      </c>
    </row>
    <row r="6291" spans="1:13" x14ac:dyDescent="0.3">
      <c r="A6291">
        <v>6289</v>
      </c>
      <c r="B6291">
        <v>6290</v>
      </c>
      <c r="C6291" t="s">
        <v>6369</v>
      </c>
      <c r="D6291">
        <v>2014</v>
      </c>
      <c r="E6291" t="s">
        <v>11</v>
      </c>
      <c r="F6291" t="s">
        <v>2084</v>
      </c>
      <c r="G6291">
        <v>0</v>
      </c>
      <c r="H6291">
        <v>0</v>
      </c>
      <c r="I6291">
        <v>1</v>
      </c>
      <c r="J6291">
        <v>0</v>
      </c>
      <c r="K6291">
        <v>0</v>
      </c>
      <c r="L6291">
        <f t="shared" si="196"/>
        <v>5.0999999999999996</v>
      </c>
      <c r="M6291">
        <f t="shared" si="197"/>
        <v>1</v>
      </c>
    </row>
    <row r="6292" spans="1:13" x14ac:dyDescent="0.3">
      <c r="A6292">
        <v>6290</v>
      </c>
      <c r="B6292">
        <v>6291</v>
      </c>
      <c r="C6292" t="s">
        <v>6370</v>
      </c>
      <c r="D6292">
        <v>2017</v>
      </c>
      <c r="F6292" t="s">
        <v>2084</v>
      </c>
      <c r="G6292">
        <v>0</v>
      </c>
      <c r="H6292">
        <v>0</v>
      </c>
      <c r="I6292">
        <v>1</v>
      </c>
      <c r="J6292">
        <v>0</v>
      </c>
      <c r="K6292">
        <v>0</v>
      </c>
      <c r="L6292">
        <f t="shared" si="196"/>
        <v>5.0999999999999996</v>
      </c>
      <c r="M6292">
        <f t="shared" si="197"/>
        <v>1</v>
      </c>
    </row>
    <row r="6293" spans="1:13" x14ac:dyDescent="0.3">
      <c r="A6293">
        <v>6291</v>
      </c>
      <c r="B6293">
        <v>6292</v>
      </c>
      <c r="C6293" t="s">
        <v>6371</v>
      </c>
      <c r="D6293">
        <v>2010</v>
      </c>
      <c r="E6293" t="s">
        <v>11</v>
      </c>
      <c r="F6293" t="s">
        <v>2084</v>
      </c>
      <c r="G6293">
        <v>0</v>
      </c>
      <c r="H6293">
        <v>0</v>
      </c>
      <c r="I6293">
        <v>1</v>
      </c>
      <c r="J6293">
        <v>0</v>
      </c>
      <c r="K6293">
        <v>0</v>
      </c>
      <c r="L6293">
        <f t="shared" si="196"/>
        <v>5.0999999999999996</v>
      </c>
      <c r="M6293">
        <f t="shared" si="197"/>
        <v>1</v>
      </c>
    </row>
    <row r="6294" spans="1:13" x14ac:dyDescent="0.3">
      <c r="A6294">
        <v>6292</v>
      </c>
      <c r="B6294">
        <v>6293</v>
      </c>
      <c r="C6294" t="s">
        <v>6372</v>
      </c>
      <c r="D6294">
        <v>2005</v>
      </c>
      <c r="F6294" t="s">
        <v>2084</v>
      </c>
      <c r="G6294">
        <v>0</v>
      </c>
      <c r="H6294">
        <v>0</v>
      </c>
      <c r="I6294">
        <v>1</v>
      </c>
      <c r="J6294">
        <v>0</v>
      </c>
      <c r="K6294">
        <v>0</v>
      </c>
      <c r="L6294">
        <f t="shared" si="196"/>
        <v>5.0999999999999996</v>
      </c>
      <c r="M6294">
        <f t="shared" si="197"/>
        <v>1</v>
      </c>
    </row>
    <row r="6295" spans="1:13" x14ac:dyDescent="0.3">
      <c r="A6295">
        <v>6293</v>
      </c>
      <c r="B6295">
        <v>6294</v>
      </c>
      <c r="C6295" t="s">
        <v>6373</v>
      </c>
      <c r="D6295">
        <v>1988</v>
      </c>
      <c r="F6295" t="s">
        <v>2084</v>
      </c>
      <c r="G6295">
        <v>0</v>
      </c>
      <c r="H6295">
        <v>0</v>
      </c>
      <c r="I6295">
        <v>1</v>
      </c>
      <c r="J6295">
        <v>0</v>
      </c>
      <c r="K6295">
        <v>0</v>
      </c>
      <c r="L6295">
        <f t="shared" si="196"/>
        <v>5.0999999999999996</v>
      </c>
      <c r="M6295">
        <f t="shared" si="197"/>
        <v>1</v>
      </c>
    </row>
    <row r="6296" spans="1:13" x14ac:dyDescent="0.3">
      <c r="A6296">
        <v>6294</v>
      </c>
      <c r="B6296">
        <v>6295</v>
      </c>
      <c r="C6296" t="s">
        <v>6374</v>
      </c>
      <c r="D6296">
        <v>2012</v>
      </c>
      <c r="E6296" t="s">
        <v>14</v>
      </c>
      <c r="F6296" t="s">
        <v>2084</v>
      </c>
      <c r="G6296">
        <v>0</v>
      </c>
      <c r="H6296">
        <v>0</v>
      </c>
      <c r="I6296">
        <v>1</v>
      </c>
      <c r="J6296">
        <v>0</v>
      </c>
      <c r="K6296">
        <v>0</v>
      </c>
      <c r="L6296">
        <f t="shared" si="196"/>
        <v>5.0999999999999996</v>
      </c>
      <c r="M6296">
        <f t="shared" si="197"/>
        <v>1</v>
      </c>
    </row>
    <row r="6297" spans="1:13" x14ac:dyDescent="0.3">
      <c r="A6297">
        <v>6295</v>
      </c>
      <c r="B6297">
        <v>6296</v>
      </c>
      <c r="C6297" t="s">
        <v>6375</v>
      </c>
      <c r="D6297">
        <v>2011</v>
      </c>
      <c r="E6297" t="s">
        <v>14</v>
      </c>
      <c r="F6297" t="s">
        <v>2084</v>
      </c>
      <c r="G6297">
        <v>0</v>
      </c>
      <c r="H6297">
        <v>0</v>
      </c>
      <c r="I6297">
        <v>1</v>
      </c>
      <c r="J6297">
        <v>0</v>
      </c>
      <c r="K6297">
        <v>0</v>
      </c>
      <c r="L6297">
        <f t="shared" si="196"/>
        <v>5.0999999999999996</v>
      </c>
      <c r="M6297">
        <f t="shared" si="197"/>
        <v>1</v>
      </c>
    </row>
    <row r="6298" spans="1:13" x14ac:dyDescent="0.3">
      <c r="A6298">
        <v>6296</v>
      </c>
      <c r="B6298">
        <v>6297</v>
      </c>
      <c r="C6298" t="s">
        <v>6376</v>
      </c>
      <c r="D6298">
        <v>2005</v>
      </c>
      <c r="E6298" t="s">
        <v>11</v>
      </c>
      <c r="F6298" t="s">
        <v>2084</v>
      </c>
      <c r="G6298">
        <v>0</v>
      </c>
      <c r="H6298">
        <v>0</v>
      </c>
      <c r="I6298">
        <v>1</v>
      </c>
      <c r="J6298">
        <v>0</v>
      </c>
      <c r="K6298">
        <v>0</v>
      </c>
      <c r="L6298">
        <f t="shared" si="196"/>
        <v>5.0999999999999996</v>
      </c>
      <c r="M6298">
        <f t="shared" si="197"/>
        <v>1</v>
      </c>
    </row>
    <row r="6299" spans="1:13" x14ac:dyDescent="0.3">
      <c r="A6299">
        <v>6297</v>
      </c>
      <c r="B6299">
        <v>6298</v>
      </c>
      <c r="C6299" t="s">
        <v>6377</v>
      </c>
      <c r="D6299">
        <v>2002</v>
      </c>
      <c r="E6299" t="s">
        <v>11</v>
      </c>
      <c r="F6299" t="s">
        <v>2084</v>
      </c>
      <c r="G6299">
        <v>0</v>
      </c>
      <c r="H6299">
        <v>0</v>
      </c>
      <c r="I6299">
        <v>1</v>
      </c>
      <c r="J6299">
        <v>0</v>
      </c>
      <c r="K6299">
        <v>0</v>
      </c>
      <c r="L6299">
        <f t="shared" si="196"/>
        <v>5.0999999999999996</v>
      </c>
      <c r="M6299">
        <f t="shared" si="197"/>
        <v>1</v>
      </c>
    </row>
    <row r="6300" spans="1:13" x14ac:dyDescent="0.3">
      <c r="A6300">
        <v>6298</v>
      </c>
      <c r="B6300">
        <v>6299</v>
      </c>
      <c r="C6300" t="s">
        <v>6378</v>
      </c>
      <c r="D6300">
        <v>1993</v>
      </c>
      <c r="F6300" t="s">
        <v>2084</v>
      </c>
      <c r="G6300">
        <v>0</v>
      </c>
      <c r="H6300">
        <v>0</v>
      </c>
      <c r="I6300">
        <v>1</v>
      </c>
      <c r="J6300">
        <v>0</v>
      </c>
      <c r="K6300">
        <v>0</v>
      </c>
      <c r="L6300">
        <f t="shared" si="196"/>
        <v>5.0999999999999996</v>
      </c>
      <c r="M6300">
        <f t="shared" si="197"/>
        <v>1</v>
      </c>
    </row>
    <row r="6301" spans="1:13" x14ac:dyDescent="0.3">
      <c r="A6301">
        <v>6299</v>
      </c>
      <c r="B6301">
        <v>6300</v>
      </c>
      <c r="C6301" t="s">
        <v>6379</v>
      </c>
      <c r="D6301">
        <v>2018</v>
      </c>
      <c r="F6301" t="s">
        <v>2084</v>
      </c>
      <c r="G6301">
        <v>0</v>
      </c>
      <c r="H6301">
        <v>0</v>
      </c>
      <c r="I6301">
        <v>1</v>
      </c>
      <c r="J6301">
        <v>0</v>
      </c>
      <c r="K6301">
        <v>0</v>
      </c>
      <c r="L6301">
        <f t="shared" si="196"/>
        <v>5.0999999999999996</v>
      </c>
      <c r="M6301">
        <f t="shared" si="197"/>
        <v>1</v>
      </c>
    </row>
    <row r="6302" spans="1:13" x14ac:dyDescent="0.3">
      <c r="A6302">
        <v>6300</v>
      </c>
      <c r="B6302">
        <v>6301</v>
      </c>
      <c r="C6302" t="s">
        <v>6380</v>
      </c>
      <c r="D6302">
        <v>2011</v>
      </c>
      <c r="E6302" t="s">
        <v>11</v>
      </c>
      <c r="F6302" t="s">
        <v>2084</v>
      </c>
      <c r="G6302">
        <v>0</v>
      </c>
      <c r="H6302">
        <v>0</v>
      </c>
      <c r="I6302">
        <v>1</v>
      </c>
      <c r="J6302">
        <v>0</v>
      </c>
      <c r="K6302">
        <v>0</v>
      </c>
      <c r="L6302">
        <f t="shared" si="196"/>
        <v>5.0999999999999996</v>
      </c>
      <c r="M6302">
        <f t="shared" si="197"/>
        <v>1</v>
      </c>
    </row>
    <row r="6303" spans="1:13" x14ac:dyDescent="0.3">
      <c r="A6303">
        <v>6301</v>
      </c>
      <c r="B6303">
        <v>6302</v>
      </c>
      <c r="C6303" t="s">
        <v>6381</v>
      </c>
      <c r="D6303">
        <v>2015</v>
      </c>
      <c r="E6303" t="s">
        <v>22</v>
      </c>
      <c r="F6303" t="s">
        <v>2084</v>
      </c>
      <c r="G6303">
        <v>0</v>
      </c>
      <c r="H6303">
        <v>0</v>
      </c>
      <c r="I6303">
        <v>1</v>
      </c>
      <c r="J6303">
        <v>0</v>
      </c>
      <c r="K6303">
        <v>0</v>
      </c>
      <c r="L6303">
        <f t="shared" si="196"/>
        <v>5.0999999999999996</v>
      </c>
      <c r="M6303">
        <f t="shared" si="197"/>
        <v>1</v>
      </c>
    </row>
    <row r="6304" spans="1:13" x14ac:dyDescent="0.3">
      <c r="A6304">
        <v>6302</v>
      </c>
      <c r="B6304">
        <v>6303</v>
      </c>
      <c r="C6304" t="s">
        <v>6382</v>
      </c>
      <c r="D6304">
        <v>2012</v>
      </c>
      <c r="E6304" t="s">
        <v>14</v>
      </c>
      <c r="F6304" t="s">
        <v>2084</v>
      </c>
      <c r="G6304">
        <v>0</v>
      </c>
      <c r="H6304">
        <v>0</v>
      </c>
      <c r="I6304">
        <v>1</v>
      </c>
      <c r="J6304">
        <v>0</v>
      </c>
      <c r="K6304">
        <v>0</v>
      </c>
      <c r="L6304">
        <f t="shared" si="196"/>
        <v>5.0999999999999996</v>
      </c>
      <c r="M6304">
        <f t="shared" si="197"/>
        <v>1</v>
      </c>
    </row>
    <row r="6305" spans="1:13" x14ac:dyDescent="0.3">
      <c r="A6305">
        <v>6303</v>
      </c>
      <c r="B6305">
        <v>6304</v>
      </c>
      <c r="C6305" t="s">
        <v>6383</v>
      </c>
      <c r="D6305">
        <v>2011</v>
      </c>
      <c r="F6305" t="s">
        <v>2084</v>
      </c>
      <c r="G6305">
        <v>0</v>
      </c>
      <c r="H6305">
        <v>0</v>
      </c>
      <c r="I6305">
        <v>1</v>
      </c>
      <c r="J6305">
        <v>0</v>
      </c>
      <c r="K6305">
        <v>0</v>
      </c>
      <c r="L6305">
        <f t="shared" si="196"/>
        <v>5.0999999999999996</v>
      </c>
      <c r="M6305">
        <f t="shared" si="197"/>
        <v>1</v>
      </c>
    </row>
    <row r="6306" spans="1:13" x14ac:dyDescent="0.3">
      <c r="A6306">
        <v>6304</v>
      </c>
      <c r="B6306">
        <v>6305</v>
      </c>
      <c r="C6306" t="s">
        <v>6384</v>
      </c>
      <c r="D6306">
        <v>2015</v>
      </c>
      <c r="F6306" t="s">
        <v>2084</v>
      </c>
      <c r="G6306">
        <v>0</v>
      </c>
      <c r="H6306">
        <v>0</v>
      </c>
      <c r="I6306">
        <v>1</v>
      </c>
      <c r="J6306">
        <v>0</v>
      </c>
      <c r="K6306">
        <v>0</v>
      </c>
      <c r="L6306">
        <f t="shared" si="196"/>
        <v>5.0999999999999996</v>
      </c>
      <c r="M6306">
        <f t="shared" si="197"/>
        <v>1</v>
      </c>
    </row>
    <row r="6307" spans="1:13" x14ac:dyDescent="0.3">
      <c r="A6307">
        <v>6305</v>
      </c>
      <c r="B6307">
        <v>6306</v>
      </c>
      <c r="C6307" t="s">
        <v>6385</v>
      </c>
      <c r="D6307">
        <v>1994</v>
      </c>
      <c r="E6307" t="s">
        <v>36</v>
      </c>
      <c r="F6307" t="s">
        <v>2084</v>
      </c>
      <c r="G6307">
        <v>0</v>
      </c>
      <c r="H6307">
        <v>0</v>
      </c>
      <c r="I6307">
        <v>1</v>
      </c>
      <c r="J6307">
        <v>0</v>
      </c>
      <c r="K6307">
        <v>0</v>
      </c>
      <c r="L6307">
        <f t="shared" si="196"/>
        <v>5.0999999999999996</v>
      </c>
      <c r="M6307">
        <f t="shared" si="197"/>
        <v>1</v>
      </c>
    </row>
    <row r="6308" spans="1:13" x14ac:dyDescent="0.3">
      <c r="A6308">
        <v>6306</v>
      </c>
      <c r="B6308">
        <v>6307</v>
      </c>
      <c r="C6308" t="s">
        <v>6386</v>
      </c>
      <c r="D6308">
        <v>1953</v>
      </c>
      <c r="F6308" t="s">
        <v>2084</v>
      </c>
      <c r="G6308">
        <v>0</v>
      </c>
      <c r="H6308">
        <v>0</v>
      </c>
      <c r="I6308">
        <v>1</v>
      </c>
      <c r="J6308">
        <v>0</v>
      </c>
      <c r="K6308">
        <v>0</v>
      </c>
      <c r="L6308">
        <f t="shared" si="196"/>
        <v>5.0999999999999996</v>
      </c>
      <c r="M6308">
        <f t="shared" si="197"/>
        <v>1</v>
      </c>
    </row>
    <row r="6309" spans="1:13" x14ac:dyDescent="0.3">
      <c r="A6309">
        <v>6307</v>
      </c>
      <c r="B6309">
        <v>6308</v>
      </c>
      <c r="C6309" t="s">
        <v>6387</v>
      </c>
      <c r="D6309">
        <v>2010</v>
      </c>
      <c r="E6309" t="s">
        <v>11</v>
      </c>
      <c r="F6309" t="s">
        <v>2084</v>
      </c>
      <c r="G6309">
        <v>0</v>
      </c>
      <c r="H6309">
        <v>0</v>
      </c>
      <c r="I6309">
        <v>1</v>
      </c>
      <c r="J6309">
        <v>0</v>
      </c>
      <c r="K6309">
        <v>0</v>
      </c>
      <c r="L6309">
        <f t="shared" si="196"/>
        <v>5.0999999999999996</v>
      </c>
      <c r="M6309">
        <f t="shared" si="197"/>
        <v>1</v>
      </c>
    </row>
    <row r="6310" spans="1:13" x14ac:dyDescent="0.3">
      <c r="A6310">
        <v>6308</v>
      </c>
      <c r="B6310">
        <v>6309</v>
      </c>
      <c r="C6310" t="s">
        <v>6388</v>
      </c>
      <c r="D6310">
        <v>2019</v>
      </c>
      <c r="E6310" t="s">
        <v>11</v>
      </c>
      <c r="F6310" t="s">
        <v>2084</v>
      </c>
      <c r="G6310">
        <v>0</v>
      </c>
      <c r="H6310">
        <v>0</v>
      </c>
      <c r="I6310">
        <v>1</v>
      </c>
      <c r="J6310">
        <v>0</v>
      </c>
      <c r="K6310">
        <v>0</v>
      </c>
      <c r="L6310">
        <f t="shared" si="196"/>
        <v>5.0999999999999996</v>
      </c>
      <c r="M6310">
        <f t="shared" si="197"/>
        <v>1</v>
      </c>
    </row>
    <row r="6311" spans="1:13" x14ac:dyDescent="0.3">
      <c r="A6311">
        <v>6309</v>
      </c>
      <c r="B6311">
        <v>6310</v>
      </c>
      <c r="C6311" t="s">
        <v>6389</v>
      </c>
      <c r="D6311">
        <v>2020</v>
      </c>
      <c r="E6311" t="s">
        <v>11</v>
      </c>
      <c r="F6311" t="s">
        <v>2084</v>
      </c>
      <c r="G6311">
        <v>0</v>
      </c>
      <c r="H6311">
        <v>0</v>
      </c>
      <c r="I6311">
        <v>1</v>
      </c>
      <c r="J6311">
        <v>0</v>
      </c>
      <c r="K6311">
        <v>0</v>
      </c>
      <c r="L6311">
        <f t="shared" si="196"/>
        <v>5.0999999999999996</v>
      </c>
      <c r="M6311">
        <f t="shared" si="197"/>
        <v>1</v>
      </c>
    </row>
    <row r="6312" spans="1:13" x14ac:dyDescent="0.3">
      <c r="A6312">
        <v>6310</v>
      </c>
      <c r="B6312">
        <v>6311</v>
      </c>
      <c r="C6312" t="s">
        <v>6390</v>
      </c>
      <c r="D6312">
        <v>2013</v>
      </c>
      <c r="E6312" t="s">
        <v>36</v>
      </c>
      <c r="F6312" t="s">
        <v>2084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f t="shared" si="196"/>
        <v>5.0999999999999996</v>
      </c>
      <c r="M6312">
        <f t="shared" si="197"/>
        <v>1</v>
      </c>
    </row>
    <row r="6313" spans="1:13" x14ac:dyDescent="0.3">
      <c r="A6313">
        <v>6311</v>
      </c>
      <c r="B6313">
        <v>6312</v>
      </c>
      <c r="C6313" t="s">
        <v>6391</v>
      </c>
      <c r="D6313">
        <v>2020</v>
      </c>
      <c r="F6313" t="s">
        <v>2084</v>
      </c>
      <c r="G6313">
        <v>0</v>
      </c>
      <c r="H6313">
        <v>0</v>
      </c>
      <c r="I6313">
        <v>1</v>
      </c>
      <c r="J6313">
        <v>0</v>
      </c>
      <c r="K6313">
        <v>0</v>
      </c>
      <c r="L6313">
        <f t="shared" si="196"/>
        <v>5.0999999999999996</v>
      </c>
      <c r="M6313">
        <f t="shared" si="197"/>
        <v>1</v>
      </c>
    </row>
    <row r="6314" spans="1:13" x14ac:dyDescent="0.3">
      <c r="A6314">
        <v>6312</v>
      </c>
      <c r="B6314">
        <v>6313</v>
      </c>
      <c r="C6314" t="s">
        <v>6392</v>
      </c>
      <c r="D6314">
        <v>1991</v>
      </c>
      <c r="E6314" t="s">
        <v>11</v>
      </c>
      <c r="F6314" t="s">
        <v>2084</v>
      </c>
      <c r="G6314">
        <v>0</v>
      </c>
      <c r="H6314">
        <v>0</v>
      </c>
      <c r="I6314">
        <v>1</v>
      </c>
      <c r="J6314">
        <v>0</v>
      </c>
      <c r="K6314">
        <v>0</v>
      </c>
      <c r="L6314">
        <f t="shared" si="196"/>
        <v>5.0999999999999996</v>
      </c>
      <c r="M6314">
        <f t="shared" si="197"/>
        <v>1</v>
      </c>
    </row>
    <row r="6315" spans="1:13" x14ac:dyDescent="0.3">
      <c r="A6315">
        <v>6313</v>
      </c>
      <c r="B6315">
        <v>6314</v>
      </c>
      <c r="C6315" t="s">
        <v>6393</v>
      </c>
      <c r="D6315">
        <v>2017</v>
      </c>
      <c r="E6315" t="s">
        <v>14</v>
      </c>
      <c r="F6315" t="s">
        <v>2084</v>
      </c>
      <c r="G6315">
        <v>0</v>
      </c>
      <c r="H6315">
        <v>0</v>
      </c>
      <c r="I6315">
        <v>1</v>
      </c>
      <c r="J6315">
        <v>0</v>
      </c>
      <c r="K6315">
        <v>0</v>
      </c>
      <c r="L6315">
        <f t="shared" si="196"/>
        <v>5.0999999999999996</v>
      </c>
      <c r="M6315">
        <f t="shared" si="197"/>
        <v>1</v>
      </c>
    </row>
    <row r="6316" spans="1:13" x14ac:dyDescent="0.3">
      <c r="A6316">
        <v>6314</v>
      </c>
      <c r="B6316">
        <v>6315</v>
      </c>
      <c r="C6316" t="s">
        <v>6394</v>
      </c>
      <c r="D6316">
        <v>1947</v>
      </c>
      <c r="F6316" t="s">
        <v>2084</v>
      </c>
      <c r="G6316">
        <v>0</v>
      </c>
      <c r="H6316">
        <v>0</v>
      </c>
      <c r="I6316">
        <v>1</v>
      </c>
      <c r="J6316">
        <v>0</v>
      </c>
      <c r="K6316">
        <v>0</v>
      </c>
      <c r="L6316">
        <f t="shared" si="196"/>
        <v>5.0999999999999996</v>
      </c>
      <c r="M6316">
        <f t="shared" si="197"/>
        <v>1</v>
      </c>
    </row>
    <row r="6317" spans="1:13" x14ac:dyDescent="0.3">
      <c r="A6317">
        <v>6315</v>
      </c>
      <c r="B6317">
        <v>6316</v>
      </c>
      <c r="C6317" t="s">
        <v>6395</v>
      </c>
      <c r="D6317">
        <v>1978</v>
      </c>
      <c r="F6317" t="s">
        <v>2084</v>
      </c>
      <c r="G6317">
        <v>0</v>
      </c>
      <c r="H6317">
        <v>0</v>
      </c>
      <c r="I6317">
        <v>1</v>
      </c>
      <c r="J6317">
        <v>0</v>
      </c>
      <c r="K6317">
        <v>0</v>
      </c>
      <c r="L6317">
        <f t="shared" si="196"/>
        <v>5.0999999999999996</v>
      </c>
      <c r="M6317">
        <f t="shared" si="197"/>
        <v>1</v>
      </c>
    </row>
    <row r="6318" spans="1:13" x14ac:dyDescent="0.3">
      <c r="A6318">
        <v>6316</v>
      </c>
      <c r="B6318">
        <v>6317</v>
      </c>
      <c r="C6318" t="s">
        <v>6396</v>
      </c>
      <c r="D6318">
        <v>2019</v>
      </c>
      <c r="E6318" t="s">
        <v>11</v>
      </c>
      <c r="F6318" t="s">
        <v>2084</v>
      </c>
      <c r="G6318">
        <v>0</v>
      </c>
      <c r="H6318">
        <v>0</v>
      </c>
      <c r="I6318">
        <v>1</v>
      </c>
      <c r="J6318">
        <v>0</v>
      </c>
      <c r="K6318">
        <v>0</v>
      </c>
      <c r="L6318">
        <f t="shared" si="196"/>
        <v>5.0999999999999996</v>
      </c>
      <c r="M6318">
        <f t="shared" si="197"/>
        <v>1</v>
      </c>
    </row>
    <row r="6319" spans="1:13" x14ac:dyDescent="0.3">
      <c r="A6319">
        <v>6317</v>
      </c>
      <c r="B6319">
        <v>6318</v>
      </c>
      <c r="C6319" t="s">
        <v>6397</v>
      </c>
      <c r="D6319">
        <v>2015</v>
      </c>
      <c r="F6319" t="s">
        <v>2084</v>
      </c>
      <c r="G6319">
        <v>0</v>
      </c>
      <c r="H6319">
        <v>0</v>
      </c>
      <c r="I6319">
        <v>1</v>
      </c>
      <c r="J6319">
        <v>0</v>
      </c>
      <c r="K6319">
        <v>0</v>
      </c>
      <c r="L6319">
        <f t="shared" si="196"/>
        <v>5.0999999999999996</v>
      </c>
      <c r="M6319">
        <f t="shared" si="197"/>
        <v>1</v>
      </c>
    </row>
    <row r="6320" spans="1:13" x14ac:dyDescent="0.3">
      <c r="A6320">
        <v>6318</v>
      </c>
      <c r="B6320">
        <v>6319</v>
      </c>
      <c r="C6320" t="s">
        <v>6398</v>
      </c>
      <c r="D6320">
        <v>1995</v>
      </c>
      <c r="E6320" t="s">
        <v>11</v>
      </c>
      <c r="F6320" t="s">
        <v>2084</v>
      </c>
      <c r="G6320">
        <v>0</v>
      </c>
      <c r="H6320">
        <v>0</v>
      </c>
      <c r="I6320">
        <v>1</v>
      </c>
      <c r="J6320">
        <v>0</v>
      </c>
      <c r="K6320">
        <v>0</v>
      </c>
      <c r="L6320">
        <f t="shared" si="196"/>
        <v>5.0999999999999996</v>
      </c>
      <c r="M6320">
        <f t="shared" si="197"/>
        <v>1</v>
      </c>
    </row>
    <row r="6321" spans="1:13" x14ac:dyDescent="0.3">
      <c r="A6321">
        <v>6319</v>
      </c>
      <c r="B6321">
        <v>6320</v>
      </c>
      <c r="C6321" t="s">
        <v>6399</v>
      </c>
      <c r="D6321">
        <v>2020</v>
      </c>
      <c r="F6321" t="s">
        <v>2084</v>
      </c>
      <c r="G6321">
        <v>0</v>
      </c>
      <c r="H6321">
        <v>0</v>
      </c>
      <c r="I6321">
        <v>1</v>
      </c>
      <c r="J6321">
        <v>0</v>
      </c>
      <c r="K6321">
        <v>0</v>
      </c>
      <c r="L6321">
        <f t="shared" si="196"/>
        <v>5.0999999999999996</v>
      </c>
      <c r="M6321">
        <f t="shared" si="197"/>
        <v>1</v>
      </c>
    </row>
    <row r="6322" spans="1:13" x14ac:dyDescent="0.3">
      <c r="A6322">
        <v>6320</v>
      </c>
      <c r="B6322">
        <v>6321</v>
      </c>
      <c r="C6322" t="s">
        <v>6400</v>
      </c>
      <c r="D6322">
        <v>2008</v>
      </c>
      <c r="F6322" t="s">
        <v>2084</v>
      </c>
      <c r="G6322">
        <v>0</v>
      </c>
      <c r="H6322">
        <v>0</v>
      </c>
      <c r="I6322">
        <v>1</v>
      </c>
      <c r="J6322">
        <v>0</v>
      </c>
      <c r="K6322">
        <v>0</v>
      </c>
      <c r="L6322">
        <f t="shared" si="196"/>
        <v>5.0999999999999996</v>
      </c>
      <c r="M6322">
        <f t="shared" si="197"/>
        <v>1</v>
      </c>
    </row>
    <row r="6323" spans="1:13" x14ac:dyDescent="0.3">
      <c r="A6323">
        <v>6321</v>
      </c>
      <c r="B6323">
        <v>6322</v>
      </c>
      <c r="C6323" t="s">
        <v>6401</v>
      </c>
      <c r="D6323">
        <v>2015</v>
      </c>
      <c r="E6323" t="s">
        <v>11</v>
      </c>
      <c r="F6323" t="s">
        <v>2084</v>
      </c>
      <c r="G6323">
        <v>0</v>
      </c>
      <c r="H6323">
        <v>0</v>
      </c>
      <c r="I6323">
        <v>1</v>
      </c>
      <c r="J6323">
        <v>0</v>
      </c>
      <c r="K6323">
        <v>0</v>
      </c>
      <c r="L6323">
        <f t="shared" si="196"/>
        <v>5.0999999999999996</v>
      </c>
      <c r="M6323">
        <f t="shared" si="197"/>
        <v>1</v>
      </c>
    </row>
    <row r="6324" spans="1:13" x14ac:dyDescent="0.3">
      <c r="A6324">
        <v>6322</v>
      </c>
      <c r="B6324">
        <v>6323</v>
      </c>
      <c r="C6324" t="s">
        <v>6402</v>
      </c>
      <c r="D6324">
        <v>1938</v>
      </c>
      <c r="F6324" t="s">
        <v>2084</v>
      </c>
      <c r="G6324">
        <v>0</v>
      </c>
      <c r="H6324">
        <v>0</v>
      </c>
      <c r="I6324">
        <v>1</v>
      </c>
      <c r="J6324">
        <v>0</v>
      </c>
      <c r="K6324">
        <v>0</v>
      </c>
      <c r="L6324">
        <f t="shared" si="196"/>
        <v>5.0999999999999996</v>
      </c>
      <c r="M6324">
        <f t="shared" si="197"/>
        <v>1</v>
      </c>
    </row>
    <row r="6325" spans="1:13" x14ac:dyDescent="0.3">
      <c r="A6325">
        <v>6323</v>
      </c>
      <c r="B6325">
        <v>6324</v>
      </c>
      <c r="C6325" t="s">
        <v>6403</v>
      </c>
      <c r="D6325">
        <v>2015</v>
      </c>
      <c r="E6325" t="s">
        <v>28</v>
      </c>
      <c r="F6325" t="s">
        <v>2084</v>
      </c>
      <c r="G6325">
        <v>0</v>
      </c>
      <c r="H6325">
        <v>0</v>
      </c>
      <c r="I6325">
        <v>1</v>
      </c>
      <c r="J6325">
        <v>0</v>
      </c>
      <c r="K6325">
        <v>0</v>
      </c>
      <c r="L6325">
        <f t="shared" si="196"/>
        <v>5.0999999999999996</v>
      </c>
      <c r="M6325">
        <f t="shared" si="197"/>
        <v>1</v>
      </c>
    </row>
    <row r="6326" spans="1:13" x14ac:dyDescent="0.3">
      <c r="A6326">
        <v>6324</v>
      </c>
      <c r="B6326">
        <v>6325</v>
      </c>
      <c r="C6326" t="s">
        <v>6404</v>
      </c>
      <c r="D6326">
        <v>2017</v>
      </c>
      <c r="E6326" t="s">
        <v>11</v>
      </c>
      <c r="F6326" t="s">
        <v>2084</v>
      </c>
      <c r="G6326">
        <v>0</v>
      </c>
      <c r="H6326">
        <v>0</v>
      </c>
      <c r="I6326">
        <v>1</v>
      </c>
      <c r="J6326">
        <v>0</v>
      </c>
      <c r="K6326">
        <v>0</v>
      </c>
      <c r="L6326">
        <f t="shared" si="196"/>
        <v>5.0999999999999996</v>
      </c>
      <c r="M6326">
        <f t="shared" si="197"/>
        <v>1</v>
      </c>
    </row>
    <row r="6327" spans="1:13" x14ac:dyDescent="0.3">
      <c r="A6327">
        <v>6325</v>
      </c>
      <c r="B6327">
        <v>6326</v>
      </c>
      <c r="C6327" t="s">
        <v>6405</v>
      </c>
      <c r="D6327">
        <v>2015</v>
      </c>
      <c r="E6327" t="s">
        <v>11</v>
      </c>
      <c r="F6327" t="s">
        <v>2084</v>
      </c>
      <c r="G6327">
        <v>0</v>
      </c>
      <c r="H6327">
        <v>0</v>
      </c>
      <c r="I6327">
        <v>1</v>
      </c>
      <c r="J6327">
        <v>0</v>
      </c>
      <c r="K6327">
        <v>0</v>
      </c>
      <c r="L6327">
        <f t="shared" si="196"/>
        <v>5.0999999999999996</v>
      </c>
      <c r="M6327">
        <f t="shared" si="197"/>
        <v>1</v>
      </c>
    </row>
    <row r="6328" spans="1:13" x14ac:dyDescent="0.3">
      <c r="A6328">
        <v>6326</v>
      </c>
      <c r="B6328">
        <v>6327</v>
      </c>
      <c r="C6328" t="s">
        <v>6406</v>
      </c>
      <c r="D6328">
        <v>2017</v>
      </c>
      <c r="F6328" t="s">
        <v>2084</v>
      </c>
      <c r="G6328">
        <v>0</v>
      </c>
      <c r="H6328">
        <v>0</v>
      </c>
      <c r="I6328">
        <v>1</v>
      </c>
      <c r="J6328">
        <v>0</v>
      </c>
      <c r="K6328">
        <v>0</v>
      </c>
      <c r="L6328">
        <f t="shared" si="196"/>
        <v>5.0999999999999996</v>
      </c>
      <c r="M6328">
        <f t="shared" si="197"/>
        <v>1</v>
      </c>
    </row>
    <row r="6329" spans="1:13" x14ac:dyDescent="0.3">
      <c r="A6329">
        <v>6327</v>
      </c>
      <c r="B6329">
        <v>6328</v>
      </c>
      <c r="C6329" t="s">
        <v>6407</v>
      </c>
      <c r="D6329">
        <v>1974</v>
      </c>
      <c r="E6329" t="s">
        <v>22</v>
      </c>
      <c r="F6329" t="s">
        <v>2084</v>
      </c>
      <c r="G6329">
        <v>0</v>
      </c>
      <c r="H6329">
        <v>0</v>
      </c>
      <c r="I6329">
        <v>1</v>
      </c>
      <c r="J6329">
        <v>0</v>
      </c>
      <c r="K6329">
        <v>0</v>
      </c>
      <c r="L6329">
        <f t="shared" si="196"/>
        <v>5.0999999999999996</v>
      </c>
      <c r="M6329">
        <f t="shared" si="197"/>
        <v>1</v>
      </c>
    </row>
    <row r="6330" spans="1:13" x14ac:dyDescent="0.3">
      <c r="A6330">
        <v>6328</v>
      </c>
      <c r="B6330">
        <v>6329</v>
      </c>
      <c r="C6330" t="s">
        <v>6408</v>
      </c>
      <c r="D6330">
        <v>2006</v>
      </c>
      <c r="E6330" t="s">
        <v>14</v>
      </c>
      <c r="F6330" t="s">
        <v>2084</v>
      </c>
      <c r="G6330">
        <v>0</v>
      </c>
      <c r="H6330">
        <v>0</v>
      </c>
      <c r="I6330">
        <v>1</v>
      </c>
      <c r="J6330">
        <v>0</v>
      </c>
      <c r="K6330">
        <v>0</v>
      </c>
      <c r="L6330">
        <f t="shared" si="196"/>
        <v>5.0999999999999996</v>
      </c>
      <c r="M6330">
        <f t="shared" si="197"/>
        <v>1</v>
      </c>
    </row>
    <row r="6331" spans="1:13" x14ac:dyDescent="0.3">
      <c r="A6331">
        <v>6329</v>
      </c>
      <c r="B6331">
        <v>6330</v>
      </c>
      <c r="C6331" t="s">
        <v>6409</v>
      </c>
      <c r="D6331">
        <v>2015</v>
      </c>
      <c r="F6331" t="s">
        <v>2084</v>
      </c>
      <c r="G6331">
        <v>0</v>
      </c>
      <c r="H6331">
        <v>0</v>
      </c>
      <c r="I6331">
        <v>1</v>
      </c>
      <c r="J6331">
        <v>0</v>
      </c>
      <c r="K6331">
        <v>0</v>
      </c>
      <c r="L6331">
        <f t="shared" si="196"/>
        <v>5.0999999999999996</v>
      </c>
      <c r="M6331">
        <f t="shared" si="197"/>
        <v>1</v>
      </c>
    </row>
    <row r="6332" spans="1:13" x14ac:dyDescent="0.3">
      <c r="A6332">
        <v>6330</v>
      </c>
      <c r="B6332">
        <v>6331</v>
      </c>
      <c r="C6332" t="s">
        <v>6410</v>
      </c>
      <c r="D6332">
        <v>2005</v>
      </c>
      <c r="E6332" t="s">
        <v>11</v>
      </c>
      <c r="F6332" t="s">
        <v>2084</v>
      </c>
      <c r="G6332">
        <v>0</v>
      </c>
      <c r="H6332">
        <v>0</v>
      </c>
      <c r="I6332">
        <v>1</v>
      </c>
      <c r="J6332">
        <v>0</v>
      </c>
      <c r="K6332">
        <v>0</v>
      </c>
      <c r="L6332">
        <f t="shared" si="196"/>
        <v>5.0999999999999996</v>
      </c>
      <c r="M6332">
        <f t="shared" si="197"/>
        <v>1</v>
      </c>
    </row>
    <row r="6333" spans="1:13" x14ac:dyDescent="0.3">
      <c r="A6333">
        <v>6331</v>
      </c>
      <c r="B6333">
        <v>6332</v>
      </c>
      <c r="C6333" t="s">
        <v>6411</v>
      </c>
      <c r="D6333">
        <v>2013</v>
      </c>
      <c r="F6333" t="s">
        <v>2084</v>
      </c>
      <c r="G6333">
        <v>0</v>
      </c>
      <c r="H6333">
        <v>0</v>
      </c>
      <c r="I6333">
        <v>1</v>
      </c>
      <c r="J6333">
        <v>0</v>
      </c>
      <c r="K6333">
        <v>0</v>
      </c>
      <c r="L6333">
        <f t="shared" si="196"/>
        <v>5.0999999999999996</v>
      </c>
      <c r="M6333">
        <f t="shared" si="197"/>
        <v>1</v>
      </c>
    </row>
    <row r="6334" spans="1:13" x14ac:dyDescent="0.3">
      <c r="A6334">
        <v>6332</v>
      </c>
      <c r="B6334">
        <v>6333</v>
      </c>
      <c r="C6334" t="s">
        <v>6412</v>
      </c>
      <c r="D6334">
        <v>2011</v>
      </c>
      <c r="F6334" t="s">
        <v>2084</v>
      </c>
      <c r="G6334">
        <v>0</v>
      </c>
      <c r="H6334">
        <v>0</v>
      </c>
      <c r="I6334">
        <v>1</v>
      </c>
      <c r="J6334">
        <v>0</v>
      </c>
      <c r="K6334">
        <v>0</v>
      </c>
      <c r="L6334">
        <f t="shared" si="196"/>
        <v>5.0999999999999996</v>
      </c>
      <c r="M6334">
        <f t="shared" si="197"/>
        <v>1</v>
      </c>
    </row>
    <row r="6335" spans="1:13" x14ac:dyDescent="0.3">
      <c r="A6335">
        <v>6333</v>
      </c>
      <c r="B6335">
        <v>6334</v>
      </c>
      <c r="C6335" t="s">
        <v>6413</v>
      </c>
      <c r="D6335">
        <v>2013</v>
      </c>
      <c r="E6335" t="s">
        <v>14</v>
      </c>
      <c r="F6335" t="s">
        <v>2084</v>
      </c>
      <c r="G6335">
        <v>0</v>
      </c>
      <c r="H6335">
        <v>0</v>
      </c>
      <c r="I6335">
        <v>1</v>
      </c>
      <c r="J6335">
        <v>0</v>
      </c>
      <c r="K6335">
        <v>0</v>
      </c>
      <c r="L6335">
        <f t="shared" si="196"/>
        <v>5.0999999999999996</v>
      </c>
      <c r="M6335">
        <f t="shared" si="197"/>
        <v>1</v>
      </c>
    </row>
    <row r="6336" spans="1:13" x14ac:dyDescent="0.3">
      <c r="A6336">
        <v>6334</v>
      </c>
      <c r="B6336">
        <v>6335</v>
      </c>
      <c r="C6336" t="s">
        <v>6414</v>
      </c>
      <c r="D6336">
        <v>2016</v>
      </c>
      <c r="E6336" t="s">
        <v>14</v>
      </c>
      <c r="F6336" t="s">
        <v>2084</v>
      </c>
      <c r="G6336">
        <v>0</v>
      </c>
      <c r="H6336">
        <v>0</v>
      </c>
      <c r="I6336">
        <v>1</v>
      </c>
      <c r="J6336">
        <v>0</v>
      </c>
      <c r="K6336">
        <v>0</v>
      </c>
      <c r="L6336">
        <f t="shared" si="196"/>
        <v>5.0999999999999996</v>
      </c>
      <c r="M6336">
        <f t="shared" si="197"/>
        <v>1</v>
      </c>
    </row>
    <row r="6337" spans="1:13" x14ac:dyDescent="0.3">
      <c r="A6337">
        <v>6335</v>
      </c>
      <c r="B6337">
        <v>6336</v>
      </c>
      <c r="C6337" t="s">
        <v>6415</v>
      </c>
      <c r="D6337">
        <v>2017</v>
      </c>
      <c r="E6337" t="s">
        <v>11</v>
      </c>
      <c r="F6337" t="s">
        <v>2084</v>
      </c>
      <c r="G6337">
        <v>0</v>
      </c>
      <c r="H6337">
        <v>0</v>
      </c>
      <c r="I6337">
        <v>1</v>
      </c>
      <c r="J6337">
        <v>0</v>
      </c>
      <c r="K6337">
        <v>0</v>
      </c>
      <c r="L6337">
        <f t="shared" si="196"/>
        <v>5.0999999999999996</v>
      </c>
      <c r="M6337">
        <f t="shared" si="197"/>
        <v>1</v>
      </c>
    </row>
    <row r="6338" spans="1:13" x14ac:dyDescent="0.3">
      <c r="A6338">
        <v>6336</v>
      </c>
      <c r="B6338">
        <v>6337</v>
      </c>
      <c r="C6338" t="s">
        <v>6416</v>
      </c>
      <c r="D6338">
        <v>2017</v>
      </c>
      <c r="F6338" t="s">
        <v>2084</v>
      </c>
      <c r="G6338">
        <v>0</v>
      </c>
      <c r="H6338">
        <v>0</v>
      </c>
      <c r="I6338">
        <v>1</v>
      </c>
      <c r="J6338">
        <v>0</v>
      </c>
      <c r="K6338">
        <v>0</v>
      </c>
      <c r="L6338">
        <f t="shared" si="196"/>
        <v>5.0999999999999996</v>
      </c>
      <c r="M6338">
        <f t="shared" si="197"/>
        <v>1</v>
      </c>
    </row>
    <row r="6339" spans="1:13" x14ac:dyDescent="0.3">
      <c r="A6339">
        <v>6337</v>
      </c>
      <c r="B6339">
        <v>6338</v>
      </c>
      <c r="C6339" t="s">
        <v>6417</v>
      </c>
      <c r="D6339">
        <v>2016</v>
      </c>
      <c r="F6339" t="s">
        <v>2084</v>
      </c>
      <c r="G6339">
        <v>0</v>
      </c>
      <c r="H6339">
        <v>0</v>
      </c>
      <c r="I6339">
        <v>1</v>
      </c>
      <c r="J6339">
        <v>0</v>
      </c>
      <c r="K6339">
        <v>0</v>
      </c>
      <c r="L6339">
        <f t="shared" ref="L6339:L6402" si="198">IFERROR(VALUE(LEFT(F6339,FIND("/",F6339)-1))/10,"")</f>
        <v>5.0999999999999996</v>
      </c>
      <c r="M6339">
        <f t="shared" ref="M6339:M6402" si="199">SUM(G6339:J6339)</f>
        <v>1</v>
      </c>
    </row>
    <row r="6340" spans="1:13" x14ac:dyDescent="0.3">
      <c r="A6340">
        <v>6338</v>
      </c>
      <c r="B6340">
        <v>6339</v>
      </c>
      <c r="C6340" t="s">
        <v>6418</v>
      </c>
      <c r="D6340">
        <v>2018</v>
      </c>
      <c r="F6340" t="s">
        <v>2084</v>
      </c>
      <c r="G6340">
        <v>0</v>
      </c>
      <c r="H6340">
        <v>0</v>
      </c>
      <c r="I6340">
        <v>1</v>
      </c>
      <c r="J6340">
        <v>0</v>
      </c>
      <c r="K6340">
        <v>0</v>
      </c>
      <c r="L6340">
        <f t="shared" si="198"/>
        <v>5.0999999999999996</v>
      </c>
      <c r="M6340">
        <f t="shared" si="199"/>
        <v>1</v>
      </c>
    </row>
    <row r="6341" spans="1:13" x14ac:dyDescent="0.3">
      <c r="A6341">
        <v>6339</v>
      </c>
      <c r="B6341">
        <v>6340</v>
      </c>
      <c r="C6341" t="s">
        <v>6419</v>
      </c>
      <c r="D6341">
        <v>2018</v>
      </c>
      <c r="E6341" t="s">
        <v>14</v>
      </c>
      <c r="F6341" t="s">
        <v>2084</v>
      </c>
      <c r="G6341">
        <v>0</v>
      </c>
      <c r="H6341">
        <v>0</v>
      </c>
      <c r="I6341">
        <v>1</v>
      </c>
      <c r="J6341">
        <v>0</v>
      </c>
      <c r="K6341">
        <v>0</v>
      </c>
      <c r="L6341">
        <f t="shared" si="198"/>
        <v>5.0999999999999996</v>
      </c>
      <c r="M6341">
        <f t="shared" si="199"/>
        <v>1</v>
      </c>
    </row>
    <row r="6342" spans="1:13" x14ac:dyDescent="0.3">
      <c r="A6342">
        <v>6340</v>
      </c>
      <c r="B6342">
        <v>6341</v>
      </c>
      <c r="C6342" t="s">
        <v>6420</v>
      </c>
      <c r="D6342">
        <v>2016</v>
      </c>
      <c r="E6342" t="s">
        <v>14</v>
      </c>
      <c r="F6342" t="s">
        <v>2084</v>
      </c>
      <c r="G6342">
        <v>0</v>
      </c>
      <c r="H6342">
        <v>0</v>
      </c>
      <c r="I6342">
        <v>1</v>
      </c>
      <c r="J6342">
        <v>0</v>
      </c>
      <c r="K6342">
        <v>0</v>
      </c>
      <c r="L6342">
        <f t="shared" si="198"/>
        <v>5.0999999999999996</v>
      </c>
      <c r="M6342">
        <f t="shared" si="199"/>
        <v>1</v>
      </c>
    </row>
    <row r="6343" spans="1:13" x14ac:dyDescent="0.3">
      <c r="A6343">
        <v>6341</v>
      </c>
      <c r="B6343">
        <v>6342</v>
      </c>
      <c r="C6343" t="s">
        <v>6421</v>
      </c>
      <c r="D6343">
        <v>1984</v>
      </c>
      <c r="E6343" t="s">
        <v>11</v>
      </c>
      <c r="F6343" t="s">
        <v>2084</v>
      </c>
      <c r="G6343">
        <v>0</v>
      </c>
      <c r="H6343">
        <v>0</v>
      </c>
      <c r="I6343">
        <v>1</v>
      </c>
      <c r="J6343">
        <v>0</v>
      </c>
      <c r="K6343">
        <v>0</v>
      </c>
      <c r="L6343">
        <f t="shared" si="198"/>
        <v>5.0999999999999996</v>
      </c>
      <c r="M6343">
        <f t="shared" si="199"/>
        <v>1</v>
      </c>
    </row>
    <row r="6344" spans="1:13" x14ac:dyDescent="0.3">
      <c r="A6344">
        <v>6342</v>
      </c>
      <c r="B6344">
        <v>6343</v>
      </c>
      <c r="C6344" t="s">
        <v>6422</v>
      </c>
      <c r="D6344">
        <v>2016</v>
      </c>
      <c r="F6344" t="s">
        <v>2084</v>
      </c>
      <c r="G6344">
        <v>0</v>
      </c>
      <c r="H6344">
        <v>0</v>
      </c>
      <c r="I6344">
        <v>1</v>
      </c>
      <c r="J6344">
        <v>0</v>
      </c>
      <c r="K6344">
        <v>0</v>
      </c>
      <c r="L6344">
        <f t="shared" si="198"/>
        <v>5.0999999999999996</v>
      </c>
      <c r="M6344">
        <f t="shared" si="199"/>
        <v>1</v>
      </c>
    </row>
    <row r="6345" spans="1:13" x14ac:dyDescent="0.3">
      <c r="A6345">
        <v>6343</v>
      </c>
      <c r="B6345">
        <v>6344</v>
      </c>
      <c r="C6345" t="s">
        <v>6423</v>
      </c>
      <c r="D6345">
        <v>2017</v>
      </c>
      <c r="F6345" t="s">
        <v>2084</v>
      </c>
      <c r="G6345">
        <v>0</v>
      </c>
      <c r="H6345">
        <v>0</v>
      </c>
      <c r="I6345">
        <v>1</v>
      </c>
      <c r="J6345">
        <v>0</v>
      </c>
      <c r="K6345">
        <v>0</v>
      </c>
      <c r="L6345">
        <f t="shared" si="198"/>
        <v>5.0999999999999996</v>
      </c>
      <c r="M6345">
        <f t="shared" si="199"/>
        <v>1</v>
      </c>
    </row>
    <row r="6346" spans="1:13" x14ac:dyDescent="0.3">
      <c r="A6346">
        <v>6344</v>
      </c>
      <c r="B6346">
        <v>6345</v>
      </c>
      <c r="C6346" t="s">
        <v>6424</v>
      </c>
      <c r="D6346">
        <v>1994</v>
      </c>
      <c r="F6346" t="s">
        <v>2084</v>
      </c>
      <c r="G6346">
        <v>0</v>
      </c>
      <c r="H6346">
        <v>0</v>
      </c>
      <c r="I6346">
        <v>1</v>
      </c>
      <c r="J6346">
        <v>0</v>
      </c>
      <c r="K6346">
        <v>0</v>
      </c>
      <c r="L6346">
        <f t="shared" si="198"/>
        <v>5.0999999999999996</v>
      </c>
      <c r="M6346">
        <f t="shared" si="199"/>
        <v>1</v>
      </c>
    </row>
    <row r="6347" spans="1:13" x14ac:dyDescent="0.3">
      <c r="A6347">
        <v>6345</v>
      </c>
      <c r="B6347">
        <v>6346</v>
      </c>
      <c r="C6347" t="s">
        <v>6425</v>
      </c>
      <c r="D6347">
        <v>2011</v>
      </c>
      <c r="E6347" t="s">
        <v>22</v>
      </c>
      <c r="F6347" t="s">
        <v>2084</v>
      </c>
      <c r="G6347">
        <v>0</v>
      </c>
      <c r="H6347">
        <v>0</v>
      </c>
      <c r="I6347">
        <v>1</v>
      </c>
      <c r="J6347">
        <v>0</v>
      </c>
      <c r="K6347">
        <v>0</v>
      </c>
      <c r="L6347">
        <f t="shared" si="198"/>
        <v>5.0999999999999996</v>
      </c>
      <c r="M6347">
        <f t="shared" si="199"/>
        <v>1</v>
      </c>
    </row>
    <row r="6348" spans="1:13" x14ac:dyDescent="0.3">
      <c r="A6348">
        <v>6346</v>
      </c>
      <c r="B6348">
        <v>6347</v>
      </c>
      <c r="C6348" t="s">
        <v>6426</v>
      </c>
      <c r="D6348">
        <v>2006</v>
      </c>
      <c r="E6348" t="s">
        <v>11</v>
      </c>
      <c r="F6348" t="s">
        <v>2084</v>
      </c>
      <c r="G6348">
        <v>0</v>
      </c>
      <c r="H6348">
        <v>0</v>
      </c>
      <c r="I6348">
        <v>1</v>
      </c>
      <c r="J6348">
        <v>0</v>
      </c>
      <c r="K6348">
        <v>0</v>
      </c>
      <c r="L6348">
        <f t="shared" si="198"/>
        <v>5.0999999999999996</v>
      </c>
      <c r="M6348">
        <f t="shared" si="199"/>
        <v>1</v>
      </c>
    </row>
    <row r="6349" spans="1:13" x14ac:dyDescent="0.3">
      <c r="A6349">
        <v>6347</v>
      </c>
      <c r="B6349">
        <v>6348</v>
      </c>
      <c r="C6349" t="s">
        <v>6427</v>
      </c>
      <c r="D6349">
        <v>2019</v>
      </c>
      <c r="F6349" t="s">
        <v>2084</v>
      </c>
      <c r="G6349">
        <v>0</v>
      </c>
      <c r="H6349">
        <v>0</v>
      </c>
      <c r="I6349">
        <v>1</v>
      </c>
      <c r="J6349">
        <v>0</v>
      </c>
      <c r="K6349">
        <v>0</v>
      </c>
      <c r="L6349">
        <f t="shared" si="198"/>
        <v>5.0999999999999996</v>
      </c>
      <c r="M6349">
        <f t="shared" si="199"/>
        <v>1</v>
      </c>
    </row>
    <row r="6350" spans="1:13" x14ac:dyDescent="0.3">
      <c r="A6350">
        <v>6348</v>
      </c>
      <c r="B6350">
        <v>6349</v>
      </c>
      <c r="C6350" t="s">
        <v>6428</v>
      </c>
      <c r="D6350">
        <v>2006</v>
      </c>
      <c r="F6350" t="s">
        <v>2084</v>
      </c>
      <c r="G6350">
        <v>0</v>
      </c>
      <c r="H6350">
        <v>0</v>
      </c>
      <c r="I6350">
        <v>1</v>
      </c>
      <c r="J6350">
        <v>0</v>
      </c>
      <c r="K6350">
        <v>0</v>
      </c>
      <c r="L6350">
        <f t="shared" si="198"/>
        <v>5.0999999999999996</v>
      </c>
      <c r="M6350">
        <f t="shared" si="199"/>
        <v>1</v>
      </c>
    </row>
    <row r="6351" spans="1:13" x14ac:dyDescent="0.3">
      <c r="A6351">
        <v>6349</v>
      </c>
      <c r="B6351">
        <v>6350</v>
      </c>
      <c r="C6351" t="s">
        <v>6429</v>
      </c>
      <c r="D6351">
        <v>2011</v>
      </c>
      <c r="E6351" t="s">
        <v>11</v>
      </c>
      <c r="F6351" t="s">
        <v>2084</v>
      </c>
      <c r="G6351">
        <v>0</v>
      </c>
      <c r="H6351">
        <v>0</v>
      </c>
      <c r="I6351">
        <v>1</v>
      </c>
      <c r="J6351">
        <v>0</v>
      </c>
      <c r="K6351">
        <v>0</v>
      </c>
      <c r="L6351">
        <f t="shared" si="198"/>
        <v>5.0999999999999996</v>
      </c>
      <c r="M6351">
        <f t="shared" si="199"/>
        <v>1</v>
      </c>
    </row>
    <row r="6352" spans="1:13" x14ac:dyDescent="0.3">
      <c r="A6352">
        <v>6350</v>
      </c>
      <c r="B6352">
        <v>6351</v>
      </c>
      <c r="C6352" t="s">
        <v>6430</v>
      </c>
      <c r="D6352">
        <v>2008</v>
      </c>
      <c r="E6352" t="s">
        <v>11</v>
      </c>
      <c r="F6352" t="s">
        <v>2084</v>
      </c>
      <c r="G6352">
        <v>0</v>
      </c>
      <c r="H6352">
        <v>0</v>
      </c>
      <c r="I6352">
        <v>1</v>
      </c>
      <c r="J6352">
        <v>0</v>
      </c>
      <c r="K6352">
        <v>0</v>
      </c>
      <c r="L6352">
        <f t="shared" si="198"/>
        <v>5.0999999999999996</v>
      </c>
      <c r="M6352">
        <f t="shared" si="199"/>
        <v>1</v>
      </c>
    </row>
    <row r="6353" spans="1:13" x14ac:dyDescent="0.3">
      <c r="A6353">
        <v>6351</v>
      </c>
      <c r="B6353">
        <v>6352</v>
      </c>
      <c r="C6353" t="s">
        <v>6431</v>
      </c>
      <c r="D6353">
        <v>2017</v>
      </c>
      <c r="E6353" t="s">
        <v>14</v>
      </c>
      <c r="F6353" t="s">
        <v>2084</v>
      </c>
      <c r="G6353">
        <v>0</v>
      </c>
      <c r="H6353">
        <v>0</v>
      </c>
      <c r="I6353">
        <v>1</v>
      </c>
      <c r="J6353">
        <v>0</v>
      </c>
      <c r="K6353">
        <v>0</v>
      </c>
      <c r="L6353">
        <f t="shared" si="198"/>
        <v>5.0999999999999996</v>
      </c>
      <c r="M6353">
        <f t="shared" si="199"/>
        <v>1</v>
      </c>
    </row>
    <row r="6354" spans="1:13" x14ac:dyDescent="0.3">
      <c r="A6354">
        <v>6352</v>
      </c>
      <c r="B6354">
        <v>6353</v>
      </c>
      <c r="C6354" t="s">
        <v>6432</v>
      </c>
      <c r="D6354">
        <v>1983</v>
      </c>
      <c r="F6354" t="s">
        <v>2084</v>
      </c>
      <c r="G6354">
        <v>0</v>
      </c>
      <c r="H6354">
        <v>0</v>
      </c>
      <c r="I6354">
        <v>1</v>
      </c>
      <c r="J6354">
        <v>0</v>
      </c>
      <c r="K6354">
        <v>0</v>
      </c>
      <c r="L6354">
        <f t="shared" si="198"/>
        <v>5.0999999999999996</v>
      </c>
      <c r="M6354">
        <f t="shared" si="199"/>
        <v>1</v>
      </c>
    </row>
    <row r="6355" spans="1:13" x14ac:dyDescent="0.3">
      <c r="A6355">
        <v>6353</v>
      </c>
      <c r="B6355">
        <v>6354</v>
      </c>
      <c r="C6355" t="s">
        <v>6433</v>
      </c>
      <c r="D6355">
        <v>2018</v>
      </c>
      <c r="F6355" t="s">
        <v>2084</v>
      </c>
      <c r="G6355">
        <v>0</v>
      </c>
      <c r="H6355">
        <v>0</v>
      </c>
      <c r="I6355">
        <v>1</v>
      </c>
      <c r="J6355">
        <v>0</v>
      </c>
      <c r="K6355">
        <v>0</v>
      </c>
      <c r="L6355">
        <f t="shared" si="198"/>
        <v>5.0999999999999996</v>
      </c>
      <c r="M6355">
        <f t="shared" si="199"/>
        <v>1</v>
      </c>
    </row>
    <row r="6356" spans="1:13" x14ac:dyDescent="0.3">
      <c r="A6356">
        <v>6354</v>
      </c>
      <c r="B6356">
        <v>6355</v>
      </c>
      <c r="C6356" t="s">
        <v>6434</v>
      </c>
      <c r="D6356">
        <v>2004</v>
      </c>
      <c r="E6356" t="s">
        <v>11</v>
      </c>
      <c r="F6356" t="s">
        <v>2084</v>
      </c>
      <c r="G6356">
        <v>0</v>
      </c>
      <c r="H6356">
        <v>0</v>
      </c>
      <c r="I6356">
        <v>1</v>
      </c>
      <c r="J6356">
        <v>0</v>
      </c>
      <c r="K6356">
        <v>0</v>
      </c>
      <c r="L6356">
        <f t="shared" si="198"/>
        <v>5.0999999999999996</v>
      </c>
      <c r="M6356">
        <f t="shared" si="199"/>
        <v>1</v>
      </c>
    </row>
    <row r="6357" spans="1:13" x14ac:dyDescent="0.3">
      <c r="A6357">
        <v>6355</v>
      </c>
      <c r="B6357">
        <v>6356</v>
      </c>
      <c r="C6357" t="s">
        <v>6435</v>
      </c>
      <c r="D6357">
        <v>2016</v>
      </c>
      <c r="E6357" t="s">
        <v>36</v>
      </c>
      <c r="F6357" t="s">
        <v>2084</v>
      </c>
      <c r="G6357">
        <v>0</v>
      </c>
      <c r="H6357">
        <v>0</v>
      </c>
      <c r="I6357">
        <v>1</v>
      </c>
      <c r="J6357">
        <v>0</v>
      </c>
      <c r="K6357">
        <v>0</v>
      </c>
      <c r="L6357">
        <f t="shared" si="198"/>
        <v>5.0999999999999996</v>
      </c>
      <c r="M6357">
        <f t="shared" si="199"/>
        <v>1</v>
      </c>
    </row>
    <row r="6358" spans="1:13" x14ac:dyDescent="0.3">
      <c r="A6358">
        <v>6356</v>
      </c>
      <c r="B6358">
        <v>6357</v>
      </c>
      <c r="C6358" t="s">
        <v>6436</v>
      </c>
      <c r="D6358">
        <v>2013</v>
      </c>
      <c r="E6358" t="s">
        <v>14</v>
      </c>
      <c r="F6358" t="s">
        <v>2084</v>
      </c>
      <c r="G6358">
        <v>0</v>
      </c>
      <c r="H6358">
        <v>0</v>
      </c>
      <c r="I6358">
        <v>1</v>
      </c>
      <c r="J6358">
        <v>0</v>
      </c>
      <c r="K6358">
        <v>0</v>
      </c>
      <c r="L6358">
        <f t="shared" si="198"/>
        <v>5.0999999999999996</v>
      </c>
      <c r="M6358">
        <f t="shared" si="199"/>
        <v>1</v>
      </c>
    </row>
    <row r="6359" spans="1:13" x14ac:dyDescent="0.3">
      <c r="A6359">
        <v>6357</v>
      </c>
      <c r="B6359">
        <v>6358</v>
      </c>
      <c r="C6359" t="s">
        <v>6437</v>
      </c>
      <c r="D6359">
        <v>2012</v>
      </c>
      <c r="E6359" t="s">
        <v>28</v>
      </c>
      <c r="F6359" t="s">
        <v>2084</v>
      </c>
      <c r="G6359">
        <v>0</v>
      </c>
      <c r="H6359">
        <v>0</v>
      </c>
      <c r="I6359">
        <v>1</v>
      </c>
      <c r="J6359">
        <v>0</v>
      </c>
      <c r="K6359">
        <v>0</v>
      </c>
      <c r="L6359">
        <f t="shared" si="198"/>
        <v>5.0999999999999996</v>
      </c>
      <c r="M6359">
        <f t="shared" si="199"/>
        <v>1</v>
      </c>
    </row>
    <row r="6360" spans="1:13" x14ac:dyDescent="0.3">
      <c r="A6360">
        <v>6358</v>
      </c>
      <c r="B6360">
        <v>6359</v>
      </c>
      <c r="C6360" t="s">
        <v>6438</v>
      </c>
      <c r="D6360">
        <v>2002</v>
      </c>
      <c r="E6360" t="s">
        <v>36</v>
      </c>
      <c r="F6360" t="s">
        <v>2084</v>
      </c>
      <c r="G6360">
        <v>0</v>
      </c>
      <c r="H6360">
        <v>0</v>
      </c>
      <c r="I6360">
        <v>1</v>
      </c>
      <c r="J6360">
        <v>0</v>
      </c>
      <c r="K6360">
        <v>0</v>
      </c>
      <c r="L6360">
        <f t="shared" si="198"/>
        <v>5.0999999999999996</v>
      </c>
      <c r="M6360">
        <f t="shared" si="199"/>
        <v>1</v>
      </c>
    </row>
    <row r="6361" spans="1:13" x14ac:dyDescent="0.3">
      <c r="A6361">
        <v>6359</v>
      </c>
      <c r="B6361">
        <v>6360</v>
      </c>
      <c r="C6361" t="s">
        <v>6439</v>
      </c>
      <c r="D6361">
        <v>2019</v>
      </c>
      <c r="F6361" t="s">
        <v>2084</v>
      </c>
      <c r="G6361">
        <v>0</v>
      </c>
      <c r="H6361">
        <v>0</v>
      </c>
      <c r="I6361">
        <v>1</v>
      </c>
      <c r="J6361">
        <v>0</v>
      </c>
      <c r="K6361">
        <v>0</v>
      </c>
      <c r="L6361">
        <f t="shared" si="198"/>
        <v>5.0999999999999996</v>
      </c>
      <c r="M6361">
        <f t="shared" si="199"/>
        <v>1</v>
      </c>
    </row>
    <row r="6362" spans="1:13" x14ac:dyDescent="0.3">
      <c r="A6362">
        <v>6360</v>
      </c>
      <c r="B6362">
        <v>6361</v>
      </c>
      <c r="C6362" t="s">
        <v>6440</v>
      </c>
      <c r="D6362">
        <v>1999</v>
      </c>
      <c r="E6362" t="s">
        <v>22</v>
      </c>
      <c r="F6362" t="s">
        <v>2084</v>
      </c>
      <c r="G6362">
        <v>0</v>
      </c>
      <c r="H6362">
        <v>0</v>
      </c>
      <c r="I6362">
        <v>1</v>
      </c>
      <c r="J6362">
        <v>0</v>
      </c>
      <c r="K6362">
        <v>0</v>
      </c>
      <c r="L6362">
        <f t="shared" si="198"/>
        <v>5.0999999999999996</v>
      </c>
      <c r="M6362">
        <f t="shared" si="199"/>
        <v>1</v>
      </c>
    </row>
    <row r="6363" spans="1:13" x14ac:dyDescent="0.3">
      <c r="A6363">
        <v>6361</v>
      </c>
      <c r="B6363">
        <v>6362</v>
      </c>
      <c r="C6363" t="s">
        <v>6441</v>
      </c>
      <c r="D6363">
        <v>2019</v>
      </c>
      <c r="F6363" t="s">
        <v>2084</v>
      </c>
      <c r="G6363">
        <v>0</v>
      </c>
      <c r="H6363">
        <v>0</v>
      </c>
      <c r="I6363">
        <v>1</v>
      </c>
      <c r="J6363">
        <v>0</v>
      </c>
      <c r="K6363">
        <v>0</v>
      </c>
      <c r="L6363">
        <f t="shared" si="198"/>
        <v>5.0999999999999996</v>
      </c>
      <c r="M6363">
        <f t="shared" si="199"/>
        <v>1</v>
      </c>
    </row>
    <row r="6364" spans="1:13" x14ac:dyDescent="0.3">
      <c r="A6364">
        <v>6362</v>
      </c>
      <c r="B6364">
        <v>6363</v>
      </c>
      <c r="C6364" t="s">
        <v>6442</v>
      </c>
      <c r="D6364">
        <v>2002</v>
      </c>
      <c r="E6364" t="s">
        <v>11</v>
      </c>
      <c r="F6364" t="s">
        <v>2084</v>
      </c>
      <c r="G6364">
        <v>0</v>
      </c>
      <c r="H6364">
        <v>0</v>
      </c>
      <c r="I6364">
        <v>1</v>
      </c>
      <c r="J6364">
        <v>0</v>
      </c>
      <c r="K6364">
        <v>0</v>
      </c>
      <c r="L6364">
        <f t="shared" si="198"/>
        <v>5.0999999999999996</v>
      </c>
      <c r="M6364">
        <f t="shared" si="199"/>
        <v>1</v>
      </c>
    </row>
    <row r="6365" spans="1:13" x14ac:dyDescent="0.3">
      <c r="A6365">
        <v>6363</v>
      </c>
      <c r="B6365">
        <v>6364</v>
      </c>
      <c r="C6365" t="s">
        <v>6443</v>
      </c>
      <c r="D6365">
        <v>2017</v>
      </c>
      <c r="F6365" t="s">
        <v>2195</v>
      </c>
      <c r="G6365">
        <v>0</v>
      </c>
      <c r="H6365">
        <v>0</v>
      </c>
      <c r="I6365">
        <v>1</v>
      </c>
      <c r="J6365">
        <v>0</v>
      </c>
      <c r="K6365">
        <v>0</v>
      </c>
      <c r="L6365">
        <f t="shared" si="198"/>
        <v>5</v>
      </c>
      <c r="M6365">
        <f t="shared" si="199"/>
        <v>1</v>
      </c>
    </row>
    <row r="6366" spans="1:13" x14ac:dyDescent="0.3">
      <c r="A6366">
        <v>6364</v>
      </c>
      <c r="B6366">
        <v>6365</v>
      </c>
      <c r="C6366" t="s">
        <v>6444</v>
      </c>
      <c r="D6366">
        <v>2019</v>
      </c>
      <c r="F6366" t="s">
        <v>2195</v>
      </c>
      <c r="G6366">
        <v>0</v>
      </c>
      <c r="H6366">
        <v>0</v>
      </c>
      <c r="I6366">
        <v>1</v>
      </c>
      <c r="J6366">
        <v>0</v>
      </c>
      <c r="K6366">
        <v>0</v>
      </c>
      <c r="L6366">
        <f t="shared" si="198"/>
        <v>5</v>
      </c>
      <c r="M6366">
        <f t="shared" si="199"/>
        <v>1</v>
      </c>
    </row>
    <row r="6367" spans="1:13" x14ac:dyDescent="0.3">
      <c r="A6367">
        <v>6365</v>
      </c>
      <c r="B6367">
        <v>6366</v>
      </c>
      <c r="C6367" t="s">
        <v>6445</v>
      </c>
      <c r="D6367">
        <v>1993</v>
      </c>
      <c r="F6367" t="s">
        <v>2195</v>
      </c>
      <c r="G6367">
        <v>0</v>
      </c>
      <c r="H6367">
        <v>0</v>
      </c>
      <c r="I6367">
        <v>1</v>
      </c>
      <c r="J6367">
        <v>0</v>
      </c>
      <c r="K6367">
        <v>0</v>
      </c>
      <c r="L6367">
        <f t="shared" si="198"/>
        <v>5</v>
      </c>
      <c r="M6367">
        <f t="shared" si="199"/>
        <v>1</v>
      </c>
    </row>
    <row r="6368" spans="1:13" x14ac:dyDescent="0.3">
      <c r="A6368">
        <v>6366</v>
      </c>
      <c r="B6368">
        <v>6367</v>
      </c>
      <c r="C6368" t="s">
        <v>6446</v>
      </c>
      <c r="D6368">
        <v>2017</v>
      </c>
      <c r="F6368" t="s">
        <v>2195</v>
      </c>
      <c r="G6368">
        <v>0</v>
      </c>
      <c r="H6368">
        <v>0</v>
      </c>
      <c r="I6368">
        <v>1</v>
      </c>
      <c r="J6368">
        <v>0</v>
      </c>
      <c r="K6368">
        <v>0</v>
      </c>
      <c r="L6368">
        <f t="shared" si="198"/>
        <v>5</v>
      </c>
      <c r="M6368">
        <f t="shared" si="199"/>
        <v>1</v>
      </c>
    </row>
    <row r="6369" spans="1:13" x14ac:dyDescent="0.3">
      <c r="A6369">
        <v>6367</v>
      </c>
      <c r="B6369">
        <v>6368</v>
      </c>
      <c r="C6369" t="s">
        <v>6447</v>
      </c>
      <c r="D6369">
        <v>2002</v>
      </c>
      <c r="E6369" t="s">
        <v>22</v>
      </c>
      <c r="F6369" t="s">
        <v>2195</v>
      </c>
      <c r="G6369">
        <v>0</v>
      </c>
      <c r="H6369">
        <v>0</v>
      </c>
      <c r="I6369">
        <v>1</v>
      </c>
      <c r="J6369">
        <v>0</v>
      </c>
      <c r="K6369">
        <v>0</v>
      </c>
      <c r="L6369">
        <f t="shared" si="198"/>
        <v>5</v>
      </c>
      <c r="M6369">
        <f t="shared" si="199"/>
        <v>1</v>
      </c>
    </row>
    <row r="6370" spans="1:13" x14ac:dyDescent="0.3">
      <c r="A6370">
        <v>6368</v>
      </c>
      <c r="B6370">
        <v>6369</v>
      </c>
      <c r="C6370" t="s">
        <v>6448</v>
      </c>
      <c r="D6370">
        <v>2019</v>
      </c>
      <c r="E6370" t="s">
        <v>11</v>
      </c>
      <c r="F6370" t="s">
        <v>2195</v>
      </c>
      <c r="G6370">
        <v>0</v>
      </c>
      <c r="H6370">
        <v>0</v>
      </c>
      <c r="I6370">
        <v>1</v>
      </c>
      <c r="J6370">
        <v>0</v>
      </c>
      <c r="K6370">
        <v>0</v>
      </c>
      <c r="L6370">
        <f t="shared" si="198"/>
        <v>5</v>
      </c>
      <c r="M6370">
        <f t="shared" si="199"/>
        <v>1</v>
      </c>
    </row>
    <row r="6371" spans="1:13" x14ac:dyDescent="0.3">
      <c r="A6371">
        <v>6369</v>
      </c>
      <c r="B6371">
        <v>6370</v>
      </c>
      <c r="C6371" t="s">
        <v>6449</v>
      </c>
      <c r="D6371">
        <v>2017</v>
      </c>
      <c r="E6371" t="s">
        <v>36</v>
      </c>
      <c r="F6371" t="s">
        <v>2195</v>
      </c>
      <c r="G6371">
        <v>0</v>
      </c>
      <c r="H6371">
        <v>0</v>
      </c>
      <c r="I6371">
        <v>1</v>
      </c>
      <c r="J6371">
        <v>0</v>
      </c>
      <c r="K6371">
        <v>0</v>
      </c>
      <c r="L6371">
        <f t="shared" si="198"/>
        <v>5</v>
      </c>
      <c r="M6371">
        <f t="shared" si="199"/>
        <v>1</v>
      </c>
    </row>
    <row r="6372" spans="1:13" x14ac:dyDescent="0.3">
      <c r="A6372">
        <v>6370</v>
      </c>
      <c r="B6372">
        <v>6371</v>
      </c>
      <c r="C6372" t="s">
        <v>6450</v>
      </c>
      <c r="D6372">
        <v>2020</v>
      </c>
      <c r="E6372" t="s">
        <v>14</v>
      </c>
      <c r="F6372" t="s">
        <v>2195</v>
      </c>
      <c r="G6372">
        <v>0</v>
      </c>
      <c r="H6372">
        <v>0</v>
      </c>
      <c r="I6372">
        <v>1</v>
      </c>
      <c r="J6372">
        <v>0</v>
      </c>
      <c r="K6372">
        <v>0</v>
      </c>
      <c r="L6372">
        <f t="shared" si="198"/>
        <v>5</v>
      </c>
      <c r="M6372">
        <f t="shared" si="199"/>
        <v>1</v>
      </c>
    </row>
    <row r="6373" spans="1:13" x14ac:dyDescent="0.3">
      <c r="A6373">
        <v>6371</v>
      </c>
      <c r="B6373">
        <v>6372</v>
      </c>
      <c r="C6373" t="s">
        <v>6451</v>
      </c>
      <c r="D6373">
        <v>2017</v>
      </c>
      <c r="F6373" t="s">
        <v>2195</v>
      </c>
      <c r="G6373">
        <v>0</v>
      </c>
      <c r="H6373">
        <v>0</v>
      </c>
      <c r="I6373">
        <v>1</v>
      </c>
      <c r="J6373">
        <v>0</v>
      </c>
      <c r="K6373">
        <v>0</v>
      </c>
      <c r="L6373">
        <f t="shared" si="198"/>
        <v>5</v>
      </c>
      <c r="M6373">
        <f t="shared" si="199"/>
        <v>1</v>
      </c>
    </row>
    <row r="6374" spans="1:13" x14ac:dyDescent="0.3">
      <c r="A6374">
        <v>6372</v>
      </c>
      <c r="B6374">
        <v>6373</v>
      </c>
      <c r="C6374" t="s">
        <v>6452</v>
      </c>
      <c r="D6374">
        <v>2015</v>
      </c>
      <c r="F6374" t="s">
        <v>2195</v>
      </c>
      <c r="G6374">
        <v>0</v>
      </c>
      <c r="H6374">
        <v>0</v>
      </c>
      <c r="I6374">
        <v>1</v>
      </c>
      <c r="J6374">
        <v>0</v>
      </c>
      <c r="K6374">
        <v>0</v>
      </c>
      <c r="L6374">
        <f t="shared" si="198"/>
        <v>5</v>
      </c>
      <c r="M6374">
        <f t="shared" si="199"/>
        <v>1</v>
      </c>
    </row>
    <row r="6375" spans="1:13" x14ac:dyDescent="0.3">
      <c r="A6375">
        <v>6373</v>
      </c>
      <c r="B6375">
        <v>6374</v>
      </c>
      <c r="C6375" t="s">
        <v>6453</v>
      </c>
      <c r="D6375">
        <v>2016</v>
      </c>
      <c r="E6375" t="s">
        <v>11</v>
      </c>
      <c r="F6375" t="s">
        <v>2195</v>
      </c>
      <c r="G6375">
        <v>0</v>
      </c>
      <c r="H6375">
        <v>0</v>
      </c>
      <c r="I6375">
        <v>1</v>
      </c>
      <c r="J6375">
        <v>0</v>
      </c>
      <c r="K6375">
        <v>0</v>
      </c>
      <c r="L6375">
        <f t="shared" si="198"/>
        <v>5</v>
      </c>
      <c r="M6375">
        <f t="shared" si="199"/>
        <v>1</v>
      </c>
    </row>
    <row r="6376" spans="1:13" x14ac:dyDescent="0.3">
      <c r="A6376">
        <v>6374</v>
      </c>
      <c r="B6376">
        <v>6375</v>
      </c>
      <c r="C6376" t="s">
        <v>6454</v>
      </c>
      <c r="D6376">
        <v>1946</v>
      </c>
      <c r="F6376" t="s">
        <v>2195</v>
      </c>
      <c r="G6376">
        <v>0</v>
      </c>
      <c r="H6376">
        <v>0</v>
      </c>
      <c r="I6376">
        <v>1</v>
      </c>
      <c r="J6376">
        <v>0</v>
      </c>
      <c r="K6376">
        <v>0</v>
      </c>
      <c r="L6376">
        <f t="shared" si="198"/>
        <v>5</v>
      </c>
      <c r="M6376">
        <f t="shared" si="199"/>
        <v>1</v>
      </c>
    </row>
    <row r="6377" spans="1:13" x14ac:dyDescent="0.3">
      <c r="A6377">
        <v>6375</v>
      </c>
      <c r="B6377">
        <v>6376</v>
      </c>
      <c r="C6377" t="s">
        <v>6455</v>
      </c>
      <c r="D6377">
        <v>2019</v>
      </c>
      <c r="E6377" t="s">
        <v>11</v>
      </c>
      <c r="F6377" t="s">
        <v>2195</v>
      </c>
      <c r="G6377">
        <v>0</v>
      </c>
      <c r="H6377">
        <v>0</v>
      </c>
      <c r="I6377">
        <v>1</v>
      </c>
      <c r="J6377">
        <v>0</v>
      </c>
      <c r="K6377">
        <v>0</v>
      </c>
      <c r="L6377">
        <f t="shared" si="198"/>
        <v>5</v>
      </c>
      <c r="M6377">
        <f t="shared" si="199"/>
        <v>1</v>
      </c>
    </row>
    <row r="6378" spans="1:13" x14ac:dyDescent="0.3">
      <c r="A6378">
        <v>6376</v>
      </c>
      <c r="B6378">
        <v>6377</v>
      </c>
      <c r="C6378" t="s">
        <v>6456</v>
      </c>
      <c r="D6378">
        <v>2006</v>
      </c>
      <c r="E6378" t="s">
        <v>14</v>
      </c>
      <c r="F6378" t="s">
        <v>2195</v>
      </c>
      <c r="G6378">
        <v>0</v>
      </c>
      <c r="H6378">
        <v>0</v>
      </c>
      <c r="I6378">
        <v>1</v>
      </c>
      <c r="J6378">
        <v>0</v>
      </c>
      <c r="K6378">
        <v>0</v>
      </c>
      <c r="L6378">
        <f t="shared" si="198"/>
        <v>5</v>
      </c>
      <c r="M6378">
        <f t="shared" si="199"/>
        <v>1</v>
      </c>
    </row>
    <row r="6379" spans="1:13" x14ac:dyDescent="0.3">
      <c r="A6379">
        <v>6377</v>
      </c>
      <c r="B6379">
        <v>6378</v>
      </c>
      <c r="C6379" t="s">
        <v>6457</v>
      </c>
      <c r="D6379">
        <v>2015</v>
      </c>
      <c r="F6379" t="s">
        <v>2195</v>
      </c>
      <c r="G6379">
        <v>0</v>
      </c>
      <c r="H6379">
        <v>0</v>
      </c>
      <c r="I6379">
        <v>1</v>
      </c>
      <c r="J6379">
        <v>0</v>
      </c>
      <c r="K6379">
        <v>0</v>
      </c>
      <c r="L6379">
        <f t="shared" si="198"/>
        <v>5</v>
      </c>
      <c r="M6379">
        <f t="shared" si="199"/>
        <v>1</v>
      </c>
    </row>
    <row r="6380" spans="1:13" x14ac:dyDescent="0.3">
      <c r="A6380">
        <v>6378</v>
      </c>
      <c r="B6380">
        <v>6379</v>
      </c>
      <c r="C6380" t="s">
        <v>6458</v>
      </c>
      <c r="D6380">
        <v>2016</v>
      </c>
      <c r="E6380" t="s">
        <v>22</v>
      </c>
      <c r="F6380" t="s">
        <v>2195</v>
      </c>
      <c r="G6380">
        <v>0</v>
      </c>
      <c r="H6380">
        <v>0</v>
      </c>
      <c r="I6380">
        <v>1</v>
      </c>
      <c r="J6380">
        <v>0</v>
      </c>
      <c r="K6380">
        <v>0</v>
      </c>
      <c r="L6380">
        <f t="shared" si="198"/>
        <v>5</v>
      </c>
      <c r="M6380">
        <f t="shared" si="199"/>
        <v>1</v>
      </c>
    </row>
    <row r="6381" spans="1:13" x14ac:dyDescent="0.3">
      <c r="A6381">
        <v>6379</v>
      </c>
      <c r="B6381">
        <v>6380</v>
      </c>
      <c r="C6381" t="s">
        <v>6459</v>
      </c>
      <c r="D6381">
        <v>2019</v>
      </c>
      <c r="F6381" t="s">
        <v>2195</v>
      </c>
      <c r="G6381">
        <v>0</v>
      </c>
      <c r="H6381">
        <v>0</v>
      </c>
      <c r="I6381">
        <v>1</v>
      </c>
      <c r="J6381">
        <v>0</v>
      </c>
      <c r="K6381">
        <v>0</v>
      </c>
      <c r="L6381">
        <f t="shared" si="198"/>
        <v>5</v>
      </c>
      <c r="M6381">
        <f t="shared" si="199"/>
        <v>1</v>
      </c>
    </row>
    <row r="6382" spans="1:13" x14ac:dyDescent="0.3">
      <c r="A6382">
        <v>6380</v>
      </c>
      <c r="B6382">
        <v>6381</v>
      </c>
      <c r="C6382" t="s">
        <v>6460</v>
      </c>
      <c r="D6382">
        <v>2020</v>
      </c>
      <c r="F6382" t="s">
        <v>2195</v>
      </c>
      <c r="G6382">
        <v>0</v>
      </c>
      <c r="H6382">
        <v>0</v>
      </c>
      <c r="I6382">
        <v>1</v>
      </c>
      <c r="J6382">
        <v>0</v>
      </c>
      <c r="K6382">
        <v>0</v>
      </c>
      <c r="L6382">
        <f t="shared" si="198"/>
        <v>5</v>
      </c>
      <c r="M6382">
        <f t="shared" si="199"/>
        <v>1</v>
      </c>
    </row>
    <row r="6383" spans="1:13" x14ac:dyDescent="0.3">
      <c r="A6383">
        <v>6381</v>
      </c>
      <c r="B6383">
        <v>6382</v>
      </c>
      <c r="C6383" t="s">
        <v>6461</v>
      </c>
      <c r="D6383">
        <v>2006</v>
      </c>
      <c r="F6383" t="s">
        <v>2195</v>
      </c>
      <c r="G6383">
        <v>0</v>
      </c>
      <c r="H6383">
        <v>0</v>
      </c>
      <c r="I6383">
        <v>1</v>
      </c>
      <c r="J6383">
        <v>0</v>
      </c>
      <c r="K6383">
        <v>0</v>
      </c>
      <c r="L6383">
        <f t="shared" si="198"/>
        <v>5</v>
      </c>
      <c r="M6383">
        <f t="shared" si="199"/>
        <v>1</v>
      </c>
    </row>
    <row r="6384" spans="1:13" x14ac:dyDescent="0.3">
      <c r="A6384">
        <v>6382</v>
      </c>
      <c r="B6384">
        <v>6383</v>
      </c>
      <c r="C6384" t="s">
        <v>6462</v>
      </c>
      <c r="D6384">
        <v>2004</v>
      </c>
      <c r="E6384" t="s">
        <v>14</v>
      </c>
      <c r="F6384" t="s">
        <v>2195</v>
      </c>
      <c r="G6384">
        <v>0</v>
      </c>
      <c r="H6384">
        <v>0</v>
      </c>
      <c r="I6384">
        <v>1</v>
      </c>
      <c r="J6384">
        <v>0</v>
      </c>
      <c r="K6384">
        <v>0</v>
      </c>
      <c r="L6384">
        <f t="shared" si="198"/>
        <v>5</v>
      </c>
      <c r="M6384">
        <f t="shared" si="199"/>
        <v>1</v>
      </c>
    </row>
    <row r="6385" spans="1:13" x14ac:dyDescent="0.3">
      <c r="A6385">
        <v>6383</v>
      </c>
      <c r="B6385">
        <v>6384</v>
      </c>
      <c r="C6385" t="s">
        <v>6463</v>
      </c>
      <c r="D6385">
        <v>2014</v>
      </c>
      <c r="F6385" t="s">
        <v>2195</v>
      </c>
      <c r="G6385">
        <v>0</v>
      </c>
      <c r="H6385">
        <v>0</v>
      </c>
      <c r="I6385">
        <v>1</v>
      </c>
      <c r="J6385">
        <v>0</v>
      </c>
      <c r="K6385">
        <v>0</v>
      </c>
      <c r="L6385">
        <f t="shared" si="198"/>
        <v>5</v>
      </c>
      <c r="M6385">
        <f t="shared" si="199"/>
        <v>1</v>
      </c>
    </row>
    <row r="6386" spans="1:13" x14ac:dyDescent="0.3">
      <c r="A6386">
        <v>6384</v>
      </c>
      <c r="B6386">
        <v>6385</v>
      </c>
      <c r="C6386" t="s">
        <v>6464</v>
      </c>
      <c r="D6386">
        <v>1995</v>
      </c>
      <c r="F6386" t="s">
        <v>2195</v>
      </c>
      <c r="G6386">
        <v>0</v>
      </c>
      <c r="H6386">
        <v>0</v>
      </c>
      <c r="I6386">
        <v>1</v>
      </c>
      <c r="J6386">
        <v>0</v>
      </c>
      <c r="K6386">
        <v>0</v>
      </c>
      <c r="L6386">
        <f t="shared" si="198"/>
        <v>5</v>
      </c>
      <c r="M6386">
        <f t="shared" si="199"/>
        <v>1</v>
      </c>
    </row>
    <row r="6387" spans="1:13" x14ac:dyDescent="0.3">
      <c r="A6387">
        <v>6385</v>
      </c>
      <c r="B6387">
        <v>6386</v>
      </c>
      <c r="C6387" t="s">
        <v>6465</v>
      </c>
      <c r="D6387">
        <v>2009</v>
      </c>
      <c r="F6387" t="s">
        <v>2195</v>
      </c>
      <c r="G6387">
        <v>0</v>
      </c>
      <c r="H6387">
        <v>0</v>
      </c>
      <c r="I6387">
        <v>1</v>
      </c>
      <c r="J6387">
        <v>0</v>
      </c>
      <c r="K6387">
        <v>0</v>
      </c>
      <c r="L6387">
        <f t="shared" si="198"/>
        <v>5</v>
      </c>
      <c r="M6387">
        <f t="shared" si="199"/>
        <v>1</v>
      </c>
    </row>
    <row r="6388" spans="1:13" x14ac:dyDescent="0.3">
      <c r="A6388">
        <v>6386</v>
      </c>
      <c r="B6388">
        <v>6387</v>
      </c>
      <c r="C6388" t="s">
        <v>6466</v>
      </c>
      <c r="D6388">
        <v>2019</v>
      </c>
      <c r="F6388" t="s">
        <v>2195</v>
      </c>
      <c r="G6388">
        <v>0</v>
      </c>
      <c r="H6388">
        <v>0</v>
      </c>
      <c r="I6388">
        <v>1</v>
      </c>
      <c r="J6388">
        <v>0</v>
      </c>
      <c r="K6388">
        <v>0</v>
      </c>
      <c r="L6388">
        <f t="shared" si="198"/>
        <v>5</v>
      </c>
      <c r="M6388">
        <f t="shared" si="199"/>
        <v>1</v>
      </c>
    </row>
    <row r="6389" spans="1:13" x14ac:dyDescent="0.3">
      <c r="A6389">
        <v>6387</v>
      </c>
      <c r="B6389">
        <v>6388</v>
      </c>
      <c r="C6389" t="s">
        <v>6467</v>
      </c>
      <c r="D6389">
        <v>2018</v>
      </c>
      <c r="F6389" t="s">
        <v>2195</v>
      </c>
      <c r="G6389">
        <v>0</v>
      </c>
      <c r="H6389">
        <v>0</v>
      </c>
      <c r="I6389">
        <v>1</v>
      </c>
      <c r="J6389">
        <v>0</v>
      </c>
      <c r="K6389">
        <v>0</v>
      </c>
      <c r="L6389">
        <f t="shared" si="198"/>
        <v>5</v>
      </c>
      <c r="M6389">
        <f t="shared" si="199"/>
        <v>1</v>
      </c>
    </row>
    <row r="6390" spans="1:13" x14ac:dyDescent="0.3">
      <c r="A6390">
        <v>6388</v>
      </c>
      <c r="B6390">
        <v>6389</v>
      </c>
      <c r="C6390" t="s">
        <v>6468</v>
      </c>
      <c r="D6390">
        <v>2015</v>
      </c>
      <c r="F6390" t="s">
        <v>2195</v>
      </c>
      <c r="G6390">
        <v>0</v>
      </c>
      <c r="H6390">
        <v>0</v>
      </c>
      <c r="I6390">
        <v>1</v>
      </c>
      <c r="J6390">
        <v>0</v>
      </c>
      <c r="K6390">
        <v>0</v>
      </c>
      <c r="L6390">
        <f t="shared" si="198"/>
        <v>5</v>
      </c>
      <c r="M6390">
        <f t="shared" si="199"/>
        <v>1</v>
      </c>
    </row>
    <row r="6391" spans="1:13" x14ac:dyDescent="0.3">
      <c r="A6391">
        <v>6389</v>
      </c>
      <c r="B6391">
        <v>6390</v>
      </c>
      <c r="C6391" t="s">
        <v>6469</v>
      </c>
      <c r="D6391">
        <v>2006</v>
      </c>
      <c r="E6391" t="s">
        <v>11</v>
      </c>
      <c r="F6391" t="s">
        <v>2195</v>
      </c>
      <c r="G6391">
        <v>0</v>
      </c>
      <c r="H6391">
        <v>0</v>
      </c>
      <c r="I6391">
        <v>1</v>
      </c>
      <c r="J6391">
        <v>0</v>
      </c>
      <c r="K6391">
        <v>0</v>
      </c>
      <c r="L6391">
        <f t="shared" si="198"/>
        <v>5</v>
      </c>
      <c r="M6391">
        <f t="shared" si="199"/>
        <v>1</v>
      </c>
    </row>
    <row r="6392" spans="1:13" x14ac:dyDescent="0.3">
      <c r="A6392">
        <v>6390</v>
      </c>
      <c r="B6392">
        <v>6391</v>
      </c>
      <c r="C6392" t="s">
        <v>6470</v>
      </c>
      <c r="D6392">
        <v>2018</v>
      </c>
      <c r="E6392" t="s">
        <v>11</v>
      </c>
      <c r="F6392" t="s">
        <v>2195</v>
      </c>
      <c r="G6392">
        <v>0</v>
      </c>
      <c r="H6392">
        <v>0</v>
      </c>
      <c r="I6392">
        <v>1</v>
      </c>
      <c r="J6392">
        <v>0</v>
      </c>
      <c r="K6392">
        <v>0</v>
      </c>
      <c r="L6392">
        <f t="shared" si="198"/>
        <v>5</v>
      </c>
      <c r="M6392">
        <f t="shared" si="199"/>
        <v>1</v>
      </c>
    </row>
    <row r="6393" spans="1:13" x14ac:dyDescent="0.3">
      <c r="A6393">
        <v>6391</v>
      </c>
      <c r="B6393">
        <v>6392</v>
      </c>
      <c r="C6393" t="s">
        <v>6471</v>
      </c>
      <c r="D6393">
        <v>2013</v>
      </c>
      <c r="E6393" t="s">
        <v>11</v>
      </c>
      <c r="F6393" t="s">
        <v>2195</v>
      </c>
      <c r="G6393">
        <v>0</v>
      </c>
      <c r="H6393">
        <v>0</v>
      </c>
      <c r="I6393">
        <v>1</v>
      </c>
      <c r="J6393">
        <v>0</v>
      </c>
      <c r="K6393">
        <v>0</v>
      </c>
      <c r="L6393">
        <f t="shared" si="198"/>
        <v>5</v>
      </c>
      <c r="M6393">
        <f t="shared" si="199"/>
        <v>1</v>
      </c>
    </row>
    <row r="6394" spans="1:13" x14ac:dyDescent="0.3">
      <c r="A6394">
        <v>6392</v>
      </c>
      <c r="B6394">
        <v>6393</v>
      </c>
      <c r="C6394" t="s">
        <v>6472</v>
      </c>
      <c r="D6394">
        <v>2006</v>
      </c>
      <c r="E6394" t="s">
        <v>11</v>
      </c>
      <c r="F6394" t="s">
        <v>2195</v>
      </c>
      <c r="G6394">
        <v>0</v>
      </c>
      <c r="H6394">
        <v>0</v>
      </c>
      <c r="I6394">
        <v>1</v>
      </c>
      <c r="J6394">
        <v>0</v>
      </c>
      <c r="K6394">
        <v>0</v>
      </c>
      <c r="L6394">
        <f t="shared" si="198"/>
        <v>5</v>
      </c>
      <c r="M6394">
        <f t="shared" si="199"/>
        <v>1</v>
      </c>
    </row>
    <row r="6395" spans="1:13" x14ac:dyDescent="0.3">
      <c r="A6395">
        <v>6393</v>
      </c>
      <c r="B6395">
        <v>6394</v>
      </c>
      <c r="C6395" t="s">
        <v>6473</v>
      </c>
      <c r="D6395">
        <v>2016</v>
      </c>
      <c r="E6395" t="s">
        <v>11</v>
      </c>
      <c r="F6395" t="s">
        <v>2195</v>
      </c>
      <c r="G6395">
        <v>0</v>
      </c>
      <c r="H6395">
        <v>0</v>
      </c>
      <c r="I6395">
        <v>1</v>
      </c>
      <c r="J6395">
        <v>0</v>
      </c>
      <c r="K6395">
        <v>0</v>
      </c>
      <c r="L6395">
        <f t="shared" si="198"/>
        <v>5</v>
      </c>
      <c r="M6395">
        <f t="shared" si="199"/>
        <v>1</v>
      </c>
    </row>
    <row r="6396" spans="1:13" x14ac:dyDescent="0.3">
      <c r="A6396">
        <v>6394</v>
      </c>
      <c r="B6396">
        <v>6395</v>
      </c>
      <c r="C6396" t="s">
        <v>6474</v>
      </c>
      <c r="D6396">
        <v>2011</v>
      </c>
      <c r="E6396" t="s">
        <v>11</v>
      </c>
      <c r="F6396" t="s">
        <v>2195</v>
      </c>
      <c r="G6396">
        <v>0</v>
      </c>
      <c r="H6396">
        <v>0</v>
      </c>
      <c r="I6396">
        <v>1</v>
      </c>
      <c r="J6396">
        <v>0</v>
      </c>
      <c r="K6396">
        <v>0</v>
      </c>
      <c r="L6396">
        <f t="shared" si="198"/>
        <v>5</v>
      </c>
      <c r="M6396">
        <f t="shared" si="199"/>
        <v>1</v>
      </c>
    </row>
    <row r="6397" spans="1:13" x14ac:dyDescent="0.3">
      <c r="A6397">
        <v>6395</v>
      </c>
      <c r="B6397">
        <v>6396</v>
      </c>
      <c r="C6397" t="s">
        <v>6475</v>
      </c>
      <c r="D6397">
        <v>2020</v>
      </c>
      <c r="E6397" t="s">
        <v>11</v>
      </c>
      <c r="F6397" t="s">
        <v>2195</v>
      </c>
      <c r="G6397">
        <v>0</v>
      </c>
      <c r="H6397">
        <v>0</v>
      </c>
      <c r="I6397">
        <v>1</v>
      </c>
      <c r="J6397">
        <v>0</v>
      </c>
      <c r="K6397">
        <v>0</v>
      </c>
      <c r="L6397">
        <f t="shared" si="198"/>
        <v>5</v>
      </c>
      <c r="M6397">
        <f t="shared" si="199"/>
        <v>1</v>
      </c>
    </row>
    <row r="6398" spans="1:13" x14ac:dyDescent="0.3">
      <c r="A6398">
        <v>6396</v>
      </c>
      <c r="B6398">
        <v>6397</v>
      </c>
      <c r="C6398" t="s">
        <v>6476</v>
      </c>
      <c r="D6398">
        <v>2013</v>
      </c>
      <c r="E6398" t="s">
        <v>11</v>
      </c>
      <c r="F6398" t="s">
        <v>2195</v>
      </c>
      <c r="G6398">
        <v>0</v>
      </c>
      <c r="H6398">
        <v>0</v>
      </c>
      <c r="I6398">
        <v>1</v>
      </c>
      <c r="J6398">
        <v>0</v>
      </c>
      <c r="K6398">
        <v>0</v>
      </c>
      <c r="L6398">
        <f t="shared" si="198"/>
        <v>5</v>
      </c>
      <c r="M6398">
        <f t="shared" si="199"/>
        <v>1</v>
      </c>
    </row>
    <row r="6399" spans="1:13" x14ac:dyDescent="0.3">
      <c r="A6399">
        <v>6397</v>
      </c>
      <c r="B6399">
        <v>6398</v>
      </c>
      <c r="C6399" t="s">
        <v>6477</v>
      </c>
      <c r="D6399">
        <v>2015</v>
      </c>
      <c r="E6399" t="s">
        <v>22</v>
      </c>
      <c r="F6399" t="s">
        <v>2195</v>
      </c>
      <c r="G6399">
        <v>0</v>
      </c>
      <c r="H6399">
        <v>0</v>
      </c>
      <c r="I6399">
        <v>1</v>
      </c>
      <c r="J6399">
        <v>0</v>
      </c>
      <c r="K6399">
        <v>0</v>
      </c>
      <c r="L6399">
        <f t="shared" si="198"/>
        <v>5</v>
      </c>
      <c r="M6399">
        <f t="shared" si="199"/>
        <v>1</v>
      </c>
    </row>
    <row r="6400" spans="1:13" x14ac:dyDescent="0.3">
      <c r="A6400">
        <v>6398</v>
      </c>
      <c r="B6400">
        <v>6399</v>
      </c>
      <c r="C6400" t="s">
        <v>6478</v>
      </c>
      <c r="D6400">
        <v>1971</v>
      </c>
      <c r="E6400" t="s">
        <v>11</v>
      </c>
      <c r="F6400" t="s">
        <v>2195</v>
      </c>
      <c r="G6400">
        <v>0</v>
      </c>
      <c r="H6400">
        <v>0</v>
      </c>
      <c r="I6400">
        <v>1</v>
      </c>
      <c r="J6400">
        <v>0</v>
      </c>
      <c r="K6400">
        <v>0</v>
      </c>
      <c r="L6400">
        <f t="shared" si="198"/>
        <v>5</v>
      </c>
      <c r="M6400">
        <f t="shared" si="199"/>
        <v>1</v>
      </c>
    </row>
    <row r="6401" spans="1:13" x14ac:dyDescent="0.3">
      <c r="A6401">
        <v>6399</v>
      </c>
      <c r="B6401">
        <v>6400</v>
      </c>
      <c r="C6401" t="s">
        <v>6479</v>
      </c>
      <c r="D6401">
        <v>2018</v>
      </c>
      <c r="E6401" t="s">
        <v>11</v>
      </c>
      <c r="F6401" t="s">
        <v>2195</v>
      </c>
      <c r="G6401">
        <v>0</v>
      </c>
      <c r="H6401">
        <v>0</v>
      </c>
      <c r="I6401">
        <v>1</v>
      </c>
      <c r="J6401">
        <v>0</v>
      </c>
      <c r="K6401">
        <v>0</v>
      </c>
      <c r="L6401">
        <f t="shared" si="198"/>
        <v>5</v>
      </c>
      <c r="M6401">
        <f t="shared" si="199"/>
        <v>1</v>
      </c>
    </row>
    <row r="6402" spans="1:13" x14ac:dyDescent="0.3">
      <c r="A6402">
        <v>6400</v>
      </c>
      <c r="B6402">
        <v>6401</v>
      </c>
      <c r="C6402" t="s">
        <v>6480</v>
      </c>
      <c r="D6402">
        <v>2009</v>
      </c>
      <c r="E6402" t="s">
        <v>28</v>
      </c>
      <c r="F6402" t="s">
        <v>2195</v>
      </c>
      <c r="G6402">
        <v>0</v>
      </c>
      <c r="H6402">
        <v>0</v>
      </c>
      <c r="I6402">
        <v>1</v>
      </c>
      <c r="J6402">
        <v>0</v>
      </c>
      <c r="K6402">
        <v>0</v>
      </c>
      <c r="L6402">
        <f t="shared" si="198"/>
        <v>5</v>
      </c>
      <c r="M6402">
        <f t="shared" si="199"/>
        <v>1</v>
      </c>
    </row>
    <row r="6403" spans="1:13" x14ac:dyDescent="0.3">
      <c r="A6403">
        <v>6401</v>
      </c>
      <c r="B6403">
        <v>6402</v>
      </c>
      <c r="C6403" t="s">
        <v>6481</v>
      </c>
      <c r="D6403">
        <v>2017</v>
      </c>
      <c r="F6403" t="s">
        <v>2195</v>
      </c>
      <c r="G6403">
        <v>0</v>
      </c>
      <c r="H6403">
        <v>0</v>
      </c>
      <c r="I6403">
        <v>1</v>
      </c>
      <c r="J6403">
        <v>0</v>
      </c>
      <c r="K6403">
        <v>0</v>
      </c>
      <c r="L6403">
        <f t="shared" ref="L6403:L6466" si="200">IFERROR(VALUE(LEFT(F6403,FIND("/",F6403)-1))/10,"")</f>
        <v>5</v>
      </c>
      <c r="M6403">
        <f t="shared" ref="M6403:M6466" si="201">SUM(G6403:J6403)</f>
        <v>1</v>
      </c>
    </row>
    <row r="6404" spans="1:13" x14ac:dyDescent="0.3">
      <c r="A6404">
        <v>6402</v>
      </c>
      <c r="B6404">
        <v>6403</v>
      </c>
      <c r="C6404" t="s">
        <v>6482</v>
      </c>
      <c r="D6404">
        <v>2015</v>
      </c>
      <c r="E6404" t="s">
        <v>22</v>
      </c>
      <c r="F6404" t="s">
        <v>2195</v>
      </c>
      <c r="G6404">
        <v>0</v>
      </c>
      <c r="H6404">
        <v>0</v>
      </c>
      <c r="I6404">
        <v>1</v>
      </c>
      <c r="J6404">
        <v>0</v>
      </c>
      <c r="K6404">
        <v>0</v>
      </c>
      <c r="L6404">
        <f t="shared" si="200"/>
        <v>5</v>
      </c>
      <c r="M6404">
        <f t="shared" si="201"/>
        <v>1</v>
      </c>
    </row>
    <row r="6405" spans="1:13" x14ac:dyDescent="0.3">
      <c r="A6405">
        <v>6403</v>
      </c>
      <c r="B6405">
        <v>6404</v>
      </c>
      <c r="C6405" t="s">
        <v>6483</v>
      </c>
      <c r="D6405">
        <v>2009</v>
      </c>
      <c r="F6405" t="s">
        <v>2195</v>
      </c>
      <c r="G6405">
        <v>0</v>
      </c>
      <c r="H6405">
        <v>0</v>
      </c>
      <c r="I6405">
        <v>1</v>
      </c>
      <c r="J6405">
        <v>0</v>
      </c>
      <c r="K6405">
        <v>0</v>
      </c>
      <c r="L6405">
        <f t="shared" si="200"/>
        <v>5</v>
      </c>
      <c r="M6405">
        <f t="shared" si="201"/>
        <v>1</v>
      </c>
    </row>
    <row r="6406" spans="1:13" x14ac:dyDescent="0.3">
      <c r="A6406">
        <v>6404</v>
      </c>
      <c r="B6406">
        <v>6405</v>
      </c>
      <c r="C6406" t="s">
        <v>6484</v>
      </c>
      <c r="D6406">
        <v>2021</v>
      </c>
      <c r="F6406" t="s">
        <v>2195</v>
      </c>
      <c r="G6406">
        <v>0</v>
      </c>
      <c r="H6406">
        <v>0</v>
      </c>
      <c r="I6406">
        <v>1</v>
      </c>
      <c r="J6406">
        <v>0</v>
      </c>
      <c r="K6406">
        <v>0</v>
      </c>
      <c r="L6406">
        <f t="shared" si="200"/>
        <v>5</v>
      </c>
      <c r="M6406">
        <f t="shared" si="201"/>
        <v>1</v>
      </c>
    </row>
    <row r="6407" spans="1:13" x14ac:dyDescent="0.3">
      <c r="A6407">
        <v>6405</v>
      </c>
      <c r="B6407">
        <v>6406</v>
      </c>
      <c r="C6407" t="s">
        <v>6485</v>
      </c>
      <c r="D6407">
        <v>2020</v>
      </c>
      <c r="F6407" t="s">
        <v>2195</v>
      </c>
      <c r="G6407">
        <v>0</v>
      </c>
      <c r="H6407">
        <v>0</v>
      </c>
      <c r="I6407">
        <v>1</v>
      </c>
      <c r="J6407">
        <v>0</v>
      </c>
      <c r="K6407">
        <v>0</v>
      </c>
      <c r="L6407">
        <f t="shared" si="200"/>
        <v>5</v>
      </c>
      <c r="M6407">
        <f t="shared" si="201"/>
        <v>1</v>
      </c>
    </row>
    <row r="6408" spans="1:13" x14ac:dyDescent="0.3">
      <c r="A6408">
        <v>6406</v>
      </c>
      <c r="B6408">
        <v>6407</v>
      </c>
      <c r="C6408" t="s">
        <v>6486</v>
      </c>
      <c r="D6408">
        <v>2018</v>
      </c>
      <c r="F6408" t="s">
        <v>2195</v>
      </c>
      <c r="G6408">
        <v>0</v>
      </c>
      <c r="H6408">
        <v>0</v>
      </c>
      <c r="I6408">
        <v>1</v>
      </c>
      <c r="J6408">
        <v>0</v>
      </c>
      <c r="K6408">
        <v>0</v>
      </c>
      <c r="L6408">
        <f t="shared" si="200"/>
        <v>5</v>
      </c>
      <c r="M6408">
        <f t="shared" si="201"/>
        <v>1</v>
      </c>
    </row>
    <row r="6409" spans="1:13" x14ac:dyDescent="0.3">
      <c r="A6409">
        <v>6407</v>
      </c>
      <c r="B6409">
        <v>6408</v>
      </c>
      <c r="C6409" t="s">
        <v>6487</v>
      </c>
      <c r="D6409">
        <v>2008</v>
      </c>
      <c r="F6409" t="s">
        <v>2195</v>
      </c>
      <c r="G6409">
        <v>0</v>
      </c>
      <c r="H6409">
        <v>0</v>
      </c>
      <c r="I6409">
        <v>1</v>
      </c>
      <c r="J6409">
        <v>0</v>
      </c>
      <c r="K6409">
        <v>0</v>
      </c>
      <c r="L6409">
        <f t="shared" si="200"/>
        <v>5</v>
      </c>
      <c r="M6409">
        <f t="shared" si="201"/>
        <v>1</v>
      </c>
    </row>
    <row r="6410" spans="1:13" x14ac:dyDescent="0.3">
      <c r="A6410">
        <v>6408</v>
      </c>
      <c r="B6410">
        <v>6409</v>
      </c>
      <c r="C6410" t="s">
        <v>6488</v>
      </c>
      <c r="D6410">
        <v>2000</v>
      </c>
      <c r="E6410" t="s">
        <v>11</v>
      </c>
      <c r="F6410" t="s">
        <v>2195</v>
      </c>
      <c r="G6410">
        <v>0</v>
      </c>
      <c r="H6410">
        <v>0</v>
      </c>
      <c r="I6410">
        <v>1</v>
      </c>
      <c r="J6410">
        <v>0</v>
      </c>
      <c r="K6410">
        <v>0</v>
      </c>
      <c r="L6410">
        <f t="shared" si="200"/>
        <v>5</v>
      </c>
      <c r="M6410">
        <f t="shared" si="201"/>
        <v>1</v>
      </c>
    </row>
    <row r="6411" spans="1:13" x14ac:dyDescent="0.3">
      <c r="A6411">
        <v>6409</v>
      </c>
      <c r="B6411">
        <v>6410</v>
      </c>
      <c r="C6411" t="s">
        <v>6489</v>
      </c>
      <c r="D6411">
        <v>2009</v>
      </c>
      <c r="E6411" t="s">
        <v>14</v>
      </c>
      <c r="F6411" t="s">
        <v>2195</v>
      </c>
      <c r="G6411">
        <v>0</v>
      </c>
      <c r="H6411">
        <v>0</v>
      </c>
      <c r="I6411">
        <v>1</v>
      </c>
      <c r="J6411">
        <v>0</v>
      </c>
      <c r="K6411">
        <v>0</v>
      </c>
      <c r="L6411">
        <f t="shared" si="200"/>
        <v>5</v>
      </c>
      <c r="M6411">
        <f t="shared" si="201"/>
        <v>1</v>
      </c>
    </row>
    <row r="6412" spans="1:13" x14ac:dyDescent="0.3">
      <c r="A6412">
        <v>6410</v>
      </c>
      <c r="B6412">
        <v>6411</v>
      </c>
      <c r="C6412" t="s">
        <v>6490</v>
      </c>
      <c r="D6412">
        <v>2018</v>
      </c>
      <c r="F6412" t="s">
        <v>2195</v>
      </c>
      <c r="G6412">
        <v>0</v>
      </c>
      <c r="H6412">
        <v>0</v>
      </c>
      <c r="I6412">
        <v>1</v>
      </c>
      <c r="J6412">
        <v>0</v>
      </c>
      <c r="K6412">
        <v>0</v>
      </c>
      <c r="L6412">
        <f t="shared" si="200"/>
        <v>5</v>
      </c>
      <c r="M6412">
        <f t="shared" si="201"/>
        <v>1</v>
      </c>
    </row>
    <row r="6413" spans="1:13" x14ac:dyDescent="0.3">
      <c r="A6413">
        <v>6411</v>
      </c>
      <c r="B6413">
        <v>6412</v>
      </c>
      <c r="C6413" t="s">
        <v>6491</v>
      </c>
      <c r="D6413">
        <v>2013</v>
      </c>
      <c r="F6413" t="s">
        <v>2195</v>
      </c>
      <c r="G6413">
        <v>0</v>
      </c>
      <c r="H6413">
        <v>0</v>
      </c>
      <c r="I6413">
        <v>1</v>
      </c>
      <c r="J6413">
        <v>0</v>
      </c>
      <c r="K6413">
        <v>0</v>
      </c>
      <c r="L6413">
        <f t="shared" si="200"/>
        <v>5</v>
      </c>
      <c r="M6413">
        <f t="shared" si="201"/>
        <v>1</v>
      </c>
    </row>
    <row r="6414" spans="1:13" x14ac:dyDescent="0.3">
      <c r="A6414">
        <v>6412</v>
      </c>
      <c r="B6414">
        <v>6413</v>
      </c>
      <c r="C6414" t="s">
        <v>6492</v>
      </c>
      <c r="D6414">
        <v>2016</v>
      </c>
      <c r="E6414" t="s">
        <v>14</v>
      </c>
      <c r="F6414" t="s">
        <v>2195</v>
      </c>
      <c r="G6414">
        <v>0</v>
      </c>
      <c r="H6414">
        <v>0</v>
      </c>
      <c r="I6414">
        <v>1</v>
      </c>
      <c r="J6414">
        <v>0</v>
      </c>
      <c r="K6414">
        <v>0</v>
      </c>
      <c r="L6414">
        <f t="shared" si="200"/>
        <v>5</v>
      </c>
      <c r="M6414">
        <f t="shared" si="201"/>
        <v>1</v>
      </c>
    </row>
    <row r="6415" spans="1:13" x14ac:dyDescent="0.3">
      <c r="A6415">
        <v>6413</v>
      </c>
      <c r="B6415">
        <v>6414</v>
      </c>
      <c r="C6415" t="s">
        <v>6493</v>
      </c>
      <c r="D6415">
        <v>2014</v>
      </c>
      <c r="E6415" t="s">
        <v>36</v>
      </c>
      <c r="F6415" t="s">
        <v>2195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f t="shared" si="200"/>
        <v>5</v>
      </c>
      <c r="M6415">
        <f t="shared" si="201"/>
        <v>1</v>
      </c>
    </row>
    <row r="6416" spans="1:13" x14ac:dyDescent="0.3">
      <c r="A6416">
        <v>6414</v>
      </c>
      <c r="B6416">
        <v>6415</v>
      </c>
      <c r="C6416" t="s">
        <v>6494</v>
      </c>
      <c r="D6416">
        <v>2019</v>
      </c>
      <c r="E6416" t="s">
        <v>14</v>
      </c>
      <c r="F6416" t="s">
        <v>2195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f t="shared" si="200"/>
        <v>5</v>
      </c>
      <c r="M6416">
        <f t="shared" si="201"/>
        <v>1</v>
      </c>
    </row>
    <row r="6417" spans="1:13" x14ac:dyDescent="0.3">
      <c r="A6417">
        <v>6415</v>
      </c>
      <c r="B6417">
        <v>6416</v>
      </c>
      <c r="C6417" t="s">
        <v>6495</v>
      </c>
      <c r="D6417">
        <v>2014</v>
      </c>
      <c r="E6417" t="s">
        <v>36</v>
      </c>
      <c r="F6417" t="s">
        <v>2195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f t="shared" si="200"/>
        <v>5</v>
      </c>
      <c r="M6417">
        <f t="shared" si="201"/>
        <v>1</v>
      </c>
    </row>
    <row r="6418" spans="1:13" x14ac:dyDescent="0.3">
      <c r="A6418">
        <v>6416</v>
      </c>
      <c r="B6418">
        <v>6417</v>
      </c>
      <c r="C6418" t="s">
        <v>6496</v>
      </c>
      <c r="D6418">
        <v>2019</v>
      </c>
      <c r="F6418" t="s">
        <v>2195</v>
      </c>
      <c r="G6418">
        <v>0</v>
      </c>
      <c r="H6418">
        <v>0</v>
      </c>
      <c r="I6418">
        <v>1</v>
      </c>
      <c r="J6418">
        <v>0</v>
      </c>
      <c r="K6418">
        <v>0</v>
      </c>
      <c r="L6418">
        <f t="shared" si="200"/>
        <v>5</v>
      </c>
      <c r="M6418">
        <f t="shared" si="201"/>
        <v>1</v>
      </c>
    </row>
    <row r="6419" spans="1:13" x14ac:dyDescent="0.3">
      <c r="A6419">
        <v>6417</v>
      </c>
      <c r="B6419">
        <v>6418</v>
      </c>
      <c r="C6419" t="s">
        <v>6497</v>
      </c>
      <c r="D6419">
        <v>2018</v>
      </c>
      <c r="E6419" t="s">
        <v>36</v>
      </c>
      <c r="F6419" t="s">
        <v>2195</v>
      </c>
      <c r="G6419">
        <v>0</v>
      </c>
      <c r="H6419">
        <v>0</v>
      </c>
      <c r="I6419">
        <v>1</v>
      </c>
      <c r="J6419">
        <v>0</v>
      </c>
      <c r="K6419">
        <v>0</v>
      </c>
      <c r="L6419">
        <f t="shared" si="200"/>
        <v>5</v>
      </c>
      <c r="M6419">
        <f t="shared" si="201"/>
        <v>1</v>
      </c>
    </row>
    <row r="6420" spans="1:13" x14ac:dyDescent="0.3">
      <c r="A6420">
        <v>6418</v>
      </c>
      <c r="B6420">
        <v>6419</v>
      </c>
      <c r="C6420" t="s">
        <v>6498</v>
      </c>
      <c r="D6420">
        <v>1999</v>
      </c>
      <c r="E6420" t="s">
        <v>14</v>
      </c>
      <c r="F6420" t="s">
        <v>2195</v>
      </c>
      <c r="G6420">
        <v>0</v>
      </c>
      <c r="H6420">
        <v>0</v>
      </c>
      <c r="I6420">
        <v>1</v>
      </c>
      <c r="J6420">
        <v>0</v>
      </c>
      <c r="K6420">
        <v>0</v>
      </c>
      <c r="L6420">
        <f t="shared" si="200"/>
        <v>5</v>
      </c>
      <c r="M6420">
        <f t="shared" si="201"/>
        <v>1</v>
      </c>
    </row>
    <row r="6421" spans="1:13" x14ac:dyDescent="0.3">
      <c r="A6421">
        <v>6419</v>
      </c>
      <c r="B6421">
        <v>6420</v>
      </c>
      <c r="C6421" t="s">
        <v>6499</v>
      </c>
      <c r="D6421">
        <v>2012</v>
      </c>
      <c r="E6421" t="s">
        <v>11</v>
      </c>
      <c r="F6421" t="s">
        <v>2195</v>
      </c>
      <c r="G6421">
        <v>0</v>
      </c>
      <c r="H6421">
        <v>0</v>
      </c>
      <c r="I6421">
        <v>1</v>
      </c>
      <c r="J6421">
        <v>0</v>
      </c>
      <c r="K6421">
        <v>0</v>
      </c>
      <c r="L6421">
        <f t="shared" si="200"/>
        <v>5</v>
      </c>
      <c r="M6421">
        <f t="shared" si="201"/>
        <v>1</v>
      </c>
    </row>
    <row r="6422" spans="1:13" x14ac:dyDescent="0.3">
      <c r="A6422">
        <v>6420</v>
      </c>
      <c r="B6422">
        <v>6421</v>
      </c>
      <c r="C6422" t="s">
        <v>6500</v>
      </c>
      <c r="D6422">
        <v>2021</v>
      </c>
      <c r="F6422" t="s">
        <v>2195</v>
      </c>
      <c r="G6422">
        <v>0</v>
      </c>
      <c r="H6422">
        <v>0</v>
      </c>
      <c r="I6422">
        <v>1</v>
      </c>
      <c r="J6422">
        <v>0</v>
      </c>
      <c r="K6422">
        <v>0</v>
      </c>
      <c r="L6422">
        <f t="shared" si="200"/>
        <v>5</v>
      </c>
      <c r="M6422">
        <f t="shared" si="201"/>
        <v>1</v>
      </c>
    </row>
    <row r="6423" spans="1:13" x14ac:dyDescent="0.3">
      <c r="A6423">
        <v>6421</v>
      </c>
      <c r="B6423">
        <v>6422</v>
      </c>
      <c r="C6423" t="s">
        <v>6501</v>
      </c>
      <c r="D6423">
        <v>2007</v>
      </c>
      <c r="E6423" t="s">
        <v>11</v>
      </c>
      <c r="F6423" t="s">
        <v>2195</v>
      </c>
      <c r="G6423">
        <v>0</v>
      </c>
      <c r="H6423">
        <v>0</v>
      </c>
      <c r="I6423">
        <v>1</v>
      </c>
      <c r="J6423">
        <v>0</v>
      </c>
      <c r="K6423">
        <v>0</v>
      </c>
      <c r="L6423">
        <f t="shared" si="200"/>
        <v>5</v>
      </c>
      <c r="M6423">
        <f t="shared" si="201"/>
        <v>1</v>
      </c>
    </row>
    <row r="6424" spans="1:13" x14ac:dyDescent="0.3">
      <c r="A6424">
        <v>6422</v>
      </c>
      <c r="B6424">
        <v>6423</v>
      </c>
      <c r="C6424" t="s">
        <v>6502</v>
      </c>
      <c r="D6424">
        <v>2015</v>
      </c>
      <c r="E6424" t="s">
        <v>11</v>
      </c>
      <c r="F6424" t="s">
        <v>2195</v>
      </c>
      <c r="G6424">
        <v>0</v>
      </c>
      <c r="H6424">
        <v>0</v>
      </c>
      <c r="I6424">
        <v>1</v>
      </c>
      <c r="J6424">
        <v>0</v>
      </c>
      <c r="K6424">
        <v>0</v>
      </c>
      <c r="L6424">
        <f t="shared" si="200"/>
        <v>5</v>
      </c>
      <c r="M6424">
        <f t="shared" si="201"/>
        <v>1</v>
      </c>
    </row>
    <row r="6425" spans="1:13" x14ac:dyDescent="0.3">
      <c r="A6425">
        <v>6423</v>
      </c>
      <c r="B6425">
        <v>6424</v>
      </c>
      <c r="C6425" t="s">
        <v>6503</v>
      </c>
      <c r="D6425">
        <v>2016</v>
      </c>
      <c r="F6425" t="s">
        <v>2195</v>
      </c>
      <c r="G6425">
        <v>0</v>
      </c>
      <c r="H6425">
        <v>0</v>
      </c>
      <c r="I6425">
        <v>1</v>
      </c>
      <c r="J6425">
        <v>0</v>
      </c>
      <c r="K6425">
        <v>0</v>
      </c>
      <c r="L6425">
        <f t="shared" si="200"/>
        <v>5</v>
      </c>
      <c r="M6425">
        <f t="shared" si="201"/>
        <v>1</v>
      </c>
    </row>
    <row r="6426" spans="1:13" x14ac:dyDescent="0.3">
      <c r="A6426">
        <v>6424</v>
      </c>
      <c r="B6426">
        <v>6425</v>
      </c>
      <c r="C6426" t="s">
        <v>6504</v>
      </c>
      <c r="D6426">
        <v>2004</v>
      </c>
      <c r="E6426" t="s">
        <v>36</v>
      </c>
      <c r="F6426" t="s">
        <v>2195</v>
      </c>
      <c r="G6426">
        <v>0</v>
      </c>
      <c r="H6426">
        <v>0</v>
      </c>
      <c r="I6426">
        <v>1</v>
      </c>
      <c r="J6426">
        <v>0</v>
      </c>
      <c r="K6426">
        <v>0</v>
      </c>
      <c r="L6426">
        <f t="shared" si="200"/>
        <v>5</v>
      </c>
      <c r="M6426">
        <f t="shared" si="201"/>
        <v>1</v>
      </c>
    </row>
    <row r="6427" spans="1:13" x14ac:dyDescent="0.3">
      <c r="A6427">
        <v>6425</v>
      </c>
      <c r="B6427">
        <v>6426</v>
      </c>
      <c r="C6427" t="s">
        <v>6505</v>
      </c>
      <c r="D6427">
        <v>1950</v>
      </c>
      <c r="F6427" t="s">
        <v>2195</v>
      </c>
      <c r="G6427">
        <v>0</v>
      </c>
      <c r="H6427">
        <v>0</v>
      </c>
      <c r="I6427">
        <v>1</v>
      </c>
      <c r="J6427">
        <v>0</v>
      </c>
      <c r="K6427">
        <v>0</v>
      </c>
      <c r="L6427">
        <f t="shared" si="200"/>
        <v>5</v>
      </c>
      <c r="M6427">
        <f t="shared" si="201"/>
        <v>1</v>
      </c>
    </row>
    <row r="6428" spans="1:13" x14ac:dyDescent="0.3">
      <c r="A6428">
        <v>6426</v>
      </c>
      <c r="B6428">
        <v>6427</v>
      </c>
      <c r="C6428" t="s">
        <v>6506</v>
      </c>
      <c r="D6428">
        <v>2015</v>
      </c>
      <c r="F6428" t="s">
        <v>2195</v>
      </c>
      <c r="G6428">
        <v>0</v>
      </c>
      <c r="H6428">
        <v>0</v>
      </c>
      <c r="I6428">
        <v>1</v>
      </c>
      <c r="J6428">
        <v>0</v>
      </c>
      <c r="K6428">
        <v>0</v>
      </c>
      <c r="L6428">
        <f t="shared" si="200"/>
        <v>5</v>
      </c>
      <c r="M6428">
        <f t="shared" si="201"/>
        <v>1</v>
      </c>
    </row>
    <row r="6429" spans="1:13" x14ac:dyDescent="0.3">
      <c r="A6429">
        <v>6427</v>
      </c>
      <c r="B6429">
        <v>6428</v>
      </c>
      <c r="C6429" t="s">
        <v>6507</v>
      </c>
      <c r="D6429">
        <v>2012</v>
      </c>
      <c r="F6429" t="s">
        <v>2195</v>
      </c>
      <c r="G6429">
        <v>0</v>
      </c>
      <c r="H6429">
        <v>0</v>
      </c>
      <c r="I6429">
        <v>1</v>
      </c>
      <c r="J6429">
        <v>0</v>
      </c>
      <c r="K6429">
        <v>0</v>
      </c>
      <c r="L6429">
        <f t="shared" si="200"/>
        <v>5</v>
      </c>
      <c r="M6429">
        <f t="shared" si="201"/>
        <v>1</v>
      </c>
    </row>
    <row r="6430" spans="1:13" x14ac:dyDescent="0.3">
      <c r="A6430">
        <v>6428</v>
      </c>
      <c r="B6430">
        <v>6429</v>
      </c>
      <c r="C6430" t="s">
        <v>6508</v>
      </c>
      <c r="D6430">
        <v>2018</v>
      </c>
      <c r="E6430" t="s">
        <v>36</v>
      </c>
      <c r="F6430" t="s">
        <v>2195</v>
      </c>
      <c r="G6430">
        <v>0</v>
      </c>
      <c r="H6430">
        <v>0</v>
      </c>
      <c r="I6430">
        <v>1</v>
      </c>
      <c r="J6430">
        <v>0</v>
      </c>
      <c r="K6430">
        <v>0</v>
      </c>
      <c r="L6430">
        <f t="shared" si="200"/>
        <v>5</v>
      </c>
      <c r="M6430">
        <f t="shared" si="201"/>
        <v>1</v>
      </c>
    </row>
    <row r="6431" spans="1:13" x14ac:dyDescent="0.3">
      <c r="A6431">
        <v>6429</v>
      </c>
      <c r="B6431">
        <v>6430</v>
      </c>
      <c r="C6431" t="s">
        <v>6509</v>
      </c>
      <c r="D6431">
        <v>2004</v>
      </c>
      <c r="E6431" t="s">
        <v>28</v>
      </c>
      <c r="F6431" t="s">
        <v>2195</v>
      </c>
      <c r="G6431">
        <v>0</v>
      </c>
      <c r="H6431">
        <v>0</v>
      </c>
      <c r="I6431">
        <v>1</v>
      </c>
      <c r="J6431">
        <v>0</v>
      </c>
      <c r="K6431">
        <v>0</v>
      </c>
      <c r="L6431">
        <f t="shared" si="200"/>
        <v>5</v>
      </c>
      <c r="M6431">
        <f t="shared" si="201"/>
        <v>1</v>
      </c>
    </row>
    <row r="6432" spans="1:13" x14ac:dyDescent="0.3">
      <c r="A6432">
        <v>6430</v>
      </c>
      <c r="B6432">
        <v>6431</v>
      </c>
      <c r="C6432" t="s">
        <v>6510</v>
      </c>
      <c r="D6432">
        <v>2009</v>
      </c>
      <c r="E6432" t="s">
        <v>11</v>
      </c>
      <c r="F6432" t="s">
        <v>2195</v>
      </c>
      <c r="G6432">
        <v>0</v>
      </c>
      <c r="H6432">
        <v>0</v>
      </c>
      <c r="I6432">
        <v>1</v>
      </c>
      <c r="J6432">
        <v>0</v>
      </c>
      <c r="K6432">
        <v>0</v>
      </c>
      <c r="L6432">
        <f t="shared" si="200"/>
        <v>5</v>
      </c>
      <c r="M6432">
        <f t="shared" si="201"/>
        <v>1</v>
      </c>
    </row>
    <row r="6433" spans="1:13" x14ac:dyDescent="0.3">
      <c r="A6433">
        <v>6431</v>
      </c>
      <c r="B6433">
        <v>6432</v>
      </c>
      <c r="C6433" t="s">
        <v>6511</v>
      </c>
      <c r="D6433">
        <v>2017</v>
      </c>
      <c r="F6433" t="s">
        <v>2195</v>
      </c>
      <c r="G6433">
        <v>0</v>
      </c>
      <c r="H6433">
        <v>0</v>
      </c>
      <c r="I6433">
        <v>1</v>
      </c>
      <c r="J6433">
        <v>0</v>
      </c>
      <c r="K6433">
        <v>0</v>
      </c>
      <c r="L6433">
        <f t="shared" si="200"/>
        <v>5</v>
      </c>
      <c r="M6433">
        <f t="shared" si="201"/>
        <v>1</v>
      </c>
    </row>
    <row r="6434" spans="1:13" x14ac:dyDescent="0.3">
      <c r="A6434">
        <v>6432</v>
      </c>
      <c r="B6434">
        <v>6433</v>
      </c>
      <c r="C6434" t="s">
        <v>6512</v>
      </c>
      <c r="D6434">
        <v>1981</v>
      </c>
      <c r="E6434" t="s">
        <v>14</v>
      </c>
      <c r="F6434" t="s">
        <v>2195</v>
      </c>
      <c r="G6434">
        <v>0</v>
      </c>
      <c r="H6434">
        <v>0</v>
      </c>
      <c r="I6434">
        <v>1</v>
      </c>
      <c r="J6434">
        <v>0</v>
      </c>
      <c r="K6434">
        <v>0</v>
      </c>
      <c r="L6434">
        <f t="shared" si="200"/>
        <v>5</v>
      </c>
      <c r="M6434">
        <f t="shared" si="201"/>
        <v>1</v>
      </c>
    </row>
    <row r="6435" spans="1:13" x14ac:dyDescent="0.3">
      <c r="A6435">
        <v>6433</v>
      </c>
      <c r="B6435">
        <v>6434</v>
      </c>
      <c r="C6435" t="s">
        <v>6513</v>
      </c>
      <c r="D6435">
        <v>2018</v>
      </c>
      <c r="E6435" t="s">
        <v>11</v>
      </c>
      <c r="F6435" t="s">
        <v>2195</v>
      </c>
      <c r="G6435">
        <v>0</v>
      </c>
      <c r="H6435">
        <v>0</v>
      </c>
      <c r="I6435">
        <v>1</v>
      </c>
      <c r="J6435">
        <v>0</v>
      </c>
      <c r="K6435">
        <v>0</v>
      </c>
      <c r="L6435">
        <f t="shared" si="200"/>
        <v>5</v>
      </c>
      <c r="M6435">
        <f t="shared" si="201"/>
        <v>1</v>
      </c>
    </row>
    <row r="6436" spans="1:13" x14ac:dyDescent="0.3">
      <c r="A6436">
        <v>6434</v>
      </c>
      <c r="B6436">
        <v>6435</v>
      </c>
      <c r="C6436" t="s">
        <v>6514</v>
      </c>
      <c r="D6436">
        <v>2017</v>
      </c>
      <c r="F6436" t="s">
        <v>2195</v>
      </c>
      <c r="G6436">
        <v>0</v>
      </c>
      <c r="H6436">
        <v>0</v>
      </c>
      <c r="I6436">
        <v>1</v>
      </c>
      <c r="J6436">
        <v>0</v>
      </c>
      <c r="K6436">
        <v>0</v>
      </c>
      <c r="L6436">
        <f t="shared" si="200"/>
        <v>5</v>
      </c>
      <c r="M6436">
        <f t="shared" si="201"/>
        <v>1</v>
      </c>
    </row>
    <row r="6437" spans="1:13" x14ac:dyDescent="0.3">
      <c r="A6437">
        <v>6435</v>
      </c>
      <c r="B6437">
        <v>6436</v>
      </c>
      <c r="C6437" t="s">
        <v>6515</v>
      </c>
      <c r="D6437">
        <v>1988</v>
      </c>
      <c r="E6437" t="s">
        <v>11</v>
      </c>
      <c r="F6437" t="s">
        <v>2195</v>
      </c>
      <c r="G6437">
        <v>0</v>
      </c>
      <c r="H6437">
        <v>0</v>
      </c>
      <c r="I6437">
        <v>1</v>
      </c>
      <c r="J6437">
        <v>0</v>
      </c>
      <c r="K6437">
        <v>0</v>
      </c>
      <c r="L6437">
        <f t="shared" si="200"/>
        <v>5</v>
      </c>
      <c r="M6437">
        <f t="shared" si="201"/>
        <v>1</v>
      </c>
    </row>
    <row r="6438" spans="1:13" x14ac:dyDescent="0.3">
      <c r="A6438">
        <v>6436</v>
      </c>
      <c r="B6438">
        <v>6437</v>
      </c>
      <c r="C6438" t="s">
        <v>6516</v>
      </c>
      <c r="D6438">
        <v>1999</v>
      </c>
      <c r="F6438" t="s">
        <v>2195</v>
      </c>
      <c r="G6438">
        <v>0</v>
      </c>
      <c r="H6438">
        <v>0</v>
      </c>
      <c r="I6438">
        <v>1</v>
      </c>
      <c r="J6438">
        <v>0</v>
      </c>
      <c r="K6438">
        <v>0</v>
      </c>
      <c r="L6438">
        <f t="shared" si="200"/>
        <v>5</v>
      </c>
      <c r="M6438">
        <f t="shared" si="201"/>
        <v>1</v>
      </c>
    </row>
    <row r="6439" spans="1:13" x14ac:dyDescent="0.3">
      <c r="A6439">
        <v>6437</v>
      </c>
      <c r="B6439">
        <v>6438</v>
      </c>
      <c r="C6439" t="s">
        <v>6517</v>
      </c>
      <c r="D6439">
        <v>2013</v>
      </c>
      <c r="F6439" t="s">
        <v>2195</v>
      </c>
      <c r="G6439">
        <v>0</v>
      </c>
      <c r="H6439">
        <v>0</v>
      </c>
      <c r="I6439">
        <v>1</v>
      </c>
      <c r="J6439">
        <v>0</v>
      </c>
      <c r="K6439">
        <v>0</v>
      </c>
      <c r="L6439">
        <f t="shared" si="200"/>
        <v>5</v>
      </c>
      <c r="M6439">
        <f t="shared" si="201"/>
        <v>1</v>
      </c>
    </row>
    <row r="6440" spans="1:13" x14ac:dyDescent="0.3">
      <c r="A6440">
        <v>6438</v>
      </c>
      <c r="B6440">
        <v>6439</v>
      </c>
      <c r="C6440" t="s">
        <v>6518</v>
      </c>
      <c r="D6440">
        <v>2013</v>
      </c>
      <c r="E6440" t="s">
        <v>14</v>
      </c>
      <c r="F6440" t="s">
        <v>2195</v>
      </c>
      <c r="G6440">
        <v>0</v>
      </c>
      <c r="H6440">
        <v>0</v>
      </c>
      <c r="I6440">
        <v>1</v>
      </c>
      <c r="J6440">
        <v>0</v>
      </c>
      <c r="K6440">
        <v>0</v>
      </c>
      <c r="L6440">
        <f t="shared" si="200"/>
        <v>5</v>
      </c>
      <c r="M6440">
        <f t="shared" si="201"/>
        <v>1</v>
      </c>
    </row>
    <row r="6441" spans="1:13" x14ac:dyDescent="0.3">
      <c r="A6441">
        <v>6439</v>
      </c>
      <c r="B6441">
        <v>6440</v>
      </c>
      <c r="C6441" t="s">
        <v>6519</v>
      </c>
      <c r="D6441">
        <v>1957</v>
      </c>
      <c r="F6441" t="s">
        <v>2195</v>
      </c>
      <c r="G6441">
        <v>0</v>
      </c>
      <c r="H6441">
        <v>0</v>
      </c>
      <c r="I6441">
        <v>1</v>
      </c>
      <c r="J6441">
        <v>0</v>
      </c>
      <c r="K6441">
        <v>0</v>
      </c>
      <c r="L6441">
        <f t="shared" si="200"/>
        <v>5</v>
      </c>
      <c r="M6441">
        <f t="shared" si="201"/>
        <v>1</v>
      </c>
    </row>
    <row r="6442" spans="1:13" x14ac:dyDescent="0.3">
      <c r="A6442">
        <v>6440</v>
      </c>
      <c r="B6442">
        <v>6441</v>
      </c>
      <c r="C6442" t="s">
        <v>6520</v>
      </c>
      <c r="D6442">
        <v>2021</v>
      </c>
      <c r="F6442" t="s">
        <v>2195</v>
      </c>
      <c r="G6442">
        <v>0</v>
      </c>
      <c r="H6442">
        <v>0</v>
      </c>
      <c r="I6442">
        <v>1</v>
      </c>
      <c r="J6442">
        <v>0</v>
      </c>
      <c r="K6442">
        <v>0</v>
      </c>
      <c r="L6442">
        <f t="shared" si="200"/>
        <v>5</v>
      </c>
      <c r="M6442">
        <f t="shared" si="201"/>
        <v>1</v>
      </c>
    </row>
    <row r="6443" spans="1:13" x14ac:dyDescent="0.3">
      <c r="A6443">
        <v>6441</v>
      </c>
      <c r="B6443">
        <v>6442</v>
      </c>
      <c r="C6443" t="s">
        <v>6521</v>
      </c>
      <c r="D6443">
        <v>2006</v>
      </c>
      <c r="E6443" t="s">
        <v>11</v>
      </c>
      <c r="F6443" t="s">
        <v>2195</v>
      </c>
      <c r="G6443">
        <v>0</v>
      </c>
      <c r="H6443">
        <v>0</v>
      </c>
      <c r="I6443">
        <v>1</v>
      </c>
      <c r="J6443">
        <v>0</v>
      </c>
      <c r="K6443">
        <v>0</v>
      </c>
      <c r="L6443">
        <f t="shared" si="200"/>
        <v>5</v>
      </c>
      <c r="M6443">
        <f t="shared" si="201"/>
        <v>1</v>
      </c>
    </row>
    <row r="6444" spans="1:13" x14ac:dyDescent="0.3">
      <c r="A6444">
        <v>6442</v>
      </c>
      <c r="B6444">
        <v>6443</v>
      </c>
      <c r="C6444" t="s">
        <v>6522</v>
      </c>
      <c r="D6444">
        <v>2004</v>
      </c>
      <c r="F6444" t="s">
        <v>2195</v>
      </c>
      <c r="G6444">
        <v>0</v>
      </c>
      <c r="H6444">
        <v>0</v>
      </c>
      <c r="I6444">
        <v>1</v>
      </c>
      <c r="J6444">
        <v>0</v>
      </c>
      <c r="K6444">
        <v>0</v>
      </c>
      <c r="L6444">
        <f t="shared" si="200"/>
        <v>5</v>
      </c>
      <c r="M6444">
        <f t="shared" si="201"/>
        <v>1</v>
      </c>
    </row>
    <row r="6445" spans="1:13" x14ac:dyDescent="0.3">
      <c r="A6445">
        <v>6443</v>
      </c>
      <c r="B6445">
        <v>6444</v>
      </c>
      <c r="C6445" t="s">
        <v>6523</v>
      </c>
      <c r="D6445">
        <v>2020</v>
      </c>
      <c r="E6445" t="s">
        <v>22</v>
      </c>
      <c r="F6445" t="s">
        <v>2195</v>
      </c>
      <c r="G6445">
        <v>0</v>
      </c>
      <c r="H6445">
        <v>0</v>
      </c>
      <c r="I6445">
        <v>1</v>
      </c>
      <c r="J6445">
        <v>0</v>
      </c>
      <c r="K6445">
        <v>0</v>
      </c>
      <c r="L6445">
        <f t="shared" si="200"/>
        <v>5</v>
      </c>
      <c r="M6445">
        <f t="shared" si="201"/>
        <v>1</v>
      </c>
    </row>
    <row r="6446" spans="1:13" x14ac:dyDescent="0.3">
      <c r="A6446">
        <v>6444</v>
      </c>
      <c r="B6446">
        <v>6445</v>
      </c>
      <c r="C6446" t="s">
        <v>6524</v>
      </c>
      <c r="D6446">
        <v>2017</v>
      </c>
      <c r="F6446" t="s">
        <v>2195</v>
      </c>
      <c r="G6446">
        <v>0</v>
      </c>
      <c r="H6446">
        <v>0</v>
      </c>
      <c r="I6446">
        <v>1</v>
      </c>
      <c r="J6446">
        <v>0</v>
      </c>
      <c r="K6446">
        <v>0</v>
      </c>
      <c r="L6446">
        <f t="shared" si="200"/>
        <v>5</v>
      </c>
      <c r="M6446">
        <f t="shared" si="201"/>
        <v>1</v>
      </c>
    </row>
    <row r="6447" spans="1:13" x14ac:dyDescent="0.3">
      <c r="A6447">
        <v>6445</v>
      </c>
      <c r="B6447">
        <v>6446</v>
      </c>
      <c r="C6447" t="s">
        <v>6525</v>
      </c>
      <c r="D6447">
        <v>2012</v>
      </c>
      <c r="E6447" t="s">
        <v>11</v>
      </c>
      <c r="F6447" t="s">
        <v>2195</v>
      </c>
      <c r="G6447">
        <v>0</v>
      </c>
      <c r="H6447">
        <v>0</v>
      </c>
      <c r="I6447">
        <v>1</v>
      </c>
      <c r="J6447">
        <v>0</v>
      </c>
      <c r="K6447">
        <v>0</v>
      </c>
      <c r="L6447">
        <f t="shared" si="200"/>
        <v>5</v>
      </c>
      <c r="M6447">
        <f t="shared" si="201"/>
        <v>1</v>
      </c>
    </row>
    <row r="6448" spans="1:13" x14ac:dyDescent="0.3">
      <c r="A6448">
        <v>6446</v>
      </c>
      <c r="B6448">
        <v>6447</v>
      </c>
      <c r="C6448" t="s">
        <v>6526</v>
      </c>
      <c r="D6448">
        <v>2019</v>
      </c>
      <c r="E6448" t="s">
        <v>11</v>
      </c>
      <c r="F6448" t="s">
        <v>2195</v>
      </c>
      <c r="G6448">
        <v>0</v>
      </c>
      <c r="H6448">
        <v>0</v>
      </c>
      <c r="I6448">
        <v>1</v>
      </c>
      <c r="J6448">
        <v>0</v>
      </c>
      <c r="K6448">
        <v>0</v>
      </c>
      <c r="L6448">
        <f t="shared" si="200"/>
        <v>5</v>
      </c>
      <c r="M6448">
        <f t="shared" si="201"/>
        <v>1</v>
      </c>
    </row>
    <row r="6449" spans="1:13" x14ac:dyDescent="0.3">
      <c r="A6449">
        <v>6447</v>
      </c>
      <c r="B6449">
        <v>6448</v>
      </c>
      <c r="C6449" t="s">
        <v>6527</v>
      </c>
      <c r="D6449">
        <v>2013</v>
      </c>
      <c r="E6449" t="s">
        <v>11</v>
      </c>
      <c r="F6449" t="s">
        <v>2195</v>
      </c>
      <c r="G6449">
        <v>0</v>
      </c>
      <c r="H6449">
        <v>0</v>
      </c>
      <c r="I6449">
        <v>1</v>
      </c>
      <c r="J6449">
        <v>0</v>
      </c>
      <c r="K6449">
        <v>0</v>
      </c>
      <c r="L6449">
        <f t="shared" si="200"/>
        <v>5</v>
      </c>
      <c r="M6449">
        <f t="shared" si="201"/>
        <v>1</v>
      </c>
    </row>
    <row r="6450" spans="1:13" x14ac:dyDescent="0.3">
      <c r="A6450">
        <v>6448</v>
      </c>
      <c r="B6450">
        <v>6449</v>
      </c>
      <c r="C6450" t="s">
        <v>6528</v>
      </c>
      <c r="D6450">
        <v>2014</v>
      </c>
      <c r="F6450" t="s">
        <v>2195</v>
      </c>
      <c r="G6450">
        <v>0</v>
      </c>
      <c r="H6450">
        <v>0</v>
      </c>
      <c r="I6450">
        <v>1</v>
      </c>
      <c r="J6450">
        <v>0</v>
      </c>
      <c r="K6450">
        <v>0</v>
      </c>
      <c r="L6450">
        <f t="shared" si="200"/>
        <v>5</v>
      </c>
      <c r="M6450">
        <f t="shared" si="201"/>
        <v>1</v>
      </c>
    </row>
    <row r="6451" spans="1:13" x14ac:dyDescent="0.3">
      <c r="A6451">
        <v>6449</v>
      </c>
      <c r="B6451">
        <v>6450</v>
      </c>
      <c r="C6451" t="s">
        <v>6529</v>
      </c>
      <c r="D6451">
        <v>2005</v>
      </c>
      <c r="F6451" t="s">
        <v>2195</v>
      </c>
      <c r="G6451">
        <v>0</v>
      </c>
      <c r="H6451">
        <v>0</v>
      </c>
      <c r="I6451">
        <v>1</v>
      </c>
      <c r="J6451">
        <v>0</v>
      </c>
      <c r="K6451">
        <v>0</v>
      </c>
      <c r="L6451">
        <f t="shared" si="200"/>
        <v>5</v>
      </c>
      <c r="M6451">
        <f t="shared" si="201"/>
        <v>1</v>
      </c>
    </row>
    <row r="6452" spans="1:13" x14ac:dyDescent="0.3">
      <c r="A6452">
        <v>6450</v>
      </c>
      <c r="B6452">
        <v>6451</v>
      </c>
      <c r="C6452" t="s">
        <v>6530</v>
      </c>
      <c r="D6452">
        <v>2013</v>
      </c>
      <c r="F6452" t="s">
        <v>2195</v>
      </c>
      <c r="G6452">
        <v>0</v>
      </c>
      <c r="H6452">
        <v>0</v>
      </c>
      <c r="I6452">
        <v>1</v>
      </c>
      <c r="J6452">
        <v>0</v>
      </c>
      <c r="K6452">
        <v>0</v>
      </c>
      <c r="L6452">
        <f t="shared" si="200"/>
        <v>5</v>
      </c>
      <c r="M6452">
        <f t="shared" si="201"/>
        <v>1</v>
      </c>
    </row>
    <row r="6453" spans="1:13" x14ac:dyDescent="0.3">
      <c r="A6453">
        <v>6451</v>
      </c>
      <c r="B6453">
        <v>6452</v>
      </c>
      <c r="C6453" t="s">
        <v>6531</v>
      </c>
      <c r="D6453">
        <v>1946</v>
      </c>
      <c r="F6453" t="s">
        <v>2195</v>
      </c>
      <c r="G6453">
        <v>0</v>
      </c>
      <c r="H6453">
        <v>0</v>
      </c>
      <c r="I6453">
        <v>1</v>
      </c>
      <c r="J6453">
        <v>0</v>
      </c>
      <c r="K6453">
        <v>0</v>
      </c>
      <c r="L6453">
        <f t="shared" si="200"/>
        <v>5</v>
      </c>
      <c r="M6453">
        <f t="shared" si="201"/>
        <v>1</v>
      </c>
    </row>
    <row r="6454" spans="1:13" x14ac:dyDescent="0.3">
      <c r="A6454">
        <v>6452</v>
      </c>
      <c r="B6454">
        <v>6453</v>
      </c>
      <c r="C6454" t="s">
        <v>6532</v>
      </c>
      <c r="D6454">
        <v>2010</v>
      </c>
      <c r="F6454" t="s">
        <v>2195</v>
      </c>
      <c r="G6454">
        <v>0</v>
      </c>
      <c r="H6454">
        <v>0</v>
      </c>
      <c r="I6454">
        <v>1</v>
      </c>
      <c r="J6454">
        <v>0</v>
      </c>
      <c r="K6454">
        <v>0</v>
      </c>
      <c r="L6454">
        <f t="shared" si="200"/>
        <v>5</v>
      </c>
      <c r="M6454">
        <f t="shared" si="201"/>
        <v>1</v>
      </c>
    </row>
    <row r="6455" spans="1:13" x14ac:dyDescent="0.3">
      <c r="A6455">
        <v>6453</v>
      </c>
      <c r="B6455">
        <v>6454</v>
      </c>
      <c r="C6455" t="s">
        <v>6533</v>
      </c>
      <c r="D6455">
        <v>2017</v>
      </c>
      <c r="F6455" t="s">
        <v>2195</v>
      </c>
      <c r="G6455">
        <v>0</v>
      </c>
      <c r="H6455">
        <v>0</v>
      </c>
      <c r="I6455">
        <v>1</v>
      </c>
      <c r="J6455">
        <v>0</v>
      </c>
      <c r="K6455">
        <v>0</v>
      </c>
      <c r="L6455">
        <f t="shared" si="200"/>
        <v>5</v>
      </c>
      <c r="M6455">
        <f t="shared" si="201"/>
        <v>1</v>
      </c>
    </row>
    <row r="6456" spans="1:13" x14ac:dyDescent="0.3">
      <c r="A6456">
        <v>6454</v>
      </c>
      <c r="B6456">
        <v>6455</v>
      </c>
      <c r="C6456" t="s">
        <v>6534</v>
      </c>
      <c r="D6456">
        <v>2016</v>
      </c>
      <c r="E6456" t="s">
        <v>22</v>
      </c>
      <c r="F6456" t="s">
        <v>2195</v>
      </c>
      <c r="G6456">
        <v>0</v>
      </c>
      <c r="H6456">
        <v>0</v>
      </c>
      <c r="I6456">
        <v>1</v>
      </c>
      <c r="J6456">
        <v>0</v>
      </c>
      <c r="K6456">
        <v>0</v>
      </c>
      <c r="L6456">
        <f t="shared" si="200"/>
        <v>5</v>
      </c>
      <c r="M6456">
        <f t="shared" si="201"/>
        <v>1</v>
      </c>
    </row>
    <row r="6457" spans="1:13" x14ac:dyDescent="0.3">
      <c r="A6457">
        <v>6455</v>
      </c>
      <c r="B6457">
        <v>6456</v>
      </c>
      <c r="C6457" t="s">
        <v>6535</v>
      </c>
      <c r="D6457">
        <v>1993</v>
      </c>
      <c r="E6457" t="s">
        <v>22</v>
      </c>
      <c r="F6457" t="s">
        <v>2195</v>
      </c>
      <c r="G6457">
        <v>0</v>
      </c>
      <c r="H6457">
        <v>0</v>
      </c>
      <c r="I6457">
        <v>1</v>
      </c>
      <c r="J6457">
        <v>0</v>
      </c>
      <c r="K6457">
        <v>0</v>
      </c>
      <c r="L6457">
        <f t="shared" si="200"/>
        <v>5</v>
      </c>
      <c r="M6457">
        <f t="shared" si="201"/>
        <v>1</v>
      </c>
    </row>
    <row r="6458" spans="1:13" x14ac:dyDescent="0.3">
      <c r="A6458">
        <v>6456</v>
      </c>
      <c r="B6458">
        <v>6457</v>
      </c>
      <c r="C6458" t="s">
        <v>6536</v>
      </c>
      <c r="D6458">
        <v>1989</v>
      </c>
      <c r="F6458" t="s">
        <v>2195</v>
      </c>
      <c r="G6458">
        <v>0</v>
      </c>
      <c r="H6458">
        <v>0</v>
      </c>
      <c r="I6458">
        <v>1</v>
      </c>
      <c r="J6458">
        <v>0</v>
      </c>
      <c r="K6458">
        <v>0</v>
      </c>
      <c r="L6458">
        <f t="shared" si="200"/>
        <v>5</v>
      </c>
      <c r="M6458">
        <f t="shared" si="201"/>
        <v>1</v>
      </c>
    </row>
    <row r="6459" spans="1:13" x14ac:dyDescent="0.3">
      <c r="A6459">
        <v>6457</v>
      </c>
      <c r="B6459">
        <v>6458</v>
      </c>
      <c r="C6459" t="s">
        <v>6537</v>
      </c>
      <c r="D6459">
        <v>2013</v>
      </c>
      <c r="E6459" t="s">
        <v>14</v>
      </c>
      <c r="F6459" t="s">
        <v>2195</v>
      </c>
      <c r="G6459">
        <v>0</v>
      </c>
      <c r="H6459">
        <v>0</v>
      </c>
      <c r="I6459">
        <v>1</v>
      </c>
      <c r="J6459">
        <v>0</v>
      </c>
      <c r="K6459">
        <v>0</v>
      </c>
      <c r="L6459">
        <f t="shared" si="200"/>
        <v>5</v>
      </c>
      <c r="M6459">
        <f t="shared" si="201"/>
        <v>1</v>
      </c>
    </row>
    <row r="6460" spans="1:13" x14ac:dyDescent="0.3">
      <c r="A6460">
        <v>6458</v>
      </c>
      <c r="B6460">
        <v>6459</v>
      </c>
      <c r="C6460" t="s">
        <v>6538</v>
      </c>
      <c r="D6460">
        <v>2010</v>
      </c>
      <c r="F6460" t="s">
        <v>2195</v>
      </c>
      <c r="G6460">
        <v>0</v>
      </c>
      <c r="H6460">
        <v>0</v>
      </c>
      <c r="I6460">
        <v>1</v>
      </c>
      <c r="J6460">
        <v>0</v>
      </c>
      <c r="K6460">
        <v>0</v>
      </c>
      <c r="L6460">
        <f t="shared" si="200"/>
        <v>5</v>
      </c>
      <c r="M6460">
        <f t="shared" si="201"/>
        <v>1</v>
      </c>
    </row>
    <row r="6461" spans="1:13" x14ac:dyDescent="0.3">
      <c r="A6461">
        <v>6459</v>
      </c>
      <c r="B6461">
        <v>6460</v>
      </c>
      <c r="C6461" t="s">
        <v>6539</v>
      </c>
      <c r="D6461">
        <v>1966</v>
      </c>
      <c r="F6461" t="s">
        <v>2195</v>
      </c>
      <c r="G6461">
        <v>0</v>
      </c>
      <c r="H6461">
        <v>0</v>
      </c>
      <c r="I6461">
        <v>1</v>
      </c>
      <c r="J6461">
        <v>0</v>
      </c>
      <c r="K6461">
        <v>0</v>
      </c>
      <c r="L6461">
        <f t="shared" si="200"/>
        <v>5</v>
      </c>
      <c r="M6461">
        <f t="shared" si="201"/>
        <v>1</v>
      </c>
    </row>
    <row r="6462" spans="1:13" x14ac:dyDescent="0.3">
      <c r="A6462">
        <v>6460</v>
      </c>
      <c r="B6462">
        <v>6461</v>
      </c>
      <c r="C6462" t="s">
        <v>6540</v>
      </c>
      <c r="D6462">
        <v>2021</v>
      </c>
      <c r="F6462" t="s">
        <v>2195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f t="shared" si="200"/>
        <v>5</v>
      </c>
      <c r="M6462">
        <f t="shared" si="201"/>
        <v>1</v>
      </c>
    </row>
    <row r="6463" spans="1:13" x14ac:dyDescent="0.3">
      <c r="A6463">
        <v>6461</v>
      </c>
      <c r="B6463">
        <v>6462</v>
      </c>
      <c r="C6463" t="s">
        <v>6541</v>
      </c>
      <c r="D6463">
        <v>2012</v>
      </c>
      <c r="E6463" t="s">
        <v>11</v>
      </c>
      <c r="F6463" t="s">
        <v>2195</v>
      </c>
      <c r="G6463">
        <v>0</v>
      </c>
      <c r="H6463">
        <v>0</v>
      </c>
      <c r="I6463">
        <v>1</v>
      </c>
      <c r="J6463">
        <v>0</v>
      </c>
      <c r="K6463">
        <v>0</v>
      </c>
      <c r="L6463">
        <f t="shared" si="200"/>
        <v>5</v>
      </c>
      <c r="M6463">
        <f t="shared" si="201"/>
        <v>1</v>
      </c>
    </row>
    <row r="6464" spans="1:13" x14ac:dyDescent="0.3">
      <c r="A6464">
        <v>6462</v>
      </c>
      <c r="B6464">
        <v>6463</v>
      </c>
      <c r="C6464" t="s">
        <v>6542</v>
      </c>
      <c r="D6464">
        <v>2015</v>
      </c>
      <c r="F6464" t="s">
        <v>2195</v>
      </c>
      <c r="G6464">
        <v>0</v>
      </c>
      <c r="H6464">
        <v>0</v>
      </c>
      <c r="I6464">
        <v>1</v>
      </c>
      <c r="J6464">
        <v>0</v>
      </c>
      <c r="K6464">
        <v>0</v>
      </c>
      <c r="L6464">
        <f t="shared" si="200"/>
        <v>5</v>
      </c>
      <c r="M6464">
        <f t="shared" si="201"/>
        <v>1</v>
      </c>
    </row>
    <row r="6465" spans="1:13" x14ac:dyDescent="0.3">
      <c r="A6465">
        <v>6463</v>
      </c>
      <c r="B6465">
        <v>6464</v>
      </c>
      <c r="C6465" t="s">
        <v>6543</v>
      </c>
      <c r="D6465">
        <v>1972</v>
      </c>
      <c r="E6465" t="s">
        <v>36</v>
      </c>
      <c r="F6465" t="s">
        <v>2195</v>
      </c>
      <c r="G6465">
        <v>0</v>
      </c>
      <c r="H6465">
        <v>0</v>
      </c>
      <c r="I6465">
        <v>1</v>
      </c>
      <c r="J6465">
        <v>0</v>
      </c>
      <c r="K6465">
        <v>0</v>
      </c>
      <c r="L6465">
        <f t="shared" si="200"/>
        <v>5</v>
      </c>
      <c r="M6465">
        <f t="shared" si="201"/>
        <v>1</v>
      </c>
    </row>
    <row r="6466" spans="1:13" x14ac:dyDescent="0.3">
      <c r="A6466">
        <v>6464</v>
      </c>
      <c r="B6466">
        <v>6465</v>
      </c>
      <c r="C6466" t="s">
        <v>6544</v>
      </c>
      <c r="D6466">
        <v>2007</v>
      </c>
      <c r="E6466" t="s">
        <v>22</v>
      </c>
      <c r="F6466" t="s">
        <v>2195</v>
      </c>
      <c r="G6466">
        <v>0</v>
      </c>
      <c r="H6466">
        <v>0</v>
      </c>
      <c r="I6466">
        <v>1</v>
      </c>
      <c r="J6466">
        <v>0</v>
      </c>
      <c r="K6466">
        <v>0</v>
      </c>
      <c r="L6466">
        <f t="shared" si="200"/>
        <v>5</v>
      </c>
      <c r="M6466">
        <f t="shared" si="201"/>
        <v>1</v>
      </c>
    </row>
    <row r="6467" spans="1:13" x14ac:dyDescent="0.3">
      <c r="A6467">
        <v>6465</v>
      </c>
      <c r="B6467">
        <v>6466</v>
      </c>
      <c r="C6467" t="s">
        <v>6545</v>
      </c>
      <c r="D6467">
        <v>1967</v>
      </c>
      <c r="F6467" t="s">
        <v>2195</v>
      </c>
      <c r="G6467">
        <v>0</v>
      </c>
      <c r="H6467">
        <v>0</v>
      </c>
      <c r="I6467">
        <v>1</v>
      </c>
      <c r="J6467">
        <v>0</v>
      </c>
      <c r="K6467">
        <v>0</v>
      </c>
      <c r="L6467">
        <f t="shared" ref="L6467:L6530" si="202">IFERROR(VALUE(LEFT(F6467,FIND("/",F6467)-1))/10,"")</f>
        <v>5</v>
      </c>
      <c r="M6467">
        <f t="shared" ref="M6467:M6530" si="203">SUM(G6467:J6467)</f>
        <v>1</v>
      </c>
    </row>
    <row r="6468" spans="1:13" x14ac:dyDescent="0.3">
      <c r="A6468">
        <v>6466</v>
      </c>
      <c r="B6468">
        <v>6467</v>
      </c>
      <c r="C6468" t="s">
        <v>6546</v>
      </c>
      <c r="D6468">
        <v>2013</v>
      </c>
      <c r="E6468" t="s">
        <v>11</v>
      </c>
      <c r="F6468" t="s">
        <v>2195</v>
      </c>
      <c r="G6468">
        <v>0</v>
      </c>
      <c r="H6468">
        <v>0</v>
      </c>
      <c r="I6468">
        <v>1</v>
      </c>
      <c r="J6468">
        <v>0</v>
      </c>
      <c r="K6468">
        <v>0</v>
      </c>
      <c r="L6468">
        <f t="shared" si="202"/>
        <v>5</v>
      </c>
      <c r="M6468">
        <f t="shared" si="203"/>
        <v>1</v>
      </c>
    </row>
    <row r="6469" spans="1:13" x14ac:dyDescent="0.3">
      <c r="A6469">
        <v>6467</v>
      </c>
      <c r="B6469">
        <v>6468</v>
      </c>
      <c r="C6469" t="s">
        <v>6547</v>
      </c>
      <c r="D6469">
        <v>2020</v>
      </c>
      <c r="F6469" t="s">
        <v>2195</v>
      </c>
      <c r="G6469">
        <v>0</v>
      </c>
      <c r="H6469">
        <v>0</v>
      </c>
      <c r="I6469">
        <v>1</v>
      </c>
      <c r="J6469">
        <v>0</v>
      </c>
      <c r="K6469">
        <v>0</v>
      </c>
      <c r="L6469">
        <f t="shared" si="202"/>
        <v>5</v>
      </c>
      <c r="M6469">
        <f t="shared" si="203"/>
        <v>1</v>
      </c>
    </row>
    <row r="6470" spans="1:13" x14ac:dyDescent="0.3">
      <c r="A6470">
        <v>6468</v>
      </c>
      <c r="B6470">
        <v>6469</v>
      </c>
      <c r="C6470" t="s">
        <v>6548</v>
      </c>
      <c r="D6470">
        <v>2017</v>
      </c>
      <c r="E6470" t="s">
        <v>11</v>
      </c>
      <c r="F6470" t="s">
        <v>2195</v>
      </c>
      <c r="G6470">
        <v>0</v>
      </c>
      <c r="H6470">
        <v>0</v>
      </c>
      <c r="I6470">
        <v>1</v>
      </c>
      <c r="J6470">
        <v>0</v>
      </c>
      <c r="K6470">
        <v>0</v>
      </c>
      <c r="L6470">
        <f t="shared" si="202"/>
        <v>5</v>
      </c>
      <c r="M6470">
        <f t="shared" si="203"/>
        <v>1</v>
      </c>
    </row>
    <row r="6471" spans="1:13" x14ac:dyDescent="0.3">
      <c r="A6471">
        <v>6469</v>
      </c>
      <c r="B6471">
        <v>6470</v>
      </c>
      <c r="C6471" t="s">
        <v>6549</v>
      </c>
      <c r="D6471">
        <v>2008</v>
      </c>
      <c r="E6471" t="s">
        <v>11</v>
      </c>
      <c r="F6471" t="s">
        <v>2195</v>
      </c>
      <c r="G6471">
        <v>0</v>
      </c>
      <c r="H6471">
        <v>0</v>
      </c>
      <c r="I6471">
        <v>1</v>
      </c>
      <c r="J6471">
        <v>0</v>
      </c>
      <c r="K6471">
        <v>0</v>
      </c>
      <c r="L6471">
        <f t="shared" si="202"/>
        <v>5</v>
      </c>
      <c r="M6471">
        <f t="shared" si="203"/>
        <v>1</v>
      </c>
    </row>
    <row r="6472" spans="1:13" x14ac:dyDescent="0.3">
      <c r="A6472">
        <v>6470</v>
      </c>
      <c r="B6472">
        <v>6471</v>
      </c>
      <c r="C6472" t="s">
        <v>6550</v>
      </c>
      <c r="D6472">
        <v>2020</v>
      </c>
      <c r="E6472" t="s">
        <v>11</v>
      </c>
      <c r="F6472" t="s">
        <v>2195</v>
      </c>
      <c r="G6472">
        <v>0</v>
      </c>
      <c r="H6472">
        <v>0</v>
      </c>
      <c r="I6472">
        <v>1</v>
      </c>
      <c r="J6472">
        <v>0</v>
      </c>
      <c r="K6472">
        <v>0</v>
      </c>
      <c r="L6472">
        <f t="shared" si="202"/>
        <v>5</v>
      </c>
      <c r="M6472">
        <f t="shared" si="203"/>
        <v>1</v>
      </c>
    </row>
    <row r="6473" spans="1:13" x14ac:dyDescent="0.3">
      <c r="A6473">
        <v>6471</v>
      </c>
      <c r="B6473">
        <v>6472</v>
      </c>
      <c r="C6473" t="s">
        <v>6551</v>
      </c>
      <c r="D6473">
        <v>2018</v>
      </c>
      <c r="F6473" t="s">
        <v>2195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f t="shared" si="202"/>
        <v>5</v>
      </c>
      <c r="M6473">
        <f t="shared" si="203"/>
        <v>1</v>
      </c>
    </row>
    <row r="6474" spans="1:13" x14ac:dyDescent="0.3">
      <c r="A6474">
        <v>6472</v>
      </c>
      <c r="B6474">
        <v>6473</v>
      </c>
      <c r="C6474" t="s">
        <v>6552</v>
      </c>
      <c r="D6474">
        <v>2012</v>
      </c>
      <c r="F6474" t="s">
        <v>2195</v>
      </c>
      <c r="G6474">
        <v>0</v>
      </c>
      <c r="H6474">
        <v>0</v>
      </c>
      <c r="I6474">
        <v>1</v>
      </c>
      <c r="J6474">
        <v>0</v>
      </c>
      <c r="K6474">
        <v>0</v>
      </c>
      <c r="L6474">
        <f t="shared" si="202"/>
        <v>5</v>
      </c>
      <c r="M6474">
        <f t="shared" si="203"/>
        <v>1</v>
      </c>
    </row>
    <row r="6475" spans="1:13" x14ac:dyDescent="0.3">
      <c r="A6475">
        <v>6473</v>
      </c>
      <c r="B6475">
        <v>6474</v>
      </c>
      <c r="C6475" t="s">
        <v>6553</v>
      </c>
      <c r="D6475">
        <v>2016</v>
      </c>
      <c r="E6475" t="s">
        <v>11</v>
      </c>
      <c r="F6475" t="s">
        <v>2195</v>
      </c>
      <c r="G6475">
        <v>0</v>
      </c>
      <c r="H6475">
        <v>0</v>
      </c>
      <c r="I6475">
        <v>1</v>
      </c>
      <c r="J6475">
        <v>0</v>
      </c>
      <c r="K6475">
        <v>0</v>
      </c>
      <c r="L6475">
        <f t="shared" si="202"/>
        <v>5</v>
      </c>
      <c r="M6475">
        <f t="shared" si="203"/>
        <v>1</v>
      </c>
    </row>
    <row r="6476" spans="1:13" x14ac:dyDescent="0.3">
      <c r="A6476">
        <v>6474</v>
      </c>
      <c r="B6476">
        <v>6475</v>
      </c>
      <c r="C6476" t="s">
        <v>6554</v>
      </c>
      <c r="D6476">
        <v>2015</v>
      </c>
      <c r="E6476" t="s">
        <v>22</v>
      </c>
      <c r="F6476" t="s">
        <v>2195</v>
      </c>
      <c r="G6476">
        <v>0</v>
      </c>
      <c r="H6476">
        <v>0</v>
      </c>
      <c r="I6476">
        <v>1</v>
      </c>
      <c r="J6476">
        <v>0</v>
      </c>
      <c r="K6476">
        <v>0</v>
      </c>
      <c r="L6476">
        <f t="shared" si="202"/>
        <v>5</v>
      </c>
      <c r="M6476">
        <f t="shared" si="203"/>
        <v>1</v>
      </c>
    </row>
    <row r="6477" spans="1:13" x14ac:dyDescent="0.3">
      <c r="A6477">
        <v>6475</v>
      </c>
      <c r="B6477">
        <v>6476</v>
      </c>
      <c r="C6477" t="s">
        <v>6555</v>
      </c>
      <c r="D6477">
        <v>2016</v>
      </c>
      <c r="F6477" t="s">
        <v>2195</v>
      </c>
      <c r="G6477">
        <v>0</v>
      </c>
      <c r="H6477">
        <v>0</v>
      </c>
      <c r="I6477">
        <v>1</v>
      </c>
      <c r="J6477">
        <v>0</v>
      </c>
      <c r="K6477">
        <v>0</v>
      </c>
      <c r="L6477">
        <f t="shared" si="202"/>
        <v>5</v>
      </c>
      <c r="M6477">
        <f t="shared" si="203"/>
        <v>1</v>
      </c>
    </row>
    <row r="6478" spans="1:13" x14ac:dyDescent="0.3">
      <c r="A6478">
        <v>6476</v>
      </c>
      <c r="B6478">
        <v>6477</v>
      </c>
      <c r="C6478" t="s">
        <v>6556</v>
      </c>
      <c r="D6478">
        <v>2005</v>
      </c>
      <c r="E6478" t="s">
        <v>14</v>
      </c>
      <c r="F6478" t="s">
        <v>2195</v>
      </c>
      <c r="G6478">
        <v>0</v>
      </c>
      <c r="H6478">
        <v>0</v>
      </c>
      <c r="I6478">
        <v>1</v>
      </c>
      <c r="J6478">
        <v>0</v>
      </c>
      <c r="K6478">
        <v>0</v>
      </c>
      <c r="L6478">
        <f t="shared" si="202"/>
        <v>5</v>
      </c>
      <c r="M6478">
        <f t="shared" si="203"/>
        <v>1</v>
      </c>
    </row>
    <row r="6479" spans="1:13" x14ac:dyDescent="0.3">
      <c r="A6479">
        <v>6477</v>
      </c>
      <c r="B6479">
        <v>6478</v>
      </c>
      <c r="C6479" t="s">
        <v>6557</v>
      </c>
      <c r="D6479">
        <v>1946</v>
      </c>
      <c r="F6479" t="s">
        <v>2195</v>
      </c>
      <c r="G6479">
        <v>0</v>
      </c>
      <c r="H6479">
        <v>0</v>
      </c>
      <c r="I6479">
        <v>1</v>
      </c>
      <c r="J6479">
        <v>0</v>
      </c>
      <c r="K6479">
        <v>0</v>
      </c>
      <c r="L6479">
        <f t="shared" si="202"/>
        <v>5</v>
      </c>
      <c r="M6479">
        <f t="shared" si="203"/>
        <v>1</v>
      </c>
    </row>
    <row r="6480" spans="1:13" x14ac:dyDescent="0.3">
      <c r="A6480">
        <v>6478</v>
      </c>
      <c r="B6480">
        <v>6479</v>
      </c>
      <c r="C6480" t="s">
        <v>6558</v>
      </c>
      <c r="D6480">
        <v>2008</v>
      </c>
      <c r="E6480" t="s">
        <v>22</v>
      </c>
      <c r="F6480" t="s">
        <v>2195</v>
      </c>
      <c r="G6480">
        <v>0</v>
      </c>
      <c r="H6480">
        <v>0</v>
      </c>
      <c r="I6480">
        <v>1</v>
      </c>
      <c r="J6480">
        <v>0</v>
      </c>
      <c r="K6480">
        <v>0</v>
      </c>
      <c r="L6480">
        <f t="shared" si="202"/>
        <v>5</v>
      </c>
      <c r="M6480">
        <f t="shared" si="203"/>
        <v>1</v>
      </c>
    </row>
    <row r="6481" spans="1:13" x14ac:dyDescent="0.3">
      <c r="A6481">
        <v>6479</v>
      </c>
      <c r="B6481">
        <v>6480</v>
      </c>
      <c r="C6481" t="s">
        <v>6559</v>
      </c>
      <c r="D6481">
        <v>2015</v>
      </c>
      <c r="F6481" t="s">
        <v>2315</v>
      </c>
      <c r="G6481">
        <v>0</v>
      </c>
      <c r="H6481">
        <v>0</v>
      </c>
      <c r="I6481">
        <v>1</v>
      </c>
      <c r="J6481">
        <v>0</v>
      </c>
      <c r="K6481">
        <v>0</v>
      </c>
      <c r="L6481">
        <f t="shared" si="202"/>
        <v>4.9000000000000004</v>
      </c>
      <c r="M6481">
        <f t="shared" si="203"/>
        <v>1</v>
      </c>
    </row>
    <row r="6482" spans="1:13" x14ac:dyDescent="0.3">
      <c r="A6482">
        <v>6480</v>
      </c>
      <c r="B6482">
        <v>6481</v>
      </c>
      <c r="C6482" t="s">
        <v>6560</v>
      </c>
      <c r="D6482">
        <v>2017</v>
      </c>
      <c r="E6482" t="s">
        <v>28</v>
      </c>
      <c r="F6482" t="s">
        <v>2315</v>
      </c>
      <c r="G6482">
        <v>0</v>
      </c>
      <c r="H6482">
        <v>0</v>
      </c>
      <c r="I6482">
        <v>1</v>
      </c>
      <c r="J6482">
        <v>0</v>
      </c>
      <c r="K6482">
        <v>0</v>
      </c>
      <c r="L6482">
        <f t="shared" si="202"/>
        <v>4.9000000000000004</v>
      </c>
      <c r="M6482">
        <f t="shared" si="203"/>
        <v>1</v>
      </c>
    </row>
    <row r="6483" spans="1:13" x14ac:dyDescent="0.3">
      <c r="A6483">
        <v>6481</v>
      </c>
      <c r="B6483">
        <v>6482</v>
      </c>
      <c r="C6483" t="s">
        <v>6561</v>
      </c>
      <c r="D6483">
        <v>1956</v>
      </c>
      <c r="F6483" t="s">
        <v>2315</v>
      </c>
      <c r="G6483">
        <v>0</v>
      </c>
      <c r="H6483">
        <v>0</v>
      </c>
      <c r="I6483">
        <v>1</v>
      </c>
      <c r="J6483">
        <v>0</v>
      </c>
      <c r="K6483">
        <v>0</v>
      </c>
      <c r="L6483">
        <f t="shared" si="202"/>
        <v>4.9000000000000004</v>
      </c>
      <c r="M6483">
        <f t="shared" si="203"/>
        <v>1</v>
      </c>
    </row>
    <row r="6484" spans="1:13" x14ac:dyDescent="0.3">
      <c r="A6484">
        <v>6482</v>
      </c>
      <c r="B6484">
        <v>6483</v>
      </c>
      <c r="C6484" t="s">
        <v>6562</v>
      </c>
      <c r="D6484">
        <v>1953</v>
      </c>
      <c r="F6484" t="s">
        <v>2315</v>
      </c>
      <c r="G6484">
        <v>0</v>
      </c>
      <c r="H6484">
        <v>0</v>
      </c>
      <c r="I6484">
        <v>1</v>
      </c>
      <c r="J6484">
        <v>0</v>
      </c>
      <c r="K6484">
        <v>0</v>
      </c>
      <c r="L6484">
        <f t="shared" si="202"/>
        <v>4.9000000000000004</v>
      </c>
      <c r="M6484">
        <f t="shared" si="203"/>
        <v>1</v>
      </c>
    </row>
    <row r="6485" spans="1:13" x14ac:dyDescent="0.3">
      <c r="A6485">
        <v>6483</v>
      </c>
      <c r="B6485">
        <v>6484</v>
      </c>
      <c r="C6485" t="s">
        <v>6563</v>
      </c>
      <c r="D6485">
        <v>2019</v>
      </c>
      <c r="F6485" t="s">
        <v>2315</v>
      </c>
      <c r="G6485">
        <v>0</v>
      </c>
      <c r="H6485">
        <v>0</v>
      </c>
      <c r="I6485">
        <v>1</v>
      </c>
      <c r="J6485">
        <v>0</v>
      </c>
      <c r="K6485">
        <v>0</v>
      </c>
      <c r="L6485">
        <f t="shared" si="202"/>
        <v>4.9000000000000004</v>
      </c>
      <c r="M6485">
        <f t="shared" si="203"/>
        <v>1</v>
      </c>
    </row>
    <row r="6486" spans="1:13" x14ac:dyDescent="0.3">
      <c r="A6486">
        <v>6484</v>
      </c>
      <c r="B6486">
        <v>6485</v>
      </c>
      <c r="C6486" t="s">
        <v>6564</v>
      </c>
      <c r="D6486">
        <v>1951</v>
      </c>
      <c r="F6486" t="s">
        <v>2315</v>
      </c>
      <c r="G6486">
        <v>0</v>
      </c>
      <c r="H6486">
        <v>0</v>
      </c>
      <c r="I6486">
        <v>1</v>
      </c>
      <c r="J6486">
        <v>0</v>
      </c>
      <c r="K6486">
        <v>0</v>
      </c>
      <c r="L6486">
        <f t="shared" si="202"/>
        <v>4.9000000000000004</v>
      </c>
      <c r="M6486">
        <f t="shared" si="203"/>
        <v>1</v>
      </c>
    </row>
    <row r="6487" spans="1:13" x14ac:dyDescent="0.3">
      <c r="A6487">
        <v>6485</v>
      </c>
      <c r="B6487">
        <v>6486</v>
      </c>
      <c r="C6487" t="s">
        <v>6565</v>
      </c>
      <c r="D6487">
        <v>2008</v>
      </c>
      <c r="F6487" t="s">
        <v>2315</v>
      </c>
      <c r="G6487">
        <v>0</v>
      </c>
      <c r="H6487">
        <v>0</v>
      </c>
      <c r="I6487">
        <v>1</v>
      </c>
      <c r="J6487">
        <v>0</v>
      </c>
      <c r="K6487">
        <v>0</v>
      </c>
      <c r="L6487">
        <f t="shared" si="202"/>
        <v>4.9000000000000004</v>
      </c>
      <c r="M6487">
        <f t="shared" si="203"/>
        <v>1</v>
      </c>
    </row>
    <row r="6488" spans="1:13" x14ac:dyDescent="0.3">
      <c r="A6488">
        <v>6486</v>
      </c>
      <c r="B6488">
        <v>6487</v>
      </c>
      <c r="C6488" t="s">
        <v>6566</v>
      </c>
      <c r="D6488">
        <v>2013</v>
      </c>
      <c r="F6488" t="s">
        <v>2315</v>
      </c>
      <c r="G6488">
        <v>0</v>
      </c>
      <c r="H6488">
        <v>0</v>
      </c>
      <c r="I6488">
        <v>1</v>
      </c>
      <c r="J6488">
        <v>0</v>
      </c>
      <c r="K6488">
        <v>0</v>
      </c>
      <c r="L6488">
        <f t="shared" si="202"/>
        <v>4.9000000000000004</v>
      </c>
      <c r="M6488">
        <f t="shared" si="203"/>
        <v>1</v>
      </c>
    </row>
    <row r="6489" spans="1:13" x14ac:dyDescent="0.3">
      <c r="A6489">
        <v>6487</v>
      </c>
      <c r="B6489">
        <v>6488</v>
      </c>
      <c r="C6489" t="s">
        <v>6567</v>
      </c>
      <c r="D6489">
        <v>2016</v>
      </c>
      <c r="F6489" t="s">
        <v>2315</v>
      </c>
      <c r="G6489">
        <v>0</v>
      </c>
      <c r="H6489">
        <v>0</v>
      </c>
      <c r="I6489">
        <v>1</v>
      </c>
      <c r="J6489">
        <v>0</v>
      </c>
      <c r="K6489">
        <v>0</v>
      </c>
      <c r="L6489">
        <f t="shared" si="202"/>
        <v>4.9000000000000004</v>
      </c>
      <c r="M6489">
        <f t="shared" si="203"/>
        <v>1</v>
      </c>
    </row>
    <row r="6490" spans="1:13" x14ac:dyDescent="0.3">
      <c r="A6490">
        <v>6488</v>
      </c>
      <c r="B6490">
        <v>6489</v>
      </c>
      <c r="C6490" t="s">
        <v>6568</v>
      </c>
      <c r="D6490">
        <v>2021</v>
      </c>
      <c r="F6490" t="s">
        <v>2315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f t="shared" si="202"/>
        <v>4.9000000000000004</v>
      </c>
      <c r="M6490">
        <f t="shared" si="203"/>
        <v>1</v>
      </c>
    </row>
    <row r="6491" spans="1:13" x14ac:dyDescent="0.3">
      <c r="A6491">
        <v>6489</v>
      </c>
      <c r="B6491">
        <v>6490</v>
      </c>
      <c r="C6491" t="s">
        <v>6569</v>
      </c>
      <c r="D6491">
        <v>2017</v>
      </c>
      <c r="F6491" t="s">
        <v>2315</v>
      </c>
      <c r="G6491">
        <v>0</v>
      </c>
      <c r="H6491">
        <v>0</v>
      </c>
      <c r="I6491">
        <v>1</v>
      </c>
      <c r="J6491">
        <v>0</v>
      </c>
      <c r="K6491">
        <v>0</v>
      </c>
      <c r="L6491">
        <f t="shared" si="202"/>
        <v>4.9000000000000004</v>
      </c>
      <c r="M6491">
        <f t="shared" si="203"/>
        <v>1</v>
      </c>
    </row>
    <row r="6492" spans="1:13" x14ac:dyDescent="0.3">
      <c r="A6492">
        <v>6490</v>
      </c>
      <c r="B6492">
        <v>6491</v>
      </c>
      <c r="C6492" t="s">
        <v>6570</v>
      </c>
      <c r="D6492">
        <v>2017</v>
      </c>
      <c r="F6492" t="s">
        <v>2315</v>
      </c>
      <c r="G6492">
        <v>0</v>
      </c>
      <c r="H6492">
        <v>0</v>
      </c>
      <c r="I6492">
        <v>1</v>
      </c>
      <c r="J6492">
        <v>0</v>
      </c>
      <c r="K6492">
        <v>0</v>
      </c>
      <c r="L6492">
        <f t="shared" si="202"/>
        <v>4.9000000000000004</v>
      </c>
      <c r="M6492">
        <f t="shared" si="203"/>
        <v>1</v>
      </c>
    </row>
    <row r="6493" spans="1:13" x14ac:dyDescent="0.3">
      <c r="A6493">
        <v>6491</v>
      </c>
      <c r="B6493">
        <v>6492</v>
      </c>
      <c r="C6493" t="s">
        <v>6571</v>
      </c>
      <c r="D6493">
        <v>2014</v>
      </c>
      <c r="E6493" t="s">
        <v>11</v>
      </c>
      <c r="F6493" t="s">
        <v>2315</v>
      </c>
      <c r="G6493">
        <v>0</v>
      </c>
      <c r="H6493">
        <v>0</v>
      </c>
      <c r="I6493">
        <v>1</v>
      </c>
      <c r="J6493">
        <v>0</v>
      </c>
      <c r="K6493">
        <v>0</v>
      </c>
      <c r="L6493">
        <f t="shared" si="202"/>
        <v>4.9000000000000004</v>
      </c>
      <c r="M6493">
        <f t="shared" si="203"/>
        <v>1</v>
      </c>
    </row>
    <row r="6494" spans="1:13" x14ac:dyDescent="0.3">
      <c r="A6494">
        <v>6492</v>
      </c>
      <c r="B6494">
        <v>6493</v>
      </c>
      <c r="C6494" t="s">
        <v>6572</v>
      </c>
      <c r="D6494">
        <v>2020</v>
      </c>
      <c r="F6494" t="s">
        <v>2315</v>
      </c>
      <c r="G6494">
        <v>0</v>
      </c>
      <c r="H6494">
        <v>0</v>
      </c>
      <c r="I6494">
        <v>1</v>
      </c>
      <c r="J6494">
        <v>0</v>
      </c>
      <c r="K6494">
        <v>0</v>
      </c>
      <c r="L6494">
        <f t="shared" si="202"/>
        <v>4.9000000000000004</v>
      </c>
      <c r="M6494">
        <f t="shared" si="203"/>
        <v>1</v>
      </c>
    </row>
    <row r="6495" spans="1:13" x14ac:dyDescent="0.3">
      <c r="A6495">
        <v>6493</v>
      </c>
      <c r="B6495">
        <v>6494</v>
      </c>
      <c r="C6495" t="s">
        <v>6573</v>
      </c>
      <c r="D6495">
        <v>2004</v>
      </c>
      <c r="E6495" t="s">
        <v>11</v>
      </c>
      <c r="F6495" t="s">
        <v>2315</v>
      </c>
      <c r="G6495">
        <v>0</v>
      </c>
      <c r="H6495">
        <v>0</v>
      </c>
      <c r="I6495">
        <v>1</v>
      </c>
      <c r="J6495">
        <v>0</v>
      </c>
      <c r="K6495">
        <v>0</v>
      </c>
      <c r="L6495">
        <f t="shared" si="202"/>
        <v>4.9000000000000004</v>
      </c>
      <c r="M6495">
        <f t="shared" si="203"/>
        <v>1</v>
      </c>
    </row>
    <row r="6496" spans="1:13" x14ac:dyDescent="0.3">
      <c r="A6496">
        <v>6494</v>
      </c>
      <c r="B6496">
        <v>6495</v>
      </c>
      <c r="C6496" t="s">
        <v>6574</v>
      </c>
      <c r="D6496">
        <v>2015</v>
      </c>
      <c r="F6496" t="s">
        <v>2315</v>
      </c>
      <c r="G6496">
        <v>0</v>
      </c>
      <c r="H6496">
        <v>0</v>
      </c>
      <c r="I6496">
        <v>1</v>
      </c>
      <c r="J6496">
        <v>0</v>
      </c>
      <c r="K6496">
        <v>0</v>
      </c>
      <c r="L6496">
        <f t="shared" si="202"/>
        <v>4.9000000000000004</v>
      </c>
      <c r="M6496">
        <f t="shared" si="203"/>
        <v>1</v>
      </c>
    </row>
    <row r="6497" spans="1:13" x14ac:dyDescent="0.3">
      <c r="A6497">
        <v>6495</v>
      </c>
      <c r="B6497">
        <v>6496</v>
      </c>
      <c r="C6497" t="s">
        <v>6575</v>
      </c>
      <c r="D6497">
        <v>2013</v>
      </c>
      <c r="E6497" t="s">
        <v>28</v>
      </c>
      <c r="F6497" t="s">
        <v>2315</v>
      </c>
      <c r="G6497">
        <v>0</v>
      </c>
      <c r="H6497">
        <v>0</v>
      </c>
      <c r="I6497">
        <v>1</v>
      </c>
      <c r="J6497">
        <v>0</v>
      </c>
      <c r="K6497">
        <v>0</v>
      </c>
      <c r="L6497">
        <f t="shared" si="202"/>
        <v>4.9000000000000004</v>
      </c>
      <c r="M6497">
        <f t="shared" si="203"/>
        <v>1</v>
      </c>
    </row>
    <row r="6498" spans="1:13" x14ac:dyDescent="0.3">
      <c r="A6498">
        <v>6496</v>
      </c>
      <c r="B6498">
        <v>6497</v>
      </c>
      <c r="C6498" t="s">
        <v>6576</v>
      </c>
      <c r="D6498">
        <v>2020</v>
      </c>
      <c r="F6498" t="s">
        <v>2315</v>
      </c>
      <c r="G6498">
        <v>0</v>
      </c>
      <c r="H6498">
        <v>0</v>
      </c>
      <c r="I6498">
        <v>1</v>
      </c>
      <c r="J6498">
        <v>0</v>
      </c>
      <c r="K6498">
        <v>0</v>
      </c>
      <c r="L6498">
        <f t="shared" si="202"/>
        <v>4.9000000000000004</v>
      </c>
      <c r="M6498">
        <f t="shared" si="203"/>
        <v>1</v>
      </c>
    </row>
    <row r="6499" spans="1:13" x14ac:dyDescent="0.3">
      <c r="A6499">
        <v>6497</v>
      </c>
      <c r="B6499">
        <v>6498</v>
      </c>
      <c r="C6499" t="s">
        <v>6577</v>
      </c>
      <c r="D6499">
        <v>2013</v>
      </c>
      <c r="F6499" t="s">
        <v>2315</v>
      </c>
      <c r="G6499">
        <v>0</v>
      </c>
      <c r="H6499">
        <v>0</v>
      </c>
      <c r="I6499">
        <v>1</v>
      </c>
      <c r="J6499">
        <v>0</v>
      </c>
      <c r="K6499">
        <v>0</v>
      </c>
      <c r="L6499">
        <f t="shared" si="202"/>
        <v>4.9000000000000004</v>
      </c>
      <c r="M6499">
        <f t="shared" si="203"/>
        <v>1</v>
      </c>
    </row>
    <row r="6500" spans="1:13" x14ac:dyDescent="0.3">
      <c r="A6500">
        <v>6498</v>
      </c>
      <c r="B6500">
        <v>6499</v>
      </c>
      <c r="C6500" t="s">
        <v>6578</v>
      </c>
      <c r="D6500">
        <v>2013</v>
      </c>
      <c r="F6500" t="s">
        <v>2315</v>
      </c>
      <c r="G6500">
        <v>0</v>
      </c>
      <c r="H6500">
        <v>0</v>
      </c>
      <c r="I6500">
        <v>1</v>
      </c>
      <c r="J6500">
        <v>0</v>
      </c>
      <c r="K6500">
        <v>0</v>
      </c>
      <c r="L6500">
        <f t="shared" si="202"/>
        <v>4.9000000000000004</v>
      </c>
      <c r="M6500">
        <f t="shared" si="203"/>
        <v>1</v>
      </c>
    </row>
    <row r="6501" spans="1:13" x14ac:dyDescent="0.3">
      <c r="A6501">
        <v>6499</v>
      </c>
      <c r="B6501">
        <v>6500</v>
      </c>
      <c r="C6501" t="s">
        <v>6579</v>
      </c>
      <c r="D6501">
        <v>2018</v>
      </c>
      <c r="F6501" t="s">
        <v>2315</v>
      </c>
      <c r="G6501">
        <v>0</v>
      </c>
      <c r="H6501">
        <v>0</v>
      </c>
      <c r="I6501">
        <v>1</v>
      </c>
      <c r="J6501">
        <v>0</v>
      </c>
      <c r="K6501">
        <v>0</v>
      </c>
      <c r="L6501">
        <f t="shared" si="202"/>
        <v>4.9000000000000004</v>
      </c>
      <c r="M6501">
        <f t="shared" si="203"/>
        <v>1</v>
      </c>
    </row>
    <row r="6502" spans="1:13" x14ac:dyDescent="0.3">
      <c r="A6502">
        <v>6500</v>
      </c>
      <c r="B6502">
        <v>6501</v>
      </c>
      <c r="C6502" t="s">
        <v>6580</v>
      </c>
      <c r="D6502">
        <v>2000</v>
      </c>
      <c r="F6502" t="s">
        <v>2315</v>
      </c>
      <c r="G6502">
        <v>0</v>
      </c>
      <c r="H6502">
        <v>0</v>
      </c>
      <c r="I6502">
        <v>1</v>
      </c>
      <c r="J6502">
        <v>0</v>
      </c>
      <c r="K6502">
        <v>0</v>
      </c>
      <c r="L6502">
        <f t="shared" si="202"/>
        <v>4.9000000000000004</v>
      </c>
      <c r="M6502">
        <f t="shared" si="203"/>
        <v>1</v>
      </c>
    </row>
    <row r="6503" spans="1:13" x14ac:dyDescent="0.3">
      <c r="A6503">
        <v>6501</v>
      </c>
      <c r="B6503">
        <v>6502</v>
      </c>
      <c r="C6503" t="s">
        <v>6581</v>
      </c>
      <c r="D6503">
        <v>2013</v>
      </c>
      <c r="F6503" t="s">
        <v>2315</v>
      </c>
      <c r="G6503">
        <v>0</v>
      </c>
      <c r="H6503">
        <v>0</v>
      </c>
      <c r="I6503">
        <v>1</v>
      </c>
      <c r="J6503">
        <v>0</v>
      </c>
      <c r="K6503">
        <v>0</v>
      </c>
      <c r="L6503">
        <f t="shared" si="202"/>
        <v>4.9000000000000004</v>
      </c>
      <c r="M6503">
        <f t="shared" si="203"/>
        <v>1</v>
      </c>
    </row>
    <row r="6504" spans="1:13" x14ac:dyDescent="0.3">
      <c r="A6504">
        <v>6502</v>
      </c>
      <c r="B6504">
        <v>6503</v>
      </c>
      <c r="C6504" t="s">
        <v>6582</v>
      </c>
      <c r="D6504">
        <v>1976</v>
      </c>
      <c r="E6504" t="s">
        <v>14</v>
      </c>
      <c r="F6504" t="s">
        <v>2315</v>
      </c>
      <c r="G6504">
        <v>0</v>
      </c>
      <c r="H6504">
        <v>0</v>
      </c>
      <c r="I6504">
        <v>1</v>
      </c>
      <c r="J6504">
        <v>0</v>
      </c>
      <c r="K6504">
        <v>0</v>
      </c>
      <c r="L6504">
        <f t="shared" si="202"/>
        <v>4.9000000000000004</v>
      </c>
      <c r="M6504">
        <f t="shared" si="203"/>
        <v>1</v>
      </c>
    </row>
    <row r="6505" spans="1:13" x14ac:dyDescent="0.3">
      <c r="A6505">
        <v>6503</v>
      </c>
      <c r="B6505">
        <v>6504</v>
      </c>
      <c r="C6505" t="s">
        <v>6583</v>
      </c>
      <c r="D6505">
        <v>2009</v>
      </c>
      <c r="F6505" t="s">
        <v>2315</v>
      </c>
      <c r="G6505">
        <v>0</v>
      </c>
      <c r="H6505">
        <v>0</v>
      </c>
      <c r="I6505">
        <v>1</v>
      </c>
      <c r="J6505">
        <v>0</v>
      </c>
      <c r="K6505">
        <v>0</v>
      </c>
      <c r="L6505">
        <f t="shared" si="202"/>
        <v>4.9000000000000004</v>
      </c>
      <c r="M6505">
        <f t="shared" si="203"/>
        <v>1</v>
      </c>
    </row>
    <row r="6506" spans="1:13" x14ac:dyDescent="0.3">
      <c r="A6506">
        <v>6504</v>
      </c>
      <c r="B6506">
        <v>6505</v>
      </c>
      <c r="C6506" t="s">
        <v>6584</v>
      </c>
      <c r="D6506">
        <v>1991</v>
      </c>
      <c r="E6506" t="s">
        <v>14</v>
      </c>
      <c r="F6506" t="s">
        <v>2315</v>
      </c>
      <c r="G6506">
        <v>0</v>
      </c>
      <c r="H6506">
        <v>0</v>
      </c>
      <c r="I6506">
        <v>1</v>
      </c>
      <c r="J6506">
        <v>0</v>
      </c>
      <c r="K6506">
        <v>0</v>
      </c>
      <c r="L6506">
        <f t="shared" si="202"/>
        <v>4.9000000000000004</v>
      </c>
      <c r="M6506">
        <f t="shared" si="203"/>
        <v>1</v>
      </c>
    </row>
    <row r="6507" spans="1:13" x14ac:dyDescent="0.3">
      <c r="A6507">
        <v>6505</v>
      </c>
      <c r="B6507">
        <v>6506</v>
      </c>
      <c r="C6507" t="s">
        <v>6585</v>
      </c>
      <c r="D6507">
        <v>2012</v>
      </c>
      <c r="E6507" t="s">
        <v>11</v>
      </c>
      <c r="F6507" t="s">
        <v>2315</v>
      </c>
      <c r="G6507">
        <v>0</v>
      </c>
      <c r="H6507">
        <v>0</v>
      </c>
      <c r="I6507">
        <v>1</v>
      </c>
      <c r="J6507">
        <v>0</v>
      </c>
      <c r="K6507">
        <v>0</v>
      </c>
      <c r="L6507">
        <f t="shared" si="202"/>
        <v>4.9000000000000004</v>
      </c>
      <c r="M6507">
        <f t="shared" si="203"/>
        <v>1</v>
      </c>
    </row>
    <row r="6508" spans="1:13" x14ac:dyDescent="0.3">
      <c r="A6508">
        <v>6506</v>
      </c>
      <c r="B6508">
        <v>6507</v>
      </c>
      <c r="C6508" t="s">
        <v>6586</v>
      </c>
      <c r="D6508">
        <v>2007</v>
      </c>
      <c r="E6508" t="s">
        <v>11</v>
      </c>
      <c r="F6508" t="s">
        <v>2315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f t="shared" si="202"/>
        <v>4.9000000000000004</v>
      </c>
      <c r="M6508">
        <f t="shared" si="203"/>
        <v>1</v>
      </c>
    </row>
    <row r="6509" spans="1:13" x14ac:dyDescent="0.3">
      <c r="A6509">
        <v>6507</v>
      </c>
      <c r="B6509">
        <v>6508</v>
      </c>
      <c r="C6509" t="s">
        <v>6587</v>
      </c>
      <c r="D6509">
        <v>1943</v>
      </c>
      <c r="F6509" t="s">
        <v>2315</v>
      </c>
      <c r="G6509">
        <v>0</v>
      </c>
      <c r="H6509">
        <v>0</v>
      </c>
      <c r="I6509">
        <v>1</v>
      </c>
      <c r="J6509">
        <v>0</v>
      </c>
      <c r="K6509">
        <v>0</v>
      </c>
      <c r="L6509">
        <f t="shared" si="202"/>
        <v>4.9000000000000004</v>
      </c>
      <c r="M6509">
        <f t="shared" si="203"/>
        <v>1</v>
      </c>
    </row>
    <row r="6510" spans="1:13" x14ac:dyDescent="0.3">
      <c r="A6510">
        <v>6508</v>
      </c>
      <c r="B6510">
        <v>6509</v>
      </c>
      <c r="C6510" t="s">
        <v>6588</v>
      </c>
      <c r="D6510">
        <v>2001</v>
      </c>
      <c r="F6510" t="s">
        <v>2315</v>
      </c>
      <c r="G6510">
        <v>0</v>
      </c>
      <c r="H6510">
        <v>0</v>
      </c>
      <c r="I6510">
        <v>1</v>
      </c>
      <c r="J6510">
        <v>0</v>
      </c>
      <c r="K6510">
        <v>0</v>
      </c>
      <c r="L6510">
        <f t="shared" si="202"/>
        <v>4.9000000000000004</v>
      </c>
      <c r="M6510">
        <f t="shared" si="203"/>
        <v>1</v>
      </c>
    </row>
    <row r="6511" spans="1:13" x14ac:dyDescent="0.3">
      <c r="A6511">
        <v>6509</v>
      </c>
      <c r="B6511">
        <v>6510</v>
      </c>
      <c r="C6511" t="s">
        <v>6589</v>
      </c>
      <c r="D6511">
        <v>2015</v>
      </c>
      <c r="E6511" t="s">
        <v>14</v>
      </c>
      <c r="F6511" t="s">
        <v>2315</v>
      </c>
      <c r="G6511">
        <v>0</v>
      </c>
      <c r="H6511">
        <v>0</v>
      </c>
      <c r="I6511">
        <v>1</v>
      </c>
      <c r="J6511">
        <v>0</v>
      </c>
      <c r="K6511">
        <v>0</v>
      </c>
      <c r="L6511">
        <f t="shared" si="202"/>
        <v>4.9000000000000004</v>
      </c>
      <c r="M6511">
        <f t="shared" si="203"/>
        <v>1</v>
      </c>
    </row>
    <row r="6512" spans="1:13" x14ac:dyDescent="0.3">
      <c r="A6512">
        <v>6510</v>
      </c>
      <c r="B6512">
        <v>6511</v>
      </c>
      <c r="C6512" t="s">
        <v>6590</v>
      </c>
      <c r="D6512">
        <v>2016</v>
      </c>
      <c r="E6512" t="s">
        <v>11</v>
      </c>
      <c r="F6512" t="s">
        <v>2315</v>
      </c>
      <c r="G6512">
        <v>0</v>
      </c>
      <c r="H6512">
        <v>0</v>
      </c>
      <c r="I6512">
        <v>1</v>
      </c>
      <c r="J6512">
        <v>0</v>
      </c>
      <c r="K6512">
        <v>0</v>
      </c>
      <c r="L6512">
        <f t="shared" si="202"/>
        <v>4.9000000000000004</v>
      </c>
      <c r="M6512">
        <f t="shared" si="203"/>
        <v>1</v>
      </c>
    </row>
    <row r="6513" spans="1:13" x14ac:dyDescent="0.3">
      <c r="A6513">
        <v>6511</v>
      </c>
      <c r="B6513">
        <v>6512</v>
      </c>
      <c r="C6513" t="s">
        <v>6591</v>
      </c>
      <c r="D6513">
        <v>2006</v>
      </c>
      <c r="E6513" t="s">
        <v>14</v>
      </c>
      <c r="F6513" t="s">
        <v>2315</v>
      </c>
      <c r="G6513">
        <v>0</v>
      </c>
      <c r="H6513">
        <v>0</v>
      </c>
      <c r="I6513">
        <v>1</v>
      </c>
      <c r="J6513">
        <v>0</v>
      </c>
      <c r="K6513">
        <v>0</v>
      </c>
      <c r="L6513">
        <f t="shared" si="202"/>
        <v>4.9000000000000004</v>
      </c>
      <c r="M6513">
        <f t="shared" si="203"/>
        <v>1</v>
      </c>
    </row>
    <row r="6514" spans="1:13" x14ac:dyDescent="0.3">
      <c r="A6514">
        <v>6512</v>
      </c>
      <c r="B6514">
        <v>6513</v>
      </c>
      <c r="C6514" t="s">
        <v>6592</v>
      </c>
      <c r="D6514">
        <v>2017</v>
      </c>
      <c r="E6514" t="s">
        <v>11</v>
      </c>
      <c r="F6514" t="s">
        <v>2315</v>
      </c>
      <c r="G6514">
        <v>0</v>
      </c>
      <c r="H6514">
        <v>0</v>
      </c>
      <c r="I6514">
        <v>1</v>
      </c>
      <c r="J6514">
        <v>0</v>
      </c>
      <c r="K6514">
        <v>0</v>
      </c>
      <c r="L6514">
        <f t="shared" si="202"/>
        <v>4.9000000000000004</v>
      </c>
      <c r="M6514">
        <f t="shared" si="203"/>
        <v>1</v>
      </c>
    </row>
    <row r="6515" spans="1:13" x14ac:dyDescent="0.3">
      <c r="A6515">
        <v>6513</v>
      </c>
      <c r="B6515">
        <v>6514</v>
      </c>
      <c r="C6515" t="s">
        <v>6593</v>
      </c>
      <c r="D6515">
        <v>2008</v>
      </c>
      <c r="F6515" t="s">
        <v>2315</v>
      </c>
      <c r="G6515">
        <v>0</v>
      </c>
      <c r="H6515">
        <v>0</v>
      </c>
      <c r="I6515">
        <v>1</v>
      </c>
      <c r="J6515">
        <v>0</v>
      </c>
      <c r="K6515">
        <v>0</v>
      </c>
      <c r="L6515">
        <f t="shared" si="202"/>
        <v>4.9000000000000004</v>
      </c>
      <c r="M6515">
        <f t="shared" si="203"/>
        <v>1</v>
      </c>
    </row>
    <row r="6516" spans="1:13" x14ac:dyDescent="0.3">
      <c r="A6516">
        <v>6514</v>
      </c>
      <c r="B6516">
        <v>6515</v>
      </c>
      <c r="C6516" t="s">
        <v>6594</v>
      </c>
      <c r="D6516">
        <v>2011</v>
      </c>
      <c r="F6516" t="s">
        <v>2315</v>
      </c>
      <c r="G6516">
        <v>0</v>
      </c>
      <c r="H6516">
        <v>0</v>
      </c>
      <c r="I6516">
        <v>1</v>
      </c>
      <c r="J6516">
        <v>0</v>
      </c>
      <c r="K6516">
        <v>0</v>
      </c>
      <c r="L6516">
        <f t="shared" si="202"/>
        <v>4.9000000000000004</v>
      </c>
      <c r="M6516">
        <f t="shared" si="203"/>
        <v>1</v>
      </c>
    </row>
    <row r="6517" spans="1:13" x14ac:dyDescent="0.3">
      <c r="A6517">
        <v>6515</v>
      </c>
      <c r="B6517">
        <v>6516</v>
      </c>
      <c r="C6517" t="s">
        <v>6595</v>
      </c>
      <c r="D6517">
        <v>2012</v>
      </c>
      <c r="E6517" t="s">
        <v>14</v>
      </c>
      <c r="F6517" t="s">
        <v>2315</v>
      </c>
      <c r="G6517">
        <v>0</v>
      </c>
      <c r="H6517">
        <v>0</v>
      </c>
      <c r="I6517">
        <v>1</v>
      </c>
      <c r="J6517">
        <v>0</v>
      </c>
      <c r="K6517">
        <v>0</v>
      </c>
      <c r="L6517">
        <f t="shared" si="202"/>
        <v>4.9000000000000004</v>
      </c>
      <c r="M6517">
        <f t="shared" si="203"/>
        <v>1</v>
      </c>
    </row>
    <row r="6518" spans="1:13" x14ac:dyDescent="0.3">
      <c r="A6518">
        <v>6516</v>
      </c>
      <c r="B6518">
        <v>6517</v>
      </c>
      <c r="C6518" t="s">
        <v>6596</v>
      </c>
      <c r="D6518">
        <v>2007</v>
      </c>
      <c r="E6518" t="s">
        <v>28</v>
      </c>
      <c r="F6518" t="s">
        <v>2315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f t="shared" si="202"/>
        <v>4.9000000000000004</v>
      </c>
      <c r="M6518">
        <f t="shared" si="203"/>
        <v>1</v>
      </c>
    </row>
    <row r="6519" spans="1:13" x14ac:dyDescent="0.3">
      <c r="A6519">
        <v>6517</v>
      </c>
      <c r="B6519">
        <v>6518</v>
      </c>
      <c r="C6519" t="s">
        <v>6597</v>
      </c>
      <c r="D6519">
        <v>2016</v>
      </c>
      <c r="E6519" t="s">
        <v>28</v>
      </c>
      <c r="F6519" t="s">
        <v>2315</v>
      </c>
      <c r="G6519">
        <v>0</v>
      </c>
      <c r="H6519">
        <v>0</v>
      </c>
      <c r="I6519">
        <v>1</v>
      </c>
      <c r="J6519">
        <v>0</v>
      </c>
      <c r="K6519">
        <v>0</v>
      </c>
      <c r="L6519">
        <f t="shared" si="202"/>
        <v>4.9000000000000004</v>
      </c>
      <c r="M6519">
        <f t="shared" si="203"/>
        <v>1</v>
      </c>
    </row>
    <row r="6520" spans="1:13" x14ac:dyDescent="0.3">
      <c r="A6520">
        <v>6518</v>
      </c>
      <c r="B6520">
        <v>6519</v>
      </c>
      <c r="C6520" t="s">
        <v>6598</v>
      </c>
      <c r="D6520">
        <v>2017</v>
      </c>
      <c r="E6520" t="s">
        <v>11</v>
      </c>
      <c r="F6520" t="s">
        <v>2315</v>
      </c>
      <c r="G6520">
        <v>0</v>
      </c>
      <c r="H6520">
        <v>0</v>
      </c>
      <c r="I6520">
        <v>1</v>
      </c>
      <c r="J6520">
        <v>0</v>
      </c>
      <c r="K6520">
        <v>0</v>
      </c>
      <c r="L6520">
        <f t="shared" si="202"/>
        <v>4.9000000000000004</v>
      </c>
      <c r="M6520">
        <f t="shared" si="203"/>
        <v>1</v>
      </c>
    </row>
    <row r="6521" spans="1:13" x14ac:dyDescent="0.3">
      <c r="A6521">
        <v>6519</v>
      </c>
      <c r="B6521">
        <v>6520</v>
      </c>
      <c r="C6521" t="s">
        <v>6599</v>
      </c>
      <c r="D6521">
        <v>2005</v>
      </c>
      <c r="F6521" t="s">
        <v>2315</v>
      </c>
      <c r="G6521">
        <v>0</v>
      </c>
      <c r="H6521">
        <v>0</v>
      </c>
      <c r="I6521">
        <v>1</v>
      </c>
      <c r="J6521">
        <v>0</v>
      </c>
      <c r="K6521">
        <v>0</v>
      </c>
      <c r="L6521">
        <f t="shared" si="202"/>
        <v>4.9000000000000004</v>
      </c>
      <c r="M6521">
        <f t="shared" si="203"/>
        <v>1</v>
      </c>
    </row>
    <row r="6522" spans="1:13" x14ac:dyDescent="0.3">
      <c r="A6522">
        <v>6520</v>
      </c>
      <c r="B6522">
        <v>6521</v>
      </c>
      <c r="C6522" t="s">
        <v>6600</v>
      </c>
      <c r="D6522">
        <v>2015</v>
      </c>
      <c r="E6522" t="s">
        <v>14</v>
      </c>
      <c r="F6522" t="s">
        <v>2315</v>
      </c>
      <c r="G6522">
        <v>0</v>
      </c>
      <c r="H6522">
        <v>0</v>
      </c>
      <c r="I6522">
        <v>1</v>
      </c>
      <c r="J6522">
        <v>0</v>
      </c>
      <c r="K6522">
        <v>0</v>
      </c>
      <c r="L6522">
        <f t="shared" si="202"/>
        <v>4.9000000000000004</v>
      </c>
      <c r="M6522">
        <f t="shared" si="203"/>
        <v>1</v>
      </c>
    </row>
    <row r="6523" spans="1:13" x14ac:dyDescent="0.3">
      <c r="A6523">
        <v>6521</v>
      </c>
      <c r="B6523">
        <v>6522</v>
      </c>
      <c r="C6523" t="s">
        <v>6601</v>
      </c>
      <c r="D6523">
        <v>2017</v>
      </c>
      <c r="F6523" t="s">
        <v>2315</v>
      </c>
      <c r="G6523">
        <v>0</v>
      </c>
      <c r="H6523">
        <v>0</v>
      </c>
      <c r="I6523">
        <v>1</v>
      </c>
      <c r="J6523">
        <v>0</v>
      </c>
      <c r="K6523">
        <v>0</v>
      </c>
      <c r="L6523">
        <f t="shared" si="202"/>
        <v>4.9000000000000004</v>
      </c>
      <c r="M6523">
        <f t="shared" si="203"/>
        <v>1</v>
      </c>
    </row>
    <row r="6524" spans="1:13" x14ac:dyDescent="0.3">
      <c r="A6524">
        <v>6522</v>
      </c>
      <c r="B6524">
        <v>6523</v>
      </c>
      <c r="C6524" t="s">
        <v>6602</v>
      </c>
      <c r="D6524">
        <v>2018</v>
      </c>
      <c r="F6524" t="s">
        <v>2315</v>
      </c>
      <c r="G6524">
        <v>0</v>
      </c>
      <c r="H6524">
        <v>0</v>
      </c>
      <c r="I6524">
        <v>1</v>
      </c>
      <c r="J6524">
        <v>0</v>
      </c>
      <c r="K6524">
        <v>0</v>
      </c>
      <c r="L6524">
        <f t="shared" si="202"/>
        <v>4.9000000000000004</v>
      </c>
      <c r="M6524">
        <f t="shared" si="203"/>
        <v>1</v>
      </c>
    </row>
    <row r="6525" spans="1:13" x14ac:dyDescent="0.3">
      <c r="A6525">
        <v>6523</v>
      </c>
      <c r="B6525">
        <v>6524</v>
      </c>
      <c r="C6525" t="s">
        <v>6603</v>
      </c>
      <c r="D6525">
        <v>1984</v>
      </c>
      <c r="E6525" t="s">
        <v>11</v>
      </c>
      <c r="F6525" t="s">
        <v>2315</v>
      </c>
      <c r="G6525">
        <v>0</v>
      </c>
      <c r="H6525">
        <v>0</v>
      </c>
      <c r="I6525">
        <v>1</v>
      </c>
      <c r="J6525">
        <v>0</v>
      </c>
      <c r="K6525">
        <v>0</v>
      </c>
      <c r="L6525">
        <f t="shared" si="202"/>
        <v>4.9000000000000004</v>
      </c>
      <c r="M6525">
        <f t="shared" si="203"/>
        <v>1</v>
      </c>
    </row>
    <row r="6526" spans="1:13" x14ac:dyDescent="0.3">
      <c r="A6526">
        <v>6524</v>
      </c>
      <c r="B6526">
        <v>6525</v>
      </c>
      <c r="C6526" t="s">
        <v>6604</v>
      </c>
      <c r="D6526">
        <v>1970</v>
      </c>
      <c r="E6526" t="s">
        <v>11</v>
      </c>
      <c r="F6526" t="s">
        <v>2315</v>
      </c>
      <c r="G6526">
        <v>0</v>
      </c>
      <c r="H6526">
        <v>0</v>
      </c>
      <c r="I6526">
        <v>1</v>
      </c>
      <c r="J6526">
        <v>0</v>
      </c>
      <c r="K6526">
        <v>0</v>
      </c>
      <c r="L6526">
        <f t="shared" si="202"/>
        <v>4.9000000000000004</v>
      </c>
      <c r="M6526">
        <f t="shared" si="203"/>
        <v>1</v>
      </c>
    </row>
    <row r="6527" spans="1:13" x14ac:dyDescent="0.3">
      <c r="A6527">
        <v>6525</v>
      </c>
      <c r="B6527">
        <v>6526</v>
      </c>
      <c r="C6527" t="s">
        <v>6605</v>
      </c>
      <c r="D6527">
        <v>2005</v>
      </c>
      <c r="F6527" t="s">
        <v>2315</v>
      </c>
      <c r="G6527">
        <v>0</v>
      </c>
      <c r="H6527">
        <v>0</v>
      </c>
      <c r="I6527">
        <v>1</v>
      </c>
      <c r="J6527">
        <v>0</v>
      </c>
      <c r="K6527">
        <v>0</v>
      </c>
      <c r="L6527">
        <f t="shared" si="202"/>
        <v>4.9000000000000004</v>
      </c>
      <c r="M6527">
        <f t="shared" si="203"/>
        <v>1</v>
      </c>
    </row>
    <row r="6528" spans="1:13" x14ac:dyDescent="0.3">
      <c r="A6528">
        <v>6526</v>
      </c>
      <c r="B6528">
        <v>6527</v>
      </c>
      <c r="C6528" t="s">
        <v>6606</v>
      </c>
      <c r="D6528">
        <v>2012</v>
      </c>
      <c r="E6528" t="s">
        <v>28</v>
      </c>
      <c r="F6528" t="s">
        <v>2315</v>
      </c>
      <c r="G6528">
        <v>0</v>
      </c>
      <c r="H6528">
        <v>0</v>
      </c>
      <c r="I6528">
        <v>1</v>
      </c>
      <c r="J6528">
        <v>0</v>
      </c>
      <c r="K6528">
        <v>0</v>
      </c>
      <c r="L6528">
        <f t="shared" si="202"/>
        <v>4.9000000000000004</v>
      </c>
      <c r="M6528">
        <f t="shared" si="203"/>
        <v>1</v>
      </c>
    </row>
    <row r="6529" spans="1:13" x14ac:dyDescent="0.3">
      <c r="A6529">
        <v>6527</v>
      </c>
      <c r="B6529">
        <v>6528</v>
      </c>
      <c r="C6529" t="s">
        <v>6607</v>
      </c>
      <c r="D6529">
        <v>2015</v>
      </c>
      <c r="F6529" t="s">
        <v>2315</v>
      </c>
      <c r="G6529">
        <v>0</v>
      </c>
      <c r="H6529">
        <v>0</v>
      </c>
      <c r="I6529">
        <v>1</v>
      </c>
      <c r="J6529">
        <v>0</v>
      </c>
      <c r="K6529">
        <v>0</v>
      </c>
      <c r="L6529">
        <f t="shared" si="202"/>
        <v>4.9000000000000004</v>
      </c>
      <c r="M6529">
        <f t="shared" si="203"/>
        <v>1</v>
      </c>
    </row>
    <row r="6530" spans="1:13" x14ac:dyDescent="0.3">
      <c r="A6530">
        <v>6528</v>
      </c>
      <c r="B6530">
        <v>6529</v>
      </c>
      <c r="C6530" t="s">
        <v>6608</v>
      </c>
      <c r="D6530">
        <v>1947</v>
      </c>
      <c r="F6530" t="s">
        <v>2315</v>
      </c>
      <c r="G6530">
        <v>0</v>
      </c>
      <c r="H6530">
        <v>0</v>
      </c>
      <c r="I6530">
        <v>1</v>
      </c>
      <c r="J6530">
        <v>0</v>
      </c>
      <c r="K6530">
        <v>0</v>
      </c>
      <c r="L6530">
        <f t="shared" si="202"/>
        <v>4.9000000000000004</v>
      </c>
      <c r="M6530">
        <f t="shared" si="203"/>
        <v>1</v>
      </c>
    </row>
    <row r="6531" spans="1:13" x14ac:dyDescent="0.3">
      <c r="A6531">
        <v>6529</v>
      </c>
      <c r="B6531">
        <v>6530</v>
      </c>
      <c r="C6531" t="s">
        <v>6609</v>
      </c>
      <c r="D6531">
        <v>2019</v>
      </c>
      <c r="F6531" t="s">
        <v>2315</v>
      </c>
      <c r="G6531">
        <v>0</v>
      </c>
      <c r="H6531">
        <v>0</v>
      </c>
      <c r="I6531">
        <v>1</v>
      </c>
      <c r="J6531">
        <v>0</v>
      </c>
      <c r="K6531">
        <v>0</v>
      </c>
      <c r="L6531">
        <f t="shared" ref="L6531:L6594" si="204">IFERROR(VALUE(LEFT(F6531,FIND("/",F6531)-1))/10,"")</f>
        <v>4.9000000000000004</v>
      </c>
      <c r="M6531">
        <f t="shared" ref="M6531:M6594" si="205">SUM(G6531:J6531)</f>
        <v>1</v>
      </c>
    </row>
    <row r="6532" spans="1:13" x14ac:dyDescent="0.3">
      <c r="A6532">
        <v>6530</v>
      </c>
      <c r="B6532">
        <v>6531</v>
      </c>
      <c r="C6532" t="s">
        <v>6610</v>
      </c>
      <c r="D6532">
        <v>1925</v>
      </c>
      <c r="F6532" t="s">
        <v>2315</v>
      </c>
      <c r="G6532">
        <v>0</v>
      </c>
      <c r="H6532">
        <v>0</v>
      </c>
      <c r="I6532">
        <v>1</v>
      </c>
      <c r="J6532">
        <v>0</v>
      </c>
      <c r="K6532">
        <v>0</v>
      </c>
      <c r="L6532">
        <f t="shared" si="204"/>
        <v>4.9000000000000004</v>
      </c>
      <c r="M6532">
        <f t="shared" si="205"/>
        <v>1</v>
      </c>
    </row>
    <row r="6533" spans="1:13" x14ac:dyDescent="0.3">
      <c r="A6533">
        <v>6531</v>
      </c>
      <c r="B6533">
        <v>6532</v>
      </c>
      <c r="C6533" t="s">
        <v>6611</v>
      </c>
      <c r="D6533">
        <v>2015</v>
      </c>
      <c r="F6533" t="s">
        <v>2315</v>
      </c>
      <c r="G6533">
        <v>0</v>
      </c>
      <c r="H6533">
        <v>0</v>
      </c>
      <c r="I6533">
        <v>1</v>
      </c>
      <c r="J6533">
        <v>0</v>
      </c>
      <c r="K6533">
        <v>0</v>
      </c>
      <c r="L6533">
        <f t="shared" si="204"/>
        <v>4.9000000000000004</v>
      </c>
      <c r="M6533">
        <f t="shared" si="205"/>
        <v>1</v>
      </c>
    </row>
    <row r="6534" spans="1:13" x14ac:dyDescent="0.3">
      <c r="A6534">
        <v>6532</v>
      </c>
      <c r="B6534">
        <v>6533</v>
      </c>
      <c r="C6534" t="s">
        <v>6612</v>
      </c>
      <c r="D6534">
        <v>2013</v>
      </c>
      <c r="F6534" t="s">
        <v>2315</v>
      </c>
      <c r="G6534">
        <v>0</v>
      </c>
      <c r="H6534">
        <v>0</v>
      </c>
      <c r="I6534">
        <v>1</v>
      </c>
      <c r="J6534">
        <v>0</v>
      </c>
      <c r="K6534">
        <v>0</v>
      </c>
      <c r="L6534">
        <f t="shared" si="204"/>
        <v>4.9000000000000004</v>
      </c>
      <c r="M6534">
        <f t="shared" si="205"/>
        <v>1</v>
      </c>
    </row>
    <row r="6535" spans="1:13" x14ac:dyDescent="0.3">
      <c r="A6535">
        <v>6533</v>
      </c>
      <c r="B6535">
        <v>6534</v>
      </c>
      <c r="C6535" t="s">
        <v>6613</v>
      </c>
      <c r="D6535">
        <v>1987</v>
      </c>
      <c r="E6535" t="s">
        <v>11</v>
      </c>
      <c r="F6535" t="s">
        <v>2315</v>
      </c>
      <c r="G6535">
        <v>0</v>
      </c>
      <c r="H6535">
        <v>0</v>
      </c>
      <c r="I6535">
        <v>1</v>
      </c>
      <c r="J6535">
        <v>0</v>
      </c>
      <c r="K6535">
        <v>0</v>
      </c>
      <c r="L6535">
        <f t="shared" si="204"/>
        <v>4.9000000000000004</v>
      </c>
      <c r="M6535">
        <f t="shared" si="205"/>
        <v>1</v>
      </c>
    </row>
    <row r="6536" spans="1:13" x14ac:dyDescent="0.3">
      <c r="A6536">
        <v>6534</v>
      </c>
      <c r="B6536">
        <v>6535</v>
      </c>
      <c r="C6536" t="s">
        <v>6614</v>
      </c>
      <c r="D6536">
        <v>1941</v>
      </c>
      <c r="F6536" t="s">
        <v>2315</v>
      </c>
      <c r="G6536">
        <v>0</v>
      </c>
      <c r="H6536">
        <v>0</v>
      </c>
      <c r="I6536">
        <v>1</v>
      </c>
      <c r="J6536">
        <v>0</v>
      </c>
      <c r="K6536">
        <v>0</v>
      </c>
      <c r="L6536">
        <f t="shared" si="204"/>
        <v>4.9000000000000004</v>
      </c>
      <c r="M6536">
        <f t="shared" si="205"/>
        <v>1</v>
      </c>
    </row>
    <row r="6537" spans="1:13" x14ac:dyDescent="0.3">
      <c r="A6537">
        <v>6535</v>
      </c>
      <c r="B6537">
        <v>6536</v>
      </c>
      <c r="C6537" t="s">
        <v>6615</v>
      </c>
      <c r="D6537">
        <v>2016</v>
      </c>
      <c r="E6537" t="s">
        <v>28</v>
      </c>
      <c r="F6537" t="s">
        <v>2315</v>
      </c>
      <c r="G6537">
        <v>0</v>
      </c>
      <c r="H6537">
        <v>0</v>
      </c>
      <c r="I6537">
        <v>1</v>
      </c>
      <c r="J6537">
        <v>0</v>
      </c>
      <c r="K6537">
        <v>0</v>
      </c>
      <c r="L6537">
        <f t="shared" si="204"/>
        <v>4.9000000000000004</v>
      </c>
      <c r="M6537">
        <f t="shared" si="205"/>
        <v>1</v>
      </c>
    </row>
    <row r="6538" spans="1:13" x14ac:dyDescent="0.3">
      <c r="A6538">
        <v>6536</v>
      </c>
      <c r="B6538">
        <v>6537</v>
      </c>
      <c r="C6538" t="s">
        <v>6616</v>
      </c>
      <c r="D6538">
        <v>1939</v>
      </c>
      <c r="F6538" t="s">
        <v>2315</v>
      </c>
      <c r="G6538">
        <v>0</v>
      </c>
      <c r="H6538">
        <v>0</v>
      </c>
      <c r="I6538">
        <v>1</v>
      </c>
      <c r="J6538">
        <v>0</v>
      </c>
      <c r="K6538">
        <v>0</v>
      </c>
      <c r="L6538">
        <f t="shared" si="204"/>
        <v>4.9000000000000004</v>
      </c>
      <c r="M6538">
        <f t="shared" si="205"/>
        <v>1</v>
      </c>
    </row>
    <row r="6539" spans="1:13" x14ac:dyDescent="0.3">
      <c r="A6539">
        <v>6537</v>
      </c>
      <c r="B6539">
        <v>6538</v>
      </c>
      <c r="C6539" t="s">
        <v>6617</v>
      </c>
      <c r="D6539">
        <v>2013</v>
      </c>
      <c r="F6539" t="s">
        <v>2315</v>
      </c>
      <c r="G6539">
        <v>0</v>
      </c>
      <c r="H6539">
        <v>0</v>
      </c>
      <c r="I6539">
        <v>1</v>
      </c>
      <c r="J6539">
        <v>0</v>
      </c>
      <c r="K6539">
        <v>0</v>
      </c>
      <c r="L6539">
        <f t="shared" si="204"/>
        <v>4.9000000000000004</v>
      </c>
      <c r="M6539">
        <f t="shared" si="205"/>
        <v>1</v>
      </c>
    </row>
    <row r="6540" spans="1:13" x14ac:dyDescent="0.3">
      <c r="A6540">
        <v>6538</v>
      </c>
      <c r="B6540">
        <v>6539</v>
      </c>
      <c r="C6540" t="s">
        <v>6618</v>
      </c>
      <c r="D6540">
        <v>2000</v>
      </c>
      <c r="E6540" t="s">
        <v>22</v>
      </c>
      <c r="F6540" t="s">
        <v>2315</v>
      </c>
      <c r="G6540">
        <v>0</v>
      </c>
      <c r="H6540">
        <v>0</v>
      </c>
      <c r="I6540">
        <v>1</v>
      </c>
      <c r="J6540">
        <v>0</v>
      </c>
      <c r="K6540">
        <v>0</v>
      </c>
      <c r="L6540">
        <f t="shared" si="204"/>
        <v>4.9000000000000004</v>
      </c>
      <c r="M6540">
        <f t="shared" si="205"/>
        <v>1</v>
      </c>
    </row>
    <row r="6541" spans="1:13" x14ac:dyDescent="0.3">
      <c r="A6541">
        <v>6539</v>
      </c>
      <c r="B6541">
        <v>6540</v>
      </c>
      <c r="C6541" t="s">
        <v>6619</v>
      </c>
      <c r="D6541">
        <v>1985</v>
      </c>
      <c r="E6541" t="s">
        <v>11</v>
      </c>
      <c r="F6541" t="s">
        <v>2315</v>
      </c>
      <c r="G6541">
        <v>0</v>
      </c>
      <c r="H6541">
        <v>0</v>
      </c>
      <c r="I6541">
        <v>1</v>
      </c>
      <c r="J6541">
        <v>0</v>
      </c>
      <c r="K6541">
        <v>0</v>
      </c>
      <c r="L6541">
        <f t="shared" si="204"/>
        <v>4.9000000000000004</v>
      </c>
      <c r="M6541">
        <f t="shared" si="205"/>
        <v>1</v>
      </c>
    </row>
    <row r="6542" spans="1:13" x14ac:dyDescent="0.3">
      <c r="A6542">
        <v>6540</v>
      </c>
      <c r="B6542">
        <v>6541</v>
      </c>
      <c r="C6542" t="s">
        <v>6620</v>
      </c>
      <c r="D6542">
        <v>2017</v>
      </c>
      <c r="E6542" t="s">
        <v>14</v>
      </c>
      <c r="F6542" t="s">
        <v>2315</v>
      </c>
      <c r="G6542">
        <v>0</v>
      </c>
      <c r="H6542">
        <v>0</v>
      </c>
      <c r="I6542">
        <v>1</v>
      </c>
      <c r="J6542">
        <v>0</v>
      </c>
      <c r="K6542">
        <v>0</v>
      </c>
      <c r="L6542">
        <f t="shared" si="204"/>
        <v>4.9000000000000004</v>
      </c>
      <c r="M6542">
        <f t="shared" si="205"/>
        <v>1</v>
      </c>
    </row>
    <row r="6543" spans="1:13" x14ac:dyDescent="0.3">
      <c r="A6543">
        <v>6541</v>
      </c>
      <c r="B6543">
        <v>6542</v>
      </c>
      <c r="C6543" t="s">
        <v>6621</v>
      </c>
      <c r="D6543">
        <v>1970</v>
      </c>
      <c r="F6543" t="s">
        <v>2315</v>
      </c>
      <c r="G6543">
        <v>0</v>
      </c>
      <c r="H6543">
        <v>0</v>
      </c>
      <c r="I6543">
        <v>1</v>
      </c>
      <c r="J6543">
        <v>0</v>
      </c>
      <c r="K6543">
        <v>0</v>
      </c>
      <c r="L6543">
        <f t="shared" si="204"/>
        <v>4.9000000000000004</v>
      </c>
      <c r="M6543">
        <f t="shared" si="205"/>
        <v>1</v>
      </c>
    </row>
    <row r="6544" spans="1:13" x14ac:dyDescent="0.3">
      <c r="A6544">
        <v>6542</v>
      </c>
      <c r="B6544">
        <v>6543</v>
      </c>
      <c r="C6544" t="s">
        <v>6622</v>
      </c>
      <c r="D6544">
        <v>2013</v>
      </c>
      <c r="E6544" t="s">
        <v>14</v>
      </c>
      <c r="F6544" t="s">
        <v>2315</v>
      </c>
      <c r="G6544">
        <v>0</v>
      </c>
      <c r="H6544">
        <v>0</v>
      </c>
      <c r="I6544">
        <v>1</v>
      </c>
      <c r="J6544">
        <v>0</v>
      </c>
      <c r="K6544">
        <v>0</v>
      </c>
      <c r="L6544">
        <f t="shared" si="204"/>
        <v>4.9000000000000004</v>
      </c>
      <c r="M6544">
        <f t="shared" si="205"/>
        <v>1</v>
      </c>
    </row>
    <row r="6545" spans="1:13" x14ac:dyDescent="0.3">
      <c r="A6545">
        <v>6543</v>
      </c>
      <c r="B6545">
        <v>6544</v>
      </c>
      <c r="C6545" t="s">
        <v>6623</v>
      </c>
      <c r="D6545">
        <v>2013</v>
      </c>
      <c r="F6545" t="s">
        <v>2315</v>
      </c>
      <c r="G6545">
        <v>0</v>
      </c>
      <c r="H6545">
        <v>0</v>
      </c>
      <c r="I6545">
        <v>1</v>
      </c>
      <c r="J6545">
        <v>0</v>
      </c>
      <c r="K6545">
        <v>0</v>
      </c>
      <c r="L6545">
        <f t="shared" si="204"/>
        <v>4.9000000000000004</v>
      </c>
      <c r="M6545">
        <f t="shared" si="205"/>
        <v>1</v>
      </c>
    </row>
    <row r="6546" spans="1:13" x14ac:dyDescent="0.3">
      <c r="A6546">
        <v>6544</v>
      </c>
      <c r="B6546">
        <v>6545</v>
      </c>
      <c r="C6546" t="s">
        <v>6624</v>
      </c>
      <c r="D6546">
        <v>1986</v>
      </c>
      <c r="E6546" t="s">
        <v>11</v>
      </c>
      <c r="F6546" t="s">
        <v>2315</v>
      </c>
      <c r="G6546">
        <v>0</v>
      </c>
      <c r="H6546">
        <v>0</v>
      </c>
      <c r="I6546">
        <v>1</v>
      </c>
      <c r="J6546">
        <v>0</v>
      </c>
      <c r="K6546">
        <v>0</v>
      </c>
      <c r="L6546">
        <f t="shared" si="204"/>
        <v>4.9000000000000004</v>
      </c>
      <c r="M6546">
        <f t="shared" si="205"/>
        <v>1</v>
      </c>
    </row>
    <row r="6547" spans="1:13" x14ac:dyDescent="0.3">
      <c r="A6547">
        <v>6545</v>
      </c>
      <c r="B6547">
        <v>6546</v>
      </c>
      <c r="C6547" t="s">
        <v>6625</v>
      </c>
      <c r="D6547">
        <v>2018</v>
      </c>
      <c r="F6547" t="s">
        <v>2315</v>
      </c>
      <c r="G6547">
        <v>0</v>
      </c>
      <c r="H6547">
        <v>0</v>
      </c>
      <c r="I6547">
        <v>1</v>
      </c>
      <c r="J6547">
        <v>0</v>
      </c>
      <c r="K6547">
        <v>0</v>
      </c>
      <c r="L6547">
        <f t="shared" si="204"/>
        <v>4.9000000000000004</v>
      </c>
      <c r="M6547">
        <f t="shared" si="205"/>
        <v>1</v>
      </c>
    </row>
    <row r="6548" spans="1:13" x14ac:dyDescent="0.3">
      <c r="A6548">
        <v>6546</v>
      </c>
      <c r="B6548">
        <v>6547</v>
      </c>
      <c r="C6548" t="s">
        <v>6626</v>
      </c>
      <c r="D6548">
        <v>2011</v>
      </c>
      <c r="F6548" t="s">
        <v>2315</v>
      </c>
      <c r="G6548">
        <v>0</v>
      </c>
      <c r="H6548">
        <v>0</v>
      </c>
      <c r="I6548">
        <v>1</v>
      </c>
      <c r="J6548">
        <v>0</v>
      </c>
      <c r="K6548">
        <v>0</v>
      </c>
      <c r="L6548">
        <f t="shared" si="204"/>
        <v>4.9000000000000004</v>
      </c>
      <c r="M6548">
        <f t="shared" si="205"/>
        <v>1</v>
      </c>
    </row>
    <row r="6549" spans="1:13" x14ac:dyDescent="0.3">
      <c r="A6549">
        <v>6547</v>
      </c>
      <c r="B6549">
        <v>6548</v>
      </c>
      <c r="C6549" t="s">
        <v>6627</v>
      </c>
      <c r="D6549">
        <v>2011</v>
      </c>
      <c r="E6549" t="s">
        <v>11</v>
      </c>
      <c r="F6549" t="s">
        <v>2315</v>
      </c>
      <c r="G6549">
        <v>0</v>
      </c>
      <c r="H6549">
        <v>0</v>
      </c>
      <c r="I6549">
        <v>1</v>
      </c>
      <c r="J6549">
        <v>0</v>
      </c>
      <c r="K6549">
        <v>0</v>
      </c>
      <c r="L6549">
        <f t="shared" si="204"/>
        <v>4.9000000000000004</v>
      </c>
      <c r="M6549">
        <f t="shared" si="205"/>
        <v>1</v>
      </c>
    </row>
    <row r="6550" spans="1:13" x14ac:dyDescent="0.3">
      <c r="A6550">
        <v>6548</v>
      </c>
      <c r="B6550">
        <v>6549</v>
      </c>
      <c r="C6550" t="s">
        <v>6628</v>
      </c>
      <c r="D6550">
        <v>1989</v>
      </c>
      <c r="E6550" t="s">
        <v>11</v>
      </c>
      <c r="F6550" t="s">
        <v>2315</v>
      </c>
      <c r="G6550">
        <v>0</v>
      </c>
      <c r="H6550">
        <v>0</v>
      </c>
      <c r="I6550">
        <v>1</v>
      </c>
      <c r="J6550">
        <v>0</v>
      </c>
      <c r="K6550">
        <v>0</v>
      </c>
      <c r="L6550">
        <f t="shared" si="204"/>
        <v>4.9000000000000004</v>
      </c>
      <c r="M6550">
        <f t="shared" si="205"/>
        <v>1</v>
      </c>
    </row>
    <row r="6551" spans="1:13" x14ac:dyDescent="0.3">
      <c r="A6551">
        <v>6549</v>
      </c>
      <c r="B6551">
        <v>6550</v>
      </c>
      <c r="C6551" t="s">
        <v>6629</v>
      </c>
      <c r="D6551">
        <v>2015</v>
      </c>
      <c r="F6551" t="s">
        <v>2315</v>
      </c>
      <c r="G6551">
        <v>0</v>
      </c>
      <c r="H6551">
        <v>0</v>
      </c>
      <c r="I6551">
        <v>1</v>
      </c>
      <c r="J6551">
        <v>0</v>
      </c>
      <c r="K6551">
        <v>0</v>
      </c>
      <c r="L6551">
        <f t="shared" si="204"/>
        <v>4.9000000000000004</v>
      </c>
      <c r="M6551">
        <f t="shared" si="205"/>
        <v>1</v>
      </c>
    </row>
    <row r="6552" spans="1:13" x14ac:dyDescent="0.3">
      <c r="A6552">
        <v>6550</v>
      </c>
      <c r="B6552">
        <v>6551</v>
      </c>
      <c r="C6552" t="s">
        <v>6630</v>
      </c>
      <c r="D6552">
        <v>2006</v>
      </c>
      <c r="E6552" t="s">
        <v>36</v>
      </c>
      <c r="F6552" t="s">
        <v>2315</v>
      </c>
      <c r="G6552">
        <v>0</v>
      </c>
      <c r="H6552">
        <v>0</v>
      </c>
      <c r="I6552">
        <v>1</v>
      </c>
      <c r="J6552">
        <v>0</v>
      </c>
      <c r="K6552">
        <v>0</v>
      </c>
      <c r="L6552">
        <f t="shared" si="204"/>
        <v>4.9000000000000004</v>
      </c>
      <c r="M6552">
        <f t="shared" si="205"/>
        <v>1</v>
      </c>
    </row>
    <row r="6553" spans="1:13" x14ac:dyDescent="0.3">
      <c r="A6553">
        <v>6551</v>
      </c>
      <c r="B6553">
        <v>6552</v>
      </c>
      <c r="C6553" t="s">
        <v>6631</v>
      </c>
      <c r="D6553">
        <v>2019</v>
      </c>
      <c r="E6553" t="s">
        <v>14</v>
      </c>
      <c r="F6553" t="s">
        <v>2315</v>
      </c>
      <c r="G6553">
        <v>0</v>
      </c>
      <c r="H6553">
        <v>0</v>
      </c>
      <c r="I6553">
        <v>1</v>
      </c>
      <c r="J6553">
        <v>0</v>
      </c>
      <c r="K6553">
        <v>0</v>
      </c>
      <c r="L6553">
        <f t="shared" si="204"/>
        <v>4.9000000000000004</v>
      </c>
      <c r="M6553">
        <f t="shared" si="205"/>
        <v>1</v>
      </c>
    </row>
    <row r="6554" spans="1:13" x14ac:dyDescent="0.3">
      <c r="A6554">
        <v>6552</v>
      </c>
      <c r="B6554">
        <v>6553</v>
      </c>
      <c r="C6554" t="s">
        <v>6632</v>
      </c>
      <c r="D6554">
        <v>2012</v>
      </c>
      <c r="E6554" t="s">
        <v>11</v>
      </c>
      <c r="F6554" t="s">
        <v>2315</v>
      </c>
      <c r="G6554">
        <v>0</v>
      </c>
      <c r="H6554">
        <v>0</v>
      </c>
      <c r="I6554">
        <v>1</v>
      </c>
      <c r="J6554">
        <v>0</v>
      </c>
      <c r="K6554">
        <v>0</v>
      </c>
      <c r="L6554">
        <f t="shared" si="204"/>
        <v>4.9000000000000004</v>
      </c>
      <c r="M6554">
        <f t="shared" si="205"/>
        <v>1</v>
      </c>
    </row>
    <row r="6555" spans="1:13" x14ac:dyDescent="0.3">
      <c r="A6555">
        <v>6553</v>
      </c>
      <c r="B6555">
        <v>6554</v>
      </c>
      <c r="C6555" t="s">
        <v>6633</v>
      </c>
      <c r="D6555">
        <v>2019</v>
      </c>
      <c r="F6555" t="s">
        <v>2315</v>
      </c>
      <c r="G6555">
        <v>0</v>
      </c>
      <c r="H6555">
        <v>0</v>
      </c>
      <c r="I6555">
        <v>1</v>
      </c>
      <c r="J6555">
        <v>0</v>
      </c>
      <c r="K6555">
        <v>0</v>
      </c>
      <c r="L6555">
        <f t="shared" si="204"/>
        <v>4.9000000000000004</v>
      </c>
      <c r="M6555">
        <f t="shared" si="205"/>
        <v>1</v>
      </c>
    </row>
    <row r="6556" spans="1:13" x14ac:dyDescent="0.3">
      <c r="A6556">
        <v>6554</v>
      </c>
      <c r="B6556">
        <v>6555</v>
      </c>
      <c r="C6556" t="s">
        <v>6634</v>
      </c>
      <c r="D6556">
        <v>2018</v>
      </c>
      <c r="F6556" t="s">
        <v>2315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f t="shared" si="204"/>
        <v>4.9000000000000004</v>
      </c>
      <c r="M6556">
        <f t="shared" si="205"/>
        <v>1</v>
      </c>
    </row>
    <row r="6557" spans="1:13" x14ac:dyDescent="0.3">
      <c r="A6557">
        <v>6555</v>
      </c>
      <c r="B6557">
        <v>6556</v>
      </c>
      <c r="C6557" t="s">
        <v>6635</v>
      </c>
      <c r="D6557">
        <v>1995</v>
      </c>
      <c r="E6557" t="s">
        <v>11</v>
      </c>
      <c r="F6557" t="s">
        <v>2315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f t="shared" si="204"/>
        <v>4.9000000000000004</v>
      </c>
      <c r="M6557">
        <f t="shared" si="205"/>
        <v>1</v>
      </c>
    </row>
    <row r="6558" spans="1:13" x14ac:dyDescent="0.3">
      <c r="A6558">
        <v>6556</v>
      </c>
      <c r="B6558">
        <v>6557</v>
      </c>
      <c r="C6558" t="s">
        <v>6636</v>
      </c>
      <c r="D6558">
        <v>2019</v>
      </c>
      <c r="E6558" t="s">
        <v>22</v>
      </c>
      <c r="F6558" t="s">
        <v>2315</v>
      </c>
      <c r="G6558">
        <v>0</v>
      </c>
      <c r="H6558">
        <v>0</v>
      </c>
      <c r="I6558">
        <v>1</v>
      </c>
      <c r="J6558">
        <v>0</v>
      </c>
      <c r="K6558">
        <v>0</v>
      </c>
      <c r="L6558">
        <f t="shared" si="204"/>
        <v>4.9000000000000004</v>
      </c>
      <c r="M6558">
        <f t="shared" si="205"/>
        <v>1</v>
      </c>
    </row>
    <row r="6559" spans="1:13" x14ac:dyDescent="0.3">
      <c r="A6559">
        <v>6557</v>
      </c>
      <c r="B6559">
        <v>6558</v>
      </c>
      <c r="C6559" t="s">
        <v>6637</v>
      </c>
      <c r="D6559">
        <v>1952</v>
      </c>
      <c r="F6559" t="s">
        <v>2315</v>
      </c>
      <c r="G6559">
        <v>0</v>
      </c>
      <c r="H6559">
        <v>0</v>
      </c>
      <c r="I6559">
        <v>1</v>
      </c>
      <c r="J6559">
        <v>0</v>
      </c>
      <c r="K6559">
        <v>0</v>
      </c>
      <c r="L6559">
        <f t="shared" si="204"/>
        <v>4.9000000000000004</v>
      </c>
      <c r="M6559">
        <f t="shared" si="205"/>
        <v>1</v>
      </c>
    </row>
    <row r="6560" spans="1:13" x14ac:dyDescent="0.3">
      <c r="A6560">
        <v>6558</v>
      </c>
      <c r="B6560">
        <v>6559</v>
      </c>
      <c r="C6560" t="s">
        <v>6638</v>
      </c>
      <c r="D6560">
        <v>1986</v>
      </c>
      <c r="E6560" t="s">
        <v>14</v>
      </c>
      <c r="F6560" t="s">
        <v>2315</v>
      </c>
      <c r="G6560">
        <v>0</v>
      </c>
      <c r="H6560">
        <v>0</v>
      </c>
      <c r="I6560">
        <v>1</v>
      </c>
      <c r="J6560">
        <v>0</v>
      </c>
      <c r="K6560">
        <v>0</v>
      </c>
      <c r="L6560">
        <f t="shared" si="204"/>
        <v>4.9000000000000004</v>
      </c>
      <c r="M6560">
        <f t="shared" si="205"/>
        <v>1</v>
      </c>
    </row>
    <row r="6561" spans="1:13" x14ac:dyDescent="0.3">
      <c r="A6561">
        <v>6559</v>
      </c>
      <c r="B6561">
        <v>6560</v>
      </c>
      <c r="C6561" t="s">
        <v>6639</v>
      </c>
      <c r="D6561">
        <v>2016</v>
      </c>
      <c r="F6561" t="s">
        <v>2315</v>
      </c>
      <c r="G6561">
        <v>0</v>
      </c>
      <c r="H6561">
        <v>0</v>
      </c>
      <c r="I6561">
        <v>1</v>
      </c>
      <c r="J6561">
        <v>0</v>
      </c>
      <c r="K6561">
        <v>0</v>
      </c>
      <c r="L6561">
        <f t="shared" si="204"/>
        <v>4.9000000000000004</v>
      </c>
      <c r="M6561">
        <f t="shared" si="205"/>
        <v>1</v>
      </c>
    </row>
    <row r="6562" spans="1:13" x14ac:dyDescent="0.3">
      <c r="A6562">
        <v>6560</v>
      </c>
      <c r="B6562">
        <v>6561</v>
      </c>
      <c r="C6562" t="s">
        <v>6640</v>
      </c>
      <c r="D6562">
        <v>2020</v>
      </c>
      <c r="E6562" t="s">
        <v>28</v>
      </c>
      <c r="F6562" t="s">
        <v>2315</v>
      </c>
      <c r="G6562">
        <v>0</v>
      </c>
      <c r="H6562">
        <v>0</v>
      </c>
      <c r="I6562">
        <v>1</v>
      </c>
      <c r="J6562">
        <v>0</v>
      </c>
      <c r="K6562">
        <v>0</v>
      </c>
      <c r="L6562">
        <f t="shared" si="204"/>
        <v>4.9000000000000004</v>
      </c>
      <c r="M6562">
        <f t="shared" si="205"/>
        <v>1</v>
      </c>
    </row>
    <row r="6563" spans="1:13" x14ac:dyDescent="0.3">
      <c r="A6563">
        <v>6561</v>
      </c>
      <c r="B6563">
        <v>6562</v>
      </c>
      <c r="C6563" t="s">
        <v>6641</v>
      </c>
      <c r="D6563">
        <v>2012</v>
      </c>
      <c r="E6563" t="s">
        <v>14</v>
      </c>
      <c r="F6563" t="s">
        <v>2315</v>
      </c>
      <c r="G6563">
        <v>0</v>
      </c>
      <c r="H6563">
        <v>0</v>
      </c>
      <c r="I6563">
        <v>1</v>
      </c>
      <c r="J6563">
        <v>0</v>
      </c>
      <c r="K6563">
        <v>0</v>
      </c>
      <c r="L6563">
        <f t="shared" si="204"/>
        <v>4.9000000000000004</v>
      </c>
      <c r="M6563">
        <f t="shared" si="205"/>
        <v>1</v>
      </c>
    </row>
    <row r="6564" spans="1:13" x14ac:dyDescent="0.3">
      <c r="A6564">
        <v>6562</v>
      </c>
      <c r="B6564">
        <v>6563</v>
      </c>
      <c r="C6564" t="s">
        <v>6642</v>
      </c>
      <c r="D6564">
        <v>2017</v>
      </c>
      <c r="E6564" t="s">
        <v>14</v>
      </c>
      <c r="F6564" t="s">
        <v>2315</v>
      </c>
      <c r="G6564">
        <v>0</v>
      </c>
      <c r="H6564">
        <v>0</v>
      </c>
      <c r="I6564">
        <v>1</v>
      </c>
      <c r="J6564">
        <v>0</v>
      </c>
      <c r="K6564">
        <v>0</v>
      </c>
      <c r="L6564">
        <f t="shared" si="204"/>
        <v>4.9000000000000004</v>
      </c>
      <c r="M6564">
        <f t="shared" si="205"/>
        <v>1</v>
      </c>
    </row>
    <row r="6565" spans="1:13" x14ac:dyDescent="0.3">
      <c r="A6565">
        <v>6563</v>
      </c>
      <c r="B6565">
        <v>6564</v>
      </c>
      <c r="C6565" t="s">
        <v>6643</v>
      </c>
      <c r="D6565">
        <v>2014</v>
      </c>
      <c r="E6565" t="s">
        <v>22</v>
      </c>
      <c r="F6565" t="s">
        <v>2315</v>
      </c>
      <c r="G6565">
        <v>0</v>
      </c>
      <c r="H6565">
        <v>0</v>
      </c>
      <c r="I6565">
        <v>1</v>
      </c>
      <c r="J6565">
        <v>0</v>
      </c>
      <c r="K6565">
        <v>0</v>
      </c>
      <c r="L6565">
        <f t="shared" si="204"/>
        <v>4.9000000000000004</v>
      </c>
      <c r="M6565">
        <f t="shared" si="205"/>
        <v>1</v>
      </c>
    </row>
    <row r="6566" spans="1:13" x14ac:dyDescent="0.3">
      <c r="A6566">
        <v>6564</v>
      </c>
      <c r="B6566">
        <v>6565</v>
      </c>
      <c r="C6566" t="s">
        <v>6644</v>
      </c>
      <c r="D6566">
        <v>2020</v>
      </c>
      <c r="F6566" t="s">
        <v>2315</v>
      </c>
      <c r="G6566">
        <v>0</v>
      </c>
      <c r="H6566">
        <v>0</v>
      </c>
      <c r="I6566">
        <v>1</v>
      </c>
      <c r="J6566">
        <v>0</v>
      </c>
      <c r="K6566">
        <v>0</v>
      </c>
      <c r="L6566">
        <f t="shared" si="204"/>
        <v>4.9000000000000004</v>
      </c>
      <c r="M6566">
        <f t="shared" si="205"/>
        <v>1</v>
      </c>
    </row>
    <row r="6567" spans="1:13" x14ac:dyDescent="0.3">
      <c r="A6567">
        <v>6565</v>
      </c>
      <c r="B6567">
        <v>6566</v>
      </c>
      <c r="C6567" t="s">
        <v>6645</v>
      </c>
      <c r="D6567">
        <v>1970</v>
      </c>
      <c r="E6567" t="s">
        <v>14</v>
      </c>
      <c r="F6567" t="s">
        <v>2315</v>
      </c>
      <c r="G6567">
        <v>0</v>
      </c>
      <c r="H6567">
        <v>0</v>
      </c>
      <c r="I6567">
        <v>1</v>
      </c>
      <c r="J6567">
        <v>0</v>
      </c>
      <c r="K6567">
        <v>0</v>
      </c>
      <c r="L6567">
        <f t="shared" si="204"/>
        <v>4.9000000000000004</v>
      </c>
      <c r="M6567">
        <f t="shared" si="205"/>
        <v>1</v>
      </c>
    </row>
    <row r="6568" spans="1:13" x14ac:dyDescent="0.3">
      <c r="A6568">
        <v>6566</v>
      </c>
      <c r="B6568">
        <v>6567</v>
      </c>
      <c r="C6568" t="s">
        <v>6646</v>
      </c>
      <c r="D6568">
        <v>2019</v>
      </c>
      <c r="F6568" t="s">
        <v>2315</v>
      </c>
      <c r="G6568">
        <v>0</v>
      </c>
      <c r="H6568">
        <v>0</v>
      </c>
      <c r="I6568">
        <v>1</v>
      </c>
      <c r="J6568">
        <v>0</v>
      </c>
      <c r="K6568">
        <v>0</v>
      </c>
      <c r="L6568">
        <f t="shared" si="204"/>
        <v>4.9000000000000004</v>
      </c>
      <c r="M6568">
        <f t="shared" si="205"/>
        <v>1</v>
      </c>
    </row>
    <row r="6569" spans="1:13" x14ac:dyDescent="0.3">
      <c r="A6569">
        <v>6567</v>
      </c>
      <c r="B6569">
        <v>6568</v>
      </c>
      <c r="C6569" t="s">
        <v>6647</v>
      </c>
      <c r="D6569">
        <v>2020</v>
      </c>
      <c r="F6569" t="s">
        <v>2315</v>
      </c>
      <c r="G6569">
        <v>0</v>
      </c>
      <c r="H6569">
        <v>0</v>
      </c>
      <c r="I6569">
        <v>1</v>
      </c>
      <c r="J6569">
        <v>0</v>
      </c>
      <c r="K6569">
        <v>0</v>
      </c>
      <c r="L6569">
        <f t="shared" si="204"/>
        <v>4.9000000000000004</v>
      </c>
      <c r="M6569">
        <f t="shared" si="205"/>
        <v>1</v>
      </c>
    </row>
    <row r="6570" spans="1:13" x14ac:dyDescent="0.3">
      <c r="A6570">
        <v>6568</v>
      </c>
      <c r="B6570">
        <v>6569</v>
      </c>
      <c r="C6570" t="s">
        <v>6648</v>
      </c>
      <c r="D6570">
        <v>2001</v>
      </c>
      <c r="E6570" t="s">
        <v>22</v>
      </c>
      <c r="F6570" t="s">
        <v>2315</v>
      </c>
      <c r="G6570">
        <v>0</v>
      </c>
      <c r="H6570">
        <v>0</v>
      </c>
      <c r="I6570">
        <v>1</v>
      </c>
      <c r="J6570">
        <v>0</v>
      </c>
      <c r="K6570">
        <v>0</v>
      </c>
      <c r="L6570">
        <f t="shared" si="204"/>
        <v>4.9000000000000004</v>
      </c>
      <c r="M6570">
        <f t="shared" si="205"/>
        <v>1</v>
      </c>
    </row>
    <row r="6571" spans="1:13" x14ac:dyDescent="0.3">
      <c r="A6571">
        <v>6569</v>
      </c>
      <c r="B6571">
        <v>6570</v>
      </c>
      <c r="C6571" t="s">
        <v>6649</v>
      </c>
      <c r="D6571">
        <v>1960</v>
      </c>
      <c r="F6571" t="s">
        <v>2315</v>
      </c>
      <c r="G6571">
        <v>0</v>
      </c>
      <c r="H6571">
        <v>0</v>
      </c>
      <c r="I6571">
        <v>1</v>
      </c>
      <c r="J6571">
        <v>0</v>
      </c>
      <c r="K6571">
        <v>0</v>
      </c>
      <c r="L6571">
        <f t="shared" si="204"/>
        <v>4.9000000000000004</v>
      </c>
      <c r="M6571">
        <f t="shared" si="205"/>
        <v>1</v>
      </c>
    </row>
    <row r="6572" spans="1:13" x14ac:dyDescent="0.3">
      <c r="A6572">
        <v>6570</v>
      </c>
      <c r="B6572">
        <v>6571</v>
      </c>
      <c r="C6572" t="s">
        <v>6650</v>
      </c>
      <c r="D6572">
        <v>2018</v>
      </c>
      <c r="F6572" t="s">
        <v>2315</v>
      </c>
      <c r="G6572">
        <v>0</v>
      </c>
      <c r="H6572">
        <v>0</v>
      </c>
      <c r="I6572">
        <v>1</v>
      </c>
      <c r="J6572">
        <v>0</v>
      </c>
      <c r="K6572">
        <v>0</v>
      </c>
      <c r="L6572">
        <f t="shared" si="204"/>
        <v>4.9000000000000004</v>
      </c>
      <c r="M6572">
        <f t="shared" si="205"/>
        <v>1</v>
      </c>
    </row>
    <row r="6573" spans="1:13" x14ac:dyDescent="0.3">
      <c r="A6573">
        <v>6571</v>
      </c>
      <c r="B6573">
        <v>6572</v>
      </c>
      <c r="C6573" t="s">
        <v>6651</v>
      </c>
      <c r="D6573">
        <v>1971</v>
      </c>
      <c r="F6573" t="s">
        <v>2315</v>
      </c>
      <c r="G6573">
        <v>0</v>
      </c>
      <c r="H6573">
        <v>0</v>
      </c>
      <c r="I6573">
        <v>1</v>
      </c>
      <c r="J6573">
        <v>0</v>
      </c>
      <c r="K6573">
        <v>0</v>
      </c>
      <c r="L6573">
        <f t="shared" si="204"/>
        <v>4.9000000000000004</v>
      </c>
      <c r="M6573">
        <f t="shared" si="205"/>
        <v>1</v>
      </c>
    </row>
    <row r="6574" spans="1:13" x14ac:dyDescent="0.3">
      <c r="A6574">
        <v>6572</v>
      </c>
      <c r="B6574">
        <v>6573</v>
      </c>
      <c r="C6574" t="s">
        <v>6652</v>
      </c>
      <c r="D6574">
        <v>2016</v>
      </c>
      <c r="E6574" t="s">
        <v>14</v>
      </c>
      <c r="F6574" t="s">
        <v>2315</v>
      </c>
      <c r="G6574">
        <v>0</v>
      </c>
      <c r="H6574">
        <v>0</v>
      </c>
      <c r="I6574">
        <v>1</v>
      </c>
      <c r="J6574">
        <v>0</v>
      </c>
      <c r="K6574">
        <v>0</v>
      </c>
      <c r="L6574">
        <f t="shared" si="204"/>
        <v>4.9000000000000004</v>
      </c>
      <c r="M6574">
        <f t="shared" si="205"/>
        <v>1</v>
      </c>
    </row>
    <row r="6575" spans="1:13" x14ac:dyDescent="0.3">
      <c r="A6575">
        <v>6573</v>
      </c>
      <c r="B6575">
        <v>6574</v>
      </c>
      <c r="C6575" t="s">
        <v>6653</v>
      </c>
      <c r="D6575">
        <v>1996</v>
      </c>
      <c r="E6575" t="s">
        <v>11</v>
      </c>
      <c r="F6575" t="s">
        <v>2315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f t="shared" si="204"/>
        <v>4.9000000000000004</v>
      </c>
      <c r="M6575">
        <f t="shared" si="205"/>
        <v>1</v>
      </c>
    </row>
    <row r="6576" spans="1:13" x14ac:dyDescent="0.3">
      <c r="A6576">
        <v>6574</v>
      </c>
      <c r="B6576">
        <v>6575</v>
      </c>
      <c r="C6576" t="s">
        <v>6654</v>
      </c>
      <c r="D6576">
        <v>2015</v>
      </c>
      <c r="E6576" t="s">
        <v>11</v>
      </c>
      <c r="F6576" t="s">
        <v>2315</v>
      </c>
      <c r="G6576">
        <v>0</v>
      </c>
      <c r="H6576">
        <v>0</v>
      </c>
      <c r="I6576">
        <v>1</v>
      </c>
      <c r="J6576">
        <v>0</v>
      </c>
      <c r="K6576">
        <v>0</v>
      </c>
      <c r="L6576">
        <f t="shared" si="204"/>
        <v>4.9000000000000004</v>
      </c>
      <c r="M6576">
        <f t="shared" si="205"/>
        <v>1</v>
      </c>
    </row>
    <row r="6577" spans="1:13" x14ac:dyDescent="0.3">
      <c r="A6577">
        <v>6575</v>
      </c>
      <c r="B6577">
        <v>6576</v>
      </c>
      <c r="C6577" t="s">
        <v>6655</v>
      </c>
      <c r="D6577">
        <v>2019</v>
      </c>
      <c r="F6577" t="s">
        <v>2315</v>
      </c>
      <c r="G6577">
        <v>0</v>
      </c>
      <c r="H6577">
        <v>0</v>
      </c>
      <c r="I6577">
        <v>1</v>
      </c>
      <c r="J6577">
        <v>0</v>
      </c>
      <c r="K6577">
        <v>0</v>
      </c>
      <c r="L6577">
        <f t="shared" si="204"/>
        <v>4.9000000000000004</v>
      </c>
      <c r="M6577">
        <f t="shared" si="205"/>
        <v>1</v>
      </c>
    </row>
    <row r="6578" spans="1:13" x14ac:dyDescent="0.3">
      <c r="A6578">
        <v>6576</v>
      </c>
      <c r="B6578">
        <v>6577</v>
      </c>
      <c r="C6578" t="s">
        <v>6656</v>
      </c>
      <c r="D6578">
        <v>1987</v>
      </c>
      <c r="F6578" t="s">
        <v>2315</v>
      </c>
      <c r="G6578">
        <v>0</v>
      </c>
      <c r="H6578">
        <v>0</v>
      </c>
      <c r="I6578">
        <v>1</v>
      </c>
      <c r="J6578">
        <v>0</v>
      </c>
      <c r="K6578">
        <v>0</v>
      </c>
      <c r="L6578">
        <f t="shared" si="204"/>
        <v>4.9000000000000004</v>
      </c>
      <c r="M6578">
        <f t="shared" si="205"/>
        <v>1</v>
      </c>
    </row>
    <row r="6579" spans="1:13" x14ac:dyDescent="0.3">
      <c r="A6579">
        <v>6577</v>
      </c>
      <c r="B6579">
        <v>6578</v>
      </c>
      <c r="C6579" t="s">
        <v>6657</v>
      </c>
      <c r="D6579">
        <v>2007</v>
      </c>
      <c r="F6579" t="s">
        <v>2315</v>
      </c>
      <c r="G6579">
        <v>0</v>
      </c>
      <c r="H6579">
        <v>0</v>
      </c>
      <c r="I6579">
        <v>1</v>
      </c>
      <c r="J6579">
        <v>0</v>
      </c>
      <c r="K6579">
        <v>0</v>
      </c>
      <c r="L6579">
        <f t="shared" si="204"/>
        <v>4.9000000000000004</v>
      </c>
      <c r="M6579">
        <f t="shared" si="205"/>
        <v>1</v>
      </c>
    </row>
    <row r="6580" spans="1:13" x14ac:dyDescent="0.3">
      <c r="A6580">
        <v>6578</v>
      </c>
      <c r="B6580">
        <v>6579</v>
      </c>
      <c r="C6580" t="s">
        <v>6658</v>
      </c>
      <c r="D6580">
        <v>2002</v>
      </c>
      <c r="E6580" t="s">
        <v>22</v>
      </c>
      <c r="F6580" t="s">
        <v>2315</v>
      </c>
      <c r="G6580">
        <v>0</v>
      </c>
      <c r="H6580">
        <v>0</v>
      </c>
      <c r="I6580">
        <v>1</v>
      </c>
      <c r="J6580">
        <v>0</v>
      </c>
      <c r="K6580">
        <v>0</v>
      </c>
      <c r="L6580">
        <f t="shared" si="204"/>
        <v>4.9000000000000004</v>
      </c>
      <c r="M6580">
        <f t="shared" si="205"/>
        <v>1</v>
      </c>
    </row>
    <row r="6581" spans="1:13" x14ac:dyDescent="0.3">
      <c r="A6581">
        <v>6579</v>
      </c>
      <c r="B6581">
        <v>6580</v>
      </c>
      <c r="C6581" t="s">
        <v>6659</v>
      </c>
      <c r="D6581">
        <v>1986</v>
      </c>
      <c r="E6581" t="s">
        <v>11</v>
      </c>
      <c r="F6581" t="s">
        <v>2315</v>
      </c>
      <c r="G6581">
        <v>0</v>
      </c>
      <c r="H6581">
        <v>0</v>
      </c>
      <c r="I6581">
        <v>1</v>
      </c>
      <c r="J6581">
        <v>0</v>
      </c>
      <c r="K6581">
        <v>0</v>
      </c>
      <c r="L6581">
        <f t="shared" si="204"/>
        <v>4.9000000000000004</v>
      </c>
      <c r="M6581">
        <f t="shared" si="205"/>
        <v>1</v>
      </c>
    </row>
    <row r="6582" spans="1:13" x14ac:dyDescent="0.3">
      <c r="A6582">
        <v>6580</v>
      </c>
      <c r="B6582">
        <v>6581</v>
      </c>
      <c r="C6582" t="s">
        <v>6660</v>
      </c>
      <c r="D6582">
        <v>2003</v>
      </c>
      <c r="E6582" t="s">
        <v>11</v>
      </c>
      <c r="F6582" t="s">
        <v>2315</v>
      </c>
      <c r="G6582">
        <v>0</v>
      </c>
      <c r="H6582">
        <v>0</v>
      </c>
      <c r="I6582">
        <v>1</v>
      </c>
      <c r="J6582">
        <v>0</v>
      </c>
      <c r="K6582">
        <v>0</v>
      </c>
      <c r="L6582">
        <f t="shared" si="204"/>
        <v>4.9000000000000004</v>
      </c>
      <c r="M6582">
        <f t="shared" si="205"/>
        <v>1</v>
      </c>
    </row>
    <row r="6583" spans="1:13" x14ac:dyDescent="0.3">
      <c r="A6583">
        <v>6581</v>
      </c>
      <c r="B6583">
        <v>6582</v>
      </c>
      <c r="C6583" t="s">
        <v>6661</v>
      </c>
      <c r="D6583">
        <v>2006</v>
      </c>
      <c r="F6583" t="s">
        <v>2315</v>
      </c>
      <c r="G6583">
        <v>0</v>
      </c>
      <c r="H6583">
        <v>0</v>
      </c>
      <c r="I6583">
        <v>1</v>
      </c>
      <c r="J6583">
        <v>0</v>
      </c>
      <c r="K6583">
        <v>0</v>
      </c>
      <c r="L6583">
        <f t="shared" si="204"/>
        <v>4.9000000000000004</v>
      </c>
      <c r="M6583">
        <f t="shared" si="205"/>
        <v>1</v>
      </c>
    </row>
    <row r="6584" spans="1:13" x14ac:dyDescent="0.3">
      <c r="A6584">
        <v>6582</v>
      </c>
      <c r="B6584">
        <v>6583</v>
      </c>
      <c r="C6584" t="s">
        <v>6662</v>
      </c>
      <c r="D6584">
        <v>2015</v>
      </c>
      <c r="F6584" t="s">
        <v>2315</v>
      </c>
      <c r="G6584">
        <v>0</v>
      </c>
      <c r="H6584">
        <v>0</v>
      </c>
      <c r="I6584">
        <v>1</v>
      </c>
      <c r="J6584">
        <v>0</v>
      </c>
      <c r="K6584">
        <v>0</v>
      </c>
      <c r="L6584">
        <f t="shared" si="204"/>
        <v>4.9000000000000004</v>
      </c>
      <c r="M6584">
        <f t="shared" si="205"/>
        <v>1</v>
      </c>
    </row>
    <row r="6585" spans="1:13" x14ac:dyDescent="0.3">
      <c r="A6585">
        <v>6583</v>
      </c>
      <c r="B6585">
        <v>6584</v>
      </c>
      <c r="C6585" t="s">
        <v>6663</v>
      </c>
      <c r="D6585">
        <v>2016</v>
      </c>
      <c r="F6585" t="s">
        <v>2315</v>
      </c>
      <c r="G6585">
        <v>0</v>
      </c>
      <c r="H6585">
        <v>0</v>
      </c>
      <c r="I6585">
        <v>1</v>
      </c>
      <c r="J6585">
        <v>0</v>
      </c>
      <c r="K6585">
        <v>0</v>
      </c>
      <c r="L6585">
        <f t="shared" si="204"/>
        <v>4.9000000000000004</v>
      </c>
      <c r="M6585">
        <f t="shared" si="205"/>
        <v>1</v>
      </c>
    </row>
    <row r="6586" spans="1:13" x14ac:dyDescent="0.3">
      <c r="A6586">
        <v>6584</v>
      </c>
      <c r="B6586">
        <v>6585</v>
      </c>
      <c r="C6586" t="s">
        <v>6664</v>
      </c>
      <c r="D6586">
        <v>2010</v>
      </c>
      <c r="F6586" t="s">
        <v>2315</v>
      </c>
      <c r="G6586">
        <v>0</v>
      </c>
      <c r="H6586">
        <v>0</v>
      </c>
      <c r="I6586">
        <v>1</v>
      </c>
      <c r="J6586">
        <v>0</v>
      </c>
      <c r="K6586">
        <v>0</v>
      </c>
      <c r="L6586">
        <f t="shared" si="204"/>
        <v>4.9000000000000004</v>
      </c>
      <c r="M6586">
        <f t="shared" si="205"/>
        <v>1</v>
      </c>
    </row>
    <row r="6587" spans="1:13" x14ac:dyDescent="0.3">
      <c r="A6587">
        <v>6585</v>
      </c>
      <c r="B6587">
        <v>6586</v>
      </c>
      <c r="C6587" t="s">
        <v>6665</v>
      </c>
      <c r="D6587">
        <v>2012</v>
      </c>
      <c r="E6587" t="s">
        <v>11</v>
      </c>
      <c r="F6587" t="s">
        <v>2315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f t="shared" si="204"/>
        <v>4.9000000000000004</v>
      </c>
      <c r="M6587">
        <f t="shared" si="205"/>
        <v>1</v>
      </c>
    </row>
    <row r="6588" spans="1:13" x14ac:dyDescent="0.3">
      <c r="A6588">
        <v>6586</v>
      </c>
      <c r="B6588">
        <v>6587</v>
      </c>
      <c r="C6588" t="s">
        <v>6666</v>
      </c>
      <c r="D6588">
        <v>1993</v>
      </c>
      <c r="E6588" t="s">
        <v>14</v>
      </c>
      <c r="F6588" t="s">
        <v>2315</v>
      </c>
      <c r="G6588">
        <v>0</v>
      </c>
      <c r="H6588">
        <v>0</v>
      </c>
      <c r="I6588">
        <v>1</v>
      </c>
      <c r="J6588">
        <v>0</v>
      </c>
      <c r="K6588">
        <v>0</v>
      </c>
      <c r="L6588">
        <f t="shared" si="204"/>
        <v>4.9000000000000004</v>
      </c>
      <c r="M6588">
        <f t="shared" si="205"/>
        <v>1</v>
      </c>
    </row>
    <row r="6589" spans="1:13" x14ac:dyDescent="0.3">
      <c r="A6589">
        <v>6587</v>
      </c>
      <c r="B6589">
        <v>6588</v>
      </c>
      <c r="C6589" t="s">
        <v>6667</v>
      </c>
      <c r="D6589">
        <v>2008</v>
      </c>
      <c r="E6589" t="s">
        <v>14</v>
      </c>
      <c r="F6589" t="s">
        <v>2315</v>
      </c>
      <c r="G6589">
        <v>0</v>
      </c>
      <c r="H6589">
        <v>0</v>
      </c>
      <c r="I6589">
        <v>1</v>
      </c>
      <c r="J6589">
        <v>0</v>
      </c>
      <c r="K6589">
        <v>0</v>
      </c>
      <c r="L6589">
        <f t="shared" si="204"/>
        <v>4.9000000000000004</v>
      </c>
      <c r="M6589">
        <f t="shared" si="205"/>
        <v>1</v>
      </c>
    </row>
    <row r="6590" spans="1:13" x14ac:dyDescent="0.3">
      <c r="A6590">
        <v>6588</v>
      </c>
      <c r="B6590">
        <v>6589</v>
      </c>
      <c r="C6590" t="s">
        <v>6668</v>
      </c>
      <c r="D6590">
        <v>2005</v>
      </c>
      <c r="E6590" t="s">
        <v>11</v>
      </c>
      <c r="F6590" t="s">
        <v>2315</v>
      </c>
      <c r="G6590">
        <v>0</v>
      </c>
      <c r="H6590">
        <v>0</v>
      </c>
      <c r="I6590">
        <v>1</v>
      </c>
      <c r="J6590">
        <v>0</v>
      </c>
      <c r="K6590">
        <v>0</v>
      </c>
      <c r="L6590">
        <f t="shared" si="204"/>
        <v>4.9000000000000004</v>
      </c>
      <c r="M6590">
        <f t="shared" si="205"/>
        <v>1</v>
      </c>
    </row>
    <row r="6591" spans="1:13" x14ac:dyDescent="0.3">
      <c r="A6591">
        <v>6589</v>
      </c>
      <c r="B6591">
        <v>6590</v>
      </c>
      <c r="C6591" t="s">
        <v>6669</v>
      </c>
      <c r="D6591">
        <v>2009</v>
      </c>
      <c r="E6591" t="s">
        <v>11</v>
      </c>
      <c r="F6591" t="s">
        <v>2315</v>
      </c>
      <c r="G6591">
        <v>0</v>
      </c>
      <c r="H6591">
        <v>0</v>
      </c>
      <c r="I6591">
        <v>1</v>
      </c>
      <c r="J6591">
        <v>0</v>
      </c>
      <c r="K6591">
        <v>0</v>
      </c>
      <c r="L6591">
        <f t="shared" si="204"/>
        <v>4.9000000000000004</v>
      </c>
      <c r="M6591">
        <f t="shared" si="205"/>
        <v>1</v>
      </c>
    </row>
    <row r="6592" spans="1:13" x14ac:dyDescent="0.3">
      <c r="A6592">
        <v>6590</v>
      </c>
      <c r="B6592">
        <v>6591</v>
      </c>
      <c r="C6592" t="s">
        <v>6670</v>
      </c>
      <c r="D6592">
        <v>2008</v>
      </c>
      <c r="F6592" t="s">
        <v>2315</v>
      </c>
      <c r="G6592">
        <v>0</v>
      </c>
      <c r="H6592">
        <v>0</v>
      </c>
      <c r="I6592">
        <v>1</v>
      </c>
      <c r="J6592">
        <v>0</v>
      </c>
      <c r="K6592">
        <v>0</v>
      </c>
      <c r="L6592">
        <f t="shared" si="204"/>
        <v>4.9000000000000004</v>
      </c>
      <c r="M6592">
        <f t="shared" si="205"/>
        <v>1</v>
      </c>
    </row>
    <row r="6593" spans="1:13" x14ac:dyDescent="0.3">
      <c r="A6593">
        <v>6591</v>
      </c>
      <c r="B6593">
        <v>6592</v>
      </c>
      <c r="C6593" t="s">
        <v>6671</v>
      </c>
      <c r="D6593">
        <v>2020</v>
      </c>
      <c r="F6593" t="s">
        <v>2315</v>
      </c>
      <c r="G6593">
        <v>0</v>
      </c>
      <c r="H6593">
        <v>0</v>
      </c>
      <c r="I6593">
        <v>1</v>
      </c>
      <c r="J6593">
        <v>0</v>
      </c>
      <c r="K6593">
        <v>0</v>
      </c>
      <c r="L6593">
        <f t="shared" si="204"/>
        <v>4.9000000000000004</v>
      </c>
      <c r="M6593">
        <f t="shared" si="205"/>
        <v>1</v>
      </c>
    </row>
    <row r="6594" spans="1:13" x14ac:dyDescent="0.3">
      <c r="A6594">
        <v>6592</v>
      </c>
      <c r="B6594">
        <v>6593</v>
      </c>
      <c r="C6594" t="s">
        <v>6672</v>
      </c>
      <c r="D6594">
        <v>1998</v>
      </c>
      <c r="E6594" t="s">
        <v>14</v>
      </c>
      <c r="F6594" t="s">
        <v>2315</v>
      </c>
      <c r="G6594">
        <v>0</v>
      </c>
      <c r="H6594">
        <v>0</v>
      </c>
      <c r="I6594">
        <v>1</v>
      </c>
      <c r="J6594">
        <v>0</v>
      </c>
      <c r="K6594">
        <v>0</v>
      </c>
      <c r="L6594">
        <f t="shared" si="204"/>
        <v>4.9000000000000004</v>
      </c>
      <c r="M6594">
        <f t="shared" si="205"/>
        <v>1</v>
      </c>
    </row>
    <row r="6595" spans="1:13" x14ac:dyDescent="0.3">
      <c r="A6595">
        <v>6593</v>
      </c>
      <c r="B6595">
        <v>6594</v>
      </c>
      <c r="C6595" t="s">
        <v>6673</v>
      </c>
      <c r="D6595">
        <v>2015</v>
      </c>
      <c r="E6595" t="s">
        <v>28</v>
      </c>
      <c r="F6595" t="s">
        <v>2315</v>
      </c>
      <c r="G6595">
        <v>0</v>
      </c>
      <c r="H6595">
        <v>0</v>
      </c>
      <c r="I6595">
        <v>1</v>
      </c>
      <c r="J6595">
        <v>0</v>
      </c>
      <c r="K6595">
        <v>0</v>
      </c>
      <c r="L6595">
        <f t="shared" ref="L6595:L6658" si="206">IFERROR(VALUE(LEFT(F6595,FIND("/",F6595)-1))/10,"")</f>
        <v>4.9000000000000004</v>
      </c>
      <c r="M6595">
        <f t="shared" ref="M6595:M6658" si="207">SUM(G6595:J6595)</f>
        <v>1</v>
      </c>
    </row>
    <row r="6596" spans="1:13" x14ac:dyDescent="0.3">
      <c r="A6596">
        <v>6594</v>
      </c>
      <c r="B6596">
        <v>6595</v>
      </c>
      <c r="C6596" t="s">
        <v>6674</v>
      </c>
      <c r="D6596">
        <v>1990</v>
      </c>
      <c r="E6596" t="s">
        <v>11</v>
      </c>
      <c r="F6596" t="s">
        <v>2315</v>
      </c>
      <c r="G6596">
        <v>0</v>
      </c>
      <c r="H6596">
        <v>0</v>
      </c>
      <c r="I6596">
        <v>1</v>
      </c>
      <c r="J6596">
        <v>0</v>
      </c>
      <c r="K6596">
        <v>0</v>
      </c>
      <c r="L6596">
        <f t="shared" si="206"/>
        <v>4.9000000000000004</v>
      </c>
      <c r="M6596">
        <f t="shared" si="207"/>
        <v>1</v>
      </c>
    </row>
    <row r="6597" spans="1:13" x14ac:dyDescent="0.3">
      <c r="A6597">
        <v>6595</v>
      </c>
      <c r="B6597">
        <v>6596</v>
      </c>
      <c r="C6597" t="s">
        <v>6675</v>
      </c>
      <c r="D6597">
        <v>1940</v>
      </c>
      <c r="F6597" t="s">
        <v>2315</v>
      </c>
      <c r="G6597">
        <v>0</v>
      </c>
      <c r="H6597">
        <v>0</v>
      </c>
      <c r="I6597">
        <v>1</v>
      </c>
      <c r="J6597">
        <v>0</v>
      </c>
      <c r="K6597">
        <v>0</v>
      </c>
      <c r="L6597">
        <f t="shared" si="206"/>
        <v>4.9000000000000004</v>
      </c>
      <c r="M6597">
        <f t="shared" si="207"/>
        <v>1</v>
      </c>
    </row>
    <row r="6598" spans="1:13" x14ac:dyDescent="0.3">
      <c r="A6598">
        <v>6596</v>
      </c>
      <c r="B6598">
        <v>6597</v>
      </c>
      <c r="C6598" t="s">
        <v>6676</v>
      </c>
      <c r="D6598">
        <v>2012</v>
      </c>
      <c r="E6598" t="s">
        <v>22</v>
      </c>
      <c r="F6598" t="s">
        <v>2315</v>
      </c>
      <c r="G6598">
        <v>0</v>
      </c>
      <c r="H6598">
        <v>0</v>
      </c>
      <c r="I6598">
        <v>1</v>
      </c>
      <c r="J6598">
        <v>0</v>
      </c>
      <c r="K6598">
        <v>0</v>
      </c>
      <c r="L6598">
        <f t="shared" si="206"/>
        <v>4.9000000000000004</v>
      </c>
      <c r="M6598">
        <f t="shared" si="207"/>
        <v>1</v>
      </c>
    </row>
    <row r="6599" spans="1:13" x14ac:dyDescent="0.3">
      <c r="A6599">
        <v>6597</v>
      </c>
      <c r="B6599">
        <v>6598</v>
      </c>
      <c r="C6599" t="s">
        <v>6677</v>
      </c>
      <c r="D6599">
        <v>2000</v>
      </c>
      <c r="F6599" t="s">
        <v>2315</v>
      </c>
      <c r="G6599">
        <v>0</v>
      </c>
      <c r="H6599">
        <v>0</v>
      </c>
      <c r="I6599">
        <v>1</v>
      </c>
      <c r="J6599">
        <v>0</v>
      </c>
      <c r="K6599">
        <v>0</v>
      </c>
      <c r="L6599">
        <f t="shared" si="206"/>
        <v>4.9000000000000004</v>
      </c>
      <c r="M6599">
        <f t="shared" si="207"/>
        <v>1</v>
      </c>
    </row>
    <row r="6600" spans="1:13" x14ac:dyDescent="0.3">
      <c r="A6600">
        <v>6598</v>
      </c>
      <c r="B6600">
        <v>6599</v>
      </c>
      <c r="C6600" t="s">
        <v>6678</v>
      </c>
      <c r="D6600">
        <v>2015</v>
      </c>
      <c r="F6600" t="s">
        <v>2315</v>
      </c>
      <c r="G6600">
        <v>0</v>
      </c>
      <c r="H6600">
        <v>0</v>
      </c>
      <c r="I6600">
        <v>1</v>
      </c>
      <c r="J6600">
        <v>0</v>
      </c>
      <c r="K6600">
        <v>0</v>
      </c>
      <c r="L6600">
        <f t="shared" si="206"/>
        <v>4.9000000000000004</v>
      </c>
      <c r="M6600">
        <f t="shared" si="207"/>
        <v>1</v>
      </c>
    </row>
    <row r="6601" spans="1:13" x14ac:dyDescent="0.3">
      <c r="A6601">
        <v>6599</v>
      </c>
      <c r="B6601">
        <v>6600</v>
      </c>
      <c r="C6601" t="s">
        <v>6679</v>
      </c>
      <c r="D6601">
        <v>2012</v>
      </c>
      <c r="F6601" t="s">
        <v>2315</v>
      </c>
      <c r="G6601">
        <v>0</v>
      </c>
      <c r="H6601">
        <v>0</v>
      </c>
      <c r="I6601">
        <v>1</v>
      </c>
      <c r="J6601">
        <v>0</v>
      </c>
      <c r="K6601">
        <v>0</v>
      </c>
      <c r="L6601">
        <f t="shared" si="206"/>
        <v>4.9000000000000004</v>
      </c>
      <c r="M6601">
        <f t="shared" si="207"/>
        <v>1</v>
      </c>
    </row>
    <row r="6602" spans="1:13" x14ac:dyDescent="0.3">
      <c r="A6602">
        <v>6600</v>
      </c>
      <c r="B6602">
        <v>6601</v>
      </c>
      <c r="C6602" t="s">
        <v>6680</v>
      </c>
      <c r="D6602">
        <v>2017</v>
      </c>
      <c r="F6602" t="s">
        <v>2315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f t="shared" si="206"/>
        <v>4.9000000000000004</v>
      </c>
      <c r="M6602">
        <f t="shared" si="207"/>
        <v>1</v>
      </c>
    </row>
    <row r="6603" spans="1:13" x14ac:dyDescent="0.3">
      <c r="A6603">
        <v>6601</v>
      </c>
      <c r="B6603">
        <v>6602</v>
      </c>
      <c r="C6603" t="s">
        <v>6681</v>
      </c>
      <c r="D6603">
        <v>2006</v>
      </c>
      <c r="E6603" t="s">
        <v>11</v>
      </c>
      <c r="F6603" t="s">
        <v>2315</v>
      </c>
      <c r="G6603">
        <v>0</v>
      </c>
      <c r="H6603">
        <v>0</v>
      </c>
      <c r="I6603">
        <v>1</v>
      </c>
      <c r="J6603">
        <v>0</v>
      </c>
      <c r="K6603">
        <v>0</v>
      </c>
      <c r="L6603">
        <f t="shared" si="206"/>
        <v>4.9000000000000004</v>
      </c>
      <c r="M6603">
        <f t="shared" si="207"/>
        <v>1</v>
      </c>
    </row>
    <row r="6604" spans="1:13" x14ac:dyDescent="0.3">
      <c r="A6604">
        <v>6602</v>
      </c>
      <c r="B6604">
        <v>6603</v>
      </c>
      <c r="C6604" t="s">
        <v>6682</v>
      </c>
      <c r="D6604">
        <v>2016</v>
      </c>
      <c r="F6604" t="s">
        <v>2315</v>
      </c>
      <c r="G6604">
        <v>0</v>
      </c>
      <c r="H6604">
        <v>0</v>
      </c>
      <c r="I6604">
        <v>1</v>
      </c>
      <c r="J6604">
        <v>0</v>
      </c>
      <c r="K6604">
        <v>0</v>
      </c>
      <c r="L6604">
        <f t="shared" si="206"/>
        <v>4.9000000000000004</v>
      </c>
      <c r="M6604">
        <f t="shared" si="207"/>
        <v>1</v>
      </c>
    </row>
    <row r="6605" spans="1:13" x14ac:dyDescent="0.3">
      <c r="A6605">
        <v>6603</v>
      </c>
      <c r="B6605">
        <v>6604</v>
      </c>
      <c r="C6605" t="s">
        <v>6683</v>
      </c>
      <c r="D6605">
        <v>2019</v>
      </c>
      <c r="F6605" t="s">
        <v>2315</v>
      </c>
      <c r="G6605">
        <v>0</v>
      </c>
      <c r="H6605">
        <v>0</v>
      </c>
      <c r="I6605">
        <v>1</v>
      </c>
      <c r="J6605">
        <v>0</v>
      </c>
      <c r="K6605">
        <v>0</v>
      </c>
      <c r="L6605">
        <f t="shared" si="206"/>
        <v>4.9000000000000004</v>
      </c>
      <c r="M6605">
        <f t="shared" si="207"/>
        <v>1</v>
      </c>
    </row>
    <row r="6606" spans="1:13" x14ac:dyDescent="0.3">
      <c r="A6606">
        <v>6604</v>
      </c>
      <c r="B6606">
        <v>6605</v>
      </c>
      <c r="C6606" t="s">
        <v>6684</v>
      </c>
      <c r="D6606">
        <v>2016</v>
      </c>
      <c r="E6606" t="s">
        <v>11</v>
      </c>
      <c r="F6606" t="s">
        <v>2315</v>
      </c>
      <c r="G6606">
        <v>0</v>
      </c>
      <c r="H6606">
        <v>0</v>
      </c>
      <c r="I6606">
        <v>1</v>
      </c>
      <c r="J6606">
        <v>0</v>
      </c>
      <c r="K6606">
        <v>0</v>
      </c>
      <c r="L6606">
        <f t="shared" si="206"/>
        <v>4.9000000000000004</v>
      </c>
      <c r="M6606">
        <f t="shared" si="207"/>
        <v>1</v>
      </c>
    </row>
    <row r="6607" spans="1:13" x14ac:dyDescent="0.3">
      <c r="A6607">
        <v>6605</v>
      </c>
      <c r="B6607">
        <v>6606</v>
      </c>
      <c r="C6607" t="s">
        <v>6685</v>
      </c>
      <c r="D6607">
        <v>2005</v>
      </c>
      <c r="E6607" t="s">
        <v>36</v>
      </c>
      <c r="F6607" t="s">
        <v>2315</v>
      </c>
      <c r="G6607">
        <v>0</v>
      </c>
      <c r="H6607">
        <v>0</v>
      </c>
      <c r="I6607">
        <v>1</v>
      </c>
      <c r="J6607">
        <v>0</v>
      </c>
      <c r="K6607">
        <v>0</v>
      </c>
      <c r="L6607">
        <f t="shared" si="206"/>
        <v>4.9000000000000004</v>
      </c>
      <c r="M6607">
        <f t="shared" si="207"/>
        <v>1</v>
      </c>
    </row>
    <row r="6608" spans="1:13" x14ac:dyDescent="0.3">
      <c r="A6608">
        <v>6606</v>
      </c>
      <c r="B6608">
        <v>6607</v>
      </c>
      <c r="C6608" t="s">
        <v>6686</v>
      </c>
      <c r="D6608">
        <v>1948</v>
      </c>
      <c r="F6608" t="s">
        <v>2315</v>
      </c>
      <c r="G6608">
        <v>0</v>
      </c>
      <c r="H6608">
        <v>0</v>
      </c>
      <c r="I6608">
        <v>1</v>
      </c>
      <c r="J6608">
        <v>0</v>
      </c>
      <c r="K6608">
        <v>0</v>
      </c>
      <c r="L6608">
        <f t="shared" si="206"/>
        <v>4.9000000000000004</v>
      </c>
      <c r="M6608">
        <f t="shared" si="207"/>
        <v>1</v>
      </c>
    </row>
    <row r="6609" spans="1:13" x14ac:dyDescent="0.3">
      <c r="A6609">
        <v>6607</v>
      </c>
      <c r="B6609">
        <v>6608</v>
      </c>
      <c r="C6609" t="s">
        <v>6687</v>
      </c>
      <c r="D6609">
        <v>2002</v>
      </c>
      <c r="F6609" t="s">
        <v>2315</v>
      </c>
      <c r="G6609">
        <v>0</v>
      </c>
      <c r="H6609">
        <v>0</v>
      </c>
      <c r="I6609">
        <v>1</v>
      </c>
      <c r="J6609">
        <v>0</v>
      </c>
      <c r="K6609">
        <v>0</v>
      </c>
      <c r="L6609">
        <f t="shared" si="206"/>
        <v>4.9000000000000004</v>
      </c>
      <c r="M6609">
        <f t="shared" si="207"/>
        <v>1</v>
      </c>
    </row>
    <row r="6610" spans="1:13" x14ac:dyDescent="0.3">
      <c r="A6610">
        <v>6608</v>
      </c>
      <c r="B6610">
        <v>6609</v>
      </c>
      <c r="C6610" t="s">
        <v>6688</v>
      </c>
      <c r="D6610">
        <v>2012</v>
      </c>
      <c r="F6610" t="s">
        <v>2315</v>
      </c>
      <c r="G6610">
        <v>0</v>
      </c>
      <c r="H6610">
        <v>0</v>
      </c>
      <c r="I6610">
        <v>1</v>
      </c>
      <c r="J6610">
        <v>0</v>
      </c>
      <c r="K6610">
        <v>0</v>
      </c>
      <c r="L6610">
        <f t="shared" si="206"/>
        <v>4.9000000000000004</v>
      </c>
      <c r="M6610">
        <f t="shared" si="207"/>
        <v>1</v>
      </c>
    </row>
    <row r="6611" spans="1:13" x14ac:dyDescent="0.3">
      <c r="A6611">
        <v>6609</v>
      </c>
      <c r="B6611">
        <v>6610</v>
      </c>
      <c r="C6611" t="s">
        <v>6689</v>
      </c>
      <c r="D6611">
        <v>2014</v>
      </c>
      <c r="E6611" t="s">
        <v>11</v>
      </c>
      <c r="F6611" t="s">
        <v>2315</v>
      </c>
      <c r="G6611">
        <v>0</v>
      </c>
      <c r="H6611">
        <v>0</v>
      </c>
      <c r="I6611">
        <v>1</v>
      </c>
      <c r="J6611">
        <v>0</v>
      </c>
      <c r="K6611">
        <v>0</v>
      </c>
      <c r="L6611">
        <f t="shared" si="206"/>
        <v>4.9000000000000004</v>
      </c>
      <c r="M6611">
        <f t="shared" si="207"/>
        <v>1</v>
      </c>
    </row>
    <row r="6612" spans="1:13" x14ac:dyDescent="0.3">
      <c r="A6612">
        <v>6610</v>
      </c>
      <c r="B6612">
        <v>6611</v>
      </c>
      <c r="C6612" t="s">
        <v>6690</v>
      </c>
      <c r="D6612">
        <v>1982</v>
      </c>
      <c r="E6612" t="s">
        <v>14</v>
      </c>
      <c r="F6612" t="s">
        <v>2315</v>
      </c>
      <c r="G6612">
        <v>0</v>
      </c>
      <c r="H6612">
        <v>0</v>
      </c>
      <c r="I6612">
        <v>1</v>
      </c>
      <c r="J6612">
        <v>0</v>
      </c>
      <c r="K6612">
        <v>0</v>
      </c>
      <c r="L6612">
        <f t="shared" si="206"/>
        <v>4.9000000000000004</v>
      </c>
      <c r="M6612">
        <f t="shared" si="207"/>
        <v>1</v>
      </c>
    </row>
    <row r="6613" spans="1:13" x14ac:dyDescent="0.3">
      <c r="A6613">
        <v>6611</v>
      </c>
      <c r="B6613">
        <v>6612</v>
      </c>
      <c r="C6613" t="s">
        <v>6691</v>
      </c>
      <c r="D6613">
        <v>2011</v>
      </c>
      <c r="F6613" t="s">
        <v>2426</v>
      </c>
      <c r="G6613">
        <v>0</v>
      </c>
      <c r="H6613">
        <v>0</v>
      </c>
      <c r="I6613">
        <v>1</v>
      </c>
      <c r="J6613">
        <v>0</v>
      </c>
      <c r="K6613">
        <v>0</v>
      </c>
      <c r="L6613">
        <f t="shared" si="206"/>
        <v>4.8</v>
      </c>
      <c r="M6613">
        <f t="shared" si="207"/>
        <v>1</v>
      </c>
    </row>
    <row r="6614" spans="1:13" x14ac:dyDescent="0.3">
      <c r="A6614">
        <v>6612</v>
      </c>
      <c r="B6614">
        <v>6613</v>
      </c>
      <c r="C6614" t="s">
        <v>6692</v>
      </c>
      <c r="D6614">
        <v>2020</v>
      </c>
      <c r="E6614" t="s">
        <v>28</v>
      </c>
      <c r="F6614" t="s">
        <v>2426</v>
      </c>
      <c r="G6614">
        <v>0</v>
      </c>
      <c r="H6614">
        <v>0</v>
      </c>
      <c r="I6614">
        <v>1</v>
      </c>
      <c r="J6614">
        <v>0</v>
      </c>
      <c r="K6614">
        <v>0</v>
      </c>
      <c r="L6614">
        <f t="shared" si="206"/>
        <v>4.8</v>
      </c>
      <c r="M6614">
        <f t="shared" si="207"/>
        <v>1</v>
      </c>
    </row>
    <row r="6615" spans="1:13" x14ac:dyDescent="0.3">
      <c r="A6615">
        <v>6613</v>
      </c>
      <c r="B6615">
        <v>6614</v>
      </c>
      <c r="C6615" t="s">
        <v>6693</v>
      </c>
      <c r="D6615">
        <v>1999</v>
      </c>
      <c r="F6615" t="s">
        <v>2426</v>
      </c>
      <c r="G6615">
        <v>0</v>
      </c>
      <c r="H6615">
        <v>0</v>
      </c>
      <c r="I6615">
        <v>1</v>
      </c>
      <c r="J6615">
        <v>0</v>
      </c>
      <c r="K6615">
        <v>0</v>
      </c>
      <c r="L6615">
        <f t="shared" si="206"/>
        <v>4.8</v>
      </c>
      <c r="M6615">
        <f t="shared" si="207"/>
        <v>1</v>
      </c>
    </row>
    <row r="6616" spans="1:13" x14ac:dyDescent="0.3">
      <c r="A6616">
        <v>6614</v>
      </c>
      <c r="B6616">
        <v>6615</v>
      </c>
      <c r="C6616" t="s">
        <v>6694</v>
      </c>
      <c r="D6616">
        <v>1941</v>
      </c>
      <c r="F6616" t="s">
        <v>2426</v>
      </c>
      <c r="G6616">
        <v>0</v>
      </c>
      <c r="H6616">
        <v>0</v>
      </c>
      <c r="I6616">
        <v>1</v>
      </c>
      <c r="J6616">
        <v>0</v>
      </c>
      <c r="K6616">
        <v>0</v>
      </c>
      <c r="L6616">
        <f t="shared" si="206"/>
        <v>4.8</v>
      </c>
      <c r="M6616">
        <f t="shared" si="207"/>
        <v>1</v>
      </c>
    </row>
    <row r="6617" spans="1:13" x14ac:dyDescent="0.3">
      <c r="A6617">
        <v>6615</v>
      </c>
      <c r="B6617">
        <v>6616</v>
      </c>
      <c r="C6617" t="s">
        <v>6695</v>
      </c>
      <c r="D6617">
        <v>1969</v>
      </c>
      <c r="E6617" t="s">
        <v>36</v>
      </c>
      <c r="F6617" t="s">
        <v>2426</v>
      </c>
      <c r="G6617">
        <v>0</v>
      </c>
      <c r="H6617">
        <v>0</v>
      </c>
      <c r="I6617">
        <v>1</v>
      </c>
      <c r="J6617">
        <v>0</v>
      </c>
      <c r="K6617">
        <v>0</v>
      </c>
      <c r="L6617">
        <f t="shared" si="206"/>
        <v>4.8</v>
      </c>
      <c r="M6617">
        <f t="shared" si="207"/>
        <v>1</v>
      </c>
    </row>
    <row r="6618" spans="1:13" x14ac:dyDescent="0.3">
      <c r="A6618">
        <v>6616</v>
      </c>
      <c r="B6618">
        <v>6617</v>
      </c>
      <c r="C6618" t="s">
        <v>6696</v>
      </c>
      <c r="D6618">
        <v>1963</v>
      </c>
      <c r="F6618" t="s">
        <v>2426</v>
      </c>
      <c r="G6618">
        <v>0</v>
      </c>
      <c r="H6618">
        <v>0</v>
      </c>
      <c r="I6618">
        <v>1</v>
      </c>
      <c r="J6618">
        <v>0</v>
      </c>
      <c r="K6618">
        <v>0</v>
      </c>
      <c r="L6618">
        <f t="shared" si="206"/>
        <v>4.8</v>
      </c>
      <c r="M6618">
        <f t="shared" si="207"/>
        <v>1</v>
      </c>
    </row>
    <row r="6619" spans="1:13" x14ac:dyDescent="0.3">
      <c r="A6619">
        <v>6617</v>
      </c>
      <c r="B6619">
        <v>6618</v>
      </c>
      <c r="C6619" t="s">
        <v>6697</v>
      </c>
      <c r="D6619">
        <v>2009</v>
      </c>
      <c r="E6619" t="s">
        <v>11</v>
      </c>
      <c r="F6619" t="s">
        <v>2426</v>
      </c>
      <c r="G6619">
        <v>0</v>
      </c>
      <c r="H6619">
        <v>0</v>
      </c>
      <c r="I6619">
        <v>1</v>
      </c>
      <c r="J6619">
        <v>0</v>
      </c>
      <c r="K6619">
        <v>0</v>
      </c>
      <c r="L6619">
        <f t="shared" si="206"/>
        <v>4.8</v>
      </c>
      <c r="M6619">
        <f t="shared" si="207"/>
        <v>1</v>
      </c>
    </row>
    <row r="6620" spans="1:13" x14ac:dyDescent="0.3">
      <c r="A6620">
        <v>6618</v>
      </c>
      <c r="B6620">
        <v>6619</v>
      </c>
      <c r="C6620" t="s">
        <v>6698</v>
      </c>
      <c r="D6620">
        <v>2013</v>
      </c>
      <c r="E6620" t="s">
        <v>11</v>
      </c>
      <c r="F6620" t="s">
        <v>2426</v>
      </c>
      <c r="G6620">
        <v>0</v>
      </c>
      <c r="H6620">
        <v>0</v>
      </c>
      <c r="I6620">
        <v>1</v>
      </c>
      <c r="J6620">
        <v>0</v>
      </c>
      <c r="K6620">
        <v>0</v>
      </c>
      <c r="L6620">
        <f t="shared" si="206"/>
        <v>4.8</v>
      </c>
      <c r="M6620">
        <f t="shared" si="207"/>
        <v>1</v>
      </c>
    </row>
    <row r="6621" spans="1:13" x14ac:dyDescent="0.3">
      <c r="A6621">
        <v>6619</v>
      </c>
      <c r="B6621">
        <v>6620</v>
      </c>
      <c r="C6621" t="s">
        <v>6699</v>
      </c>
      <c r="D6621">
        <v>2016</v>
      </c>
      <c r="E6621" t="s">
        <v>14</v>
      </c>
      <c r="F6621" t="s">
        <v>2426</v>
      </c>
      <c r="G6621">
        <v>0</v>
      </c>
      <c r="H6621">
        <v>0</v>
      </c>
      <c r="I6621">
        <v>1</v>
      </c>
      <c r="J6621">
        <v>0</v>
      </c>
      <c r="K6621">
        <v>0</v>
      </c>
      <c r="L6621">
        <f t="shared" si="206"/>
        <v>4.8</v>
      </c>
      <c r="M6621">
        <f t="shared" si="207"/>
        <v>1</v>
      </c>
    </row>
    <row r="6622" spans="1:13" x14ac:dyDescent="0.3">
      <c r="A6622">
        <v>6620</v>
      </c>
      <c r="B6622">
        <v>6621</v>
      </c>
      <c r="C6622" t="s">
        <v>6700</v>
      </c>
      <c r="D6622">
        <v>1984</v>
      </c>
      <c r="E6622" t="s">
        <v>11</v>
      </c>
      <c r="F6622" t="s">
        <v>2426</v>
      </c>
      <c r="G6622">
        <v>0</v>
      </c>
      <c r="H6622">
        <v>0</v>
      </c>
      <c r="I6622">
        <v>1</v>
      </c>
      <c r="J6622">
        <v>0</v>
      </c>
      <c r="K6622">
        <v>0</v>
      </c>
      <c r="L6622">
        <f t="shared" si="206"/>
        <v>4.8</v>
      </c>
      <c r="M6622">
        <f t="shared" si="207"/>
        <v>1</v>
      </c>
    </row>
    <row r="6623" spans="1:13" x14ac:dyDescent="0.3">
      <c r="A6623">
        <v>6621</v>
      </c>
      <c r="B6623">
        <v>6622</v>
      </c>
      <c r="C6623" t="s">
        <v>6701</v>
      </c>
      <c r="D6623">
        <v>2008</v>
      </c>
      <c r="E6623" t="s">
        <v>11</v>
      </c>
      <c r="F6623" t="s">
        <v>2426</v>
      </c>
      <c r="G6623">
        <v>0</v>
      </c>
      <c r="H6623">
        <v>0</v>
      </c>
      <c r="I6623">
        <v>1</v>
      </c>
      <c r="J6623">
        <v>0</v>
      </c>
      <c r="K6623">
        <v>0</v>
      </c>
      <c r="L6623">
        <f t="shared" si="206"/>
        <v>4.8</v>
      </c>
      <c r="M6623">
        <f t="shared" si="207"/>
        <v>1</v>
      </c>
    </row>
    <row r="6624" spans="1:13" x14ac:dyDescent="0.3">
      <c r="A6624">
        <v>6622</v>
      </c>
      <c r="B6624">
        <v>6623</v>
      </c>
      <c r="C6624" t="s">
        <v>6702</v>
      </c>
      <c r="D6624">
        <v>2013</v>
      </c>
      <c r="E6624" t="s">
        <v>11</v>
      </c>
      <c r="F6624" t="s">
        <v>2426</v>
      </c>
      <c r="G6624">
        <v>0</v>
      </c>
      <c r="H6624">
        <v>0</v>
      </c>
      <c r="I6624">
        <v>1</v>
      </c>
      <c r="J6624">
        <v>0</v>
      </c>
      <c r="K6624">
        <v>0</v>
      </c>
      <c r="L6624">
        <f t="shared" si="206"/>
        <v>4.8</v>
      </c>
      <c r="M6624">
        <f t="shared" si="207"/>
        <v>1</v>
      </c>
    </row>
    <row r="6625" spans="1:13" x14ac:dyDescent="0.3">
      <c r="A6625">
        <v>6623</v>
      </c>
      <c r="B6625">
        <v>6624</v>
      </c>
      <c r="C6625" t="s">
        <v>6703</v>
      </c>
      <c r="D6625">
        <v>1987</v>
      </c>
      <c r="E6625" t="s">
        <v>11</v>
      </c>
      <c r="F6625" t="s">
        <v>2426</v>
      </c>
      <c r="G6625">
        <v>0</v>
      </c>
      <c r="H6625">
        <v>0</v>
      </c>
      <c r="I6625">
        <v>1</v>
      </c>
      <c r="J6625">
        <v>0</v>
      </c>
      <c r="K6625">
        <v>0</v>
      </c>
      <c r="L6625">
        <f t="shared" si="206"/>
        <v>4.8</v>
      </c>
      <c r="M6625">
        <f t="shared" si="207"/>
        <v>1</v>
      </c>
    </row>
    <row r="6626" spans="1:13" x14ac:dyDescent="0.3">
      <c r="A6626">
        <v>6624</v>
      </c>
      <c r="B6626">
        <v>6625</v>
      </c>
      <c r="C6626" t="s">
        <v>6704</v>
      </c>
      <c r="D6626">
        <v>2019</v>
      </c>
      <c r="E6626" t="s">
        <v>11</v>
      </c>
      <c r="F6626" t="s">
        <v>2426</v>
      </c>
      <c r="G6626">
        <v>0</v>
      </c>
      <c r="H6626">
        <v>0</v>
      </c>
      <c r="I6626">
        <v>1</v>
      </c>
      <c r="J6626">
        <v>0</v>
      </c>
      <c r="K6626">
        <v>0</v>
      </c>
      <c r="L6626">
        <f t="shared" si="206"/>
        <v>4.8</v>
      </c>
      <c r="M6626">
        <f t="shared" si="207"/>
        <v>1</v>
      </c>
    </row>
    <row r="6627" spans="1:13" x14ac:dyDescent="0.3">
      <c r="A6627">
        <v>6625</v>
      </c>
      <c r="B6627">
        <v>6626</v>
      </c>
      <c r="C6627" t="s">
        <v>6705</v>
      </c>
      <c r="D6627">
        <v>2014</v>
      </c>
      <c r="E6627" t="s">
        <v>11</v>
      </c>
      <c r="F6627" t="s">
        <v>2426</v>
      </c>
      <c r="G6627">
        <v>0</v>
      </c>
      <c r="H6627">
        <v>0</v>
      </c>
      <c r="I6627">
        <v>1</v>
      </c>
      <c r="J6627">
        <v>0</v>
      </c>
      <c r="K6627">
        <v>0</v>
      </c>
      <c r="L6627">
        <f t="shared" si="206"/>
        <v>4.8</v>
      </c>
      <c r="M6627">
        <f t="shared" si="207"/>
        <v>1</v>
      </c>
    </row>
    <row r="6628" spans="1:13" x14ac:dyDescent="0.3">
      <c r="A6628">
        <v>6626</v>
      </c>
      <c r="B6628">
        <v>6627</v>
      </c>
      <c r="C6628" t="s">
        <v>6706</v>
      </c>
      <c r="D6628">
        <v>2016</v>
      </c>
      <c r="E6628" t="s">
        <v>11</v>
      </c>
      <c r="F6628" t="s">
        <v>2426</v>
      </c>
      <c r="G6628">
        <v>0</v>
      </c>
      <c r="H6628">
        <v>0</v>
      </c>
      <c r="I6628">
        <v>1</v>
      </c>
      <c r="J6628">
        <v>0</v>
      </c>
      <c r="K6628">
        <v>0</v>
      </c>
      <c r="L6628">
        <f t="shared" si="206"/>
        <v>4.8</v>
      </c>
      <c r="M6628">
        <f t="shared" si="207"/>
        <v>1</v>
      </c>
    </row>
    <row r="6629" spans="1:13" x14ac:dyDescent="0.3">
      <c r="A6629">
        <v>6627</v>
      </c>
      <c r="B6629">
        <v>6628</v>
      </c>
      <c r="C6629" t="s">
        <v>6707</v>
      </c>
      <c r="D6629">
        <v>2013</v>
      </c>
      <c r="E6629" t="s">
        <v>14</v>
      </c>
      <c r="F6629" t="s">
        <v>2426</v>
      </c>
      <c r="G6629">
        <v>0</v>
      </c>
      <c r="H6629">
        <v>0</v>
      </c>
      <c r="I6629">
        <v>1</v>
      </c>
      <c r="J6629">
        <v>0</v>
      </c>
      <c r="K6629">
        <v>0</v>
      </c>
      <c r="L6629">
        <f t="shared" si="206"/>
        <v>4.8</v>
      </c>
      <c r="M6629">
        <f t="shared" si="207"/>
        <v>1</v>
      </c>
    </row>
    <row r="6630" spans="1:13" x14ac:dyDescent="0.3">
      <c r="A6630">
        <v>6628</v>
      </c>
      <c r="B6630">
        <v>6629</v>
      </c>
      <c r="C6630" t="s">
        <v>6708</v>
      </c>
      <c r="D6630">
        <v>2009</v>
      </c>
      <c r="E6630" t="s">
        <v>11</v>
      </c>
      <c r="F6630" t="s">
        <v>2426</v>
      </c>
      <c r="G6630">
        <v>0</v>
      </c>
      <c r="H6630">
        <v>0</v>
      </c>
      <c r="I6630">
        <v>1</v>
      </c>
      <c r="J6630">
        <v>0</v>
      </c>
      <c r="K6630">
        <v>0</v>
      </c>
      <c r="L6630">
        <f t="shared" si="206"/>
        <v>4.8</v>
      </c>
      <c r="M6630">
        <f t="shared" si="207"/>
        <v>1</v>
      </c>
    </row>
    <row r="6631" spans="1:13" x14ac:dyDescent="0.3">
      <c r="A6631">
        <v>6629</v>
      </c>
      <c r="B6631">
        <v>6630</v>
      </c>
      <c r="C6631" t="s">
        <v>6709</v>
      </c>
      <c r="D6631">
        <v>2012</v>
      </c>
      <c r="E6631" t="s">
        <v>11</v>
      </c>
      <c r="F6631" t="s">
        <v>2426</v>
      </c>
      <c r="G6631">
        <v>0</v>
      </c>
      <c r="H6631">
        <v>0</v>
      </c>
      <c r="I6631">
        <v>1</v>
      </c>
      <c r="J6631">
        <v>0</v>
      </c>
      <c r="K6631">
        <v>0</v>
      </c>
      <c r="L6631">
        <f t="shared" si="206"/>
        <v>4.8</v>
      </c>
      <c r="M6631">
        <f t="shared" si="207"/>
        <v>1</v>
      </c>
    </row>
    <row r="6632" spans="1:13" x14ac:dyDescent="0.3">
      <c r="A6632">
        <v>6630</v>
      </c>
      <c r="B6632">
        <v>6631</v>
      </c>
      <c r="C6632" t="s">
        <v>6710</v>
      </c>
      <c r="D6632">
        <v>2008</v>
      </c>
      <c r="E6632" t="s">
        <v>14</v>
      </c>
      <c r="F6632" t="s">
        <v>2426</v>
      </c>
      <c r="G6632">
        <v>0</v>
      </c>
      <c r="H6632">
        <v>0</v>
      </c>
      <c r="I6632">
        <v>1</v>
      </c>
      <c r="J6632">
        <v>0</v>
      </c>
      <c r="K6632">
        <v>0</v>
      </c>
      <c r="L6632">
        <f t="shared" si="206"/>
        <v>4.8</v>
      </c>
      <c r="M6632">
        <f t="shared" si="207"/>
        <v>1</v>
      </c>
    </row>
    <row r="6633" spans="1:13" x14ac:dyDescent="0.3">
      <c r="A6633">
        <v>6631</v>
      </c>
      <c r="B6633">
        <v>6632</v>
      </c>
      <c r="C6633" t="s">
        <v>6711</v>
      </c>
      <c r="D6633">
        <v>2016</v>
      </c>
      <c r="F6633" t="s">
        <v>2426</v>
      </c>
      <c r="G6633">
        <v>0</v>
      </c>
      <c r="H6633">
        <v>0</v>
      </c>
      <c r="I6633">
        <v>1</v>
      </c>
      <c r="J6633">
        <v>0</v>
      </c>
      <c r="K6633">
        <v>0</v>
      </c>
      <c r="L6633">
        <f t="shared" si="206"/>
        <v>4.8</v>
      </c>
      <c r="M6633">
        <f t="shared" si="207"/>
        <v>1</v>
      </c>
    </row>
    <row r="6634" spans="1:13" x14ac:dyDescent="0.3">
      <c r="A6634">
        <v>6632</v>
      </c>
      <c r="B6634">
        <v>6633</v>
      </c>
      <c r="C6634" t="s">
        <v>6712</v>
      </c>
      <c r="D6634">
        <v>2019</v>
      </c>
      <c r="E6634" t="s">
        <v>11</v>
      </c>
      <c r="F6634" t="s">
        <v>2426</v>
      </c>
      <c r="G6634">
        <v>0</v>
      </c>
      <c r="H6634">
        <v>0</v>
      </c>
      <c r="I6634">
        <v>1</v>
      </c>
      <c r="J6634">
        <v>0</v>
      </c>
      <c r="K6634">
        <v>0</v>
      </c>
      <c r="L6634">
        <f t="shared" si="206"/>
        <v>4.8</v>
      </c>
      <c r="M6634">
        <f t="shared" si="207"/>
        <v>1</v>
      </c>
    </row>
    <row r="6635" spans="1:13" x14ac:dyDescent="0.3">
      <c r="A6635">
        <v>6633</v>
      </c>
      <c r="B6635">
        <v>6634</v>
      </c>
      <c r="C6635" t="s">
        <v>6713</v>
      </c>
      <c r="D6635">
        <v>2019</v>
      </c>
      <c r="E6635" t="s">
        <v>28</v>
      </c>
      <c r="F6635" t="s">
        <v>2426</v>
      </c>
      <c r="G6635">
        <v>0</v>
      </c>
      <c r="H6635">
        <v>0</v>
      </c>
      <c r="I6635">
        <v>1</v>
      </c>
      <c r="J6635">
        <v>0</v>
      </c>
      <c r="K6635">
        <v>0</v>
      </c>
      <c r="L6635">
        <f t="shared" si="206"/>
        <v>4.8</v>
      </c>
      <c r="M6635">
        <f t="shared" si="207"/>
        <v>1</v>
      </c>
    </row>
    <row r="6636" spans="1:13" x14ac:dyDescent="0.3">
      <c r="A6636">
        <v>6634</v>
      </c>
      <c r="B6636">
        <v>6635</v>
      </c>
      <c r="C6636" t="s">
        <v>6714</v>
      </c>
      <c r="D6636">
        <v>2020</v>
      </c>
      <c r="F6636" t="s">
        <v>2426</v>
      </c>
      <c r="G6636">
        <v>0</v>
      </c>
      <c r="H6636">
        <v>0</v>
      </c>
      <c r="I6636">
        <v>1</v>
      </c>
      <c r="J6636">
        <v>0</v>
      </c>
      <c r="K6636">
        <v>0</v>
      </c>
      <c r="L6636">
        <f t="shared" si="206"/>
        <v>4.8</v>
      </c>
      <c r="M6636">
        <f t="shared" si="207"/>
        <v>1</v>
      </c>
    </row>
    <row r="6637" spans="1:13" x14ac:dyDescent="0.3">
      <c r="A6637">
        <v>6635</v>
      </c>
      <c r="B6637">
        <v>6636</v>
      </c>
      <c r="C6637" t="s">
        <v>6715</v>
      </c>
      <c r="D6637">
        <v>2001</v>
      </c>
      <c r="E6637" t="s">
        <v>11</v>
      </c>
      <c r="F6637" t="s">
        <v>2426</v>
      </c>
      <c r="G6637">
        <v>0</v>
      </c>
      <c r="H6637">
        <v>0</v>
      </c>
      <c r="I6637">
        <v>1</v>
      </c>
      <c r="J6637">
        <v>0</v>
      </c>
      <c r="K6637">
        <v>0</v>
      </c>
      <c r="L6637">
        <f t="shared" si="206"/>
        <v>4.8</v>
      </c>
      <c r="M6637">
        <f t="shared" si="207"/>
        <v>1</v>
      </c>
    </row>
    <row r="6638" spans="1:13" x14ac:dyDescent="0.3">
      <c r="A6638">
        <v>6636</v>
      </c>
      <c r="B6638">
        <v>6637</v>
      </c>
      <c r="C6638" t="s">
        <v>6716</v>
      </c>
      <c r="D6638">
        <v>2000</v>
      </c>
      <c r="E6638" t="s">
        <v>22</v>
      </c>
      <c r="F6638" t="s">
        <v>2426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f t="shared" si="206"/>
        <v>4.8</v>
      </c>
      <c r="M6638">
        <f t="shared" si="207"/>
        <v>1</v>
      </c>
    </row>
    <row r="6639" spans="1:13" x14ac:dyDescent="0.3">
      <c r="A6639">
        <v>6637</v>
      </c>
      <c r="B6639">
        <v>6638</v>
      </c>
      <c r="C6639" t="s">
        <v>6717</v>
      </c>
      <c r="D6639">
        <v>2017</v>
      </c>
      <c r="F6639" t="s">
        <v>2426</v>
      </c>
      <c r="G6639">
        <v>0</v>
      </c>
      <c r="H6639">
        <v>0</v>
      </c>
      <c r="I6639">
        <v>1</v>
      </c>
      <c r="J6639">
        <v>0</v>
      </c>
      <c r="K6639">
        <v>0</v>
      </c>
      <c r="L6639">
        <f t="shared" si="206"/>
        <v>4.8</v>
      </c>
      <c r="M6639">
        <f t="shared" si="207"/>
        <v>1</v>
      </c>
    </row>
    <row r="6640" spans="1:13" x14ac:dyDescent="0.3">
      <c r="A6640">
        <v>6638</v>
      </c>
      <c r="B6640">
        <v>6639</v>
      </c>
      <c r="C6640" t="s">
        <v>6718</v>
      </c>
      <c r="D6640">
        <v>2018</v>
      </c>
      <c r="F6640" t="s">
        <v>2426</v>
      </c>
      <c r="G6640">
        <v>0</v>
      </c>
      <c r="H6640">
        <v>0</v>
      </c>
      <c r="I6640">
        <v>1</v>
      </c>
      <c r="J6640">
        <v>0</v>
      </c>
      <c r="K6640">
        <v>0</v>
      </c>
      <c r="L6640">
        <f t="shared" si="206"/>
        <v>4.8</v>
      </c>
      <c r="M6640">
        <f t="shared" si="207"/>
        <v>1</v>
      </c>
    </row>
    <row r="6641" spans="1:13" x14ac:dyDescent="0.3">
      <c r="A6641">
        <v>6639</v>
      </c>
      <c r="B6641">
        <v>6640</v>
      </c>
      <c r="C6641" t="s">
        <v>6719</v>
      </c>
      <c r="D6641">
        <v>2012</v>
      </c>
      <c r="E6641" t="s">
        <v>11</v>
      </c>
      <c r="F6641" t="s">
        <v>2426</v>
      </c>
      <c r="G6641">
        <v>0</v>
      </c>
      <c r="H6641">
        <v>0</v>
      </c>
      <c r="I6641">
        <v>1</v>
      </c>
      <c r="J6641">
        <v>0</v>
      </c>
      <c r="K6641">
        <v>0</v>
      </c>
      <c r="L6641">
        <f t="shared" si="206"/>
        <v>4.8</v>
      </c>
      <c r="M6641">
        <f t="shared" si="207"/>
        <v>1</v>
      </c>
    </row>
    <row r="6642" spans="1:13" x14ac:dyDescent="0.3">
      <c r="A6642">
        <v>6640</v>
      </c>
      <c r="B6642">
        <v>6641</v>
      </c>
      <c r="C6642" t="s">
        <v>6720</v>
      </c>
      <c r="D6642">
        <v>1979</v>
      </c>
      <c r="E6642" t="s">
        <v>11</v>
      </c>
      <c r="F6642" t="s">
        <v>2426</v>
      </c>
      <c r="G6642">
        <v>0</v>
      </c>
      <c r="H6642">
        <v>0</v>
      </c>
      <c r="I6642">
        <v>1</v>
      </c>
      <c r="J6642">
        <v>0</v>
      </c>
      <c r="K6642">
        <v>0</v>
      </c>
      <c r="L6642">
        <f t="shared" si="206"/>
        <v>4.8</v>
      </c>
      <c r="M6642">
        <f t="shared" si="207"/>
        <v>1</v>
      </c>
    </row>
    <row r="6643" spans="1:13" x14ac:dyDescent="0.3">
      <c r="A6643">
        <v>6641</v>
      </c>
      <c r="B6643">
        <v>6642</v>
      </c>
      <c r="C6643" t="s">
        <v>6721</v>
      </c>
      <c r="D6643">
        <v>1987</v>
      </c>
      <c r="F6643" t="s">
        <v>2426</v>
      </c>
      <c r="G6643">
        <v>0</v>
      </c>
      <c r="H6643">
        <v>0</v>
      </c>
      <c r="I6643">
        <v>1</v>
      </c>
      <c r="J6643">
        <v>0</v>
      </c>
      <c r="K6643">
        <v>0</v>
      </c>
      <c r="L6643">
        <f t="shared" si="206"/>
        <v>4.8</v>
      </c>
      <c r="M6643">
        <f t="shared" si="207"/>
        <v>1</v>
      </c>
    </row>
    <row r="6644" spans="1:13" x14ac:dyDescent="0.3">
      <c r="A6644">
        <v>6642</v>
      </c>
      <c r="B6644">
        <v>6643</v>
      </c>
      <c r="C6644" t="s">
        <v>6722</v>
      </c>
      <c r="D6644">
        <v>2012</v>
      </c>
      <c r="E6644" t="s">
        <v>11</v>
      </c>
      <c r="F6644" t="s">
        <v>2426</v>
      </c>
      <c r="G6644">
        <v>0</v>
      </c>
      <c r="H6644">
        <v>0</v>
      </c>
      <c r="I6644">
        <v>1</v>
      </c>
      <c r="J6644">
        <v>0</v>
      </c>
      <c r="K6644">
        <v>0</v>
      </c>
      <c r="L6644">
        <f t="shared" si="206"/>
        <v>4.8</v>
      </c>
      <c r="M6644">
        <f t="shared" si="207"/>
        <v>1</v>
      </c>
    </row>
    <row r="6645" spans="1:13" x14ac:dyDescent="0.3">
      <c r="A6645">
        <v>6643</v>
      </c>
      <c r="B6645">
        <v>6644</v>
      </c>
      <c r="C6645" t="s">
        <v>6723</v>
      </c>
      <c r="D6645">
        <v>2014</v>
      </c>
      <c r="E6645" t="s">
        <v>11</v>
      </c>
      <c r="F6645" t="s">
        <v>2426</v>
      </c>
      <c r="G6645">
        <v>0</v>
      </c>
      <c r="H6645">
        <v>0</v>
      </c>
      <c r="I6645">
        <v>1</v>
      </c>
      <c r="J6645">
        <v>0</v>
      </c>
      <c r="K6645">
        <v>0</v>
      </c>
      <c r="L6645">
        <f t="shared" si="206"/>
        <v>4.8</v>
      </c>
      <c r="M6645">
        <f t="shared" si="207"/>
        <v>1</v>
      </c>
    </row>
    <row r="6646" spans="1:13" x14ac:dyDescent="0.3">
      <c r="A6646">
        <v>6644</v>
      </c>
      <c r="B6646">
        <v>6645</v>
      </c>
      <c r="C6646" t="s">
        <v>6724</v>
      </c>
      <c r="D6646">
        <v>2014</v>
      </c>
      <c r="F6646" t="s">
        <v>2426</v>
      </c>
      <c r="G6646">
        <v>0</v>
      </c>
      <c r="H6646">
        <v>0</v>
      </c>
      <c r="I6646">
        <v>1</v>
      </c>
      <c r="J6646">
        <v>0</v>
      </c>
      <c r="K6646">
        <v>0</v>
      </c>
      <c r="L6646">
        <f t="shared" si="206"/>
        <v>4.8</v>
      </c>
      <c r="M6646">
        <f t="shared" si="207"/>
        <v>1</v>
      </c>
    </row>
    <row r="6647" spans="1:13" x14ac:dyDescent="0.3">
      <c r="A6647">
        <v>6645</v>
      </c>
      <c r="B6647">
        <v>6646</v>
      </c>
      <c r="C6647" t="s">
        <v>6725</v>
      </c>
      <c r="D6647">
        <v>2012</v>
      </c>
      <c r="E6647" t="s">
        <v>11</v>
      </c>
      <c r="F6647" t="s">
        <v>2426</v>
      </c>
      <c r="G6647">
        <v>0</v>
      </c>
      <c r="H6647">
        <v>0</v>
      </c>
      <c r="I6647">
        <v>1</v>
      </c>
      <c r="J6647">
        <v>0</v>
      </c>
      <c r="K6647">
        <v>0</v>
      </c>
      <c r="L6647">
        <f t="shared" si="206"/>
        <v>4.8</v>
      </c>
      <c r="M6647">
        <f t="shared" si="207"/>
        <v>1</v>
      </c>
    </row>
    <row r="6648" spans="1:13" x14ac:dyDescent="0.3">
      <c r="A6648">
        <v>6646</v>
      </c>
      <c r="B6648">
        <v>6647</v>
      </c>
      <c r="C6648" t="s">
        <v>6726</v>
      </c>
      <c r="D6648">
        <v>2007</v>
      </c>
      <c r="E6648" t="s">
        <v>22</v>
      </c>
      <c r="F6648" t="s">
        <v>2426</v>
      </c>
      <c r="G6648">
        <v>0</v>
      </c>
      <c r="H6648">
        <v>0</v>
      </c>
      <c r="I6648">
        <v>1</v>
      </c>
      <c r="J6648">
        <v>0</v>
      </c>
      <c r="K6648">
        <v>0</v>
      </c>
      <c r="L6648">
        <f t="shared" si="206"/>
        <v>4.8</v>
      </c>
      <c r="M6648">
        <f t="shared" si="207"/>
        <v>1</v>
      </c>
    </row>
    <row r="6649" spans="1:13" x14ac:dyDescent="0.3">
      <c r="A6649">
        <v>6647</v>
      </c>
      <c r="B6649">
        <v>6648</v>
      </c>
      <c r="C6649" t="s">
        <v>6727</v>
      </c>
      <c r="D6649">
        <v>1971</v>
      </c>
      <c r="E6649" t="s">
        <v>11</v>
      </c>
      <c r="F6649" t="s">
        <v>2426</v>
      </c>
      <c r="G6649">
        <v>0</v>
      </c>
      <c r="H6649">
        <v>0</v>
      </c>
      <c r="I6649">
        <v>1</v>
      </c>
      <c r="J6649">
        <v>0</v>
      </c>
      <c r="K6649">
        <v>0</v>
      </c>
      <c r="L6649">
        <f t="shared" si="206"/>
        <v>4.8</v>
      </c>
      <c r="M6649">
        <f t="shared" si="207"/>
        <v>1</v>
      </c>
    </row>
    <row r="6650" spans="1:13" x14ac:dyDescent="0.3">
      <c r="A6650">
        <v>6648</v>
      </c>
      <c r="B6650">
        <v>6649</v>
      </c>
      <c r="C6650" t="s">
        <v>6728</v>
      </c>
      <c r="D6650">
        <v>2013</v>
      </c>
      <c r="F6650" t="s">
        <v>2426</v>
      </c>
      <c r="G6650">
        <v>0</v>
      </c>
      <c r="H6650">
        <v>0</v>
      </c>
      <c r="I6650">
        <v>1</v>
      </c>
      <c r="J6650">
        <v>0</v>
      </c>
      <c r="K6650">
        <v>0</v>
      </c>
      <c r="L6650">
        <f t="shared" si="206"/>
        <v>4.8</v>
      </c>
      <c r="M6650">
        <f t="shared" si="207"/>
        <v>1</v>
      </c>
    </row>
    <row r="6651" spans="1:13" x14ac:dyDescent="0.3">
      <c r="A6651">
        <v>6649</v>
      </c>
      <c r="B6651">
        <v>6650</v>
      </c>
      <c r="C6651" t="s">
        <v>6729</v>
      </c>
      <c r="D6651">
        <v>2010</v>
      </c>
      <c r="F6651" t="s">
        <v>2426</v>
      </c>
      <c r="G6651">
        <v>0</v>
      </c>
      <c r="H6651">
        <v>0</v>
      </c>
      <c r="I6651">
        <v>1</v>
      </c>
      <c r="J6651">
        <v>0</v>
      </c>
      <c r="K6651">
        <v>0</v>
      </c>
      <c r="L6651">
        <f t="shared" si="206"/>
        <v>4.8</v>
      </c>
      <c r="M6651">
        <f t="shared" si="207"/>
        <v>1</v>
      </c>
    </row>
    <row r="6652" spans="1:13" x14ac:dyDescent="0.3">
      <c r="A6652">
        <v>6650</v>
      </c>
      <c r="B6652">
        <v>6651</v>
      </c>
      <c r="C6652" t="s">
        <v>6730</v>
      </c>
      <c r="D6652">
        <v>2019</v>
      </c>
      <c r="F6652" t="s">
        <v>2426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f t="shared" si="206"/>
        <v>4.8</v>
      </c>
      <c r="M6652">
        <f t="shared" si="207"/>
        <v>1</v>
      </c>
    </row>
    <row r="6653" spans="1:13" x14ac:dyDescent="0.3">
      <c r="A6653">
        <v>6651</v>
      </c>
      <c r="B6653">
        <v>6652</v>
      </c>
      <c r="C6653" t="s">
        <v>6731</v>
      </c>
      <c r="D6653">
        <v>2016</v>
      </c>
      <c r="F6653" t="s">
        <v>2426</v>
      </c>
      <c r="G6653">
        <v>0</v>
      </c>
      <c r="H6653">
        <v>0</v>
      </c>
      <c r="I6653">
        <v>1</v>
      </c>
      <c r="J6653">
        <v>0</v>
      </c>
      <c r="K6653">
        <v>0</v>
      </c>
      <c r="L6653">
        <f t="shared" si="206"/>
        <v>4.8</v>
      </c>
      <c r="M6653">
        <f t="shared" si="207"/>
        <v>1</v>
      </c>
    </row>
    <row r="6654" spans="1:13" x14ac:dyDescent="0.3">
      <c r="A6654">
        <v>6652</v>
      </c>
      <c r="B6654">
        <v>6653</v>
      </c>
      <c r="C6654" t="s">
        <v>6732</v>
      </c>
      <c r="D6654">
        <v>2017</v>
      </c>
      <c r="F6654" t="s">
        <v>2426</v>
      </c>
      <c r="G6654">
        <v>0</v>
      </c>
      <c r="H6654">
        <v>0</v>
      </c>
      <c r="I6654">
        <v>1</v>
      </c>
      <c r="J6654">
        <v>0</v>
      </c>
      <c r="K6654">
        <v>0</v>
      </c>
      <c r="L6654">
        <f t="shared" si="206"/>
        <v>4.8</v>
      </c>
      <c r="M6654">
        <f t="shared" si="207"/>
        <v>1</v>
      </c>
    </row>
    <row r="6655" spans="1:13" x14ac:dyDescent="0.3">
      <c r="A6655">
        <v>6653</v>
      </c>
      <c r="B6655">
        <v>6654</v>
      </c>
      <c r="C6655" t="s">
        <v>6733</v>
      </c>
      <c r="D6655">
        <v>2016</v>
      </c>
      <c r="E6655" t="s">
        <v>11</v>
      </c>
      <c r="F6655" t="s">
        <v>2426</v>
      </c>
      <c r="G6655">
        <v>0</v>
      </c>
      <c r="H6655">
        <v>0</v>
      </c>
      <c r="I6655">
        <v>1</v>
      </c>
      <c r="J6655">
        <v>0</v>
      </c>
      <c r="K6655">
        <v>0</v>
      </c>
      <c r="L6655">
        <f t="shared" si="206"/>
        <v>4.8</v>
      </c>
      <c r="M6655">
        <f t="shared" si="207"/>
        <v>1</v>
      </c>
    </row>
    <row r="6656" spans="1:13" x14ac:dyDescent="0.3">
      <c r="A6656">
        <v>6654</v>
      </c>
      <c r="B6656">
        <v>6655</v>
      </c>
      <c r="C6656" t="s">
        <v>6734</v>
      </c>
      <c r="D6656">
        <v>2000</v>
      </c>
      <c r="E6656" t="s">
        <v>11</v>
      </c>
      <c r="F6656" t="s">
        <v>2426</v>
      </c>
      <c r="G6656">
        <v>0</v>
      </c>
      <c r="H6656">
        <v>0</v>
      </c>
      <c r="I6656">
        <v>1</v>
      </c>
      <c r="J6656">
        <v>0</v>
      </c>
      <c r="K6656">
        <v>0</v>
      </c>
      <c r="L6656">
        <f t="shared" si="206"/>
        <v>4.8</v>
      </c>
      <c r="M6656">
        <f t="shared" si="207"/>
        <v>1</v>
      </c>
    </row>
    <row r="6657" spans="1:13" x14ac:dyDescent="0.3">
      <c r="A6657">
        <v>6655</v>
      </c>
      <c r="B6657">
        <v>6656</v>
      </c>
      <c r="C6657" t="s">
        <v>6735</v>
      </c>
      <c r="D6657">
        <v>1978</v>
      </c>
      <c r="E6657" t="s">
        <v>14</v>
      </c>
      <c r="F6657" t="s">
        <v>2426</v>
      </c>
      <c r="G6657">
        <v>0</v>
      </c>
      <c r="H6657">
        <v>0</v>
      </c>
      <c r="I6657">
        <v>1</v>
      </c>
      <c r="J6657">
        <v>0</v>
      </c>
      <c r="K6657">
        <v>0</v>
      </c>
      <c r="L6657">
        <f t="shared" si="206"/>
        <v>4.8</v>
      </c>
      <c r="M6657">
        <f t="shared" si="207"/>
        <v>1</v>
      </c>
    </row>
    <row r="6658" spans="1:13" x14ac:dyDescent="0.3">
      <c r="A6658">
        <v>6656</v>
      </c>
      <c r="B6658">
        <v>6657</v>
      </c>
      <c r="C6658" t="s">
        <v>6736</v>
      </c>
      <c r="D6658">
        <v>2013</v>
      </c>
      <c r="E6658" t="s">
        <v>22</v>
      </c>
      <c r="F6658" t="s">
        <v>2426</v>
      </c>
      <c r="G6658">
        <v>0</v>
      </c>
      <c r="H6658">
        <v>0</v>
      </c>
      <c r="I6658">
        <v>1</v>
      </c>
      <c r="J6658">
        <v>0</v>
      </c>
      <c r="K6658">
        <v>0</v>
      </c>
      <c r="L6658">
        <f t="shared" si="206"/>
        <v>4.8</v>
      </c>
      <c r="M6658">
        <f t="shared" si="207"/>
        <v>1</v>
      </c>
    </row>
    <row r="6659" spans="1:13" x14ac:dyDescent="0.3">
      <c r="A6659">
        <v>6657</v>
      </c>
      <c r="B6659">
        <v>6658</v>
      </c>
      <c r="C6659" t="s">
        <v>6737</v>
      </c>
      <c r="D6659">
        <v>2018</v>
      </c>
      <c r="F6659" t="s">
        <v>2426</v>
      </c>
      <c r="G6659">
        <v>0</v>
      </c>
      <c r="H6659">
        <v>0</v>
      </c>
      <c r="I6659">
        <v>1</v>
      </c>
      <c r="J6659">
        <v>0</v>
      </c>
      <c r="K6659">
        <v>0</v>
      </c>
      <c r="L6659">
        <f t="shared" ref="L6659:L6722" si="208">IFERROR(VALUE(LEFT(F6659,FIND("/",F6659)-1))/10,"")</f>
        <v>4.8</v>
      </c>
      <c r="M6659">
        <f t="shared" ref="M6659:M6722" si="209">SUM(G6659:J6659)</f>
        <v>1</v>
      </c>
    </row>
    <row r="6660" spans="1:13" x14ac:dyDescent="0.3">
      <c r="A6660">
        <v>6658</v>
      </c>
      <c r="B6660">
        <v>6659</v>
      </c>
      <c r="C6660" t="s">
        <v>6738</v>
      </c>
      <c r="D6660">
        <v>2016</v>
      </c>
      <c r="E6660" t="s">
        <v>28</v>
      </c>
      <c r="F6660" t="s">
        <v>2426</v>
      </c>
      <c r="G6660">
        <v>0</v>
      </c>
      <c r="H6660">
        <v>0</v>
      </c>
      <c r="I6660">
        <v>1</v>
      </c>
      <c r="J6660">
        <v>0</v>
      </c>
      <c r="K6660">
        <v>0</v>
      </c>
      <c r="L6660">
        <f t="shared" si="208"/>
        <v>4.8</v>
      </c>
      <c r="M6660">
        <f t="shared" si="209"/>
        <v>1</v>
      </c>
    </row>
    <row r="6661" spans="1:13" x14ac:dyDescent="0.3">
      <c r="A6661">
        <v>6659</v>
      </c>
      <c r="B6661">
        <v>6660</v>
      </c>
      <c r="C6661" t="s">
        <v>6739</v>
      </c>
      <c r="D6661">
        <v>2020</v>
      </c>
      <c r="F6661" t="s">
        <v>2426</v>
      </c>
      <c r="G6661">
        <v>0</v>
      </c>
      <c r="H6661">
        <v>0</v>
      </c>
      <c r="I6661">
        <v>1</v>
      </c>
      <c r="J6661">
        <v>0</v>
      </c>
      <c r="K6661">
        <v>0</v>
      </c>
      <c r="L6661">
        <f t="shared" si="208"/>
        <v>4.8</v>
      </c>
      <c r="M6661">
        <f t="shared" si="209"/>
        <v>1</v>
      </c>
    </row>
    <row r="6662" spans="1:13" x14ac:dyDescent="0.3">
      <c r="A6662">
        <v>6660</v>
      </c>
      <c r="B6662">
        <v>6661</v>
      </c>
      <c r="C6662" t="s">
        <v>6740</v>
      </c>
      <c r="D6662">
        <v>2018</v>
      </c>
      <c r="F6662" t="s">
        <v>2426</v>
      </c>
      <c r="G6662">
        <v>0</v>
      </c>
      <c r="H6662">
        <v>0</v>
      </c>
      <c r="I6662">
        <v>1</v>
      </c>
      <c r="J6662">
        <v>0</v>
      </c>
      <c r="K6662">
        <v>0</v>
      </c>
      <c r="L6662">
        <f t="shared" si="208"/>
        <v>4.8</v>
      </c>
      <c r="M6662">
        <f t="shared" si="209"/>
        <v>1</v>
      </c>
    </row>
    <row r="6663" spans="1:13" x14ac:dyDescent="0.3">
      <c r="A6663">
        <v>6661</v>
      </c>
      <c r="B6663">
        <v>6662</v>
      </c>
      <c r="C6663" t="s">
        <v>6741</v>
      </c>
      <c r="D6663">
        <v>2020</v>
      </c>
      <c r="E6663" t="s">
        <v>11</v>
      </c>
      <c r="F6663" t="s">
        <v>2426</v>
      </c>
      <c r="G6663">
        <v>0</v>
      </c>
      <c r="H6663">
        <v>0</v>
      </c>
      <c r="I6663">
        <v>1</v>
      </c>
      <c r="J6663">
        <v>0</v>
      </c>
      <c r="K6663">
        <v>0</v>
      </c>
      <c r="L6663">
        <f t="shared" si="208"/>
        <v>4.8</v>
      </c>
      <c r="M6663">
        <f t="shared" si="209"/>
        <v>1</v>
      </c>
    </row>
    <row r="6664" spans="1:13" x14ac:dyDescent="0.3">
      <c r="A6664">
        <v>6662</v>
      </c>
      <c r="B6664">
        <v>6663</v>
      </c>
      <c r="C6664" t="s">
        <v>6742</v>
      </c>
      <c r="D6664">
        <v>2017</v>
      </c>
      <c r="E6664" t="s">
        <v>22</v>
      </c>
      <c r="F6664" t="s">
        <v>2426</v>
      </c>
      <c r="G6664">
        <v>0</v>
      </c>
      <c r="H6664">
        <v>0</v>
      </c>
      <c r="I6664">
        <v>1</v>
      </c>
      <c r="J6664">
        <v>0</v>
      </c>
      <c r="K6664">
        <v>0</v>
      </c>
      <c r="L6664">
        <f t="shared" si="208"/>
        <v>4.8</v>
      </c>
      <c r="M6664">
        <f t="shared" si="209"/>
        <v>1</v>
      </c>
    </row>
    <row r="6665" spans="1:13" x14ac:dyDescent="0.3">
      <c r="A6665">
        <v>6663</v>
      </c>
      <c r="B6665">
        <v>6664</v>
      </c>
      <c r="C6665" t="s">
        <v>6743</v>
      </c>
      <c r="D6665">
        <v>1992</v>
      </c>
      <c r="E6665" t="s">
        <v>11</v>
      </c>
      <c r="F6665" t="s">
        <v>2426</v>
      </c>
      <c r="G6665">
        <v>0</v>
      </c>
      <c r="H6665">
        <v>0</v>
      </c>
      <c r="I6665">
        <v>1</v>
      </c>
      <c r="J6665">
        <v>0</v>
      </c>
      <c r="K6665">
        <v>0</v>
      </c>
      <c r="L6665">
        <f t="shared" si="208"/>
        <v>4.8</v>
      </c>
      <c r="M6665">
        <f t="shared" si="209"/>
        <v>1</v>
      </c>
    </row>
    <row r="6666" spans="1:13" x14ac:dyDescent="0.3">
      <c r="A6666">
        <v>6664</v>
      </c>
      <c r="B6666">
        <v>6665</v>
      </c>
      <c r="C6666" t="s">
        <v>6744</v>
      </c>
      <c r="D6666">
        <v>1981</v>
      </c>
      <c r="E6666" t="s">
        <v>14</v>
      </c>
      <c r="F6666" t="s">
        <v>2426</v>
      </c>
      <c r="G6666">
        <v>0</v>
      </c>
      <c r="H6666">
        <v>0</v>
      </c>
      <c r="I6666">
        <v>1</v>
      </c>
      <c r="J6666">
        <v>0</v>
      </c>
      <c r="K6666">
        <v>0</v>
      </c>
      <c r="L6666">
        <f t="shared" si="208"/>
        <v>4.8</v>
      </c>
      <c r="M6666">
        <f t="shared" si="209"/>
        <v>1</v>
      </c>
    </row>
    <row r="6667" spans="1:13" x14ac:dyDescent="0.3">
      <c r="A6667">
        <v>6665</v>
      </c>
      <c r="B6667">
        <v>6666</v>
      </c>
      <c r="C6667" t="s">
        <v>6745</v>
      </c>
      <c r="D6667">
        <v>2005</v>
      </c>
      <c r="E6667" t="s">
        <v>36</v>
      </c>
      <c r="F6667" t="s">
        <v>2426</v>
      </c>
      <c r="G6667">
        <v>0</v>
      </c>
      <c r="H6667">
        <v>0</v>
      </c>
      <c r="I6667">
        <v>1</v>
      </c>
      <c r="J6667">
        <v>0</v>
      </c>
      <c r="K6667">
        <v>0</v>
      </c>
      <c r="L6667">
        <f t="shared" si="208"/>
        <v>4.8</v>
      </c>
      <c r="M6667">
        <f t="shared" si="209"/>
        <v>1</v>
      </c>
    </row>
    <row r="6668" spans="1:13" x14ac:dyDescent="0.3">
      <c r="A6668">
        <v>6666</v>
      </c>
      <c r="B6668">
        <v>6667</v>
      </c>
      <c r="C6668" t="s">
        <v>6746</v>
      </c>
      <c r="D6668">
        <v>2020</v>
      </c>
      <c r="F6668" t="s">
        <v>2426</v>
      </c>
      <c r="G6668">
        <v>0</v>
      </c>
      <c r="H6668">
        <v>0</v>
      </c>
      <c r="I6668">
        <v>1</v>
      </c>
      <c r="J6668">
        <v>0</v>
      </c>
      <c r="K6668">
        <v>0</v>
      </c>
      <c r="L6668">
        <f t="shared" si="208"/>
        <v>4.8</v>
      </c>
      <c r="M6668">
        <f t="shared" si="209"/>
        <v>1</v>
      </c>
    </row>
    <row r="6669" spans="1:13" x14ac:dyDescent="0.3">
      <c r="A6669">
        <v>6667</v>
      </c>
      <c r="B6669">
        <v>6668</v>
      </c>
      <c r="C6669" t="s">
        <v>6747</v>
      </c>
      <c r="D6669">
        <v>2014</v>
      </c>
      <c r="F6669" t="s">
        <v>2426</v>
      </c>
      <c r="G6669">
        <v>0</v>
      </c>
      <c r="H6669">
        <v>0</v>
      </c>
      <c r="I6669">
        <v>1</v>
      </c>
      <c r="J6669">
        <v>0</v>
      </c>
      <c r="K6669">
        <v>0</v>
      </c>
      <c r="L6669">
        <f t="shared" si="208"/>
        <v>4.8</v>
      </c>
      <c r="M6669">
        <f t="shared" si="209"/>
        <v>1</v>
      </c>
    </row>
    <row r="6670" spans="1:13" x14ac:dyDescent="0.3">
      <c r="A6670">
        <v>6668</v>
      </c>
      <c r="B6670">
        <v>6669</v>
      </c>
      <c r="C6670" t="s">
        <v>6748</v>
      </c>
      <c r="D6670">
        <v>1949</v>
      </c>
      <c r="F6670" t="s">
        <v>2426</v>
      </c>
      <c r="G6670">
        <v>0</v>
      </c>
      <c r="H6670">
        <v>0</v>
      </c>
      <c r="I6670">
        <v>1</v>
      </c>
      <c r="J6670">
        <v>0</v>
      </c>
      <c r="K6670">
        <v>0</v>
      </c>
      <c r="L6670">
        <f t="shared" si="208"/>
        <v>4.8</v>
      </c>
      <c r="M6670">
        <f t="shared" si="209"/>
        <v>1</v>
      </c>
    </row>
    <row r="6671" spans="1:13" x14ac:dyDescent="0.3">
      <c r="A6671">
        <v>6669</v>
      </c>
      <c r="B6671">
        <v>6670</v>
      </c>
      <c r="C6671" t="s">
        <v>6749</v>
      </c>
      <c r="D6671">
        <v>2015</v>
      </c>
      <c r="E6671" t="s">
        <v>28</v>
      </c>
      <c r="F6671" t="s">
        <v>2426</v>
      </c>
      <c r="G6671">
        <v>0</v>
      </c>
      <c r="H6671">
        <v>0</v>
      </c>
      <c r="I6671">
        <v>1</v>
      </c>
      <c r="J6671">
        <v>0</v>
      </c>
      <c r="K6671">
        <v>0</v>
      </c>
      <c r="L6671">
        <f t="shared" si="208"/>
        <v>4.8</v>
      </c>
      <c r="M6671">
        <f t="shared" si="209"/>
        <v>1</v>
      </c>
    </row>
    <row r="6672" spans="1:13" x14ac:dyDescent="0.3">
      <c r="A6672">
        <v>6670</v>
      </c>
      <c r="B6672">
        <v>6671</v>
      </c>
      <c r="C6672">
        <v>730</v>
      </c>
      <c r="D6672">
        <v>2015</v>
      </c>
      <c r="E6672" t="s">
        <v>11</v>
      </c>
      <c r="F6672" t="s">
        <v>2426</v>
      </c>
      <c r="G6672">
        <v>0</v>
      </c>
      <c r="H6672">
        <v>0</v>
      </c>
      <c r="I6672">
        <v>1</v>
      </c>
      <c r="J6672">
        <v>0</v>
      </c>
      <c r="K6672">
        <v>0</v>
      </c>
      <c r="L6672">
        <f t="shared" si="208"/>
        <v>4.8</v>
      </c>
      <c r="M6672">
        <f t="shared" si="209"/>
        <v>1</v>
      </c>
    </row>
    <row r="6673" spans="1:13" x14ac:dyDescent="0.3">
      <c r="A6673">
        <v>6671</v>
      </c>
      <c r="B6673">
        <v>6672</v>
      </c>
      <c r="C6673" t="s">
        <v>6750</v>
      </c>
      <c r="D6673">
        <v>2020</v>
      </c>
      <c r="E6673" t="s">
        <v>14</v>
      </c>
      <c r="F6673" t="s">
        <v>2426</v>
      </c>
      <c r="G6673">
        <v>0</v>
      </c>
      <c r="H6673">
        <v>0</v>
      </c>
      <c r="I6673">
        <v>1</v>
      </c>
      <c r="J6673">
        <v>0</v>
      </c>
      <c r="K6673">
        <v>0</v>
      </c>
      <c r="L6673">
        <f t="shared" si="208"/>
        <v>4.8</v>
      </c>
      <c r="M6673">
        <f t="shared" si="209"/>
        <v>1</v>
      </c>
    </row>
    <row r="6674" spans="1:13" x14ac:dyDescent="0.3">
      <c r="A6674">
        <v>6672</v>
      </c>
      <c r="B6674">
        <v>6673</v>
      </c>
      <c r="C6674" t="s">
        <v>6751</v>
      </c>
      <c r="D6674">
        <v>1991</v>
      </c>
      <c r="E6674" t="s">
        <v>11</v>
      </c>
      <c r="F6674" t="s">
        <v>2426</v>
      </c>
      <c r="G6674">
        <v>0</v>
      </c>
      <c r="H6674">
        <v>0</v>
      </c>
      <c r="I6674">
        <v>1</v>
      </c>
      <c r="J6674">
        <v>0</v>
      </c>
      <c r="K6674">
        <v>0</v>
      </c>
      <c r="L6674">
        <f t="shared" si="208"/>
        <v>4.8</v>
      </c>
      <c r="M6674">
        <f t="shared" si="209"/>
        <v>1</v>
      </c>
    </row>
    <row r="6675" spans="1:13" x14ac:dyDescent="0.3">
      <c r="A6675">
        <v>6673</v>
      </c>
      <c r="B6675">
        <v>6674</v>
      </c>
      <c r="C6675" t="s">
        <v>6752</v>
      </c>
      <c r="D6675">
        <v>1988</v>
      </c>
      <c r="E6675" t="s">
        <v>14</v>
      </c>
      <c r="F6675" t="s">
        <v>2426</v>
      </c>
      <c r="G6675">
        <v>0</v>
      </c>
      <c r="H6675">
        <v>0</v>
      </c>
      <c r="I6675">
        <v>1</v>
      </c>
      <c r="J6675">
        <v>0</v>
      </c>
      <c r="K6675">
        <v>0</v>
      </c>
      <c r="L6675">
        <f t="shared" si="208"/>
        <v>4.8</v>
      </c>
      <c r="M6675">
        <f t="shared" si="209"/>
        <v>1</v>
      </c>
    </row>
    <row r="6676" spans="1:13" x14ac:dyDescent="0.3">
      <c r="A6676">
        <v>6674</v>
      </c>
      <c r="B6676">
        <v>6675</v>
      </c>
      <c r="C6676" t="s">
        <v>6753</v>
      </c>
      <c r="D6676">
        <v>2011</v>
      </c>
      <c r="F6676" t="s">
        <v>2426</v>
      </c>
      <c r="G6676">
        <v>0</v>
      </c>
      <c r="H6676">
        <v>0</v>
      </c>
      <c r="I6676">
        <v>1</v>
      </c>
      <c r="J6676">
        <v>0</v>
      </c>
      <c r="K6676">
        <v>0</v>
      </c>
      <c r="L6676">
        <f t="shared" si="208"/>
        <v>4.8</v>
      </c>
      <c r="M6676">
        <f t="shared" si="209"/>
        <v>1</v>
      </c>
    </row>
    <row r="6677" spans="1:13" x14ac:dyDescent="0.3">
      <c r="A6677">
        <v>6675</v>
      </c>
      <c r="B6677">
        <v>6676</v>
      </c>
      <c r="C6677" t="s">
        <v>6754</v>
      </c>
      <c r="D6677">
        <v>1946</v>
      </c>
      <c r="F6677" t="s">
        <v>2426</v>
      </c>
      <c r="G6677">
        <v>0</v>
      </c>
      <c r="H6677">
        <v>0</v>
      </c>
      <c r="I6677">
        <v>1</v>
      </c>
      <c r="J6677">
        <v>0</v>
      </c>
      <c r="K6677">
        <v>0</v>
      </c>
      <c r="L6677">
        <f t="shared" si="208"/>
        <v>4.8</v>
      </c>
      <c r="M6677">
        <f t="shared" si="209"/>
        <v>1</v>
      </c>
    </row>
    <row r="6678" spans="1:13" x14ac:dyDescent="0.3">
      <c r="A6678">
        <v>6676</v>
      </c>
      <c r="B6678">
        <v>6677</v>
      </c>
      <c r="C6678" t="s">
        <v>6755</v>
      </c>
      <c r="D6678">
        <v>2007</v>
      </c>
      <c r="E6678" t="s">
        <v>11</v>
      </c>
      <c r="F6678" t="s">
        <v>2426</v>
      </c>
      <c r="G6678">
        <v>0</v>
      </c>
      <c r="H6678">
        <v>0</v>
      </c>
      <c r="I6678">
        <v>1</v>
      </c>
      <c r="J6678">
        <v>0</v>
      </c>
      <c r="K6678">
        <v>0</v>
      </c>
      <c r="L6678">
        <f t="shared" si="208"/>
        <v>4.8</v>
      </c>
      <c r="M6678">
        <f t="shared" si="209"/>
        <v>1</v>
      </c>
    </row>
    <row r="6679" spans="1:13" x14ac:dyDescent="0.3">
      <c r="A6679">
        <v>6677</v>
      </c>
      <c r="B6679">
        <v>6678</v>
      </c>
      <c r="C6679" t="s">
        <v>6756</v>
      </c>
      <c r="D6679">
        <v>2009</v>
      </c>
      <c r="F6679" t="s">
        <v>2426</v>
      </c>
      <c r="G6679">
        <v>0</v>
      </c>
      <c r="H6679">
        <v>0</v>
      </c>
      <c r="I6679">
        <v>1</v>
      </c>
      <c r="J6679">
        <v>0</v>
      </c>
      <c r="K6679">
        <v>0</v>
      </c>
      <c r="L6679">
        <f t="shared" si="208"/>
        <v>4.8</v>
      </c>
      <c r="M6679">
        <f t="shared" si="209"/>
        <v>1</v>
      </c>
    </row>
    <row r="6680" spans="1:13" x14ac:dyDescent="0.3">
      <c r="A6680">
        <v>6678</v>
      </c>
      <c r="B6680">
        <v>6679</v>
      </c>
      <c r="C6680" t="s">
        <v>6757</v>
      </c>
      <c r="D6680">
        <v>2013</v>
      </c>
      <c r="E6680" t="s">
        <v>36</v>
      </c>
      <c r="F6680" t="s">
        <v>2426</v>
      </c>
      <c r="G6680">
        <v>0</v>
      </c>
      <c r="H6680">
        <v>0</v>
      </c>
      <c r="I6680">
        <v>1</v>
      </c>
      <c r="J6680">
        <v>0</v>
      </c>
      <c r="K6680">
        <v>0</v>
      </c>
      <c r="L6680">
        <f t="shared" si="208"/>
        <v>4.8</v>
      </c>
      <c r="M6680">
        <f t="shared" si="209"/>
        <v>1</v>
      </c>
    </row>
    <row r="6681" spans="1:13" x14ac:dyDescent="0.3">
      <c r="A6681">
        <v>6679</v>
      </c>
      <c r="B6681">
        <v>6680</v>
      </c>
      <c r="C6681" t="s">
        <v>6758</v>
      </c>
      <c r="D6681">
        <v>1937</v>
      </c>
      <c r="F6681" t="s">
        <v>2426</v>
      </c>
      <c r="G6681">
        <v>0</v>
      </c>
      <c r="H6681">
        <v>0</v>
      </c>
      <c r="I6681">
        <v>1</v>
      </c>
      <c r="J6681">
        <v>0</v>
      </c>
      <c r="K6681">
        <v>0</v>
      </c>
      <c r="L6681">
        <f t="shared" si="208"/>
        <v>4.8</v>
      </c>
      <c r="M6681">
        <f t="shared" si="209"/>
        <v>1</v>
      </c>
    </row>
    <row r="6682" spans="1:13" x14ac:dyDescent="0.3">
      <c r="A6682">
        <v>6680</v>
      </c>
      <c r="B6682">
        <v>6681</v>
      </c>
      <c r="C6682" t="s">
        <v>6759</v>
      </c>
      <c r="D6682">
        <v>2016</v>
      </c>
      <c r="E6682" t="s">
        <v>14</v>
      </c>
      <c r="F6682" t="s">
        <v>2426</v>
      </c>
      <c r="G6682">
        <v>0</v>
      </c>
      <c r="H6682">
        <v>0</v>
      </c>
      <c r="I6682">
        <v>1</v>
      </c>
      <c r="J6682">
        <v>0</v>
      </c>
      <c r="K6682">
        <v>0</v>
      </c>
      <c r="L6682">
        <f t="shared" si="208"/>
        <v>4.8</v>
      </c>
      <c r="M6682">
        <f t="shared" si="209"/>
        <v>1</v>
      </c>
    </row>
    <row r="6683" spans="1:13" x14ac:dyDescent="0.3">
      <c r="A6683">
        <v>6681</v>
      </c>
      <c r="B6683">
        <v>6682</v>
      </c>
      <c r="C6683" t="s">
        <v>6760</v>
      </c>
      <c r="D6683">
        <v>2018</v>
      </c>
      <c r="F6683" t="s">
        <v>2426</v>
      </c>
      <c r="G6683">
        <v>0</v>
      </c>
      <c r="H6683">
        <v>0</v>
      </c>
      <c r="I6683">
        <v>1</v>
      </c>
      <c r="J6683">
        <v>0</v>
      </c>
      <c r="K6683">
        <v>0</v>
      </c>
      <c r="L6683">
        <f t="shared" si="208"/>
        <v>4.8</v>
      </c>
      <c r="M6683">
        <f t="shared" si="209"/>
        <v>1</v>
      </c>
    </row>
    <row r="6684" spans="1:13" x14ac:dyDescent="0.3">
      <c r="A6684">
        <v>6682</v>
      </c>
      <c r="B6684">
        <v>6683</v>
      </c>
      <c r="C6684" t="s">
        <v>6761</v>
      </c>
      <c r="D6684">
        <v>2016</v>
      </c>
      <c r="E6684" t="s">
        <v>11</v>
      </c>
      <c r="F6684" t="s">
        <v>2426</v>
      </c>
      <c r="G6684">
        <v>0</v>
      </c>
      <c r="H6684">
        <v>0</v>
      </c>
      <c r="I6684">
        <v>1</v>
      </c>
      <c r="J6684">
        <v>0</v>
      </c>
      <c r="K6684">
        <v>0</v>
      </c>
      <c r="L6684">
        <f t="shared" si="208"/>
        <v>4.8</v>
      </c>
      <c r="M6684">
        <f t="shared" si="209"/>
        <v>1</v>
      </c>
    </row>
    <row r="6685" spans="1:13" x14ac:dyDescent="0.3">
      <c r="A6685">
        <v>6683</v>
      </c>
      <c r="B6685">
        <v>6684</v>
      </c>
      <c r="C6685" t="s">
        <v>6762</v>
      </c>
      <c r="D6685">
        <v>2010</v>
      </c>
      <c r="F6685" t="s">
        <v>2426</v>
      </c>
      <c r="G6685">
        <v>0</v>
      </c>
      <c r="H6685">
        <v>0</v>
      </c>
      <c r="I6685">
        <v>1</v>
      </c>
      <c r="J6685">
        <v>0</v>
      </c>
      <c r="K6685">
        <v>0</v>
      </c>
      <c r="L6685">
        <f t="shared" si="208"/>
        <v>4.8</v>
      </c>
      <c r="M6685">
        <f t="shared" si="209"/>
        <v>1</v>
      </c>
    </row>
    <row r="6686" spans="1:13" x14ac:dyDescent="0.3">
      <c r="A6686">
        <v>6684</v>
      </c>
      <c r="B6686">
        <v>6685</v>
      </c>
      <c r="C6686" t="s">
        <v>6763</v>
      </c>
      <c r="D6686">
        <v>2014</v>
      </c>
      <c r="E6686" t="s">
        <v>14</v>
      </c>
      <c r="F6686" t="s">
        <v>2426</v>
      </c>
      <c r="G6686">
        <v>0</v>
      </c>
      <c r="H6686">
        <v>0</v>
      </c>
      <c r="I6686">
        <v>1</v>
      </c>
      <c r="J6686">
        <v>0</v>
      </c>
      <c r="K6686">
        <v>0</v>
      </c>
      <c r="L6686">
        <f t="shared" si="208"/>
        <v>4.8</v>
      </c>
      <c r="M6686">
        <f t="shared" si="209"/>
        <v>1</v>
      </c>
    </row>
    <row r="6687" spans="1:13" x14ac:dyDescent="0.3">
      <c r="A6687">
        <v>6685</v>
      </c>
      <c r="B6687">
        <v>6686</v>
      </c>
      <c r="C6687" t="s">
        <v>6764</v>
      </c>
      <c r="D6687">
        <v>2013</v>
      </c>
      <c r="F6687" t="s">
        <v>2426</v>
      </c>
      <c r="G6687">
        <v>0</v>
      </c>
      <c r="H6687">
        <v>0</v>
      </c>
      <c r="I6687">
        <v>1</v>
      </c>
      <c r="J6687">
        <v>0</v>
      </c>
      <c r="K6687">
        <v>0</v>
      </c>
      <c r="L6687">
        <f t="shared" si="208"/>
        <v>4.8</v>
      </c>
      <c r="M6687">
        <f t="shared" si="209"/>
        <v>1</v>
      </c>
    </row>
    <row r="6688" spans="1:13" x14ac:dyDescent="0.3">
      <c r="A6688">
        <v>6686</v>
      </c>
      <c r="B6688">
        <v>6687</v>
      </c>
      <c r="C6688" t="s">
        <v>6765</v>
      </c>
      <c r="D6688">
        <v>1991</v>
      </c>
      <c r="E6688" t="s">
        <v>11</v>
      </c>
      <c r="F6688" t="s">
        <v>2426</v>
      </c>
      <c r="G6688">
        <v>0</v>
      </c>
      <c r="H6688">
        <v>0</v>
      </c>
      <c r="I6688">
        <v>1</v>
      </c>
      <c r="J6688">
        <v>0</v>
      </c>
      <c r="K6688">
        <v>0</v>
      </c>
      <c r="L6688">
        <f t="shared" si="208"/>
        <v>4.8</v>
      </c>
      <c r="M6688">
        <f t="shared" si="209"/>
        <v>1</v>
      </c>
    </row>
    <row r="6689" spans="1:13" x14ac:dyDescent="0.3">
      <c r="A6689">
        <v>6687</v>
      </c>
      <c r="B6689">
        <v>6688</v>
      </c>
      <c r="C6689" t="s">
        <v>6766</v>
      </c>
      <c r="D6689">
        <v>2008</v>
      </c>
      <c r="E6689" t="s">
        <v>22</v>
      </c>
      <c r="F6689" t="s">
        <v>2426</v>
      </c>
      <c r="G6689">
        <v>0</v>
      </c>
      <c r="H6689">
        <v>0</v>
      </c>
      <c r="I6689">
        <v>1</v>
      </c>
      <c r="J6689">
        <v>0</v>
      </c>
      <c r="K6689">
        <v>0</v>
      </c>
      <c r="L6689">
        <f t="shared" si="208"/>
        <v>4.8</v>
      </c>
      <c r="M6689">
        <f t="shared" si="209"/>
        <v>1</v>
      </c>
    </row>
    <row r="6690" spans="1:13" x14ac:dyDescent="0.3">
      <c r="A6690">
        <v>6688</v>
      </c>
      <c r="B6690">
        <v>6689</v>
      </c>
      <c r="C6690" t="s">
        <v>6767</v>
      </c>
      <c r="D6690">
        <v>2014</v>
      </c>
      <c r="F6690" t="s">
        <v>2426</v>
      </c>
      <c r="G6690">
        <v>0</v>
      </c>
      <c r="H6690">
        <v>0</v>
      </c>
      <c r="I6690">
        <v>1</v>
      </c>
      <c r="J6690">
        <v>0</v>
      </c>
      <c r="K6690">
        <v>0</v>
      </c>
      <c r="L6690">
        <f t="shared" si="208"/>
        <v>4.8</v>
      </c>
      <c r="M6690">
        <f t="shared" si="209"/>
        <v>1</v>
      </c>
    </row>
    <row r="6691" spans="1:13" x14ac:dyDescent="0.3">
      <c r="A6691">
        <v>6689</v>
      </c>
      <c r="B6691">
        <v>6690</v>
      </c>
      <c r="C6691" t="s">
        <v>6768</v>
      </c>
      <c r="D6691">
        <v>2021</v>
      </c>
      <c r="F6691" t="s">
        <v>2426</v>
      </c>
      <c r="G6691">
        <v>0</v>
      </c>
      <c r="H6691">
        <v>0</v>
      </c>
      <c r="I6691">
        <v>1</v>
      </c>
      <c r="J6691">
        <v>0</v>
      </c>
      <c r="K6691">
        <v>0</v>
      </c>
      <c r="L6691">
        <f t="shared" si="208"/>
        <v>4.8</v>
      </c>
      <c r="M6691">
        <f t="shared" si="209"/>
        <v>1</v>
      </c>
    </row>
    <row r="6692" spans="1:13" x14ac:dyDescent="0.3">
      <c r="A6692">
        <v>6690</v>
      </c>
      <c r="B6692">
        <v>6691</v>
      </c>
      <c r="C6692" t="s">
        <v>6769</v>
      </c>
      <c r="D6692">
        <v>2011</v>
      </c>
      <c r="E6692" t="s">
        <v>11</v>
      </c>
      <c r="F6692" t="s">
        <v>2426</v>
      </c>
      <c r="G6692">
        <v>0</v>
      </c>
      <c r="H6692">
        <v>0</v>
      </c>
      <c r="I6692">
        <v>1</v>
      </c>
      <c r="J6692">
        <v>0</v>
      </c>
      <c r="K6692">
        <v>0</v>
      </c>
      <c r="L6692">
        <f t="shared" si="208"/>
        <v>4.8</v>
      </c>
      <c r="M6692">
        <f t="shared" si="209"/>
        <v>1</v>
      </c>
    </row>
    <row r="6693" spans="1:13" x14ac:dyDescent="0.3">
      <c r="A6693">
        <v>6691</v>
      </c>
      <c r="B6693">
        <v>6692</v>
      </c>
      <c r="C6693" t="s">
        <v>6770</v>
      </c>
      <c r="D6693">
        <v>2013</v>
      </c>
      <c r="E6693" t="s">
        <v>14</v>
      </c>
      <c r="F6693" t="s">
        <v>2426</v>
      </c>
      <c r="G6693">
        <v>0</v>
      </c>
      <c r="H6693">
        <v>0</v>
      </c>
      <c r="I6693">
        <v>1</v>
      </c>
      <c r="J6693">
        <v>0</v>
      </c>
      <c r="K6693">
        <v>0</v>
      </c>
      <c r="L6693">
        <f t="shared" si="208"/>
        <v>4.8</v>
      </c>
      <c r="M6693">
        <f t="shared" si="209"/>
        <v>1</v>
      </c>
    </row>
    <row r="6694" spans="1:13" x14ac:dyDescent="0.3">
      <c r="A6694">
        <v>6692</v>
      </c>
      <c r="B6694">
        <v>6693</v>
      </c>
      <c r="C6694" t="s">
        <v>6771</v>
      </c>
      <c r="D6694">
        <v>1966</v>
      </c>
      <c r="E6694" t="s">
        <v>11</v>
      </c>
      <c r="F6694" t="s">
        <v>2426</v>
      </c>
      <c r="G6694">
        <v>0</v>
      </c>
      <c r="H6694">
        <v>0</v>
      </c>
      <c r="I6694">
        <v>1</v>
      </c>
      <c r="J6694">
        <v>0</v>
      </c>
      <c r="K6694">
        <v>0</v>
      </c>
      <c r="L6694">
        <f t="shared" si="208"/>
        <v>4.8</v>
      </c>
      <c r="M6694">
        <f t="shared" si="209"/>
        <v>1</v>
      </c>
    </row>
    <row r="6695" spans="1:13" x14ac:dyDescent="0.3">
      <c r="A6695">
        <v>6693</v>
      </c>
      <c r="B6695">
        <v>6694</v>
      </c>
      <c r="C6695" t="s">
        <v>6772</v>
      </c>
      <c r="D6695">
        <v>2001</v>
      </c>
      <c r="E6695" t="s">
        <v>11</v>
      </c>
      <c r="F6695" t="s">
        <v>2426</v>
      </c>
      <c r="G6695">
        <v>0</v>
      </c>
      <c r="H6695">
        <v>0</v>
      </c>
      <c r="I6695">
        <v>1</v>
      </c>
      <c r="J6695">
        <v>0</v>
      </c>
      <c r="K6695">
        <v>0</v>
      </c>
      <c r="L6695">
        <f t="shared" si="208"/>
        <v>4.8</v>
      </c>
      <c r="M6695">
        <f t="shared" si="209"/>
        <v>1</v>
      </c>
    </row>
    <row r="6696" spans="1:13" x14ac:dyDescent="0.3">
      <c r="A6696">
        <v>6694</v>
      </c>
      <c r="B6696">
        <v>6695</v>
      </c>
      <c r="C6696" t="s">
        <v>6773</v>
      </c>
      <c r="D6696">
        <v>1936</v>
      </c>
      <c r="E6696" t="s">
        <v>14</v>
      </c>
      <c r="F6696" t="s">
        <v>2426</v>
      </c>
      <c r="G6696">
        <v>0</v>
      </c>
      <c r="H6696">
        <v>0</v>
      </c>
      <c r="I6696">
        <v>1</v>
      </c>
      <c r="J6696">
        <v>0</v>
      </c>
      <c r="K6696">
        <v>0</v>
      </c>
      <c r="L6696">
        <f t="shared" si="208"/>
        <v>4.8</v>
      </c>
      <c r="M6696">
        <f t="shared" si="209"/>
        <v>1</v>
      </c>
    </row>
    <row r="6697" spans="1:13" x14ac:dyDescent="0.3">
      <c r="A6697">
        <v>6695</v>
      </c>
      <c r="B6697">
        <v>6696</v>
      </c>
      <c r="C6697" t="s">
        <v>6774</v>
      </c>
      <c r="D6697">
        <v>2012</v>
      </c>
      <c r="E6697" t="s">
        <v>14</v>
      </c>
      <c r="F6697" t="s">
        <v>2426</v>
      </c>
      <c r="G6697">
        <v>0</v>
      </c>
      <c r="H6697">
        <v>0</v>
      </c>
      <c r="I6697">
        <v>1</v>
      </c>
      <c r="J6697">
        <v>0</v>
      </c>
      <c r="K6697">
        <v>0</v>
      </c>
      <c r="L6697">
        <f t="shared" si="208"/>
        <v>4.8</v>
      </c>
      <c r="M6697">
        <f t="shared" si="209"/>
        <v>1</v>
      </c>
    </row>
    <row r="6698" spans="1:13" x14ac:dyDescent="0.3">
      <c r="A6698">
        <v>6696</v>
      </c>
      <c r="B6698">
        <v>6697</v>
      </c>
      <c r="C6698" t="s">
        <v>6775</v>
      </c>
      <c r="D6698">
        <v>2019</v>
      </c>
      <c r="E6698" t="s">
        <v>11</v>
      </c>
      <c r="F6698" t="s">
        <v>2426</v>
      </c>
      <c r="G6698">
        <v>0</v>
      </c>
      <c r="H6698">
        <v>0</v>
      </c>
      <c r="I6698">
        <v>1</v>
      </c>
      <c r="J6698">
        <v>0</v>
      </c>
      <c r="K6698">
        <v>0</v>
      </c>
      <c r="L6698">
        <f t="shared" si="208"/>
        <v>4.8</v>
      </c>
      <c r="M6698">
        <f t="shared" si="209"/>
        <v>1</v>
      </c>
    </row>
    <row r="6699" spans="1:13" x14ac:dyDescent="0.3">
      <c r="A6699">
        <v>6697</v>
      </c>
      <c r="B6699">
        <v>6698</v>
      </c>
      <c r="C6699" t="s">
        <v>6776</v>
      </c>
      <c r="D6699">
        <v>2012</v>
      </c>
      <c r="F6699" t="s">
        <v>2426</v>
      </c>
      <c r="G6699">
        <v>0</v>
      </c>
      <c r="H6699">
        <v>0</v>
      </c>
      <c r="I6699">
        <v>1</v>
      </c>
      <c r="J6699">
        <v>0</v>
      </c>
      <c r="K6699">
        <v>0</v>
      </c>
      <c r="L6699">
        <f t="shared" si="208"/>
        <v>4.8</v>
      </c>
      <c r="M6699">
        <f t="shared" si="209"/>
        <v>1</v>
      </c>
    </row>
    <row r="6700" spans="1:13" x14ac:dyDescent="0.3">
      <c r="A6700">
        <v>6698</v>
      </c>
      <c r="B6700">
        <v>6699</v>
      </c>
      <c r="C6700" t="s">
        <v>6777</v>
      </c>
      <c r="D6700">
        <v>2021</v>
      </c>
      <c r="F6700" t="s">
        <v>2426</v>
      </c>
      <c r="G6700">
        <v>0</v>
      </c>
      <c r="H6700">
        <v>0</v>
      </c>
      <c r="I6700">
        <v>1</v>
      </c>
      <c r="J6700">
        <v>0</v>
      </c>
      <c r="K6700">
        <v>0</v>
      </c>
      <c r="L6700">
        <f t="shared" si="208"/>
        <v>4.8</v>
      </c>
      <c r="M6700">
        <f t="shared" si="209"/>
        <v>1</v>
      </c>
    </row>
    <row r="6701" spans="1:13" x14ac:dyDescent="0.3">
      <c r="A6701">
        <v>6699</v>
      </c>
      <c r="B6701">
        <v>6700</v>
      </c>
      <c r="C6701" t="s">
        <v>6778</v>
      </c>
      <c r="D6701">
        <v>2015</v>
      </c>
      <c r="F6701" t="s">
        <v>2426</v>
      </c>
      <c r="G6701">
        <v>0</v>
      </c>
      <c r="H6701">
        <v>0</v>
      </c>
      <c r="I6701">
        <v>1</v>
      </c>
      <c r="J6701">
        <v>0</v>
      </c>
      <c r="K6701">
        <v>0</v>
      </c>
      <c r="L6701">
        <f t="shared" si="208"/>
        <v>4.8</v>
      </c>
      <c r="M6701">
        <f t="shared" si="209"/>
        <v>1</v>
      </c>
    </row>
    <row r="6702" spans="1:13" x14ac:dyDescent="0.3">
      <c r="A6702">
        <v>6700</v>
      </c>
      <c r="B6702">
        <v>6701</v>
      </c>
      <c r="C6702" t="s">
        <v>6779</v>
      </c>
      <c r="D6702">
        <v>1993</v>
      </c>
      <c r="E6702" t="s">
        <v>11</v>
      </c>
      <c r="F6702" t="s">
        <v>2426</v>
      </c>
      <c r="G6702">
        <v>0</v>
      </c>
      <c r="H6702">
        <v>0</v>
      </c>
      <c r="I6702">
        <v>1</v>
      </c>
      <c r="J6702">
        <v>0</v>
      </c>
      <c r="K6702">
        <v>0</v>
      </c>
      <c r="L6702">
        <f t="shared" si="208"/>
        <v>4.8</v>
      </c>
      <c r="M6702">
        <f t="shared" si="209"/>
        <v>1</v>
      </c>
    </row>
    <row r="6703" spans="1:13" x14ac:dyDescent="0.3">
      <c r="A6703">
        <v>6701</v>
      </c>
      <c r="B6703">
        <v>6702</v>
      </c>
      <c r="C6703" t="s">
        <v>6780</v>
      </c>
      <c r="D6703">
        <v>2007</v>
      </c>
      <c r="E6703" t="s">
        <v>14</v>
      </c>
      <c r="F6703" t="s">
        <v>2426</v>
      </c>
      <c r="G6703">
        <v>0</v>
      </c>
      <c r="H6703">
        <v>0</v>
      </c>
      <c r="I6703">
        <v>1</v>
      </c>
      <c r="J6703">
        <v>0</v>
      </c>
      <c r="K6703">
        <v>0</v>
      </c>
      <c r="L6703">
        <f t="shared" si="208"/>
        <v>4.8</v>
      </c>
      <c r="M6703">
        <f t="shared" si="209"/>
        <v>1</v>
      </c>
    </row>
    <row r="6704" spans="1:13" x14ac:dyDescent="0.3">
      <c r="A6704">
        <v>6702</v>
      </c>
      <c r="B6704">
        <v>6703</v>
      </c>
      <c r="C6704" t="s">
        <v>6781</v>
      </c>
      <c r="D6704">
        <v>1998</v>
      </c>
      <c r="F6704" t="s">
        <v>2426</v>
      </c>
      <c r="G6704">
        <v>0</v>
      </c>
      <c r="H6704">
        <v>0</v>
      </c>
      <c r="I6704">
        <v>1</v>
      </c>
      <c r="J6704">
        <v>0</v>
      </c>
      <c r="K6704">
        <v>0</v>
      </c>
      <c r="L6704">
        <f t="shared" si="208"/>
        <v>4.8</v>
      </c>
      <c r="M6704">
        <f t="shared" si="209"/>
        <v>1</v>
      </c>
    </row>
    <row r="6705" spans="1:13" x14ac:dyDescent="0.3">
      <c r="A6705">
        <v>6703</v>
      </c>
      <c r="B6705">
        <v>6704</v>
      </c>
      <c r="C6705" t="s">
        <v>6782</v>
      </c>
      <c r="D6705">
        <v>2017</v>
      </c>
      <c r="F6705" t="s">
        <v>2426</v>
      </c>
      <c r="G6705">
        <v>0</v>
      </c>
      <c r="H6705">
        <v>0</v>
      </c>
      <c r="I6705">
        <v>1</v>
      </c>
      <c r="J6705">
        <v>0</v>
      </c>
      <c r="K6705">
        <v>0</v>
      </c>
      <c r="L6705">
        <f t="shared" si="208"/>
        <v>4.8</v>
      </c>
      <c r="M6705">
        <f t="shared" si="209"/>
        <v>1</v>
      </c>
    </row>
    <row r="6706" spans="1:13" x14ac:dyDescent="0.3">
      <c r="A6706">
        <v>6704</v>
      </c>
      <c r="B6706">
        <v>6705</v>
      </c>
      <c r="C6706" t="s">
        <v>6783</v>
      </c>
      <c r="D6706">
        <v>2016</v>
      </c>
      <c r="F6706" t="s">
        <v>2426</v>
      </c>
      <c r="G6706">
        <v>0</v>
      </c>
      <c r="H6706">
        <v>0</v>
      </c>
      <c r="I6706">
        <v>1</v>
      </c>
      <c r="J6706">
        <v>0</v>
      </c>
      <c r="K6706">
        <v>0</v>
      </c>
      <c r="L6706">
        <f t="shared" si="208"/>
        <v>4.8</v>
      </c>
      <c r="M6706">
        <f t="shared" si="209"/>
        <v>1</v>
      </c>
    </row>
    <row r="6707" spans="1:13" x14ac:dyDescent="0.3">
      <c r="A6707">
        <v>6705</v>
      </c>
      <c r="B6707">
        <v>6706</v>
      </c>
      <c r="C6707" t="s">
        <v>6784</v>
      </c>
      <c r="D6707">
        <v>2013</v>
      </c>
      <c r="E6707" t="s">
        <v>14</v>
      </c>
      <c r="F6707" t="s">
        <v>2426</v>
      </c>
      <c r="G6707">
        <v>0</v>
      </c>
      <c r="H6707">
        <v>0</v>
      </c>
      <c r="I6707">
        <v>1</v>
      </c>
      <c r="J6707">
        <v>0</v>
      </c>
      <c r="K6707">
        <v>0</v>
      </c>
      <c r="L6707">
        <f t="shared" si="208"/>
        <v>4.8</v>
      </c>
      <c r="M6707">
        <f t="shared" si="209"/>
        <v>1</v>
      </c>
    </row>
    <row r="6708" spans="1:13" x14ac:dyDescent="0.3">
      <c r="A6708">
        <v>6706</v>
      </c>
      <c r="B6708">
        <v>6707</v>
      </c>
      <c r="C6708" t="s">
        <v>6785</v>
      </c>
      <c r="D6708">
        <v>2019</v>
      </c>
      <c r="F6708" t="s">
        <v>2426</v>
      </c>
      <c r="G6708">
        <v>0</v>
      </c>
      <c r="H6708">
        <v>0</v>
      </c>
      <c r="I6708">
        <v>1</v>
      </c>
      <c r="J6708">
        <v>0</v>
      </c>
      <c r="K6708">
        <v>0</v>
      </c>
      <c r="L6708">
        <f t="shared" si="208"/>
        <v>4.8</v>
      </c>
      <c r="M6708">
        <f t="shared" si="209"/>
        <v>1</v>
      </c>
    </row>
    <row r="6709" spans="1:13" x14ac:dyDescent="0.3">
      <c r="A6709">
        <v>6707</v>
      </c>
      <c r="B6709">
        <v>6708</v>
      </c>
      <c r="C6709" t="s">
        <v>6786</v>
      </c>
      <c r="D6709">
        <v>2014</v>
      </c>
      <c r="E6709" t="s">
        <v>14</v>
      </c>
      <c r="F6709" t="s">
        <v>2426</v>
      </c>
      <c r="G6709">
        <v>0</v>
      </c>
      <c r="H6709">
        <v>0</v>
      </c>
      <c r="I6709">
        <v>1</v>
      </c>
      <c r="J6709">
        <v>0</v>
      </c>
      <c r="K6709">
        <v>0</v>
      </c>
      <c r="L6709">
        <f t="shared" si="208"/>
        <v>4.8</v>
      </c>
      <c r="M6709">
        <f t="shared" si="209"/>
        <v>1</v>
      </c>
    </row>
    <row r="6710" spans="1:13" x14ac:dyDescent="0.3">
      <c r="A6710">
        <v>6708</v>
      </c>
      <c r="B6710">
        <v>6709</v>
      </c>
      <c r="C6710" t="s">
        <v>6787</v>
      </c>
      <c r="D6710">
        <v>2017</v>
      </c>
      <c r="F6710" t="s">
        <v>2426</v>
      </c>
      <c r="G6710">
        <v>0</v>
      </c>
      <c r="H6710">
        <v>0</v>
      </c>
      <c r="I6710">
        <v>1</v>
      </c>
      <c r="J6710">
        <v>0</v>
      </c>
      <c r="K6710">
        <v>0</v>
      </c>
      <c r="L6710">
        <f t="shared" si="208"/>
        <v>4.8</v>
      </c>
      <c r="M6710">
        <f t="shared" si="209"/>
        <v>1</v>
      </c>
    </row>
    <row r="6711" spans="1:13" x14ac:dyDescent="0.3">
      <c r="A6711">
        <v>6709</v>
      </c>
      <c r="B6711">
        <v>6710</v>
      </c>
      <c r="C6711" t="s">
        <v>6788</v>
      </c>
      <c r="D6711">
        <v>2018</v>
      </c>
      <c r="F6711" t="s">
        <v>2426</v>
      </c>
      <c r="G6711">
        <v>0</v>
      </c>
      <c r="H6711">
        <v>0</v>
      </c>
      <c r="I6711">
        <v>1</v>
      </c>
      <c r="J6711">
        <v>0</v>
      </c>
      <c r="K6711">
        <v>0</v>
      </c>
      <c r="L6711">
        <f t="shared" si="208"/>
        <v>4.8</v>
      </c>
      <c r="M6711">
        <f t="shared" si="209"/>
        <v>1</v>
      </c>
    </row>
    <row r="6712" spans="1:13" x14ac:dyDescent="0.3">
      <c r="A6712">
        <v>6710</v>
      </c>
      <c r="B6712">
        <v>6711</v>
      </c>
      <c r="C6712" t="s">
        <v>6789</v>
      </c>
      <c r="D6712">
        <v>1986</v>
      </c>
      <c r="E6712" t="s">
        <v>22</v>
      </c>
      <c r="F6712" t="s">
        <v>2426</v>
      </c>
      <c r="G6712">
        <v>0</v>
      </c>
      <c r="H6712">
        <v>0</v>
      </c>
      <c r="I6712">
        <v>1</v>
      </c>
      <c r="J6712">
        <v>0</v>
      </c>
      <c r="K6712">
        <v>0</v>
      </c>
      <c r="L6712">
        <f t="shared" si="208"/>
        <v>4.8</v>
      </c>
      <c r="M6712">
        <f t="shared" si="209"/>
        <v>1</v>
      </c>
    </row>
    <row r="6713" spans="1:13" x14ac:dyDescent="0.3">
      <c r="A6713">
        <v>6711</v>
      </c>
      <c r="B6713">
        <v>6712</v>
      </c>
      <c r="C6713" t="s">
        <v>6790</v>
      </c>
      <c r="D6713">
        <v>2014</v>
      </c>
      <c r="F6713" t="s">
        <v>2426</v>
      </c>
      <c r="G6713">
        <v>0</v>
      </c>
      <c r="H6713">
        <v>0</v>
      </c>
      <c r="I6713">
        <v>1</v>
      </c>
      <c r="J6713">
        <v>0</v>
      </c>
      <c r="K6713">
        <v>0</v>
      </c>
      <c r="L6713">
        <f t="shared" si="208"/>
        <v>4.8</v>
      </c>
      <c r="M6713">
        <f t="shared" si="209"/>
        <v>1</v>
      </c>
    </row>
    <row r="6714" spans="1:13" x14ac:dyDescent="0.3">
      <c r="A6714">
        <v>6712</v>
      </c>
      <c r="B6714">
        <v>6713</v>
      </c>
      <c r="C6714" t="s">
        <v>6791</v>
      </c>
      <c r="D6714">
        <v>2013</v>
      </c>
      <c r="F6714" t="s">
        <v>2426</v>
      </c>
      <c r="G6714">
        <v>0</v>
      </c>
      <c r="H6714">
        <v>0</v>
      </c>
      <c r="I6714">
        <v>1</v>
      </c>
      <c r="J6714">
        <v>0</v>
      </c>
      <c r="K6714">
        <v>0</v>
      </c>
      <c r="L6714">
        <f t="shared" si="208"/>
        <v>4.8</v>
      </c>
      <c r="M6714">
        <f t="shared" si="209"/>
        <v>1</v>
      </c>
    </row>
    <row r="6715" spans="1:13" x14ac:dyDescent="0.3">
      <c r="A6715">
        <v>6713</v>
      </c>
      <c r="B6715">
        <v>6714</v>
      </c>
      <c r="C6715" t="s">
        <v>6792</v>
      </c>
      <c r="D6715">
        <v>1946</v>
      </c>
      <c r="F6715" t="s">
        <v>2426</v>
      </c>
      <c r="G6715">
        <v>0</v>
      </c>
      <c r="H6715">
        <v>0</v>
      </c>
      <c r="I6715">
        <v>1</v>
      </c>
      <c r="J6715">
        <v>0</v>
      </c>
      <c r="K6715">
        <v>0</v>
      </c>
      <c r="L6715">
        <f t="shared" si="208"/>
        <v>4.8</v>
      </c>
      <c r="M6715">
        <f t="shared" si="209"/>
        <v>1</v>
      </c>
    </row>
    <row r="6716" spans="1:13" x14ac:dyDescent="0.3">
      <c r="A6716">
        <v>6714</v>
      </c>
      <c r="B6716">
        <v>6715</v>
      </c>
      <c r="C6716" t="s">
        <v>6793</v>
      </c>
      <c r="D6716">
        <v>1941</v>
      </c>
      <c r="F6716" t="s">
        <v>2426</v>
      </c>
      <c r="G6716">
        <v>0</v>
      </c>
      <c r="H6716">
        <v>0</v>
      </c>
      <c r="I6716">
        <v>1</v>
      </c>
      <c r="J6716">
        <v>0</v>
      </c>
      <c r="K6716">
        <v>0</v>
      </c>
      <c r="L6716">
        <f t="shared" si="208"/>
        <v>4.8</v>
      </c>
      <c r="M6716">
        <f t="shared" si="209"/>
        <v>1</v>
      </c>
    </row>
    <row r="6717" spans="1:13" x14ac:dyDescent="0.3">
      <c r="A6717">
        <v>6715</v>
      </c>
      <c r="B6717">
        <v>6716</v>
      </c>
      <c r="C6717" t="s">
        <v>6794</v>
      </c>
      <c r="D6717">
        <v>2019</v>
      </c>
      <c r="F6717" t="s">
        <v>2426</v>
      </c>
      <c r="G6717">
        <v>0</v>
      </c>
      <c r="H6717">
        <v>0</v>
      </c>
      <c r="I6717">
        <v>1</v>
      </c>
      <c r="J6717">
        <v>0</v>
      </c>
      <c r="K6717">
        <v>0</v>
      </c>
      <c r="L6717">
        <f t="shared" si="208"/>
        <v>4.8</v>
      </c>
      <c r="M6717">
        <f t="shared" si="209"/>
        <v>1</v>
      </c>
    </row>
    <row r="6718" spans="1:13" x14ac:dyDescent="0.3">
      <c r="A6718">
        <v>6716</v>
      </c>
      <c r="B6718">
        <v>6717</v>
      </c>
      <c r="C6718" t="s">
        <v>6795</v>
      </c>
      <c r="D6718">
        <v>2016</v>
      </c>
      <c r="E6718" t="s">
        <v>11</v>
      </c>
      <c r="F6718" t="s">
        <v>2426</v>
      </c>
      <c r="G6718">
        <v>0</v>
      </c>
      <c r="H6718">
        <v>0</v>
      </c>
      <c r="I6718">
        <v>1</v>
      </c>
      <c r="J6718">
        <v>0</v>
      </c>
      <c r="K6718">
        <v>0</v>
      </c>
      <c r="L6718">
        <f t="shared" si="208"/>
        <v>4.8</v>
      </c>
      <c r="M6718">
        <f t="shared" si="209"/>
        <v>1</v>
      </c>
    </row>
    <row r="6719" spans="1:13" x14ac:dyDescent="0.3">
      <c r="A6719">
        <v>6717</v>
      </c>
      <c r="B6719">
        <v>6718</v>
      </c>
      <c r="C6719" t="s">
        <v>6796</v>
      </c>
      <c r="D6719">
        <v>2018</v>
      </c>
      <c r="E6719" t="s">
        <v>11</v>
      </c>
      <c r="F6719" t="s">
        <v>2426</v>
      </c>
      <c r="G6719">
        <v>0</v>
      </c>
      <c r="H6719">
        <v>0</v>
      </c>
      <c r="I6719">
        <v>1</v>
      </c>
      <c r="J6719">
        <v>0</v>
      </c>
      <c r="K6719">
        <v>0</v>
      </c>
      <c r="L6719">
        <f t="shared" si="208"/>
        <v>4.8</v>
      </c>
      <c r="M6719">
        <f t="shared" si="209"/>
        <v>1</v>
      </c>
    </row>
    <row r="6720" spans="1:13" x14ac:dyDescent="0.3">
      <c r="A6720">
        <v>6718</v>
      </c>
      <c r="B6720">
        <v>6719</v>
      </c>
      <c r="C6720" t="s">
        <v>6797</v>
      </c>
      <c r="D6720">
        <v>2016</v>
      </c>
      <c r="E6720" t="s">
        <v>28</v>
      </c>
      <c r="F6720" t="s">
        <v>2426</v>
      </c>
      <c r="G6720">
        <v>0</v>
      </c>
      <c r="H6720">
        <v>0</v>
      </c>
      <c r="I6720">
        <v>1</v>
      </c>
      <c r="J6720">
        <v>0</v>
      </c>
      <c r="K6720">
        <v>0</v>
      </c>
      <c r="L6720">
        <f t="shared" si="208"/>
        <v>4.8</v>
      </c>
      <c r="M6720">
        <f t="shared" si="209"/>
        <v>1</v>
      </c>
    </row>
    <row r="6721" spans="1:13" x14ac:dyDescent="0.3">
      <c r="A6721">
        <v>6719</v>
      </c>
      <c r="B6721">
        <v>6720</v>
      </c>
      <c r="C6721" t="s">
        <v>6798</v>
      </c>
      <c r="D6721">
        <v>1976</v>
      </c>
      <c r="E6721" t="s">
        <v>14</v>
      </c>
      <c r="F6721" t="s">
        <v>2426</v>
      </c>
      <c r="G6721">
        <v>0</v>
      </c>
      <c r="H6721">
        <v>0</v>
      </c>
      <c r="I6721">
        <v>1</v>
      </c>
      <c r="J6721">
        <v>0</v>
      </c>
      <c r="K6721">
        <v>0</v>
      </c>
      <c r="L6721">
        <f t="shared" si="208"/>
        <v>4.8</v>
      </c>
      <c r="M6721">
        <f t="shared" si="209"/>
        <v>1</v>
      </c>
    </row>
    <row r="6722" spans="1:13" x14ac:dyDescent="0.3">
      <c r="A6722">
        <v>6720</v>
      </c>
      <c r="B6722">
        <v>6721</v>
      </c>
      <c r="C6722" t="s">
        <v>6799</v>
      </c>
      <c r="D6722">
        <v>2016</v>
      </c>
      <c r="F6722" t="s">
        <v>2426</v>
      </c>
      <c r="G6722">
        <v>0</v>
      </c>
      <c r="H6722">
        <v>0</v>
      </c>
      <c r="I6722">
        <v>1</v>
      </c>
      <c r="J6722">
        <v>0</v>
      </c>
      <c r="K6722">
        <v>0</v>
      </c>
      <c r="L6722">
        <f t="shared" si="208"/>
        <v>4.8</v>
      </c>
      <c r="M6722">
        <f t="shared" si="209"/>
        <v>1</v>
      </c>
    </row>
    <row r="6723" spans="1:13" x14ac:dyDescent="0.3">
      <c r="A6723">
        <v>6721</v>
      </c>
      <c r="B6723">
        <v>6722</v>
      </c>
      <c r="C6723" t="s">
        <v>6800</v>
      </c>
      <c r="D6723">
        <v>2017</v>
      </c>
      <c r="E6723" t="s">
        <v>14</v>
      </c>
      <c r="F6723" t="s">
        <v>2426</v>
      </c>
      <c r="G6723">
        <v>0</v>
      </c>
      <c r="H6723">
        <v>0</v>
      </c>
      <c r="I6723">
        <v>1</v>
      </c>
      <c r="J6723">
        <v>0</v>
      </c>
      <c r="K6723">
        <v>0</v>
      </c>
      <c r="L6723">
        <f t="shared" ref="L6723:L6786" si="210">IFERROR(VALUE(LEFT(F6723,FIND("/",F6723)-1))/10,"")</f>
        <v>4.8</v>
      </c>
      <c r="M6723">
        <f t="shared" ref="M6723:M6786" si="211">SUM(G6723:J6723)</f>
        <v>1</v>
      </c>
    </row>
    <row r="6724" spans="1:13" x14ac:dyDescent="0.3">
      <c r="A6724">
        <v>6722</v>
      </c>
      <c r="B6724">
        <v>6723</v>
      </c>
      <c r="C6724" t="s">
        <v>6801</v>
      </c>
      <c r="D6724">
        <v>2015</v>
      </c>
      <c r="E6724" t="s">
        <v>11</v>
      </c>
      <c r="F6724" t="s">
        <v>2426</v>
      </c>
      <c r="G6724">
        <v>0</v>
      </c>
      <c r="H6724">
        <v>0</v>
      </c>
      <c r="I6724">
        <v>1</v>
      </c>
      <c r="J6724">
        <v>0</v>
      </c>
      <c r="K6724">
        <v>0</v>
      </c>
      <c r="L6724">
        <f t="shared" si="210"/>
        <v>4.8</v>
      </c>
      <c r="M6724">
        <f t="shared" si="211"/>
        <v>1</v>
      </c>
    </row>
    <row r="6725" spans="1:13" x14ac:dyDescent="0.3">
      <c r="A6725">
        <v>6723</v>
      </c>
      <c r="B6725">
        <v>6724</v>
      </c>
      <c r="C6725" t="s">
        <v>6802</v>
      </c>
      <c r="D6725">
        <v>2008</v>
      </c>
      <c r="E6725" t="s">
        <v>14</v>
      </c>
      <c r="F6725" t="s">
        <v>2426</v>
      </c>
      <c r="G6725">
        <v>0</v>
      </c>
      <c r="H6725">
        <v>0</v>
      </c>
      <c r="I6725">
        <v>1</v>
      </c>
      <c r="J6725">
        <v>0</v>
      </c>
      <c r="K6725">
        <v>0</v>
      </c>
      <c r="L6725">
        <f t="shared" si="210"/>
        <v>4.8</v>
      </c>
      <c r="M6725">
        <f t="shared" si="211"/>
        <v>1</v>
      </c>
    </row>
    <row r="6726" spans="1:13" x14ac:dyDescent="0.3">
      <c r="A6726">
        <v>6724</v>
      </c>
      <c r="B6726">
        <v>6725</v>
      </c>
      <c r="C6726" t="s">
        <v>6803</v>
      </c>
      <c r="D6726">
        <v>2021</v>
      </c>
      <c r="F6726" t="s">
        <v>2426</v>
      </c>
      <c r="G6726">
        <v>0</v>
      </c>
      <c r="H6726">
        <v>0</v>
      </c>
      <c r="I6726">
        <v>1</v>
      </c>
      <c r="J6726">
        <v>0</v>
      </c>
      <c r="K6726">
        <v>0</v>
      </c>
      <c r="L6726">
        <f t="shared" si="210"/>
        <v>4.8</v>
      </c>
      <c r="M6726">
        <f t="shared" si="211"/>
        <v>1</v>
      </c>
    </row>
    <row r="6727" spans="1:13" x14ac:dyDescent="0.3">
      <c r="A6727">
        <v>6725</v>
      </c>
      <c r="B6727">
        <v>6726</v>
      </c>
      <c r="C6727" t="s">
        <v>6804</v>
      </c>
      <c r="D6727">
        <v>2005</v>
      </c>
      <c r="E6727" t="s">
        <v>11</v>
      </c>
      <c r="F6727" t="s">
        <v>2426</v>
      </c>
      <c r="G6727">
        <v>0</v>
      </c>
      <c r="H6727">
        <v>0</v>
      </c>
      <c r="I6727">
        <v>1</v>
      </c>
      <c r="J6727">
        <v>0</v>
      </c>
      <c r="K6727">
        <v>0</v>
      </c>
      <c r="L6727">
        <f t="shared" si="210"/>
        <v>4.8</v>
      </c>
      <c r="M6727">
        <f t="shared" si="211"/>
        <v>1</v>
      </c>
    </row>
    <row r="6728" spans="1:13" x14ac:dyDescent="0.3">
      <c r="A6728">
        <v>6726</v>
      </c>
      <c r="B6728">
        <v>6727</v>
      </c>
      <c r="C6728" t="s">
        <v>6805</v>
      </c>
      <c r="D6728">
        <v>2014</v>
      </c>
      <c r="E6728" t="s">
        <v>22</v>
      </c>
      <c r="F6728" t="s">
        <v>2426</v>
      </c>
      <c r="G6728">
        <v>0</v>
      </c>
      <c r="H6728">
        <v>0</v>
      </c>
      <c r="I6728">
        <v>1</v>
      </c>
      <c r="J6728">
        <v>0</v>
      </c>
      <c r="K6728">
        <v>0</v>
      </c>
      <c r="L6728">
        <f t="shared" si="210"/>
        <v>4.8</v>
      </c>
      <c r="M6728">
        <f t="shared" si="211"/>
        <v>1</v>
      </c>
    </row>
    <row r="6729" spans="1:13" x14ac:dyDescent="0.3">
      <c r="A6729">
        <v>6727</v>
      </c>
      <c r="B6729">
        <v>6728</v>
      </c>
      <c r="C6729" t="s">
        <v>6806</v>
      </c>
      <c r="D6729">
        <v>1980</v>
      </c>
      <c r="E6729" t="s">
        <v>11</v>
      </c>
      <c r="F6729" t="s">
        <v>2426</v>
      </c>
      <c r="G6729">
        <v>0</v>
      </c>
      <c r="H6729">
        <v>0</v>
      </c>
      <c r="I6729">
        <v>1</v>
      </c>
      <c r="J6729">
        <v>0</v>
      </c>
      <c r="K6729">
        <v>0</v>
      </c>
      <c r="L6729">
        <f t="shared" si="210"/>
        <v>4.8</v>
      </c>
      <c r="M6729">
        <f t="shared" si="211"/>
        <v>1</v>
      </c>
    </row>
    <row r="6730" spans="1:13" x14ac:dyDescent="0.3">
      <c r="A6730">
        <v>6728</v>
      </c>
      <c r="B6730">
        <v>6729</v>
      </c>
      <c r="C6730" t="s">
        <v>6807</v>
      </c>
      <c r="D6730">
        <v>1977</v>
      </c>
      <c r="F6730" t="s">
        <v>2426</v>
      </c>
      <c r="G6730">
        <v>0</v>
      </c>
      <c r="H6730">
        <v>0</v>
      </c>
      <c r="I6730">
        <v>1</v>
      </c>
      <c r="J6730">
        <v>0</v>
      </c>
      <c r="K6730">
        <v>0</v>
      </c>
      <c r="L6730">
        <f t="shared" si="210"/>
        <v>4.8</v>
      </c>
      <c r="M6730">
        <f t="shared" si="211"/>
        <v>1</v>
      </c>
    </row>
    <row r="6731" spans="1:13" x14ac:dyDescent="0.3">
      <c r="A6731">
        <v>6729</v>
      </c>
      <c r="B6731">
        <v>6730</v>
      </c>
      <c r="C6731" t="s">
        <v>6808</v>
      </c>
      <c r="D6731">
        <v>2010</v>
      </c>
      <c r="E6731" t="s">
        <v>36</v>
      </c>
      <c r="F6731" t="s">
        <v>2426</v>
      </c>
      <c r="G6731">
        <v>0</v>
      </c>
      <c r="H6731">
        <v>0</v>
      </c>
      <c r="I6731">
        <v>1</v>
      </c>
      <c r="J6731">
        <v>0</v>
      </c>
      <c r="K6731">
        <v>0</v>
      </c>
      <c r="L6731">
        <f t="shared" si="210"/>
        <v>4.8</v>
      </c>
      <c r="M6731">
        <f t="shared" si="211"/>
        <v>1</v>
      </c>
    </row>
    <row r="6732" spans="1:13" x14ac:dyDescent="0.3">
      <c r="A6732">
        <v>6730</v>
      </c>
      <c r="B6732">
        <v>6731</v>
      </c>
      <c r="C6732" t="s">
        <v>6809</v>
      </c>
      <c r="D6732">
        <v>2015</v>
      </c>
      <c r="F6732" t="s">
        <v>2426</v>
      </c>
      <c r="G6732">
        <v>0</v>
      </c>
      <c r="H6732">
        <v>0</v>
      </c>
      <c r="I6732">
        <v>1</v>
      </c>
      <c r="J6732">
        <v>0</v>
      </c>
      <c r="K6732">
        <v>0</v>
      </c>
      <c r="L6732">
        <f t="shared" si="210"/>
        <v>4.8</v>
      </c>
      <c r="M6732">
        <f t="shared" si="211"/>
        <v>1</v>
      </c>
    </row>
    <row r="6733" spans="1:13" x14ac:dyDescent="0.3">
      <c r="A6733">
        <v>6731</v>
      </c>
      <c r="B6733">
        <v>6732</v>
      </c>
      <c r="C6733" t="s">
        <v>6810</v>
      </c>
      <c r="D6733">
        <v>2013</v>
      </c>
      <c r="F6733" t="s">
        <v>2426</v>
      </c>
      <c r="G6733">
        <v>0</v>
      </c>
      <c r="H6733">
        <v>0</v>
      </c>
      <c r="I6733">
        <v>1</v>
      </c>
      <c r="J6733">
        <v>0</v>
      </c>
      <c r="K6733">
        <v>0</v>
      </c>
      <c r="L6733">
        <f t="shared" si="210"/>
        <v>4.8</v>
      </c>
      <c r="M6733">
        <f t="shared" si="211"/>
        <v>1</v>
      </c>
    </row>
    <row r="6734" spans="1:13" x14ac:dyDescent="0.3">
      <c r="A6734">
        <v>6732</v>
      </c>
      <c r="B6734">
        <v>6733</v>
      </c>
      <c r="C6734" t="s">
        <v>6811</v>
      </c>
      <c r="D6734">
        <v>2019</v>
      </c>
      <c r="F6734" t="s">
        <v>2426</v>
      </c>
      <c r="G6734">
        <v>0</v>
      </c>
      <c r="H6734">
        <v>0</v>
      </c>
      <c r="I6734">
        <v>1</v>
      </c>
      <c r="J6734">
        <v>0</v>
      </c>
      <c r="K6734">
        <v>0</v>
      </c>
      <c r="L6734">
        <f t="shared" si="210"/>
        <v>4.8</v>
      </c>
      <c r="M6734">
        <f t="shared" si="211"/>
        <v>1</v>
      </c>
    </row>
    <row r="6735" spans="1:13" x14ac:dyDescent="0.3">
      <c r="A6735">
        <v>6733</v>
      </c>
      <c r="B6735">
        <v>6734</v>
      </c>
      <c r="C6735" t="s">
        <v>6812</v>
      </c>
      <c r="D6735">
        <v>2006</v>
      </c>
      <c r="F6735" t="s">
        <v>2540</v>
      </c>
      <c r="G6735">
        <v>0</v>
      </c>
      <c r="H6735">
        <v>0</v>
      </c>
      <c r="I6735">
        <v>1</v>
      </c>
      <c r="J6735">
        <v>0</v>
      </c>
      <c r="K6735">
        <v>0</v>
      </c>
      <c r="L6735">
        <f t="shared" si="210"/>
        <v>4.7</v>
      </c>
      <c r="M6735">
        <f t="shared" si="211"/>
        <v>1</v>
      </c>
    </row>
    <row r="6736" spans="1:13" x14ac:dyDescent="0.3">
      <c r="A6736">
        <v>6734</v>
      </c>
      <c r="B6736">
        <v>6735</v>
      </c>
      <c r="C6736" t="s">
        <v>6813</v>
      </c>
      <c r="D6736">
        <v>2017</v>
      </c>
      <c r="E6736" t="s">
        <v>36</v>
      </c>
      <c r="F6736" t="s">
        <v>2540</v>
      </c>
      <c r="G6736">
        <v>0</v>
      </c>
      <c r="H6736">
        <v>0</v>
      </c>
      <c r="I6736">
        <v>1</v>
      </c>
      <c r="J6736">
        <v>0</v>
      </c>
      <c r="K6736">
        <v>0</v>
      </c>
      <c r="L6736">
        <f t="shared" si="210"/>
        <v>4.7</v>
      </c>
      <c r="M6736">
        <f t="shared" si="211"/>
        <v>1</v>
      </c>
    </row>
    <row r="6737" spans="1:13" x14ac:dyDescent="0.3">
      <c r="A6737">
        <v>6735</v>
      </c>
      <c r="B6737">
        <v>6736</v>
      </c>
      <c r="C6737" t="s">
        <v>6814</v>
      </c>
      <c r="D6737">
        <v>2013</v>
      </c>
      <c r="E6737" t="s">
        <v>36</v>
      </c>
      <c r="F6737" t="s">
        <v>2540</v>
      </c>
      <c r="G6737">
        <v>0</v>
      </c>
      <c r="H6737">
        <v>0</v>
      </c>
      <c r="I6737">
        <v>1</v>
      </c>
      <c r="J6737">
        <v>0</v>
      </c>
      <c r="K6737">
        <v>0</v>
      </c>
      <c r="L6737">
        <f t="shared" si="210"/>
        <v>4.7</v>
      </c>
      <c r="M6737">
        <f t="shared" si="211"/>
        <v>1</v>
      </c>
    </row>
    <row r="6738" spans="1:13" x14ac:dyDescent="0.3">
      <c r="A6738">
        <v>6736</v>
      </c>
      <c r="B6738">
        <v>6737</v>
      </c>
      <c r="C6738" t="s">
        <v>6815</v>
      </c>
      <c r="D6738">
        <v>2007</v>
      </c>
      <c r="F6738" t="s">
        <v>2540</v>
      </c>
      <c r="G6738">
        <v>0</v>
      </c>
      <c r="H6738">
        <v>0</v>
      </c>
      <c r="I6738">
        <v>1</v>
      </c>
      <c r="J6738">
        <v>0</v>
      </c>
      <c r="K6738">
        <v>0</v>
      </c>
      <c r="L6738">
        <f t="shared" si="210"/>
        <v>4.7</v>
      </c>
      <c r="M6738">
        <f t="shared" si="211"/>
        <v>1</v>
      </c>
    </row>
    <row r="6739" spans="1:13" x14ac:dyDescent="0.3">
      <c r="A6739">
        <v>6737</v>
      </c>
      <c r="B6739">
        <v>6738</v>
      </c>
      <c r="C6739" t="s">
        <v>6816</v>
      </c>
      <c r="D6739">
        <v>2018</v>
      </c>
      <c r="E6739" t="s">
        <v>22</v>
      </c>
      <c r="F6739" t="s">
        <v>2540</v>
      </c>
      <c r="G6739">
        <v>0</v>
      </c>
      <c r="H6739">
        <v>0</v>
      </c>
      <c r="I6739">
        <v>1</v>
      </c>
      <c r="J6739">
        <v>0</v>
      </c>
      <c r="K6739">
        <v>0</v>
      </c>
      <c r="L6739">
        <f t="shared" si="210"/>
        <v>4.7</v>
      </c>
      <c r="M6739">
        <f t="shared" si="211"/>
        <v>1</v>
      </c>
    </row>
    <row r="6740" spans="1:13" x14ac:dyDescent="0.3">
      <c r="A6740">
        <v>6738</v>
      </c>
      <c r="B6740">
        <v>6739</v>
      </c>
      <c r="C6740" t="s">
        <v>6817</v>
      </c>
      <c r="D6740">
        <v>1925</v>
      </c>
      <c r="F6740" t="s">
        <v>2540</v>
      </c>
      <c r="G6740">
        <v>0</v>
      </c>
      <c r="H6740">
        <v>0</v>
      </c>
      <c r="I6740">
        <v>1</v>
      </c>
      <c r="J6740">
        <v>0</v>
      </c>
      <c r="K6740">
        <v>0</v>
      </c>
      <c r="L6740">
        <f t="shared" si="210"/>
        <v>4.7</v>
      </c>
      <c r="M6740">
        <f t="shared" si="211"/>
        <v>1</v>
      </c>
    </row>
    <row r="6741" spans="1:13" x14ac:dyDescent="0.3">
      <c r="A6741">
        <v>6739</v>
      </c>
      <c r="B6741">
        <v>6740</v>
      </c>
      <c r="C6741" t="s">
        <v>6818</v>
      </c>
      <c r="D6741">
        <v>1996</v>
      </c>
      <c r="E6741" t="s">
        <v>14</v>
      </c>
      <c r="F6741" t="s">
        <v>2540</v>
      </c>
      <c r="G6741">
        <v>0</v>
      </c>
      <c r="H6741">
        <v>0</v>
      </c>
      <c r="I6741">
        <v>1</v>
      </c>
      <c r="J6741">
        <v>0</v>
      </c>
      <c r="K6741">
        <v>0</v>
      </c>
      <c r="L6741">
        <f t="shared" si="210"/>
        <v>4.7</v>
      </c>
      <c r="M6741">
        <f t="shared" si="211"/>
        <v>1</v>
      </c>
    </row>
    <row r="6742" spans="1:13" x14ac:dyDescent="0.3">
      <c r="A6742">
        <v>6740</v>
      </c>
      <c r="B6742">
        <v>6741</v>
      </c>
      <c r="C6742" t="s">
        <v>6819</v>
      </c>
      <c r="D6742">
        <v>2014</v>
      </c>
      <c r="E6742" t="s">
        <v>14</v>
      </c>
      <c r="F6742" t="s">
        <v>2540</v>
      </c>
      <c r="G6742">
        <v>0</v>
      </c>
      <c r="H6742">
        <v>0</v>
      </c>
      <c r="I6742">
        <v>1</v>
      </c>
      <c r="J6742">
        <v>0</v>
      </c>
      <c r="K6742">
        <v>0</v>
      </c>
      <c r="L6742">
        <f t="shared" si="210"/>
        <v>4.7</v>
      </c>
      <c r="M6742">
        <f t="shared" si="211"/>
        <v>1</v>
      </c>
    </row>
    <row r="6743" spans="1:13" x14ac:dyDescent="0.3">
      <c r="A6743">
        <v>6741</v>
      </c>
      <c r="B6743">
        <v>6742</v>
      </c>
      <c r="C6743" t="s">
        <v>6820</v>
      </c>
      <c r="D6743">
        <v>2008</v>
      </c>
      <c r="E6743" t="s">
        <v>11</v>
      </c>
      <c r="F6743" t="s">
        <v>2540</v>
      </c>
      <c r="G6743">
        <v>0</v>
      </c>
      <c r="H6743">
        <v>0</v>
      </c>
      <c r="I6743">
        <v>1</v>
      </c>
      <c r="J6743">
        <v>0</v>
      </c>
      <c r="K6743">
        <v>0</v>
      </c>
      <c r="L6743">
        <f t="shared" si="210"/>
        <v>4.7</v>
      </c>
      <c r="M6743">
        <f t="shared" si="211"/>
        <v>1</v>
      </c>
    </row>
    <row r="6744" spans="1:13" x14ac:dyDescent="0.3">
      <c r="A6744">
        <v>6742</v>
      </c>
      <c r="B6744">
        <v>6743</v>
      </c>
      <c r="C6744" t="s">
        <v>6821</v>
      </c>
      <c r="D6744">
        <v>2017</v>
      </c>
      <c r="E6744" t="s">
        <v>14</v>
      </c>
      <c r="F6744" t="s">
        <v>2540</v>
      </c>
      <c r="G6744">
        <v>0</v>
      </c>
      <c r="H6744">
        <v>0</v>
      </c>
      <c r="I6744">
        <v>1</v>
      </c>
      <c r="J6744">
        <v>0</v>
      </c>
      <c r="K6744">
        <v>0</v>
      </c>
      <c r="L6744">
        <f t="shared" si="210"/>
        <v>4.7</v>
      </c>
      <c r="M6744">
        <f t="shared" si="211"/>
        <v>1</v>
      </c>
    </row>
    <row r="6745" spans="1:13" x14ac:dyDescent="0.3">
      <c r="A6745">
        <v>6743</v>
      </c>
      <c r="B6745">
        <v>6744</v>
      </c>
      <c r="C6745" t="s">
        <v>6822</v>
      </c>
      <c r="D6745">
        <v>1940</v>
      </c>
      <c r="F6745" t="s">
        <v>2540</v>
      </c>
      <c r="G6745">
        <v>0</v>
      </c>
      <c r="H6745">
        <v>0</v>
      </c>
      <c r="I6745">
        <v>1</v>
      </c>
      <c r="J6745">
        <v>0</v>
      </c>
      <c r="K6745">
        <v>0</v>
      </c>
      <c r="L6745">
        <f t="shared" si="210"/>
        <v>4.7</v>
      </c>
      <c r="M6745">
        <f t="shared" si="211"/>
        <v>1</v>
      </c>
    </row>
    <row r="6746" spans="1:13" x14ac:dyDescent="0.3">
      <c r="A6746">
        <v>6744</v>
      </c>
      <c r="B6746">
        <v>6745</v>
      </c>
      <c r="C6746" t="s">
        <v>6823</v>
      </c>
      <c r="D6746">
        <v>2015</v>
      </c>
      <c r="E6746" t="s">
        <v>11</v>
      </c>
      <c r="F6746" t="s">
        <v>2540</v>
      </c>
      <c r="G6746">
        <v>0</v>
      </c>
      <c r="H6746">
        <v>0</v>
      </c>
      <c r="I6746">
        <v>1</v>
      </c>
      <c r="J6746">
        <v>0</v>
      </c>
      <c r="K6746">
        <v>0</v>
      </c>
      <c r="L6746">
        <f t="shared" si="210"/>
        <v>4.7</v>
      </c>
      <c r="M6746">
        <f t="shared" si="211"/>
        <v>1</v>
      </c>
    </row>
    <row r="6747" spans="1:13" x14ac:dyDescent="0.3">
      <c r="A6747">
        <v>6745</v>
      </c>
      <c r="B6747">
        <v>6746</v>
      </c>
      <c r="C6747" t="s">
        <v>6824</v>
      </c>
      <c r="D6747">
        <v>1985</v>
      </c>
      <c r="E6747" t="s">
        <v>11</v>
      </c>
      <c r="F6747" t="s">
        <v>2540</v>
      </c>
      <c r="G6747">
        <v>0</v>
      </c>
      <c r="H6747">
        <v>0</v>
      </c>
      <c r="I6747">
        <v>1</v>
      </c>
      <c r="J6747">
        <v>0</v>
      </c>
      <c r="K6747">
        <v>0</v>
      </c>
      <c r="L6747">
        <f t="shared" si="210"/>
        <v>4.7</v>
      </c>
      <c r="M6747">
        <f t="shared" si="211"/>
        <v>1</v>
      </c>
    </row>
    <row r="6748" spans="1:13" x14ac:dyDescent="0.3">
      <c r="A6748">
        <v>6746</v>
      </c>
      <c r="B6748">
        <v>6747</v>
      </c>
      <c r="C6748" t="s">
        <v>6825</v>
      </c>
      <c r="D6748">
        <v>2014</v>
      </c>
      <c r="F6748" t="s">
        <v>2540</v>
      </c>
      <c r="G6748">
        <v>0</v>
      </c>
      <c r="H6748">
        <v>0</v>
      </c>
      <c r="I6748">
        <v>1</v>
      </c>
      <c r="J6748">
        <v>0</v>
      </c>
      <c r="K6748">
        <v>0</v>
      </c>
      <c r="L6748">
        <f t="shared" si="210"/>
        <v>4.7</v>
      </c>
      <c r="M6748">
        <f t="shared" si="211"/>
        <v>1</v>
      </c>
    </row>
    <row r="6749" spans="1:13" x14ac:dyDescent="0.3">
      <c r="A6749">
        <v>6747</v>
      </c>
      <c r="B6749">
        <v>6748</v>
      </c>
      <c r="C6749" t="s">
        <v>6826</v>
      </c>
      <c r="D6749">
        <v>1992</v>
      </c>
      <c r="F6749" t="s">
        <v>2540</v>
      </c>
      <c r="G6749">
        <v>0</v>
      </c>
      <c r="H6749">
        <v>0</v>
      </c>
      <c r="I6749">
        <v>1</v>
      </c>
      <c r="J6749">
        <v>0</v>
      </c>
      <c r="K6749">
        <v>0</v>
      </c>
      <c r="L6749">
        <f t="shared" si="210"/>
        <v>4.7</v>
      </c>
      <c r="M6749">
        <f t="shared" si="211"/>
        <v>1</v>
      </c>
    </row>
    <row r="6750" spans="1:13" x14ac:dyDescent="0.3">
      <c r="A6750">
        <v>6748</v>
      </c>
      <c r="B6750">
        <v>6749</v>
      </c>
      <c r="C6750" t="s">
        <v>6827</v>
      </c>
      <c r="D6750">
        <v>1983</v>
      </c>
      <c r="E6750" t="s">
        <v>11</v>
      </c>
      <c r="F6750" t="s">
        <v>2540</v>
      </c>
      <c r="G6750">
        <v>0</v>
      </c>
      <c r="H6750">
        <v>0</v>
      </c>
      <c r="I6750">
        <v>1</v>
      </c>
      <c r="J6750">
        <v>0</v>
      </c>
      <c r="K6750">
        <v>0</v>
      </c>
      <c r="L6750">
        <f t="shared" si="210"/>
        <v>4.7</v>
      </c>
      <c r="M6750">
        <f t="shared" si="211"/>
        <v>1</v>
      </c>
    </row>
    <row r="6751" spans="1:13" x14ac:dyDescent="0.3">
      <c r="A6751">
        <v>6749</v>
      </c>
      <c r="B6751">
        <v>6750</v>
      </c>
      <c r="C6751" t="s">
        <v>6828</v>
      </c>
      <c r="D6751">
        <v>2013</v>
      </c>
      <c r="E6751" t="s">
        <v>11</v>
      </c>
      <c r="F6751" t="s">
        <v>2540</v>
      </c>
      <c r="G6751">
        <v>0</v>
      </c>
      <c r="H6751">
        <v>0</v>
      </c>
      <c r="I6751">
        <v>1</v>
      </c>
      <c r="J6751">
        <v>0</v>
      </c>
      <c r="K6751">
        <v>0</v>
      </c>
      <c r="L6751">
        <f t="shared" si="210"/>
        <v>4.7</v>
      </c>
      <c r="M6751">
        <f t="shared" si="211"/>
        <v>1</v>
      </c>
    </row>
    <row r="6752" spans="1:13" x14ac:dyDescent="0.3">
      <c r="A6752">
        <v>6750</v>
      </c>
      <c r="B6752">
        <v>6751</v>
      </c>
      <c r="C6752" t="s">
        <v>6829</v>
      </c>
      <c r="D6752">
        <v>2010</v>
      </c>
      <c r="F6752" t="s">
        <v>2540</v>
      </c>
      <c r="G6752">
        <v>0</v>
      </c>
      <c r="H6752">
        <v>0</v>
      </c>
      <c r="I6752">
        <v>1</v>
      </c>
      <c r="J6752">
        <v>0</v>
      </c>
      <c r="K6752">
        <v>0</v>
      </c>
      <c r="L6752">
        <f t="shared" si="210"/>
        <v>4.7</v>
      </c>
      <c r="M6752">
        <f t="shared" si="211"/>
        <v>1</v>
      </c>
    </row>
    <row r="6753" spans="1:13" x14ac:dyDescent="0.3">
      <c r="A6753">
        <v>6751</v>
      </c>
      <c r="B6753">
        <v>6752</v>
      </c>
      <c r="C6753" t="s">
        <v>6830</v>
      </c>
      <c r="D6753">
        <v>2019</v>
      </c>
      <c r="F6753" t="s">
        <v>2540</v>
      </c>
      <c r="G6753">
        <v>0</v>
      </c>
      <c r="H6753">
        <v>0</v>
      </c>
      <c r="I6753">
        <v>1</v>
      </c>
      <c r="J6753">
        <v>0</v>
      </c>
      <c r="K6753">
        <v>0</v>
      </c>
      <c r="L6753">
        <f t="shared" si="210"/>
        <v>4.7</v>
      </c>
      <c r="M6753">
        <f t="shared" si="211"/>
        <v>1</v>
      </c>
    </row>
    <row r="6754" spans="1:13" x14ac:dyDescent="0.3">
      <c r="A6754">
        <v>6752</v>
      </c>
      <c r="B6754">
        <v>6753</v>
      </c>
      <c r="C6754" t="s">
        <v>6831</v>
      </c>
      <c r="D6754">
        <v>1999</v>
      </c>
      <c r="E6754" t="s">
        <v>36</v>
      </c>
      <c r="F6754" t="s">
        <v>2540</v>
      </c>
      <c r="G6754">
        <v>0</v>
      </c>
      <c r="H6754">
        <v>0</v>
      </c>
      <c r="I6754">
        <v>1</v>
      </c>
      <c r="J6754">
        <v>0</v>
      </c>
      <c r="K6754">
        <v>0</v>
      </c>
      <c r="L6754">
        <f t="shared" si="210"/>
        <v>4.7</v>
      </c>
      <c r="M6754">
        <f t="shared" si="211"/>
        <v>1</v>
      </c>
    </row>
    <row r="6755" spans="1:13" x14ac:dyDescent="0.3">
      <c r="A6755">
        <v>6753</v>
      </c>
      <c r="B6755">
        <v>6754</v>
      </c>
      <c r="C6755" t="s">
        <v>6832</v>
      </c>
      <c r="D6755">
        <v>2008</v>
      </c>
      <c r="E6755" t="s">
        <v>11</v>
      </c>
      <c r="F6755" t="s">
        <v>2540</v>
      </c>
      <c r="G6755">
        <v>0</v>
      </c>
      <c r="H6755">
        <v>0</v>
      </c>
      <c r="I6755">
        <v>1</v>
      </c>
      <c r="J6755">
        <v>0</v>
      </c>
      <c r="K6755">
        <v>0</v>
      </c>
      <c r="L6755">
        <f t="shared" si="210"/>
        <v>4.7</v>
      </c>
      <c r="M6755">
        <f t="shared" si="211"/>
        <v>1</v>
      </c>
    </row>
    <row r="6756" spans="1:13" x14ac:dyDescent="0.3">
      <c r="A6756">
        <v>6754</v>
      </c>
      <c r="B6756">
        <v>6755</v>
      </c>
      <c r="C6756" t="s">
        <v>6833</v>
      </c>
      <c r="D6756">
        <v>2016</v>
      </c>
      <c r="E6756" t="s">
        <v>14</v>
      </c>
      <c r="F6756" t="s">
        <v>2540</v>
      </c>
      <c r="G6756">
        <v>0</v>
      </c>
      <c r="H6756">
        <v>0</v>
      </c>
      <c r="I6756">
        <v>1</v>
      </c>
      <c r="J6756">
        <v>0</v>
      </c>
      <c r="K6756">
        <v>0</v>
      </c>
      <c r="L6756">
        <f t="shared" si="210"/>
        <v>4.7</v>
      </c>
      <c r="M6756">
        <f t="shared" si="211"/>
        <v>1</v>
      </c>
    </row>
    <row r="6757" spans="1:13" x14ac:dyDescent="0.3">
      <c r="A6757">
        <v>6755</v>
      </c>
      <c r="B6757">
        <v>6756</v>
      </c>
      <c r="C6757" t="s">
        <v>6834</v>
      </c>
      <c r="D6757">
        <v>2018</v>
      </c>
      <c r="F6757" t="s">
        <v>2540</v>
      </c>
      <c r="G6757">
        <v>0</v>
      </c>
      <c r="H6757">
        <v>0</v>
      </c>
      <c r="I6757">
        <v>1</v>
      </c>
      <c r="J6757">
        <v>0</v>
      </c>
      <c r="K6757">
        <v>0</v>
      </c>
      <c r="L6757">
        <f t="shared" si="210"/>
        <v>4.7</v>
      </c>
      <c r="M6757">
        <f t="shared" si="211"/>
        <v>1</v>
      </c>
    </row>
    <row r="6758" spans="1:13" x14ac:dyDescent="0.3">
      <c r="A6758">
        <v>6756</v>
      </c>
      <c r="B6758">
        <v>6757</v>
      </c>
      <c r="C6758" t="s">
        <v>6835</v>
      </c>
      <c r="D6758">
        <v>2017</v>
      </c>
      <c r="F6758" t="s">
        <v>2540</v>
      </c>
      <c r="G6758">
        <v>0</v>
      </c>
      <c r="H6758">
        <v>0</v>
      </c>
      <c r="I6758">
        <v>1</v>
      </c>
      <c r="J6758">
        <v>0</v>
      </c>
      <c r="K6758">
        <v>0</v>
      </c>
      <c r="L6758">
        <f t="shared" si="210"/>
        <v>4.7</v>
      </c>
      <c r="M6758">
        <f t="shared" si="211"/>
        <v>1</v>
      </c>
    </row>
    <row r="6759" spans="1:13" x14ac:dyDescent="0.3">
      <c r="A6759">
        <v>6757</v>
      </c>
      <c r="B6759">
        <v>6758</v>
      </c>
      <c r="C6759" t="s">
        <v>6836</v>
      </c>
      <c r="D6759">
        <v>1975</v>
      </c>
      <c r="E6759" t="s">
        <v>11</v>
      </c>
      <c r="F6759" t="s">
        <v>2540</v>
      </c>
      <c r="G6759">
        <v>0</v>
      </c>
      <c r="H6759">
        <v>0</v>
      </c>
      <c r="I6759">
        <v>1</v>
      </c>
      <c r="J6759">
        <v>0</v>
      </c>
      <c r="K6759">
        <v>0</v>
      </c>
      <c r="L6759">
        <f t="shared" si="210"/>
        <v>4.7</v>
      </c>
      <c r="M6759">
        <f t="shared" si="211"/>
        <v>1</v>
      </c>
    </row>
    <row r="6760" spans="1:13" x14ac:dyDescent="0.3">
      <c r="A6760">
        <v>6758</v>
      </c>
      <c r="B6760">
        <v>6759</v>
      </c>
      <c r="C6760" t="s">
        <v>6837</v>
      </c>
      <c r="D6760">
        <v>2012</v>
      </c>
      <c r="F6760" t="s">
        <v>2540</v>
      </c>
      <c r="G6760">
        <v>0</v>
      </c>
      <c r="H6760">
        <v>0</v>
      </c>
      <c r="I6760">
        <v>1</v>
      </c>
      <c r="J6760">
        <v>0</v>
      </c>
      <c r="K6760">
        <v>0</v>
      </c>
      <c r="L6760">
        <f t="shared" si="210"/>
        <v>4.7</v>
      </c>
      <c r="M6760">
        <f t="shared" si="211"/>
        <v>1</v>
      </c>
    </row>
    <row r="6761" spans="1:13" x14ac:dyDescent="0.3">
      <c r="A6761">
        <v>6759</v>
      </c>
      <c r="B6761">
        <v>6760</v>
      </c>
      <c r="C6761" t="s">
        <v>6838</v>
      </c>
      <c r="D6761">
        <v>2018</v>
      </c>
      <c r="E6761" t="s">
        <v>28</v>
      </c>
      <c r="F6761" t="s">
        <v>2540</v>
      </c>
      <c r="G6761">
        <v>0</v>
      </c>
      <c r="H6761">
        <v>0</v>
      </c>
      <c r="I6761">
        <v>1</v>
      </c>
      <c r="J6761">
        <v>0</v>
      </c>
      <c r="K6761">
        <v>0</v>
      </c>
      <c r="L6761">
        <f t="shared" si="210"/>
        <v>4.7</v>
      </c>
      <c r="M6761">
        <f t="shared" si="211"/>
        <v>1</v>
      </c>
    </row>
    <row r="6762" spans="1:13" x14ac:dyDescent="0.3">
      <c r="A6762">
        <v>6760</v>
      </c>
      <c r="B6762">
        <v>6761</v>
      </c>
      <c r="C6762" t="s">
        <v>6839</v>
      </c>
      <c r="D6762">
        <v>1969</v>
      </c>
      <c r="F6762" t="s">
        <v>2540</v>
      </c>
      <c r="G6762">
        <v>0</v>
      </c>
      <c r="H6762">
        <v>0</v>
      </c>
      <c r="I6762">
        <v>1</v>
      </c>
      <c r="J6762">
        <v>0</v>
      </c>
      <c r="K6762">
        <v>0</v>
      </c>
      <c r="L6762">
        <f t="shared" si="210"/>
        <v>4.7</v>
      </c>
      <c r="M6762">
        <f t="shared" si="211"/>
        <v>1</v>
      </c>
    </row>
    <row r="6763" spans="1:13" x14ac:dyDescent="0.3">
      <c r="A6763">
        <v>6761</v>
      </c>
      <c r="B6763">
        <v>6762</v>
      </c>
      <c r="C6763" t="s">
        <v>6840</v>
      </c>
      <c r="D6763">
        <v>2016</v>
      </c>
      <c r="F6763" t="s">
        <v>2540</v>
      </c>
      <c r="G6763">
        <v>0</v>
      </c>
      <c r="H6763">
        <v>0</v>
      </c>
      <c r="I6763">
        <v>1</v>
      </c>
      <c r="J6763">
        <v>0</v>
      </c>
      <c r="K6763">
        <v>0</v>
      </c>
      <c r="L6763">
        <f t="shared" si="210"/>
        <v>4.7</v>
      </c>
      <c r="M6763">
        <f t="shared" si="211"/>
        <v>1</v>
      </c>
    </row>
    <row r="6764" spans="1:13" x14ac:dyDescent="0.3">
      <c r="A6764">
        <v>6762</v>
      </c>
      <c r="B6764">
        <v>6763</v>
      </c>
      <c r="C6764" t="s">
        <v>6841</v>
      </c>
      <c r="D6764">
        <v>2007</v>
      </c>
      <c r="F6764" t="s">
        <v>2540</v>
      </c>
      <c r="G6764">
        <v>0</v>
      </c>
      <c r="H6764">
        <v>0</v>
      </c>
      <c r="I6764">
        <v>1</v>
      </c>
      <c r="J6764">
        <v>0</v>
      </c>
      <c r="K6764">
        <v>0</v>
      </c>
      <c r="L6764">
        <f t="shared" si="210"/>
        <v>4.7</v>
      </c>
      <c r="M6764">
        <f t="shared" si="211"/>
        <v>1</v>
      </c>
    </row>
    <row r="6765" spans="1:13" x14ac:dyDescent="0.3">
      <c r="A6765">
        <v>6763</v>
      </c>
      <c r="B6765">
        <v>6764</v>
      </c>
      <c r="C6765" t="s">
        <v>6842</v>
      </c>
      <c r="D6765">
        <v>2016</v>
      </c>
      <c r="E6765" t="s">
        <v>11</v>
      </c>
      <c r="F6765" t="s">
        <v>2540</v>
      </c>
      <c r="G6765">
        <v>0</v>
      </c>
      <c r="H6765">
        <v>0</v>
      </c>
      <c r="I6765">
        <v>1</v>
      </c>
      <c r="J6765">
        <v>0</v>
      </c>
      <c r="K6765">
        <v>0</v>
      </c>
      <c r="L6765">
        <f t="shared" si="210"/>
        <v>4.7</v>
      </c>
      <c r="M6765">
        <f t="shared" si="211"/>
        <v>1</v>
      </c>
    </row>
    <row r="6766" spans="1:13" x14ac:dyDescent="0.3">
      <c r="A6766">
        <v>6764</v>
      </c>
      <c r="B6766">
        <v>6765</v>
      </c>
      <c r="C6766" t="s">
        <v>6843</v>
      </c>
      <c r="D6766">
        <v>2006</v>
      </c>
      <c r="F6766" t="s">
        <v>2540</v>
      </c>
      <c r="G6766">
        <v>0</v>
      </c>
      <c r="H6766">
        <v>0</v>
      </c>
      <c r="I6766">
        <v>1</v>
      </c>
      <c r="J6766">
        <v>0</v>
      </c>
      <c r="K6766">
        <v>0</v>
      </c>
      <c r="L6766">
        <f t="shared" si="210"/>
        <v>4.7</v>
      </c>
      <c r="M6766">
        <f t="shared" si="211"/>
        <v>1</v>
      </c>
    </row>
    <row r="6767" spans="1:13" x14ac:dyDescent="0.3">
      <c r="A6767">
        <v>6765</v>
      </c>
      <c r="B6767">
        <v>6766</v>
      </c>
      <c r="C6767" t="s">
        <v>6844</v>
      </c>
      <c r="D6767">
        <v>2013</v>
      </c>
      <c r="F6767" t="s">
        <v>2540</v>
      </c>
      <c r="G6767">
        <v>0</v>
      </c>
      <c r="H6767">
        <v>0</v>
      </c>
      <c r="I6767">
        <v>1</v>
      </c>
      <c r="J6767">
        <v>0</v>
      </c>
      <c r="K6767">
        <v>0</v>
      </c>
      <c r="L6767">
        <f t="shared" si="210"/>
        <v>4.7</v>
      </c>
      <c r="M6767">
        <f t="shared" si="211"/>
        <v>1</v>
      </c>
    </row>
    <row r="6768" spans="1:13" x14ac:dyDescent="0.3">
      <c r="A6768">
        <v>6766</v>
      </c>
      <c r="B6768">
        <v>6767</v>
      </c>
      <c r="C6768" t="s">
        <v>6845</v>
      </c>
      <c r="D6768">
        <v>2011</v>
      </c>
      <c r="E6768" t="s">
        <v>22</v>
      </c>
      <c r="F6768" t="s">
        <v>2540</v>
      </c>
      <c r="G6768">
        <v>0</v>
      </c>
      <c r="H6768">
        <v>0</v>
      </c>
      <c r="I6768">
        <v>1</v>
      </c>
      <c r="J6768">
        <v>0</v>
      </c>
      <c r="K6768">
        <v>0</v>
      </c>
      <c r="L6768">
        <f t="shared" si="210"/>
        <v>4.7</v>
      </c>
      <c r="M6768">
        <f t="shared" si="211"/>
        <v>1</v>
      </c>
    </row>
    <row r="6769" spans="1:13" x14ac:dyDescent="0.3">
      <c r="A6769">
        <v>6767</v>
      </c>
      <c r="B6769">
        <v>6768</v>
      </c>
      <c r="C6769" t="s">
        <v>6846</v>
      </c>
      <c r="D6769">
        <v>2013</v>
      </c>
      <c r="F6769" t="s">
        <v>2540</v>
      </c>
      <c r="G6769">
        <v>0</v>
      </c>
      <c r="H6769">
        <v>0</v>
      </c>
      <c r="I6769">
        <v>1</v>
      </c>
      <c r="J6769">
        <v>0</v>
      </c>
      <c r="K6769">
        <v>0</v>
      </c>
      <c r="L6769">
        <f t="shared" si="210"/>
        <v>4.7</v>
      </c>
      <c r="M6769">
        <f t="shared" si="211"/>
        <v>1</v>
      </c>
    </row>
    <row r="6770" spans="1:13" x14ac:dyDescent="0.3">
      <c r="A6770">
        <v>6768</v>
      </c>
      <c r="B6770">
        <v>6769</v>
      </c>
      <c r="C6770" t="s">
        <v>6847</v>
      </c>
      <c r="D6770">
        <v>2018</v>
      </c>
      <c r="E6770" t="s">
        <v>14</v>
      </c>
      <c r="F6770" t="s">
        <v>2540</v>
      </c>
      <c r="G6770">
        <v>0</v>
      </c>
      <c r="H6770">
        <v>0</v>
      </c>
      <c r="I6770">
        <v>1</v>
      </c>
      <c r="J6770">
        <v>0</v>
      </c>
      <c r="K6770">
        <v>0</v>
      </c>
      <c r="L6770">
        <f t="shared" si="210"/>
        <v>4.7</v>
      </c>
      <c r="M6770">
        <f t="shared" si="211"/>
        <v>1</v>
      </c>
    </row>
    <row r="6771" spans="1:13" x14ac:dyDescent="0.3">
      <c r="A6771">
        <v>6769</v>
      </c>
      <c r="B6771">
        <v>6770</v>
      </c>
      <c r="C6771" t="s">
        <v>6848</v>
      </c>
      <c r="D6771">
        <v>2011</v>
      </c>
      <c r="E6771" t="s">
        <v>11</v>
      </c>
      <c r="F6771" t="s">
        <v>2540</v>
      </c>
      <c r="G6771">
        <v>0</v>
      </c>
      <c r="H6771">
        <v>0</v>
      </c>
      <c r="I6771">
        <v>1</v>
      </c>
      <c r="J6771">
        <v>0</v>
      </c>
      <c r="K6771">
        <v>0</v>
      </c>
      <c r="L6771">
        <f t="shared" si="210"/>
        <v>4.7</v>
      </c>
      <c r="M6771">
        <f t="shared" si="211"/>
        <v>1</v>
      </c>
    </row>
    <row r="6772" spans="1:13" x14ac:dyDescent="0.3">
      <c r="A6772">
        <v>6770</v>
      </c>
      <c r="B6772">
        <v>6771</v>
      </c>
      <c r="C6772" t="s">
        <v>6849</v>
      </c>
      <c r="D6772">
        <v>2016</v>
      </c>
      <c r="F6772" t="s">
        <v>2540</v>
      </c>
      <c r="G6772">
        <v>0</v>
      </c>
      <c r="H6772">
        <v>0</v>
      </c>
      <c r="I6772">
        <v>1</v>
      </c>
      <c r="J6772">
        <v>0</v>
      </c>
      <c r="K6772">
        <v>0</v>
      </c>
      <c r="L6772">
        <f t="shared" si="210"/>
        <v>4.7</v>
      </c>
      <c r="M6772">
        <f t="shared" si="211"/>
        <v>1</v>
      </c>
    </row>
    <row r="6773" spans="1:13" x14ac:dyDescent="0.3">
      <c r="A6773">
        <v>6771</v>
      </c>
      <c r="B6773">
        <v>6772</v>
      </c>
      <c r="C6773" t="s">
        <v>6850</v>
      </c>
      <c r="D6773">
        <v>2018</v>
      </c>
      <c r="F6773" t="s">
        <v>2540</v>
      </c>
      <c r="G6773">
        <v>0</v>
      </c>
      <c r="H6773">
        <v>0</v>
      </c>
      <c r="I6773">
        <v>1</v>
      </c>
      <c r="J6773">
        <v>0</v>
      </c>
      <c r="K6773">
        <v>0</v>
      </c>
      <c r="L6773">
        <f t="shared" si="210"/>
        <v>4.7</v>
      </c>
      <c r="M6773">
        <f t="shared" si="211"/>
        <v>1</v>
      </c>
    </row>
    <row r="6774" spans="1:13" x14ac:dyDescent="0.3">
      <c r="A6774">
        <v>6772</v>
      </c>
      <c r="B6774">
        <v>6773</v>
      </c>
      <c r="C6774" t="s">
        <v>6851</v>
      </c>
      <c r="D6774">
        <v>2014</v>
      </c>
      <c r="F6774" t="s">
        <v>2540</v>
      </c>
      <c r="G6774">
        <v>0</v>
      </c>
      <c r="H6774">
        <v>0</v>
      </c>
      <c r="I6774">
        <v>1</v>
      </c>
      <c r="J6774">
        <v>0</v>
      </c>
      <c r="K6774">
        <v>0</v>
      </c>
      <c r="L6774">
        <f t="shared" si="210"/>
        <v>4.7</v>
      </c>
      <c r="M6774">
        <f t="shared" si="211"/>
        <v>1</v>
      </c>
    </row>
    <row r="6775" spans="1:13" x14ac:dyDescent="0.3">
      <c r="A6775">
        <v>6773</v>
      </c>
      <c r="B6775">
        <v>6774</v>
      </c>
      <c r="C6775" t="s">
        <v>6852</v>
      </c>
      <c r="D6775">
        <v>2014</v>
      </c>
      <c r="F6775" t="s">
        <v>2540</v>
      </c>
      <c r="G6775">
        <v>0</v>
      </c>
      <c r="H6775">
        <v>0</v>
      </c>
      <c r="I6775">
        <v>1</v>
      </c>
      <c r="J6775">
        <v>0</v>
      </c>
      <c r="K6775">
        <v>0</v>
      </c>
      <c r="L6775">
        <f t="shared" si="210"/>
        <v>4.7</v>
      </c>
      <c r="M6775">
        <f t="shared" si="211"/>
        <v>1</v>
      </c>
    </row>
    <row r="6776" spans="1:13" x14ac:dyDescent="0.3">
      <c r="A6776">
        <v>6774</v>
      </c>
      <c r="B6776">
        <v>6775</v>
      </c>
      <c r="C6776" t="s">
        <v>6853</v>
      </c>
      <c r="D6776">
        <v>2013</v>
      </c>
      <c r="F6776" t="s">
        <v>2540</v>
      </c>
      <c r="G6776">
        <v>0</v>
      </c>
      <c r="H6776">
        <v>0</v>
      </c>
      <c r="I6776">
        <v>1</v>
      </c>
      <c r="J6776">
        <v>0</v>
      </c>
      <c r="K6776">
        <v>0</v>
      </c>
      <c r="L6776">
        <f t="shared" si="210"/>
        <v>4.7</v>
      </c>
      <c r="M6776">
        <f t="shared" si="211"/>
        <v>1</v>
      </c>
    </row>
    <row r="6777" spans="1:13" x14ac:dyDescent="0.3">
      <c r="A6777">
        <v>6775</v>
      </c>
      <c r="B6777">
        <v>6776</v>
      </c>
      <c r="C6777" t="s">
        <v>6854</v>
      </c>
      <c r="D6777">
        <v>2018</v>
      </c>
      <c r="F6777" t="s">
        <v>2540</v>
      </c>
      <c r="G6777">
        <v>0</v>
      </c>
      <c r="H6777">
        <v>0</v>
      </c>
      <c r="I6777">
        <v>1</v>
      </c>
      <c r="J6777">
        <v>0</v>
      </c>
      <c r="K6777">
        <v>0</v>
      </c>
      <c r="L6777">
        <f t="shared" si="210"/>
        <v>4.7</v>
      </c>
      <c r="M6777">
        <f t="shared" si="211"/>
        <v>1</v>
      </c>
    </row>
    <row r="6778" spans="1:13" x14ac:dyDescent="0.3">
      <c r="A6778">
        <v>6776</v>
      </c>
      <c r="B6778">
        <v>6777</v>
      </c>
      <c r="C6778" t="s">
        <v>6855</v>
      </c>
      <c r="D6778">
        <v>1936</v>
      </c>
      <c r="F6778" t="s">
        <v>2540</v>
      </c>
      <c r="G6778">
        <v>0</v>
      </c>
      <c r="H6778">
        <v>0</v>
      </c>
      <c r="I6778">
        <v>1</v>
      </c>
      <c r="J6778">
        <v>0</v>
      </c>
      <c r="K6778">
        <v>0</v>
      </c>
      <c r="L6778">
        <f t="shared" si="210"/>
        <v>4.7</v>
      </c>
      <c r="M6778">
        <f t="shared" si="211"/>
        <v>1</v>
      </c>
    </row>
    <row r="6779" spans="1:13" x14ac:dyDescent="0.3">
      <c r="A6779">
        <v>6777</v>
      </c>
      <c r="B6779">
        <v>6778</v>
      </c>
      <c r="C6779" t="s">
        <v>6856</v>
      </c>
      <c r="D6779">
        <v>2018</v>
      </c>
      <c r="E6779" t="s">
        <v>11</v>
      </c>
      <c r="F6779" t="s">
        <v>2540</v>
      </c>
      <c r="G6779">
        <v>0</v>
      </c>
      <c r="H6779">
        <v>0</v>
      </c>
      <c r="I6779">
        <v>1</v>
      </c>
      <c r="J6779">
        <v>0</v>
      </c>
      <c r="K6779">
        <v>0</v>
      </c>
      <c r="L6779">
        <f t="shared" si="210"/>
        <v>4.7</v>
      </c>
      <c r="M6779">
        <f t="shared" si="211"/>
        <v>1</v>
      </c>
    </row>
    <row r="6780" spans="1:13" x14ac:dyDescent="0.3">
      <c r="A6780">
        <v>6778</v>
      </c>
      <c r="B6780">
        <v>6779</v>
      </c>
      <c r="C6780" t="s">
        <v>6857</v>
      </c>
      <c r="D6780">
        <v>2006</v>
      </c>
      <c r="F6780" t="s">
        <v>2540</v>
      </c>
      <c r="G6780">
        <v>0</v>
      </c>
      <c r="H6780">
        <v>0</v>
      </c>
      <c r="I6780">
        <v>1</v>
      </c>
      <c r="J6780">
        <v>0</v>
      </c>
      <c r="K6780">
        <v>0</v>
      </c>
      <c r="L6780">
        <f t="shared" si="210"/>
        <v>4.7</v>
      </c>
      <c r="M6780">
        <f t="shared" si="211"/>
        <v>1</v>
      </c>
    </row>
    <row r="6781" spans="1:13" x14ac:dyDescent="0.3">
      <c r="A6781">
        <v>6779</v>
      </c>
      <c r="B6781">
        <v>6780</v>
      </c>
      <c r="C6781" t="s">
        <v>6858</v>
      </c>
      <c r="D6781">
        <v>2017</v>
      </c>
      <c r="E6781" t="s">
        <v>28</v>
      </c>
      <c r="F6781" t="s">
        <v>2540</v>
      </c>
      <c r="G6781">
        <v>0</v>
      </c>
      <c r="H6781">
        <v>0</v>
      </c>
      <c r="I6781">
        <v>1</v>
      </c>
      <c r="J6781">
        <v>0</v>
      </c>
      <c r="K6781">
        <v>0</v>
      </c>
      <c r="L6781">
        <f t="shared" si="210"/>
        <v>4.7</v>
      </c>
      <c r="M6781">
        <f t="shared" si="211"/>
        <v>1</v>
      </c>
    </row>
    <row r="6782" spans="1:13" x14ac:dyDescent="0.3">
      <c r="A6782">
        <v>6780</v>
      </c>
      <c r="B6782">
        <v>6781</v>
      </c>
      <c r="C6782" t="s">
        <v>6859</v>
      </c>
      <c r="D6782">
        <v>2013</v>
      </c>
      <c r="F6782" t="s">
        <v>2540</v>
      </c>
      <c r="G6782">
        <v>0</v>
      </c>
      <c r="H6782">
        <v>0</v>
      </c>
      <c r="I6782">
        <v>1</v>
      </c>
      <c r="J6782">
        <v>0</v>
      </c>
      <c r="K6782">
        <v>0</v>
      </c>
      <c r="L6782">
        <f t="shared" si="210"/>
        <v>4.7</v>
      </c>
      <c r="M6782">
        <f t="shared" si="211"/>
        <v>1</v>
      </c>
    </row>
    <row r="6783" spans="1:13" x14ac:dyDescent="0.3">
      <c r="A6783">
        <v>6781</v>
      </c>
      <c r="B6783">
        <v>6782</v>
      </c>
      <c r="C6783" t="s">
        <v>6860</v>
      </c>
      <c r="D6783">
        <v>2006</v>
      </c>
      <c r="F6783" t="s">
        <v>2540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f t="shared" si="210"/>
        <v>4.7</v>
      </c>
      <c r="M6783">
        <f t="shared" si="211"/>
        <v>1</v>
      </c>
    </row>
    <row r="6784" spans="1:13" x14ac:dyDescent="0.3">
      <c r="A6784">
        <v>6782</v>
      </c>
      <c r="B6784">
        <v>6783</v>
      </c>
      <c r="C6784" t="s">
        <v>6861</v>
      </c>
      <c r="D6784">
        <v>2017</v>
      </c>
      <c r="F6784" t="s">
        <v>2540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f t="shared" si="210"/>
        <v>4.7</v>
      </c>
      <c r="M6784">
        <f t="shared" si="211"/>
        <v>1</v>
      </c>
    </row>
    <row r="6785" spans="1:13" x14ac:dyDescent="0.3">
      <c r="A6785">
        <v>6783</v>
      </c>
      <c r="B6785">
        <v>6784</v>
      </c>
      <c r="C6785" t="s">
        <v>6862</v>
      </c>
      <c r="D6785">
        <v>1999</v>
      </c>
      <c r="F6785" t="s">
        <v>2540</v>
      </c>
      <c r="G6785">
        <v>0</v>
      </c>
      <c r="H6785">
        <v>0</v>
      </c>
      <c r="I6785">
        <v>1</v>
      </c>
      <c r="J6785">
        <v>0</v>
      </c>
      <c r="K6785">
        <v>0</v>
      </c>
      <c r="L6785">
        <f t="shared" si="210"/>
        <v>4.7</v>
      </c>
      <c r="M6785">
        <f t="shared" si="211"/>
        <v>1</v>
      </c>
    </row>
    <row r="6786" spans="1:13" x14ac:dyDescent="0.3">
      <c r="A6786">
        <v>6784</v>
      </c>
      <c r="B6786">
        <v>6785</v>
      </c>
      <c r="C6786" t="s">
        <v>6863</v>
      </c>
      <c r="D6786">
        <v>2014</v>
      </c>
      <c r="F6786" t="s">
        <v>2540</v>
      </c>
      <c r="G6786">
        <v>0</v>
      </c>
      <c r="H6786">
        <v>0</v>
      </c>
      <c r="I6786">
        <v>1</v>
      </c>
      <c r="J6786">
        <v>0</v>
      </c>
      <c r="K6786">
        <v>0</v>
      </c>
      <c r="L6786">
        <f t="shared" si="210"/>
        <v>4.7</v>
      </c>
      <c r="M6786">
        <f t="shared" si="211"/>
        <v>1</v>
      </c>
    </row>
    <row r="6787" spans="1:13" x14ac:dyDescent="0.3">
      <c r="A6787">
        <v>6785</v>
      </c>
      <c r="B6787">
        <v>6786</v>
      </c>
      <c r="C6787" t="s">
        <v>6864</v>
      </c>
      <c r="D6787">
        <v>2010</v>
      </c>
      <c r="F6787" t="s">
        <v>2540</v>
      </c>
      <c r="G6787">
        <v>0</v>
      </c>
      <c r="H6787">
        <v>0</v>
      </c>
      <c r="I6787">
        <v>1</v>
      </c>
      <c r="J6787">
        <v>0</v>
      </c>
      <c r="K6787">
        <v>0</v>
      </c>
      <c r="L6787">
        <f t="shared" ref="L6787:L6850" si="212">IFERROR(VALUE(LEFT(F6787,FIND("/",F6787)-1))/10,"")</f>
        <v>4.7</v>
      </c>
      <c r="M6787">
        <f t="shared" ref="M6787:M6850" si="213">SUM(G6787:J6787)</f>
        <v>1</v>
      </c>
    </row>
    <row r="6788" spans="1:13" x14ac:dyDescent="0.3">
      <c r="A6788">
        <v>6786</v>
      </c>
      <c r="B6788">
        <v>6787</v>
      </c>
      <c r="C6788" t="s">
        <v>6865</v>
      </c>
      <c r="D6788">
        <v>2011</v>
      </c>
      <c r="F6788" t="s">
        <v>2540</v>
      </c>
      <c r="G6788">
        <v>0</v>
      </c>
      <c r="H6788">
        <v>0</v>
      </c>
      <c r="I6788">
        <v>1</v>
      </c>
      <c r="J6788">
        <v>0</v>
      </c>
      <c r="K6788">
        <v>0</v>
      </c>
      <c r="L6788">
        <f t="shared" si="212"/>
        <v>4.7</v>
      </c>
      <c r="M6788">
        <f t="shared" si="213"/>
        <v>1</v>
      </c>
    </row>
    <row r="6789" spans="1:13" x14ac:dyDescent="0.3">
      <c r="A6789">
        <v>6787</v>
      </c>
      <c r="B6789">
        <v>6788</v>
      </c>
      <c r="C6789" t="s">
        <v>6866</v>
      </c>
      <c r="D6789">
        <v>1943</v>
      </c>
      <c r="F6789" t="s">
        <v>2540</v>
      </c>
      <c r="G6789">
        <v>0</v>
      </c>
      <c r="H6789">
        <v>0</v>
      </c>
      <c r="I6789">
        <v>1</v>
      </c>
      <c r="J6789">
        <v>0</v>
      </c>
      <c r="K6789">
        <v>0</v>
      </c>
      <c r="L6789">
        <f t="shared" si="212"/>
        <v>4.7</v>
      </c>
      <c r="M6789">
        <f t="shared" si="213"/>
        <v>1</v>
      </c>
    </row>
    <row r="6790" spans="1:13" x14ac:dyDescent="0.3">
      <c r="A6790">
        <v>6788</v>
      </c>
      <c r="B6790">
        <v>6789</v>
      </c>
      <c r="C6790" t="s">
        <v>6867</v>
      </c>
      <c r="D6790">
        <v>2015</v>
      </c>
      <c r="E6790" t="s">
        <v>11</v>
      </c>
      <c r="F6790" t="s">
        <v>2540</v>
      </c>
      <c r="G6790">
        <v>0</v>
      </c>
      <c r="H6790">
        <v>0</v>
      </c>
      <c r="I6790">
        <v>1</v>
      </c>
      <c r="J6790">
        <v>0</v>
      </c>
      <c r="K6790">
        <v>0</v>
      </c>
      <c r="L6790">
        <f t="shared" si="212"/>
        <v>4.7</v>
      </c>
      <c r="M6790">
        <f t="shared" si="213"/>
        <v>1</v>
      </c>
    </row>
    <row r="6791" spans="1:13" x14ac:dyDescent="0.3">
      <c r="A6791">
        <v>6789</v>
      </c>
      <c r="B6791">
        <v>6790</v>
      </c>
      <c r="C6791" t="s">
        <v>6868</v>
      </c>
      <c r="D6791">
        <v>2017</v>
      </c>
      <c r="F6791" t="s">
        <v>2540</v>
      </c>
      <c r="G6791">
        <v>0</v>
      </c>
      <c r="H6791">
        <v>0</v>
      </c>
      <c r="I6791">
        <v>1</v>
      </c>
      <c r="J6791">
        <v>0</v>
      </c>
      <c r="K6791">
        <v>0</v>
      </c>
      <c r="L6791">
        <f t="shared" si="212"/>
        <v>4.7</v>
      </c>
      <c r="M6791">
        <f t="shared" si="213"/>
        <v>1</v>
      </c>
    </row>
    <row r="6792" spans="1:13" x14ac:dyDescent="0.3">
      <c r="A6792">
        <v>6790</v>
      </c>
      <c r="B6792">
        <v>6791</v>
      </c>
      <c r="C6792" t="s">
        <v>6869</v>
      </c>
      <c r="D6792">
        <v>2014</v>
      </c>
      <c r="F6792" t="s">
        <v>2540</v>
      </c>
      <c r="G6792">
        <v>0</v>
      </c>
      <c r="H6792">
        <v>0</v>
      </c>
      <c r="I6792">
        <v>1</v>
      </c>
      <c r="J6792">
        <v>0</v>
      </c>
      <c r="K6792">
        <v>0</v>
      </c>
      <c r="L6792">
        <f t="shared" si="212"/>
        <v>4.7</v>
      </c>
      <c r="M6792">
        <f t="shared" si="213"/>
        <v>1</v>
      </c>
    </row>
    <row r="6793" spans="1:13" x14ac:dyDescent="0.3">
      <c r="A6793">
        <v>6791</v>
      </c>
      <c r="B6793">
        <v>6792</v>
      </c>
      <c r="C6793" t="s">
        <v>6870</v>
      </c>
      <c r="D6793">
        <v>2016</v>
      </c>
      <c r="E6793" t="s">
        <v>11</v>
      </c>
      <c r="F6793" t="s">
        <v>2540</v>
      </c>
      <c r="G6793">
        <v>0</v>
      </c>
      <c r="H6793">
        <v>0</v>
      </c>
      <c r="I6793">
        <v>1</v>
      </c>
      <c r="J6793">
        <v>0</v>
      </c>
      <c r="K6793">
        <v>0</v>
      </c>
      <c r="L6793">
        <f t="shared" si="212"/>
        <v>4.7</v>
      </c>
      <c r="M6793">
        <f t="shared" si="213"/>
        <v>1</v>
      </c>
    </row>
    <row r="6794" spans="1:13" x14ac:dyDescent="0.3">
      <c r="A6794">
        <v>6792</v>
      </c>
      <c r="B6794">
        <v>6793</v>
      </c>
      <c r="C6794" t="s">
        <v>6871</v>
      </c>
      <c r="D6794">
        <v>2019</v>
      </c>
      <c r="E6794" t="s">
        <v>28</v>
      </c>
      <c r="F6794" t="s">
        <v>2540</v>
      </c>
      <c r="G6794">
        <v>0</v>
      </c>
      <c r="H6794">
        <v>0</v>
      </c>
      <c r="I6794">
        <v>1</v>
      </c>
      <c r="J6794">
        <v>0</v>
      </c>
      <c r="K6794">
        <v>0</v>
      </c>
      <c r="L6794">
        <f t="shared" si="212"/>
        <v>4.7</v>
      </c>
      <c r="M6794">
        <f t="shared" si="213"/>
        <v>1</v>
      </c>
    </row>
    <row r="6795" spans="1:13" x14ac:dyDescent="0.3">
      <c r="A6795">
        <v>6793</v>
      </c>
      <c r="B6795">
        <v>6794</v>
      </c>
      <c r="C6795" t="s">
        <v>6872</v>
      </c>
      <c r="D6795">
        <v>2008</v>
      </c>
      <c r="E6795" t="s">
        <v>22</v>
      </c>
      <c r="F6795" t="s">
        <v>2540</v>
      </c>
      <c r="G6795">
        <v>0</v>
      </c>
      <c r="H6795">
        <v>0</v>
      </c>
      <c r="I6795">
        <v>1</v>
      </c>
      <c r="J6795">
        <v>0</v>
      </c>
      <c r="K6795">
        <v>0</v>
      </c>
      <c r="L6795">
        <f t="shared" si="212"/>
        <v>4.7</v>
      </c>
      <c r="M6795">
        <f t="shared" si="213"/>
        <v>1</v>
      </c>
    </row>
    <row r="6796" spans="1:13" x14ac:dyDescent="0.3">
      <c r="A6796">
        <v>6794</v>
      </c>
      <c r="B6796">
        <v>6795</v>
      </c>
      <c r="C6796" t="s">
        <v>6873</v>
      </c>
      <c r="D6796">
        <v>2004</v>
      </c>
      <c r="F6796" t="s">
        <v>2540</v>
      </c>
      <c r="G6796">
        <v>0</v>
      </c>
      <c r="H6796">
        <v>0</v>
      </c>
      <c r="I6796">
        <v>1</v>
      </c>
      <c r="J6796">
        <v>0</v>
      </c>
      <c r="K6796">
        <v>0</v>
      </c>
      <c r="L6796">
        <f t="shared" si="212"/>
        <v>4.7</v>
      </c>
      <c r="M6796">
        <f t="shared" si="213"/>
        <v>1</v>
      </c>
    </row>
    <row r="6797" spans="1:13" x14ac:dyDescent="0.3">
      <c r="A6797">
        <v>6795</v>
      </c>
      <c r="B6797">
        <v>6796</v>
      </c>
      <c r="C6797" t="s">
        <v>6874</v>
      </c>
      <c r="D6797">
        <v>1965</v>
      </c>
      <c r="F6797" t="s">
        <v>2540</v>
      </c>
      <c r="G6797">
        <v>0</v>
      </c>
      <c r="H6797">
        <v>0</v>
      </c>
      <c r="I6797">
        <v>1</v>
      </c>
      <c r="J6797">
        <v>0</v>
      </c>
      <c r="K6797">
        <v>0</v>
      </c>
      <c r="L6797">
        <f t="shared" si="212"/>
        <v>4.7</v>
      </c>
      <c r="M6797">
        <f t="shared" si="213"/>
        <v>1</v>
      </c>
    </row>
    <row r="6798" spans="1:13" x14ac:dyDescent="0.3">
      <c r="A6798">
        <v>6796</v>
      </c>
      <c r="B6798">
        <v>6797</v>
      </c>
      <c r="C6798" t="s">
        <v>6875</v>
      </c>
      <c r="D6798">
        <v>1987</v>
      </c>
      <c r="E6798" t="s">
        <v>36</v>
      </c>
      <c r="F6798" t="s">
        <v>2540</v>
      </c>
      <c r="G6798">
        <v>0</v>
      </c>
      <c r="H6798">
        <v>0</v>
      </c>
      <c r="I6798">
        <v>1</v>
      </c>
      <c r="J6798">
        <v>0</v>
      </c>
      <c r="K6798">
        <v>0</v>
      </c>
      <c r="L6798">
        <f t="shared" si="212"/>
        <v>4.7</v>
      </c>
      <c r="M6798">
        <f t="shared" si="213"/>
        <v>1</v>
      </c>
    </row>
    <row r="6799" spans="1:13" x14ac:dyDescent="0.3">
      <c r="A6799">
        <v>6797</v>
      </c>
      <c r="B6799">
        <v>6798</v>
      </c>
      <c r="C6799" t="s">
        <v>6876</v>
      </c>
      <c r="D6799">
        <v>2019</v>
      </c>
      <c r="E6799" t="s">
        <v>11</v>
      </c>
      <c r="F6799" t="s">
        <v>2540</v>
      </c>
      <c r="G6799">
        <v>0</v>
      </c>
      <c r="H6799">
        <v>0</v>
      </c>
      <c r="I6799">
        <v>1</v>
      </c>
      <c r="J6799">
        <v>0</v>
      </c>
      <c r="K6799">
        <v>0</v>
      </c>
      <c r="L6799">
        <f t="shared" si="212"/>
        <v>4.7</v>
      </c>
      <c r="M6799">
        <f t="shared" si="213"/>
        <v>1</v>
      </c>
    </row>
    <row r="6800" spans="1:13" x14ac:dyDescent="0.3">
      <c r="A6800">
        <v>6798</v>
      </c>
      <c r="B6800">
        <v>6799</v>
      </c>
      <c r="C6800" t="s">
        <v>6877</v>
      </c>
      <c r="D6800">
        <v>2012</v>
      </c>
      <c r="E6800" t="s">
        <v>11</v>
      </c>
      <c r="F6800" t="s">
        <v>2540</v>
      </c>
      <c r="G6800">
        <v>0</v>
      </c>
      <c r="H6800">
        <v>0</v>
      </c>
      <c r="I6800">
        <v>1</v>
      </c>
      <c r="J6800">
        <v>0</v>
      </c>
      <c r="K6800">
        <v>0</v>
      </c>
      <c r="L6800">
        <f t="shared" si="212"/>
        <v>4.7</v>
      </c>
      <c r="M6800">
        <f t="shared" si="213"/>
        <v>1</v>
      </c>
    </row>
    <row r="6801" spans="1:13" x14ac:dyDescent="0.3">
      <c r="A6801">
        <v>6799</v>
      </c>
      <c r="B6801">
        <v>6800</v>
      </c>
      <c r="C6801" t="s">
        <v>6878</v>
      </c>
      <c r="D6801">
        <v>2014</v>
      </c>
      <c r="E6801" t="s">
        <v>11</v>
      </c>
      <c r="F6801" t="s">
        <v>2540</v>
      </c>
      <c r="G6801">
        <v>0</v>
      </c>
      <c r="H6801">
        <v>0</v>
      </c>
      <c r="I6801">
        <v>1</v>
      </c>
      <c r="J6801">
        <v>0</v>
      </c>
      <c r="K6801">
        <v>0</v>
      </c>
      <c r="L6801">
        <f t="shared" si="212"/>
        <v>4.7</v>
      </c>
      <c r="M6801">
        <f t="shared" si="213"/>
        <v>1</v>
      </c>
    </row>
    <row r="6802" spans="1:13" x14ac:dyDescent="0.3">
      <c r="A6802">
        <v>6800</v>
      </c>
      <c r="B6802">
        <v>6801</v>
      </c>
      <c r="C6802" t="s">
        <v>6879</v>
      </c>
      <c r="D6802">
        <v>2014</v>
      </c>
      <c r="F6802" t="s">
        <v>2540</v>
      </c>
      <c r="G6802">
        <v>0</v>
      </c>
      <c r="H6802">
        <v>0</v>
      </c>
      <c r="I6802">
        <v>1</v>
      </c>
      <c r="J6802">
        <v>0</v>
      </c>
      <c r="K6802">
        <v>0</v>
      </c>
      <c r="L6802">
        <f t="shared" si="212"/>
        <v>4.7</v>
      </c>
      <c r="M6802">
        <f t="shared" si="213"/>
        <v>1</v>
      </c>
    </row>
    <row r="6803" spans="1:13" x14ac:dyDescent="0.3">
      <c r="A6803">
        <v>6801</v>
      </c>
      <c r="B6803">
        <v>6802</v>
      </c>
      <c r="C6803" t="s">
        <v>6880</v>
      </c>
      <c r="D6803">
        <v>1973</v>
      </c>
      <c r="E6803" t="s">
        <v>14</v>
      </c>
      <c r="F6803" t="s">
        <v>2540</v>
      </c>
      <c r="G6803">
        <v>0</v>
      </c>
      <c r="H6803">
        <v>0</v>
      </c>
      <c r="I6803">
        <v>1</v>
      </c>
      <c r="J6803">
        <v>0</v>
      </c>
      <c r="K6803">
        <v>0</v>
      </c>
      <c r="L6803">
        <f t="shared" si="212"/>
        <v>4.7</v>
      </c>
      <c r="M6803">
        <f t="shared" si="213"/>
        <v>1</v>
      </c>
    </row>
    <row r="6804" spans="1:13" x14ac:dyDescent="0.3">
      <c r="A6804">
        <v>6802</v>
      </c>
      <c r="B6804">
        <v>6803</v>
      </c>
      <c r="C6804" t="s">
        <v>6881</v>
      </c>
      <c r="D6804">
        <v>2015</v>
      </c>
      <c r="F6804" t="s">
        <v>2540</v>
      </c>
      <c r="G6804">
        <v>0</v>
      </c>
      <c r="H6804">
        <v>0</v>
      </c>
      <c r="I6804">
        <v>1</v>
      </c>
      <c r="J6804">
        <v>0</v>
      </c>
      <c r="K6804">
        <v>0</v>
      </c>
      <c r="L6804">
        <f t="shared" si="212"/>
        <v>4.7</v>
      </c>
      <c r="M6804">
        <f t="shared" si="213"/>
        <v>1</v>
      </c>
    </row>
    <row r="6805" spans="1:13" x14ac:dyDescent="0.3">
      <c r="A6805">
        <v>6803</v>
      </c>
      <c r="B6805">
        <v>6804</v>
      </c>
      <c r="C6805" t="s">
        <v>6882</v>
      </c>
      <c r="D6805">
        <v>1989</v>
      </c>
      <c r="F6805" t="s">
        <v>2540</v>
      </c>
      <c r="G6805">
        <v>0</v>
      </c>
      <c r="H6805">
        <v>0</v>
      </c>
      <c r="I6805">
        <v>1</v>
      </c>
      <c r="J6805">
        <v>0</v>
      </c>
      <c r="K6805">
        <v>0</v>
      </c>
      <c r="L6805">
        <f t="shared" si="212"/>
        <v>4.7</v>
      </c>
      <c r="M6805">
        <f t="shared" si="213"/>
        <v>1</v>
      </c>
    </row>
    <row r="6806" spans="1:13" x14ac:dyDescent="0.3">
      <c r="A6806">
        <v>6804</v>
      </c>
      <c r="B6806">
        <v>6805</v>
      </c>
      <c r="C6806" t="s">
        <v>6883</v>
      </c>
      <c r="D6806">
        <v>2007</v>
      </c>
      <c r="E6806" t="s">
        <v>22</v>
      </c>
      <c r="F6806" t="s">
        <v>2540</v>
      </c>
      <c r="G6806">
        <v>0</v>
      </c>
      <c r="H6806">
        <v>0</v>
      </c>
      <c r="I6806">
        <v>1</v>
      </c>
      <c r="J6806">
        <v>0</v>
      </c>
      <c r="K6806">
        <v>0</v>
      </c>
      <c r="L6806">
        <f t="shared" si="212"/>
        <v>4.7</v>
      </c>
      <c r="M6806">
        <f t="shared" si="213"/>
        <v>1</v>
      </c>
    </row>
    <row r="6807" spans="1:13" x14ac:dyDescent="0.3">
      <c r="A6807">
        <v>6805</v>
      </c>
      <c r="B6807">
        <v>6806</v>
      </c>
      <c r="C6807" t="s">
        <v>6884</v>
      </c>
      <c r="D6807">
        <v>2015</v>
      </c>
      <c r="F6807" t="s">
        <v>2540</v>
      </c>
      <c r="G6807">
        <v>0</v>
      </c>
      <c r="H6807">
        <v>0</v>
      </c>
      <c r="I6807">
        <v>1</v>
      </c>
      <c r="J6807">
        <v>0</v>
      </c>
      <c r="K6807">
        <v>0</v>
      </c>
      <c r="L6807">
        <f t="shared" si="212"/>
        <v>4.7</v>
      </c>
      <c r="M6807">
        <f t="shared" si="213"/>
        <v>1</v>
      </c>
    </row>
    <row r="6808" spans="1:13" x14ac:dyDescent="0.3">
      <c r="A6808">
        <v>6806</v>
      </c>
      <c r="B6808">
        <v>6807</v>
      </c>
      <c r="C6808" t="s">
        <v>6885</v>
      </c>
      <c r="D6808">
        <v>2021</v>
      </c>
      <c r="F6808" t="s">
        <v>2540</v>
      </c>
      <c r="G6808">
        <v>0</v>
      </c>
      <c r="H6808">
        <v>0</v>
      </c>
      <c r="I6808">
        <v>1</v>
      </c>
      <c r="J6808">
        <v>0</v>
      </c>
      <c r="K6808">
        <v>0</v>
      </c>
      <c r="L6808">
        <f t="shared" si="212"/>
        <v>4.7</v>
      </c>
      <c r="M6808">
        <f t="shared" si="213"/>
        <v>1</v>
      </c>
    </row>
    <row r="6809" spans="1:13" x14ac:dyDescent="0.3">
      <c r="A6809">
        <v>6807</v>
      </c>
      <c r="B6809">
        <v>6808</v>
      </c>
      <c r="C6809" t="s">
        <v>6886</v>
      </c>
      <c r="D6809">
        <v>2015</v>
      </c>
      <c r="E6809" t="s">
        <v>11</v>
      </c>
      <c r="F6809" t="s">
        <v>2540</v>
      </c>
      <c r="G6809">
        <v>0</v>
      </c>
      <c r="H6809">
        <v>0</v>
      </c>
      <c r="I6809">
        <v>1</v>
      </c>
      <c r="J6809">
        <v>0</v>
      </c>
      <c r="K6809">
        <v>0</v>
      </c>
      <c r="L6809">
        <f t="shared" si="212"/>
        <v>4.7</v>
      </c>
      <c r="M6809">
        <f t="shared" si="213"/>
        <v>1</v>
      </c>
    </row>
    <row r="6810" spans="1:13" x14ac:dyDescent="0.3">
      <c r="A6810">
        <v>6808</v>
      </c>
      <c r="B6810">
        <v>6809</v>
      </c>
      <c r="C6810" t="s">
        <v>6887</v>
      </c>
      <c r="D6810">
        <v>2017</v>
      </c>
      <c r="E6810" t="s">
        <v>14</v>
      </c>
      <c r="F6810" t="s">
        <v>2540</v>
      </c>
      <c r="G6810">
        <v>0</v>
      </c>
      <c r="H6810">
        <v>0</v>
      </c>
      <c r="I6810">
        <v>1</v>
      </c>
      <c r="J6810">
        <v>0</v>
      </c>
      <c r="K6810">
        <v>0</v>
      </c>
      <c r="L6810">
        <f t="shared" si="212"/>
        <v>4.7</v>
      </c>
      <c r="M6810">
        <f t="shared" si="213"/>
        <v>1</v>
      </c>
    </row>
    <row r="6811" spans="1:13" x14ac:dyDescent="0.3">
      <c r="A6811">
        <v>6809</v>
      </c>
      <c r="B6811">
        <v>6810</v>
      </c>
      <c r="C6811" t="s">
        <v>6888</v>
      </c>
      <c r="D6811">
        <v>2014</v>
      </c>
      <c r="E6811" t="s">
        <v>22</v>
      </c>
      <c r="F6811" t="s">
        <v>2540</v>
      </c>
      <c r="G6811">
        <v>0</v>
      </c>
      <c r="H6811">
        <v>0</v>
      </c>
      <c r="I6811">
        <v>1</v>
      </c>
      <c r="J6811">
        <v>0</v>
      </c>
      <c r="K6811">
        <v>0</v>
      </c>
      <c r="L6811">
        <f t="shared" si="212"/>
        <v>4.7</v>
      </c>
      <c r="M6811">
        <f t="shared" si="213"/>
        <v>1</v>
      </c>
    </row>
    <row r="6812" spans="1:13" x14ac:dyDescent="0.3">
      <c r="A6812">
        <v>6810</v>
      </c>
      <c r="B6812">
        <v>6811</v>
      </c>
      <c r="C6812" t="s">
        <v>6889</v>
      </c>
      <c r="D6812">
        <v>2017</v>
      </c>
      <c r="E6812" t="s">
        <v>22</v>
      </c>
      <c r="F6812" t="s">
        <v>2540</v>
      </c>
      <c r="G6812">
        <v>0</v>
      </c>
      <c r="H6812">
        <v>0</v>
      </c>
      <c r="I6812">
        <v>1</v>
      </c>
      <c r="J6812">
        <v>0</v>
      </c>
      <c r="K6812">
        <v>0</v>
      </c>
      <c r="L6812">
        <f t="shared" si="212"/>
        <v>4.7</v>
      </c>
      <c r="M6812">
        <f t="shared" si="213"/>
        <v>1</v>
      </c>
    </row>
    <row r="6813" spans="1:13" x14ac:dyDescent="0.3">
      <c r="A6813">
        <v>6811</v>
      </c>
      <c r="B6813">
        <v>6812</v>
      </c>
      <c r="C6813" t="s">
        <v>6890</v>
      </c>
      <c r="D6813">
        <v>2020</v>
      </c>
      <c r="F6813" t="s">
        <v>2540</v>
      </c>
      <c r="G6813">
        <v>0</v>
      </c>
      <c r="H6813">
        <v>0</v>
      </c>
      <c r="I6813">
        <v>1</v>
      </c>
      <c r="J6813">
        <v>0</v>
      </c>
      <c r="K6813">
        <v>0</v>
      </c>
      <c r="L6813">
        <f t="shared" si="212"/>
        <v>4.7</v>
      </c>
      <c r="M6813">
        <f t="shared" si="213"/>
        <v>1</v>
      </c>
    </row>
    <row r="6814" spans="1:13" x14ac:dyDescent="0.3">
      <c r="A6814">
        <v>6812</v>
      </c>
      <c r="B6814">
        <v>6813</v>
      </c>
      <c r="C6814" t="s">
        <v>6891</v>
      </c>
      <c r="D6814">
        <v>2016</v>
      </c>
      <c r="E6814" t="s">
        <v>22</v>
      </c>
      <c r="F6814" t="s">
        <v>2540</v>
      </c>
      <c r="G6814">
        <v>0</v>
      </c>
      <c r="H6814">
        <v>0</v>
      </c>
      <c r="I6814">
        <v>1</v>
      </c>
      <c r="J6814">
        <v>0</v>
      </c>
      <c r="K6814">
        <v>0</v>
      </c>
      <c r="L6814">
        <f t="shared" si="212"/>
        <v>4.7</v>
      </c>
      <c r="M6814">
        <f t="shared" si="213"/>
        <v>1</v>
      </c>
    </row>
    <row r="6815" spans="1:13" x14ac:dyDescent="0.3">
      <c r="A6815">
        <v>6813</v>
      </c>
      <c r="B6815">
        <v>6814</v>
      </c>
      <c r="C6815" t="s">
        <v>6892</v>
      </c>
      <c r="D6815">
        <v>2015</v>
      </c>
      <c r="E6815" t="s">
        <v>22</v>
      </c>
      <c r="F6815" t="s">
        <v>2540</v>
      </c>
      <c r="G6815">
        <v>0</v>
      </c>
      <c r="H6815">
        <v>0</v>
      </c>
      <c r="I6815">
        <v>1</v>
      </c>
      <c r="J6815">
        <v>0</v>
      </c>
      <c r="K6815">
        <v>0</v>
      </c>
      <c r="L6815">
        <f t="shared" si="212"/>
        <v>4.7</v>
      </c>
      <c r="M6815">
        <f t="shared" si="213"/>
        <v>1</v>
      </c>
    </row>
    <row r="6816" spans="1:13" x14ac:dyDescent="0.3">
      <c r="A6816">
        <v>6814</v>
      </c>
      <c r="B6816">
        <v>6815</v>
      </c>
      <c r="C6816" t="s">
        <v>6893</v>
      </c>
      <c r="D6816">
        <v>2015</v>
      </c>
      <c r="F6816" t="s">
        <v>2540</v>
      </c>
      <c r="G6816">
        <v>0</v>
      </c>
      <c r="H6816">
        <v>0</v>
      </c>
      <c r="I6816">
        <v>1</v>
      </c>
      <c r="J6816">
        <v>0</v>
      </c>
      <c r="K6816">
        <v>0</v>
      </c>
      <c r="L6816">
        <f t="shared" si="212"/>
        <v>4.7</v>
      </c>
      <c r="M6816">
        <f t="shared" si="213"/>
        <v>1</v>
      </c>
    </row>
    <row r="6817" spans="1:13" x14ac:dyDescent="0.3">
      <c r="A6817">
        <v>6815</v>
      </c>
      <c r="B6817">
        <v>6816</v>
      </c>
      <c r="C6817" t="s">
        <v>6894</v>
      </c>
      <c r="D6817">
        <v>2016</v>
      </c>
      <c r="F6817" t="s">
        <v>2540</v>
      </c>
      <c r="G6817">
        <v>0</v>
      </c>
      <c r="H6817">
        <v>0</v>
      </c>
      <c r="I6817">
        <v>1</v>
      </c>
      <c r="J6817">
        <v>0</v>
      </c>
      <c r="K6817">
        <v>0</v>
      </c>
      <c r="L6817">
        <f t="shared" si="212"/>
        <v>4.7</v>
      </c>
      <c r="M6817">
        <f t="shared" si="213"/>
        <v>1</v>
      </c>
    </row>
    <row r="6818" spans="1:13" x14ac:dyDescent="0.3">
      <c r="A6818">
        <v>6816</v>
      </c>
      <c r="B6818">
        <v>6817</v>
      </c>
      <c r="C6818" t="s">
        <v>6895</v>
      </c>
      <c r="D6818">
        <v>1985</v>
      </c>
      <c r="F6818" t="s">
        <v>2540</v>
      </c>
      <c r="G6818">
        <v>0</v>
      </c>
      <c r="H6818">
        <v>0</v>
      </c>
      <c r="I6818">
        <v>1</v>
      </c>
      <c r="J6818">
        <v>0</v>
      </c>
      <c r="K6818">
        <v>0</v>
      </c>
      <c r="L6818">
        <f t="shared" si="212"/>
        <v>4.7</v>
      </c>
      <c r="M6818">
        <f t="shared" si="213"/>
        <v>1</v>
      </c>
    </row>
    <row r="6819" spans="1:13" x14ac:dyDescent="0.3">
      <c r="A6819">
        <v>6817</v>
      </c>
      <c r="B6819">
        <v>6818</v>
      </c>
      <c r="C6819" t="s">
        <v>6896</v>
      </c>
      <c r="D6819">
        <v>2011</v>
      </c>
      <c r="F6819" t="s">
        <v>2540</v>
      </c>
      <c r="G6819">
        <v>0</v>
      </c>
      <c r="H6819">
        <v>0</v>
      </c>
      <c r="I6819">
        <v>1</v>
      </c>
      <c r="J6819">
        <v>0</v>
      </c>
      <c r="K6819">
        <v>0</v>
      </c>
      <c r="L6819">
        <f t="shared" si="212"/>
        <v>4.7</v>
      </c>
      <c r="M6819">
        <f t="shared" si="213"/>
        <v>1</v>
      </c>
    </row>
    <row r="6820" spans="1:13" x14ac:dyDescent="0.3">
      <c r="A6820">
        <v>6818</v>
      </c>
      <c r="B6820">
        <v>6819</v>
      </c>
      <c r="C6820" t="s">
        <v>6897</v>
      </c>
      <c r="D6820">
        <v>2009</v>
      </c>
      <c r="E6820" t="s">
        <v>22</v>
      </c>
      <c r="F6820" t="s">
        <v>2540</v>
      </c>
      <c r="G6820">
        <v>0</v>
      </c>
      <c r="H6820">
        <v>0</v>
      </c>
      <c r="I6820">
        <v>1</v>
      </c>
      <c r="J6820">
        <v>0</v>
      </c>
      <c r="K6820">
        <v>0</v>
      </c>
      <c r="L6820">
        <f t="shared" si="212"/>
        <v>4.7</v>
      </c>
      <c r="M6820">
        <f t="shared" si="213"/>
        <v>1</v>
      </c>
    </row>
    <row r="6821" spans="1:13" x14ac:dyDescent="0.3">
      <c r="A6821">
        <v>6819</v>
      </c>
      <c r="B6821">
        <v>6820</v>
      </c>
      <c r="C6821" t="s">
        <v>6898</v>
      </c>
      <c r="D6821">
        <v>1975</v>
      </c>
      <c r="E6821" t="s">
        <v>36</v>
      </c>
      <c r="F6821" t="s">
        <v>2540</v>
      </c>
      <c r="G6821">
        <v>0</v>
      </c>
      <c r="H6821">
        <v>0</v>
      </c>
      <c r="I6821">
        <v>1</v>
      </c>
      <c r="J6821">
        <v>0</v>
      </c>
      <c r="K6821">
        <v>0</v>
      </c>
      <c r="L6821">
        <f t="shared" si="212"/>
        <v>4.7</v>
      </c>
      <c r="M6821">
        <f t="shared" si="213"/>
        <v>1</v>
      </c>
    </row>
    <row r="6822" spans="1:13" x14ac:dyDescent="0.3">
      <c r="A6822">
        <v>6820</v>
      </c>
      <c r="B6822">
        <v>6821</v>
      </c>
      <c r="C6822" t="s">
        <v>6899</v>
      </c>
      <c r="D6822">
        <v>1934</v>
      </c>
      <c r="F6822" t="s">
        <v>2540</v>
      </c>
      <c r="G6822">
        <v>0</v>
      </c>
      <c r="H6822">
        <v>0</v>
      </c>
      <c r="I6822">
        <v>1</v>
      </c>
      <c r="J6822">
        <v>0</v>
      </c>
      <c r="K6822">
        <v>0</v>
      </c>
      <c r="L6822">
        <f t="shared" si="212"/>
        <v>4.7</v>
      </c>
      <c r="M6822">
        <f t="shared" si="213"/>
        <v>1</v>
      </c>
    </row>
    <row r="6823" spans="1:13" x14ac:dyDescent="0.3">
      <c r="A6823">
        <v>6821</v>
      </c>
      <c r="B6823">
        <v>6822</v>
      </c>
      <c r="C6823" t="s">
        <v>6900</v>
      </c>
      <c r="D6823">
        <v>2019</v>
      </c>
      <c r="F6823" t="s">
        <v>2540</v>
      </c>
      <c r="G6823">
        <v>0</v>
      </c>
      <c r="H6823">
        <v>0</v>
      </c>
      <c r="I6823">
        <v>1</v>
      </c>
      <c r="J6823">
        <v>0</v>
      </c>
      <c r="K6823">
        <v>0</v>
      </c>
      <c r="L6823">
        <f t="shared" si="212"/>
        <v>4.7</v>
      </c>
      <c r="M6823">
        <f t="shared" si="213"/>
        <v>1</v>
      </c>
    </row>
    <row r="6824" spans="1:13" x14ac:dyDescent="0.3">
      <c r="A6824">
        <v>6822</v>
      </c>
      <c r="B6824">
        <v>6823</v>
      </c>
      <c r="C6824" t="s">
        <v>6901</v>
      </c>
      <c r="D6824">
        <v>2015</v>
      </c>
      <c r="E6824" t="s">
        <v>11</v>
      </c>
      <c r="F6824" t="s">
        <v>2540</v>
      </c>
      <c r="G6824">
        <v>0</v>
      </c>
      <c r="H6824">
        <v>0</v>
      </c>
      <c r="I6824">
        <v>1</v>
      </c>
      <c r="J6824">
        <v>0</v>
      </c>
      <c r="K6824">
        <v>0</v>
      </c>
      <c r="L6824">
        <f t="shared" si="212"/>
        <v>4.7</v>
      </c>
      <c r="M6824">
        <f t="shared" si="213"/>
        <v>1</v>
      </c>
    </row>
    <row r="6825" spans="1:13" x14ac:dyDescent="0.3">
      <c r="A6825">
        <v>6823</v>
      </c>
      <c r="B6825">
        <v>6824</v>
      </c>
      <c r="C6825" t="s">
        <v>6902</v>
      </c>
      <c r="D6825">
        <v>2020</v>
      </c>
      <c r="F6825" t="s">
        <v>2540</v>
      </c>
      <c r="G6825">
        <v>0</v>
      </c>
      <c r="H6825">
        <v>0</v>
      </c>
      <c r="I6825">
        <v>1</v>
      </c>
      <c r="J6825">
        <v>0</v>
      </c>
      <c r="K6825">
        <v>0</v>
      </c>
      <c r="L6825">
        <f t="shared" si="212"/>
        <v>4.7</v>
      </c>
      <c r="M6825">
        <f t="shared" si="213"/>
        <v>1</v>
      </c>
    </row>
    <row r="6826" spans="1:13" x14ac:dyDescent="0.3">
      <c r="A6826">
        <v>6824</v>
      </c>
      <c r="B6826">
        <v>6825</v>
      </c>
      <c r="C6826" t="s">
        <v>6903</v>
      </c>
      <c r="D6826">
        <v>2015</v>
      </c>
      <c r="F6826" t="s">
        <v>2540</v>
      </c>
      <c r="G6826">
        <v>0</v>
      </c>
      <c r="H6826">
        <v>0</v>
      </c>
      <c r="I6826">
        <v>1</v>
      </c>
      <c r="J6826">
        <v>0</v>
      </c>
      <c r="K6826">
        <v>0</v>
      </c>
      <c r="L6826">
        <f t="shared" si="212"/>
        <v>4.7</v>
      </c>
      <c r="M6826">
        <f t="shared" si="213"/>
        <v>1</v>
      </c>
    </row>
    <row r="6827" spans="1:13" x14ac:dyDescent="0.3">
      <c r="A6827">
        <v>6825</v>
      </c>
      <c r="B6827">
        <v>6826</v>
      </c>
      <c r="C6827" t="s">
        <v>6904</v>
      </c>
      <c r="D6827">
        <v>1968</v>
      </c>
      <c r="F6827" t="s">
        <v>2540</v>
      </c>
      <c r="G6827">
        <v>0</v>
      </c>
      <c r="H6827">
        <v>0</v>
      </c>
      <c r="I6827">
        <v>1</v>
      </c>
      <c r="J6827">
        <v>0</v>
      </c>
      <c r="K6827">
        <v>0</v>
      </c>
      <c r="L6827">
        <f t="shared" si="212"/>
        <v>4.7</v>
      </c>
      <c r="M6827">
        <f t="shared" si="213"/>
        <v>1</v>
      </c>
    </row>
    <row r="6828" spans="1:13" x14ac:dyDescent="0.3">
      <c r="A6828">
        <v>6826</v>
      </c>
      <c r="B6828">
        <v>6827</v>
      </c>
      <c r="C6828" t="s">
        <v>6905</v>
      </c>
      <c r="D6828">
        <v>1970</v>
      </c>
      <c r="E6828" t="s">
        <v>14</v>
      </c>
      <c r="F6828" t="s">
        <v>2540</v>
      </c>
      <c r="G6828">
        <v>0</v>
      </c>
      <c r="H6828">
        <v>0</v>
      </c>
      <c r="I6828">
        <v>1</v>
      </c>
      <c r="J6828">
        <v>0</v>
      </c>
      <c r="K6828">
        <v>0</v>
      </c>
      <c r="L6828">
        <f t="shared" si="212"/>
        <v>4.7</v>
      </c>
      <c r="M6828">
        <f t="shared" si="213"/>
        <v>1</v>
      </c>
    </row>
    <row r="6829" spans="1:13" x14ac:dyDescent="0.3">
      <c r="A6829">
        <v>6827</v>
      </c>
      <c r="B6829">
        <v>6828</v>
      </c>
      <c r="C6829" t="s">
        <v>6906</v>
      </c>
      <c r="D6829">
        <v>2017</v>
      </c>
      <c r="F6829" t="s">
        <v>2540</v>
      </c>
      <c r="G6829">
        <v>0</v>
      </c>
      <c r="H6829">
        <v>0</v>
      </c>
      <c r="I6829">
        <v>1</v>
      </c>
      <c r="J6829">
        <v>0</v>
      </c>
      <c r="K6829">
        <v>0</v>
      </c>
      <c r="L6829">
        <f t="shared" si="212"/>
        <v>4.7</v>
      </c>
      <c r="M6829">
        <f t="shared" si="213"/>
        <v>1</v>
      </c>
    </row>
    <row r="6830" spans="1:13" x14ac:dyDescent="0.3">
      <c r="A6830">
        <v>6828</v>
      </c>
      <c r="B6830">
        <v>6829</v>
      </c>
      <c r="C6830" t="s">
        <v>6907</v>
      </c>
      <c r="D6830">
        <v>2010</v>
      </c>
      <c r="E6830" t="s">
        <v>11</v>
      </c>
      <c r="F6830" t="s">
        <v>2540</v>
      </c>
      <c r="G6830">
        <v>0</v>
      </c>
      <c r="H6830">
        <v>0</v>
      </c>
      <c r="I6830">
        <v>1</v>
      </c>
      <c r="J6830">
        <v>0</v>
      </c>
      <c r="K6830">
        <v>0</v>
      </c>
      <c r="L6830">
        <f t="shared" si="212"/>
        <v>4.7</v>
      </c>
      <c r="M6830">
        <f t="shared" si="213"/>
        <v>1</v>
      </c>
    </row>
    <row r="6831" spans="1:13" x14ac:dyDescent="0.3">
      <c r="A6831">
        <v>6829</v>
      </c>
      <c r="B6831">
        <v>6830</v>
      </c>
      <c r="C6831" t="s">
        <v>6908</v>
      </c>
      <c r="D6831">
        <v>1993</v>
      </c>
      <c r="E6831" t="s">
        <v>36</v>
      </c>
      <c r="F6831" t="s">
        <v>2540</v>
      </c>
      <c r="G6831">
        <v>0</v>
      </c>
      <c r="H6831">
        <v>0</v>
      </c>
      <c r="I6831">
        <v>1</v>
      </c>
      <c r="J6831">
        <v>0</v>
      </c>
      <c r="K6831">
        <v>0</v>
      </c>
      <c r="L6831">
        <f t="shared" si="212"/>
        <v>4.7</v>
      </c>
      <c r="M6831">
        <f t="shared" si="213"/>
        <v>1</v>
      </c>
    </row>
    <row r="6832" spans="1:13" x14ac:dyDescent="0.3">
      <c r="A6832">
        <v>6830</v>
      </c>
      <c r="B6832">
        <v>6831</v>
      </c>
      <c r="C6832" t="s">
        <v>6909</v>
      </c>
      <c r="D6832">
        <v>1988</v>
      </c>
      <c r="E6832" t="s">
        <v>14</v>
      </c>
      <c r="F6832" t="s">
        <v>2540</v>
      </c>
      <c r="G6832">
        <v>0</v>
      </c>
      <c r="H6832">
        <v>0</v>
      </c>
      <c r="I6832">
        <v>1</v>
      </c>
      <c r="J6832">
        <v>0</v>
      </c>
      <c r="K6832">
        <v>0</v>
      </c>
      <c r="L6832">
        <f t="shared" si="212"/>
        <v>4.7</v>
      </c>
      <c r="M6832">
        <f t="shared" si="213"/>
        <v>1</v>
      </c>
    </row>
    <row r="6833" spans="1:13" x14ac:dyDescent="0.3">
      <c r="A6833">
        <v>6831</v>
      </c>
      <c r="B6833">
        <v>6832</v>
      </c>
      <c r="C6833" t="s">
        <v>6910</v>
      </c>
      <c r="D6833">
        <v>2009</v>
      </c>
      <c r="F6833" t="s">
        <v>2540</v>
      </c>
      <c r="G6833">
        <v>0</v>
      </c>
      <c r="H6833">
        <v>0</v>
      </c>
      <c r="I6833">
        <v>1</v>
      </c>
      <c r="J6833">
        <v>0</v>
      </c>
      <c r="K6833">
        <v>0</v>
      </c>
      <c r="L6833">
        <f t="shared" si="212"/>
        <v>4.7</v>
      </c>
      <c r="M6833">
        <f t="shared" si="213"/>
        <v>1</v>
      </c>
    </row>
    <row r="6834" spans="1:13" x14ac:dyDescent="0.3">
      <c r="A6834">
        <v>6832</v>
      </c>
      <c r="B6834">
        <v>6833</v>
      </c>
      <c r="C6834" t="s">
        <v>6911</v>
      </c>
      <c r="D6834">
        <v>1961</v>
      </c>
      <c r="F6834" t="s">
        <v>2540</v>
      </c>
      <c r="G6834">
        <v>0</v>
      </c>
      <c r="H6834">
        <v>0</v>
      </c>
      <c r="I6834">
        <v>1</v>
      </c>
      <c r="J6834">
        <v>0</v>
      </c>
      <c r="K6834">
        <v>0</v>
      </c>
      <c r="L6834">
        <f t="shared" si="212"/>
        <v>4.7</v>
      </c>
      <c r="M6834">
        <f t="shared" si="213"/>
        <v>1</v>
      </c>
    </row>
    <row r="6835" spans="1:13" x14ac:dyDescent="0.3">
      <c r="A6835">
        <v>6833</v>
      </c>
      <c r="B6835">
        <v>6834</v>
      </c>
      <c r="C6835" t="s">
        <v>6912</v>
      </c>
      <c r="D6835">
        <v>1998</v>
      </c>
      <c r="E6835" t="s">
        <v>11</v>
      </c>
      <c r="F6835" t="s">
        <v>2540</v>
      </c>
      <c r="G6835">
        <v>0</v>
      </c>
      <c r="H6835">
        <v>0</v>
      </c>
      <c r="I6835">
        <v>1</v>
      </c>
      <c r="J6835">
        <v>0</v>
      </c>
      <c r="K6835">
        <v>0</v>
      </c>
      <c r="L6835">
        <f t="shared" si="212"/>
        <v>4.7</v>
      </c>
      <c r="M6835">
        <f t="shared" si="213"/>
        <v>1</v>
      </c>
    </row>
    <row r="6836" spans="1:13" x14ac:dyDescent="0.3">
      <c r="A6836">
        <v>6834</v>
      </c>
      <c r="B6836">
        <v>6835</v>
      </c>
      <c r="C6836" t="s">
        <v>6913</v>
      </c>
      <c r="D6836">
        <v>2015</v>
      </c>
      <c r="F6836" t="s">
        <v>2540</v>
      </c>
      <c r="G6836">
        <v>0</v>
      </c>
      <c r="H6836">
        <v>0</v>
      </c>
      <c r="I6836">
        <v>1</v>
      </c>
      <c r="J6836">
        <v>0</v>
      </c>
      <c r="K6836">
        <v>0</v>
      </c>
      <c r="L6836">
        <f t="shared" si="212"/>
        <v>4.7</v>
      </c>
      <c r="M6836">
        <f t="shared" si="213"/>
        <v>1</v>
      </c>
    </row>
    <row r="6837" spans="1:13" x14ac:dyDescent="0.3">
      <c r="A6837">
        <v>6835</v>
      </c>
      <c r="B6837">
        <v>6836</v>
      </c>
      <c r="C6837" t="s">
        <v>6914</v>
      </c>
      <c r="D6837">
        <v>2013</v>
      </c>
      <c r="E6837" t="s">
        <v>36</v>
      </c>
      <c r="F6837" t="s">
        <v>2540</v>
      </c>
      <c r="G6837">
        <v>0</v>
      </c>
      <c r="H6837">
        <v>0</v>
      </c>
      <c r="I6837">
        <v>1</v>
      </c>
      <c r="J6837">
        <v>0</v>
      </c>
      <c r="K6837">
        <v>0</v>
      </c>
      <c r="L6837">
        <f t="shared" si="212"/>
        <v>4.7</v>
      </c>
      <c r="M6837">
        <f t="shared" si="213"/>
        <v>1</v>
      </c>
    </row>
    <row r="6838" spans="1:13" x14ac:dyDescent="0.3">
      <c r="A6838">
        <v>6836</v>
      </c>
      <c r="B6838">
        <v>6837</v>
      </c>
      <c r="C6838" t="s">
        <v>6915</v>
      </c>
      <c r="D6838">
        <v>2012</v>
      </c>
      <c r="E6838" t="s">
        <v>11</v>
      </c>
      <c r="F6838" t="s">
        <v>2540</v>
      </c>
      <c r="G6838">
        <v>0</v>
      </c>
      <c r="H6838">
        <v>0</v>
      </c>
      <c r="I6838">
        <v>1</v>
      </c>
      <c r="J6838">
        <v>0</v>
      </c>
      <c r="K6838">
        <v>0</v>
      </c>
      <c r="L6838">
        <f t="shared" si="212"/>
        <v>4.7</v>
      </c>
      <c r="M6838">
        <f t="shared" si="213"/>
        <v>1</v>
      </c>
    </row>
    <row r="6839" spans="1:13" x14ac:dyDescent="0.3">
      <c r="A6839">
        <v>6837</v>
      </c>
      <c r="B6839">
        <v>6838</v>
      </c>
      <c r="C6839" t="s">
        <v>6916</v>
      </c>
      <c r="D6839">
        <v>2019</v>
      </c>
      <c r="F6839" t="s">
        <v>2540</v>
      </c>
      <c r="G6839">
        <v>0</v>
      </c>
      <c r="H6839">
        <v>0</v>
      </c>
      <c r="I6839">
        <v>1</v>
      </c>
      <c r="J6839">
        <v>0</v>
      </c>
      <c r="K6839">
        <v>0</v>
      </c>
      <c r="L6839">
        <f t="shared" si="212"/>
        <v>4.7</v>
      </c>
      <c r="M6839">
        <f t="shared" si="213"/>
        <v>1</v>
      </c>
    </row>
    <row r="6840" spans="1:13" x14ac:dyDescent="0.3">
      <c r="A6840">
        <v>6838</v>
      </c>
      <c r="B6840">
        <v>6839</v>
      </c>
      <c r="C6840" t="s">
        <v>6917</v>
      </c>
      <c r="D6840">
        <v>1945</v>
      </c>
      <c r="F6840" t="s">
        <v>2540</v>
      </c>
      <c r="G6840">
        <v>0</v>
      </c>
      <c r="H6840">
        <v>0</v>
      </c>
      <c r="I6840">
        <v>1</v>
      </c>
      <c r="J6840">
        <v>0</v>
      </c>
      <c r="K6840">
        <v>0</v>
      </c>
      <c r="L6840">
        <f t="shared" si="212"/>
        <v>4.7</v>
      </c>
      <c r="M6840">
        <f t="shared" si="213"/>
        <v>1</v>
      </c>
    </row>
    <row r="6841" spans="1:13" x14ac:dyDescent="0.3">
      <c r="A6841">
        <v>6839</v>
      </c>
      <c r="B6841">
        <v>6840</v>
      </c>
      <c r="C6841" t="s">
        <v>6918</v>
      </c>
      <c r="D6841">
        <v>2015</v>
      </c>
      <c r="F6841" t="s">
        <v>2540</v>
      </c>
      <c r="G6841">
        <v>0</v>
      </c>
      <c r="H6841">
        <v>0</v>
      </c>
      <c r="I6841">
        <v>1</v>
      </c>
      <c r="J6841">
        <v>0</v>
      </c>
      <c r="K6841">
        <v>0</v>
      </c>
      <c r="L6841">
        <f t="shared" si="212"/>
        <v>4.7</v>
      </c>
      <c r="M6841">
        <f t="shared" si="213"/>
        <v>1</v>
      </c>
    </row>
    <row r="6842" spans="1:13" x14ac:dyDescent="0.3">
      <c r="A6842">
        <v>6840</v>
      </c>
      <c r="B6842">
        <v>6841</v>
      </c>
      <c r="C6842" t="s">
        <v>6919</v>
      </c>
      <c r="D6842">
        <v>2008</v>
      </c>
      <c r="F6842" t="s">
        <v>2540</v>
      </c>
      <c r="G6842">
        <v>0</v>
      </c>
      <c r="H6842">
        <v>0</v>
      </c>
      <c r="I6842">
        <v>1</v>
      </c>
      <c r="J6842">
        <v>0</v>
      </c>
      <c r="K6842">
        <v>0</v>
      </c>
      <c r="L6842">
        <f t="shared" si="212"/>
        <v>4.7</v>
      </c>
      <c r="M6842">
        <f t="shared" si="213"/>
        <v>1</v>
      </c>
    </row>
    <row r="6843" spans="1:13" x14ac:dyDescent="0.3">
      <c r="A6843">
        <v>6841</v>
      </c>
      <c r="B6843">
        <v>6842</v>
      </c>
      <c r="C6843" t="s">
        <v>6920</v>
      </c>
      <c r="D6843">
        <v>2012</v>
      </c>
      <c r="E6843" t="s">
        <v>22</v>
      </c>
      <c r="F6843" t="s">
        <v>2540</v>
      </c>
      <c r="G6843">
        <v>0</v>
      </c>
      <c r="H6843">
        <v>0</v>
      </c>
      <c r="I6843">
        <v>1</v>
      </c>
      <c r="J6843">
        <v>0</v>
      </c>
      <c r="K6843">
        <v>0</v>
      </c>
      <c r="L6843">
        <f t="shared" si="212"/>
        <v>4.7</v>
      </c>
      <c r="M6843">
        <f t="shared" si="213"/>
        <v>1</v>
      </c>
    </row>
    <row r="6844" spans="1:13" x14ac:dyDescent="0.3">
      <c r="A6844">
        <v>6842</v>
      </c>
      <c r="B6844">
        <v>6843</v>
      </c>
      <c r="C6844" t="s">
        <v>6921</v>
      </c>
      <c r="D6844">
        <v>2013</v>
      </c>
      <c r="E6844" t="s">
        <v>14</v>
      </c>
      <c r="F6844" t="s">
        <v>2540</v>
      </c>
      <c r="G6844">
        <v>0</v>
      </c>
      <c r="H6844">
        <v>0</v>
      </c>
      <c r="I6844">
        <v>1</v>
      </c>
      <c r="J6844">
        <v>0</v>
      </c>
      <c r="K6844">
        <v>0</v>
      </c>
      <c r="L6844">
        <f t="shared" si="212"/>
        <v>4.7</v>
      </c>
      <c r="M6844">
        <f t="shared" si="213"/>
        <v>1</v>
      </c>
    </row>
    <row r="6845" spans="1:13" x14ac:dyDescent="0.3">
      <c r="A6845">
        <v>6843</v>
      </c>
      <c r="B6845">
        <v>6844</v>
      </c>
      <c r="C6845" t="s">
        <v>6922</v>
      </c>
      <c r="D6845">
        <v>2017</v>
      </c>
      <c r="F6845" t="s">
        <v>2540</v>
      </c>
      <c r="G6845">
        <v>0</v>
      </c>
      <c r="H6845">
        <v>0</v>
      </c>
      <c r="I6845">
        <v>1</v>
      </c>
      <c r="J6845">
        <v>0</v>
      </c>
      <c r="K6845">
        <v>0</v>
      </c>
      <c r="L6845">
        <f t="shared" si="212"/>
        <v>4.7</v>
      </c>
      <c r="M6845">
        <f t="shared" si="213"/>
        <v>1</v>
      </c>
    </row>
    <row r="6846" spans="1:13" x14ac:dyDescent="0.3">
      <c r="A6846">
        <v>6844</v>
      </c>
      <c r="B6846">
        <v>6845</v>
      </c>
      <c r="C6846" t="s">
        <v>6923</v>
      </c>
      <c r="D6846">
        <v>2011</v>
      </c>
      <c r="F6846" t="s">
        <v>2540</v>
      </c>
      <c r="G6846">
        <v>0</v>
      </c>
      <c r="H6846">
        <v>0</v>
      </c>
      <c r="I6846">
        <v>1</v>
      </c>
      <c r="J6846">
        <v>0</v>
      </c>
      <c r="K6846">
        <v>0</v>
      </c>
      <c r="L6846">
        <f t="shared" si="212"/>
        <v>4.7</v>
      </c>
      <c r="M6846">
        <f t="shared" si="213"/>
        <v>1</v>
      </c>
    </row>
    <row r="6847" spans="1:13" x14ac:dyDescent="0.3">
      <c r="A6847">
        <v>6845</v>
      </c>
      <c r="B6847">
        <v>6846</v>
      </c>
      <c r="C6847" t="s">
        <v>6924</v>
      </c>
      <c r="D6847">
        <v>2020</v>
      </c>
      <c r="F6847" t="s">
        <v>2540</v>
      </c>
      <c r="G6847">
        <v>0</v>
      </c>
      <c r="H6847">
        <v>0</v>
      </c>
      <c r="I6847">
        <v>1</v>
      </c>
      <c r="J6847">
        <v>0</v>
      </c>
      <c r="K6847">
        <v>0</v>
      </c>
      <c r="L6847">
        <f t="shared" si="212"/>
        <v>4.7</v>
      </c>
      <c r="M6847">
        <f t="shared" si="213"/>
        <v>1</v>
      </c>
    </row>
    <row r="6848" spans="1:13" x14ac:dyDescent="0.3">
      <c r="A6848">
        <v>6846</v>
      </c>
      <c r="B6848">
        <v>6847</v>
      </c>
      <c r="C6848" t="s">
        <v>6925</v>
      </c>
      <c r="D6848">
        <v>2005</v>
      </c>
      <c r="E6848" t="s">
        <v>11</v>
      </c>
      <c r="F6848" t="s">
        <v>2540</v>
      </c>
      <c r="G6848">
        <v>0</v>
      </c>
      <c r="H6848">
        <v>0</v>
      </c>
      <c r="I6848">
        <v>1</v>
      </c>
      <c r="J6848">
        <v>0</v>
      </c>
      <c r="K6848">
        <v>0</v>
      </c>
      <c r="L6848">
        <f t="shared" si="212"/>
        <v>4.7</v>
      </c>
      <c r="M6848">
        <f t="shared" si="213"/>
        <v>1</v>
      </c>
    </row>
    <row r="6849" spans="1:13" x14ac:dyDescent="0.3">
      <c r="A6849">
        <v>6847</v>
      </c>
      <c r="B6849">
        <v>6848</v>
      </c>
      <c r="C6849" t="s">
        <v>6926</v>
      </c>
      <c r="D6849">
        <v>1956</v>
      </c>
      <c r="F6849" t="s">
        <v>2540</v>
      </c>
      <c r="G6849">
        <v>0</v>
      </c>
      <c r="H6849">
        <v>0</v>
      </c>
      <c r="I6849">
        <v>1</v>
      </c>
      <c r="J6849">
        <v>0</v>
      </c>
      <c r="K6849">
        <v>0</v>
      </c>
      <c r="L6849">
        <f t="shared" si="212"/>
        <v>4.7</v>
      </c>
      <c r="M6849">
        <f t="shared" si="213"/>
        <v>1</v>
      </c>
    </row>
    <row r="6850" spans="1:13" x14ac:dyDescent="0.3">
      <c r="A6850">
        <v>6848</v>
      </c>
      <c r="B6850">
        <v>6849</v>
      </c>
      <c r="C6850" t="s">
        <v>6927</v>
      </c>
      <c r="D6850">
        <v>2019</v>
      </c>
      <c r="F6850" t="s">
        <v>2540</v>
      </c>
      <c r="G6850">
        <v>0</v>
      </c>
      <c r="H6850">
        <v>0</v>
      </c>
      <c r="I6850">
        <v>1</v>
      </c>
      <c r="J6850">
        <v>0</v>
      </c>
      <c r="K6850">
        <v>0</v>
      </c>
      <c r="L6850">
        <f t="shared" si="212"/>
        <v>4.7</v>
      </c>
      <c r="M6850">
        <f t="shared" si="213"/>
        <v>1</v>
      </c>
    </row>
    <row r="6851" spans="1:13" x14ac:dyDescent="0.3">
      <c r="A6851">
        <v>6849</v>
      </c>
      <c r="B6851">
        <v>6850</v>
      </c>
      <c r="C6851" t="s">
        <v>6928</v>
      </c>
      <c r="D6851">
        <v>2012</v>
      </c>
      <c r="F6851" t="s">
        <v>2540</v>
      </c>
      <c r="G6851">
        <v>0</v>
      </c>
      <c r="H6851">
        <v>0</v>
      </c>
      <c r="I6851">
        <v>1</v>
      </c>
      <c r="J6851">
        <v>0</v>
      </c>
      <c r="K6851">
        <v>0</v>
      </c>
      <c r="L6851">
        <f t="shared" ref="L6851:L6914" si="214">IFERROR(VALUE(LEFT(F6851,FIND("/",F6851)-1))/10,"")</f>
        <v>4.7</v>
      </c>
      <c r="M6851">
        <f t="shared" ref="M6851:M6914" si="215">SUM(G6851:J6851)</f>
        <v>1</v>
      </c>
    </row>
    <row r="6852" spans="1:13" x14ac:dyDescent="0.3">
      <c r="A6852">
        <v>6850</v>
      </c>
      <c r="B6852">
        <v>6851</v>
      </c>
      <c r="C6852" t="s">
        <v>6929</v>
      </c>
      <c r="D6852">
        <v>2013</v>
      </c>
      <c r="E6852" t="s">
        <v>11</v>
      </c>
      <c r="F6852" t="s">
        <v>2540</v>
      </c>
      <c r="G6852">
        <v>0</v>
      </c>
      <c r="H6852">
        <v>0</v>
      </c>
      <c r="I6852">
        <v>1</v>
      </c>
      <c r="J6852">
        <v>0</v>
      </c>
      <c r="K6852">
        <v>0</v>
      </c>
      <c r="L6852">
        <f t="shared" si="214"/>
        <v>4.7</v>
      </c>
      <c r="M6852">
        <f t="shared" si="215"/>
        <v>1</v>
      </c>
    </row>
    <row r="6853" spans="1:13" x14ac:dyDescent="0.3">
      <c r="A6853">
        <v>6851</v>
      </c>
      <c r="B6853">
        <v>6852</v>
      </c>
      <c r="C6853" t="s">
        <v>6930</v>
      </c>
      <c r="D6853">
        <v>2017</v>
      </c>
      <c r="F6853" t="s">
        <v>2540</v>
      </c>
      <c r="G6853">
        <v>0</v>
      </c>
      <c r="H6853">
        <v>0</v>
      </c>
      <c r="I6853">
        <v>1</v>
      </c>
      <c r="J6853">
        <v>0</v>
      </c>
      <c r="K6853">
        <v>0</v>
      </c>
      <c r="L6853">
        <f t="shared" si="214"/>
        <v>4.7</v>
      </c>
      <c r="M6853">
        <f t="shared" si="215"/>
        <v>1</v>
      </c>
    </row>
    <row r="6854" spans="1:13" x14ac:dyDescent="0.3">
      <c r="A6854">
        <v>6852</v>
      </c>
      <c r="B6854">
        <v>6853</v>
      </c>
      <c r="C6854" t="s">
        <v>6931</v>
      </c>
      <c r="D6854">
        <v>2006</v>
      </c>
      <c r="E6854" t="s">
        <v>14</v>
      </c>
      <c r="F6854" t="s">
        <v>2540</v>
      </c>
      <c r="G6854">
        <v>0</v>
      </c>
      <c r="H6854">
        <v>0</v>
      </c>
      <c r="I6854">
        <v>1</v>
      </c>
      <c r="J6854">
        <v>0</v>
      </c>
      <c r="K6854">
        <v>0</v>
      </c>
      <c r="L6854">
        <f t="shared" si="214"/>
        <v>4.7</v>
      </c>
      <c r="M6854">
        <f t="shared" si="215"/>
        <v>1</v>
      </c>
    </row>
    <row r="6855" spans="1:13" x14ac:dyDescent="0.3">
      <c r="A6855">
        <v>6853</v>
      </c>
      <c r="B6855">
        <v>6854</v>
      </c>
      <c r="C6855" t="s">
        <v>6932</v>
      </c>
      <c r="D6855">
        <v>2015</v>
      </c>
      <c r="F6855" t="s">
        <v>2540</v>
      </c>
      <c r="G6855">
        <v>0</v>
      </c>
      <c r="H6855">
        <v>0</v>
      </c>
      <c r="I6855">
        <v>1</v>
      </c>
      <c r="J6855">
        <v>0</v>
      </c>
      <c r="K6855">
        <v>0</v>
      </c>
      <c r="L6855">
        <f t="shared" si="214"/>
        <v>4.7</v>
      </c>
      <c r="M6855">
        <f t="shared" si="215"/>
        <v>1</v>
      </c>
    </row>
    <row r="6856" spans="1:13" x14ac:dyDescent="0.3">
      <c r="A6856">
        <v>6854</v>
      </c>
      <c r="B6856">
        <v>6855</v>
      </c>
      <c r="C6856" t="s">
        <v>6933</v>
      </c>
      <c r="D6856">
        <v>1956</v>
      </c>
      <c r="F6856" t="s">
        <v>2540</v>
      </c>
      <c r="G6856">
        <v>0</v>
      </c>
      <c r="H6856">
        <v>0</v>
      </c>
      <c r="I6856">
        <v>1</v>
      </c>
      <c r="J6856">
        <v>0</v>
      </c>
      <c r="K6856">
        <v>0</v>
      </c>
      <c r="L6856">
        <f t="shared" si="214"/>
        <v>4.7</v>
      </c>
      <c r="M6856">
        <f t="shared" si="215"/>
        <v>1</v>
      </c>
    </row>
    <row r="6857" spans="1:13" x14ac:dyDescent="0.3">
      <c r="A6857">
        <v>6855</v>
      </c>
      <c r="B6857">
        <v>6856</v>
      </c>
      <c r="C6857" t="s">
        <v>6934</v>
      </c>
      <c r="D6857">
        <v>2004</v>
      </c>
      <c r="F6857" t="s">
        <v>2540</v>
      </c>
      <c r="G6857">
        <v>0</v>
      </c>
      <c r="H6857">
        <v>0</v>
      </c>
      <c r="I6857">
        <v>1</v>
      </c>
      <c r="J6857">
        <v>0</v>
      </c>
      <c r="K6857">
        <v>0</v>
      </c>
      <c r="L6857">
        <f t="shared" si="214"/>
        <v>4.7</v>
      </c>
      <c r="M6857">
        <f t="shared" si="215"/>
        <v>1</v>
      </c>
    </row>
    <row r="6858" spans="1:13" x14ac:dyDescent="0.3">
      <c r="A6858">
        <v>6856</v>
      </c>
      <c r="B6858">
        <v>6857</v>
      </c>
      <c r="C6858" t="s">
        <v>6935</v>
      </c>
      <c r="D6858">
        <v>2010</v>
      </c>
      <c r="F6858" t="s">
        <v>2540</v>
      </c>
      <c r="G6858">
        <v>0</v>
      </c>
      <c r="H6858">
        <v>0</v>
      </c>
      <c r="I6858">
        <v>1</v>
      </c>
      <c r="J6858">
        <v>0</v>
      </c>
      <c r="K6858">
        <v>0</v>
      </c>
      <c r="L6858">
        <f t="shared" si="214"/>
        <v>4.7</v>
      </c>
      <c r="M6858">
        <f t="shared" si="215"/>
        <v>1</v>
      </c>
    </row>
    <row r="6859" spans="1:13" x14ac:dyDescent="0.3">
      <c r="A6859">
        <v>6857</v>
      </c>
      <c r="B6859">
        <v>6858</v>
      </c>
      <c r="C6859" t="s">
        <v>6936</v>
      </c>
      <c r="D6859">
        <v>1992</v>
      </c>
      <c r="F6859" t="s">
        <v>2540</v>
      </c>
      <c r="G6859">
        <v>0</v>
      </c>
      <c r="H6859">
        <v>0</v>
      </c>
      <c r="I6859">
        <v>1</v>
      </c>
      <c r="J6859">
        <v>0</v>
      </c>
      <c r="K6859">
        <v>0</v>
      </c>
      <c r="L6859">
        <f t="shared" si="214"/>
        <v>4.7</v>
      </c>
      <c r="M6859">
        <f t="shared" si="215"/>
        <v>1</v>
      </c>
    </row>
    <row r="6860" spans="1:13" x14ac:dyDescent="0.3">
      <c r="A6860">
        <v>6858</v>
      </c>
      <c r="B6860">
        <v>6859</v>
      </c>
      <c r="C6860" t="s">
        <v>6937</v>
      </c>
      <c r="D6860">
        <v>2014</v>
      </c>
      <c r="E6860" t="s">
        <v>14</v>
      </c>
      <c r="F6860" t="s">
        <v>2540</v>
      </c>
      <c r="G6860">
        <v>0</v>
      </c>
      <c r="H6860">
        <v>0</v>
      </c>
      <c r="I6860">
        <v>1</v>
      </c>
      <c r="J6860">
        <v>0</v>
      </c>
      <c r="K6860">
        <v>0</v>
      </c>
      <c r="L6860">
        <f t="shared" si="214"/>
        <v>4.7</v>
      </c>
      <c r="M6860">
        <f t="shared" si="215"/>
        <v>1</v>
      </c>
    </row>
    <row r="6861" spans="1:13" x14ac:dyDescent="0.3">
      <c r="A6861">
        <v>6859</v>
      </c>
      <c r="B6861">
        <v>6860</v>
      </c>
      <c r="C6861" t="s">
        <v>6938</v>
      </c>
      <c r="D6861">
        <v>2019</v>
      </c>
      <c r="F6861" t="s">
        <v>2540</v>
      </c>
      <c r="G6861">
        <v>0</v>
      </c>
      <c r="H6861">
        <v>0</v>
      </c>
      <c r="I6861">
        <v>1</v>
      </c>
      <c r="J6861">
        <v>0</v>
      </c>
      <c r="K6861">
        <v>0</v>
      </c>
      <c r="L6861">
        <f t="shared" si="214"/>
        <v>4.7</v>
      </c>
      <c r="M6861">
        <f t="shared" si="215"/>
        <v>1</v>
      </c>
    </row>
    <row r="6862" spans="1:13" x14ac:dyDescent="0.3">
      <c r="A6862">
        <v>6860</v>
      </c>
      <c r="B6862">
        <v>6861</v>
      </c>
      <c r="C6862" t="s">
        <v>6939</v>
      </c>
      <c r="D6862">
        <v>2019</v>
      </c>
      <c r="E6862" t="s">
        <v>22</v>
      </c>
      <c r="F6862" t="s">
        <v>2540</v>
      </c>
      <c r="G6862">
        <v>0</v>
      </c>
      <c r="H6862">
        <v>0</v>
      </c>
      <c r="I6862">
        <v>1</v>
      </c>
      <c r="J6862">
        <v>0</v>
      </c>
      <c r="K6862">
        <v>0</v>
      </c>
      <c r="L6862">
        <f t="shared" si="214"/>
        <v>4.7</v>
      </c>
      <c r="M6862">
        <f t="shared" si="215"/>
        <v>1</v>
      </c>
    </row>
    <row r="6863" spans="1:13" x14ac:dyDescent="0.3">
      <c r="A6863">
        <v>6861</v>
      </c>
      <c r="B6863">
        <v>6862</v>
      </c>
      <c r="C6863" t="s">
        <v>6940</v>
      </c>
      <c r="D6863">
        <v>2018</v>
      </c>
      <c r="F6863" t="s">
        <v>2540</v>
      </c>
      <c r="G6863">
        <v>0</v>
      </c>
      <c r="H6863">
        <v>0</v>
      </c>
      <c r="I6863">
        <v>1</v>
      </c>
      <c r="J6863">
        <v>0</v>
      </c>
      <c r="K6863">
        <v>0</v>
      </c>
      <c r="L6863">
        <f t="shared" si="214"/>
        <v>4.7</v>
      </c>
      <c r="M6863">
        <f t="shared" si="215"/>
        <v>1</v>
      </c>
    </row>
    <row r="6864" spans="1:13" x14ac:dyDescent="0.3">
      <c r="A6864">
        <v>6862</v>
      </c>
      <c r="B6864">
        <v>6863</v>
      </c>
      <c r="C6864" t="s">
        <v>6941</v>
      </c>
      <c r="D6864">
        <v>1998</v>
      </c>
      <c r="E6864" t="s">
        <v>11</v>
      </c>
      <c r="F6864" t="s">
        <v>2540</v>
      </c>
      <c r="G6864">
        <v>0</v>
      </c>
      <c r="H6864">
        <v>0</v>
      </c>
      <c r="I6864">
        <v>1</v>
      </c>
      <c r="J6864">
        <v>0</v>
      </c>
      <c r="K6864">
        <v>0</v>
      </c>
      <c r="L6864">
        <f t="shared" si="214"/>
        <v>4.7</v>
      </c>
      <c r="M6864">
        <f t="shared" si="215"/>
        <v>1</v>
      </c>
    </row>
    <row r="6865" spans="1:13" x14ac:dyDescent="0.3">
      <c r="A6865">
        <v>6863</v>
      </c>
      <c r="B6865">
        <v>6864</v>
      </c>
      <c r="C6865" t="s">
        <v>6942</v>
      </c>
      <c r="D6865">
        <v>1984</v>
      </c>
      <c r="E6865" t="s">
        <v>11</v>
      </c>
      <c r="F6865" t="s">
        <v>2540</v>
      </c>
      <c r="G6865">
        <v>0</v>
      </c>
      <c r="H6865">
        <v>0</v>
      </c>
      <c r="I6865">
        <v>1</v>
      </c>
      <c r="J6865">
        <v>0</v>
      </c>
      <c r="K6865">
        <v>0</v>
      </c>
      <c r="L6865">
        <f t="shared" si="214"/>
        <v>4.7</v>
      </c>
      <c r="M6865">
        <f t="shared" si="215"/>
        <v>1</v>
      </c>
    </row>
    <row r="6866" spans="1:13" x14ac:dyDescent="0.3">
      <c r="A6866">
        <v>6864</v>
      </c>
      <c r="B6866">
        <v>6865</v>
      </c>
      <c r="C6866" t="s">
        <v>6943</v>
      </c>
      <c r="D6866">
        <v>2014</v>
      </c>
      <c r="F6866" t="s">
        <v>2540</v>
      </c>
      <c r="G6866">
        <v>0</v>
      </c>
      <c r="H6866">
        <v>0</v>
      </c>
      <c r="I6866">
        <v>1</v>
      </c>
      <c r="J6866">
        <v>0</v>
      </c>
      <c r="K6866">
        <v>0</v>
      </c>
      <c r="L6866">
        <f t="shared" si="214"/>
        <v>4.7</v>
      </c>
      <c r="M6866">
        <f t="shared" si="215"/>
        <v>1</v>
      </c>
    </row>
    <row r="6867" spans="1:13" x14ac:dyDescent="0.3">
      <c r="A6867">
        <v>6865</v>
      </c>
      <c r="B6867">
        <v>6866</v>
      </c>
      <c r="C6867" t="s">
        <v>6944</v>
      </c>
      <c r="D6867">
        <v>2006</v>
      </c>
      <c r="E6867" t="s">
        <v>36</v>
      </c>
      <c r="F6867" t="s">
        <v>2540</v>
      </c>
      <c r="G6867">
        <v>0</v>
      </c>
      <c r="H6867">
        <v>0</v>
      </c>
      <c r="I6867">
        <v>1</v>
      </c>
      <c r="J6867">
        <v>0</v>
      </c>
      <c r="K6867">
        <v>0</v>
      </c>
      <c r="L6867">
        <f t="shared" si="214"/>
        <v>4.7</v>
      </c>
      <c r="M6867">
        <f t="shared" si="215"/>
        <v>1</v>
      </c>
    </row>
    <row r="6868" spans="1:13" x14ac:dyDescent="0.3">
      <c r="A6868">
        <v>6866</v>
      </c>
      <c r="B6868">
        <v>6867</v>
      </c>
      <c r="C6868" t="s">
        <v>6945</v>
      </c>
      <c r="D6868">
        <v>2002</v>
      </c>
      <c r="E6868" t="s">
        <v>11</v>
      </c>
      <c r="F6868" t="s">
        <v>2540</v>
      </c>
      <c r="G6868">
        <v>0</v>
      </c>
      <c r="H6868">
        <v>0</v>
      </c>
      <c r="I6868">
        <v>1</v>
      </c>
      <c r="J6868">
        <v>0</v>
      </c>
      <c r="K6868">
        <v>0</v>
      </c>
      <c r="L6868">
        <f t="shared" si="214"/>
        <v>4.7</v>
      </c>
      <c r="M6868">
        <f t="shared" si="215"/>
        <v>1</v>
      </c>
    </row>
    <row r="6869" spans="1:13" x14ac:dyDescent="0.3">
      <c r="A6869">
        <v>6867</v>
      </c>
      <c r="B6869">
        <v>6868</v>
      </c>
      <c r="C6869" t="s">
        <v>6946</v>
      </c>
      <c r="D6869">
        <v>2006</v>
      </c>
      <c r="F6869" t="s">
        <v>2540</v>
      </c>
      <c r="G6869">
        <v>0</v>
      </c>
      <c r="H6869">
        <v>0</v>
      </c>
      <c r="I6869">
        <v>1</v>
      </c>
      <c r="J6869">
        <v>0</v>
      </c>
      <c r="K6869">
        <v>0</v>
      </c>
      <c r="L6869">
        <f t="shared" si="214"/>
        <v>4.7</v>
      </c>
      <c r="M6869">
        <f t="shared" si="215"/>
        <v>1</v>
      </c>
    </row>
    <row r="6870" spans="1:13" x14ac:dyDescent="0.3">
      <c r="A6870">
        <v>6868</v>
      </c>
      <c r="B6870">
        <v>6869</v>
      </c>
      <c r="C6870" t="s">
        <v>6947</v>
      </c>
      <c r="D6870">
        <v>2010</v>
      </c>
      <c r="E6870" t="s">
        <v>11</v>
      </c>
      <c r="F6870" t="s">
        <v>2540</v>
      </c>
      <c r="G6870">
        <v>0</v>
      </c>
      <c r="H6870">
        <v>0</v>
      </c>
      <c r="I6870">
        <v>1</v>
      </c>
      <c r="J6870">
        <v>0</v>
      </c>
      <c r="K6870">
        <v>0</v>
      </c>
      <c r="L6870">
        <f t="shared" si="214"/>
        <v>4.7</v>
      </c>
      <c r="M6870">
        <f t="shared" si="215"/>
        <v>1</v>
      </c>
    </row>
    <row r="6871" spans="1:13" x14ac:dyDescent="0.3">
      <c r="A6871">
        <v>6869</v>
      </c>
      <c r="B6871">
        <v>6870</v>
      </c>
      <c r="C6871" t="s">
        <v>6948</v>
      </c>
      <c r="D6871">
        <v>1934</v>
      </c>
      <c r="E6871" t="s">
        <v>36</v>
      </c>
      <c r="F6871" t="s">
        <v>2540</v>
      </c>
      <c r="G6871">
        <v>0</v>
      </c>
      <c r="H6871">
        <v>0</v>
      </c>
      <c r="I6871">
        <v>1</v>
      </c>
      <c r="J6871">
        <v>0</v>
      </c>
      <c r="K6871">
        <v>0</v>
      </c>
      <c r="L6871">
        <f t="shared" si="214"/>
        <v>4.7</v>
      </c>
      <c r="M6871">
        <f t="shared" si="215"/>
        <v>1</v>
      </c>
    </row>
    <row r="6872" spans="1:13" x14ac:dyDescent="0.3">
      <c r="A6872">
        <v>6870</v>
      </c>
      <c r="B6872">
        <v>6871</v>
      </c>
      <c r="C6872" t="s">
        <v>6949</v>
      </c>
      <c r="D6872">
        <v>1954</v>
      </c>
      <c r="F6872" t="s">
        <v>2540</v>
      </c>
      <c r="G6872">
        <v>0</v>
      </c>
      <c r="H6872">
        <v>0</v>
      </c>
      <c r="I6872">
        <v>1</v>
      </c>
      <c r="J6872">
        <v>0</v>
      </c>
      <c r="K6872">
        <v>0</v>
      </c>
      <c r="L6872">
        <f t="shared" si="214"/>
        <v>4.7</v>
      </c>
      <c r="M6872">
        <f t="shared" si="215"/>
        <v>1</v>
      </c>
    </row>
    <row r="6873" spans="1:13" x14ac:dyDescent="0.3">
      <c r="A6873">
        <v>6871</v>
      </c>
      <c r="B6873">
        <v>6872</v>
      </c>
      <c r="C6873" t="s">
        <v>6950</v>
      </c>
      <c r="D6873">
        <v>2013</v>
      </c>
      <c r="E6873" t="s">
        <v>11</v>
      </c>
      <c r="F6873" t="s">
        <v>2540</v>
      </c>
      <c r="G6873">
        <v>0</v>
      </c>
      <c r="H6873">
        <v>0</v>
      </c>
      <c r="I6873">
        <v>1</v>
      </c>
      <c r="J6873">
        <v>0</v>
      </c>
      <c r="K6873">
        <v>0</v>
      </c>
      <c r="L6873">
        <f t="shared" si="214"/>
        <v>4.7</v>
      </c>
      <c r="M6873">
        <f t="shared" si="215"/>
        <v>1</v>
      </c>
    </row>
    <row r="6874" spans="1:13" x14ac:dyDescent="0.3">
      <c r="A6874">
        <v>6872</v>
      </c>
      <c r="B6874">
        <v>6873</v>
      </c>
      <c r="C6874" t="s">
        <v>6951</v>
      </c>
      <c r="D6874">
        <v>2005</v>
      </c>
      <c r="E6874" t="s">
        <v>11</v>
      </c>
      <c r="F6874" t="s">
        <v>2540</v>
      </c>
      <c r="G6874">
        <v>0</v>
      </c>
      <c r="H6874">
        <v>0</v>
      </c>
      <c r="I6874">
        <v>1</v>
      </c>
      <c r="J6874">
        <v>0</v>
      </c>
      <c r="K6874">
        <v>0</v>
      </c>
      <c r="L6874">
        <f t="shared" si="214"/>
        <v>4.7</v>
      </c>
      <c r="M6874">
        <f t="shared" si="215"/>
        <v>1</v>
      </c>
    </row>
    <row r="6875" spans="1:13" x14ac:dyDescent="0.3">
      <c r="A6875">
        <v>6873</v>
      </c>
      <c r="B6875">
        <v>6874</v>
      </c>
      <c r="C6875" t="s">
        <v>6952</v>
      </c>
      <c r="D6875">
        <v>2013</v>
      </c>
      <c r="F6875" t="s">
        <v>2540</v>
      </c>
      <c r="G6875">
        <v>0</v>
      </c>
      <c r="H6875">
        <v>0</v>
      </c>
      <c r="I6875">
        <v>1</v>
      </c>
      <c r="J6875">
        <v>0</v>
      </c>
      <c r="K6875">
        <v>0</v>
      </c>
      <c r="L6875">
        <f t="shared" si="214"/>
        <v>4.7</v>
      </c>
      <c r="M6875">
        <f t="shared" si="215"/>
        <v>1</v>
      </c>
    </row>
    <row r="6876" spans="1:13" x14ac:dyDescent="0.3">
      <c r="A6876">
        <v>6874</v>
      </c>
      <c r="B6876">
        <v>6875</v>
      </c>
      <c r="C6876" t="s">
        <v>6953</v>
      </c>
      <c r="D6876">
        <v>1955</v>
      </c>
      <c r="F6876" t="s">
        <v>2540</v>
      </c>
      <c r="G6876">
        <v>0</v>
      </c>
      <c r="H6876">
        <v>0</v>
      </c>
      <c r="I6876">
        <v>1</v>
      </c>
      <c r="J6876">
        <v>0</v>
      </c>
      <c r="K6876">
        <v>0</v>
      </c>
      <c r="L6876">
        <f t="shared" si="214"/>
        <v>4.7</v>
      </c>
      <c r="M6876">
        <f t="shared" si="215"/>
        <v>1</v>
      </c>
    </row>
    <row r="6877" spans="1:13" x14ac:dyDescent="0.3">
      <c r="A6877">
        <v>6875</v>
      </c>
      <c r="B6877">
        <v>6876</v>
      </c>
      <c r="C6877" t="s">
        <v>6954</v>
      </c>
      <c r="D6877">
        <v>2012</v>
      </c>
      <c r="E6877" t="s">
        <v>22</v>
      </c>
      <c r="F6877" t="s">
        <v>2540</v>
      </c>
      <c r="G6877">
        <v>0</v>
      </c>
      <c r="H6877">
        <v>0</v>
      </c>
      <c r="I6877">
        <v>1</v>
      </c>
      <c r="J6877">
        <v>0</v>
      </c>
      <c r="K6877">
        <v>0</v>
      </c>
      <c r="L6877">
        <f t="shared" si="214"/>
        <v>4.7</v>
      </c>
      <c r="M6877">
        <f t="shared" si="215"/>
        <v>1</v>
      </c>
    </row>
    <row r="6878" spans="1:13" x14ac:dyDescent="0.3">
      <c r="A6878">
        <v>6876</v>
      </c>
      <c r="B6878">
        <v>6877</v>
      </c>
      <c r="C6878" t="s">
        <v>6955</v>
      </c>
      <c r="D6878">
        <v>2008</v>
      </c>
      <c r="F6878" t="s">
        <v>2540</v>
      </c>
      <c r="G6878">
        <v>0</v>
      </c>
      <c r="H6878">
        <v>0</v>
      </c>
      <c r="I6878">
        <v>1</v>
      </c>
      <c r="J6878">
        <v>0</v>
      </c>
      <c r="K6878">
        <v>0</v>
      </c>
      <c r="L6878">
        <f t="shared" si="214"/>
        <v>4.7</v>
      </c>
      <c r="M6878">
        <f t="shared" si="215"/>
        <v>1</v>
      </c>
    </row>
    <row r="6879" spans="1:13" x14ac:dyDescent="0.3">
      <c r="A6879">
        <v>6877</v>
      </c>
      <c r="B6879">
        <v>6878</v>
      </c>
      <c r="C6879" t="s">
        <v>6956</v>
      </c>
      <c r="D6879">
        <v>1960</v>
      </c>
      <c r="F6879" t="s">
        <v>2540</v>
      </c>
      <c r="G6879">
        <v>0</v>
      </c>
      <c r="H6879">
        <v>0</v>
      </c>
      <c r="I6879">
        <v>1</v>
      </c>
      <c r="J6879">
        <v>0</v>
      </c>
      <c r="K6879">
        <v>0</v>
      </c>
      <c r="L6879">
        <f t="shared" si="214"/>
        <v>4.7</v>
      </c>
      <c r="M6879">
        <f t="shared" si="215"/>
        <v>1</v>
      </c>
    </row>
    <row r="6880" spans="1:13" x14ac:dyDescent="0.3">
      <c r="A6880">
        <v>6878</v>
      </c>
      <c r="B6880">
        <v>6879</v>
      </c>
      <c r="C6880" t="s">
        <v>6957</v>
      </c>
      <c r="D6880">
        <v>2020</v>
      </c>
      <c r="E6880" t="s">
        <v>14</v>
      </c>
      <c r="F6880" t="s">
        <v>2540</v>
      </c>
      <c r="G6880">
        <v>0</v>
      </c>
      <c r="H6880">
        <v>0</v>
      </c>
      <c r="I6880">
        <v>1</v>
      </c>
      <c r="J6880">
        <v>0</v>
      </c>
      <c r="K6880">
        <v>0</v>
      </c>
      <c r="L6880">
        <f t="shared" si="214"/>
        <v>4.7</v>
      </c>
      <c r="M6880">
        <f t="shared" si="215"/>
        <v>1</v>
      </c>
    </row>
    <row r="6881" spans="1:13" x14ac:dyDescent="0.3">
      <c r="A6881">
        <v>6879</v>
      </c>
      <c r="B6881">
        <v>6880</v>
      </c>
      <c r="C6881" t="s">
        <v>6958</v>
      </c>
      <c r="D6881">
        <v>2013</v>
      </c>
      <c r="F6881" t="s">
        <v>2540</v>
      </c>
      <c r="G6881">
        <v>0</v>
      </c>
      <c r="H6881">
        <v>0</v>
      </c>
      <c r="I6881">
        <v>1</v>
      </c>
      <c r="J6881">
        <v>0</v>
      </c>
      <c r="K6881">
        <v>0</v>
      </c>
      <c r="L6881">
        <f t="shared" si="214"/>
        <v>4.7</v>
      </c>
      <c r="M6881">
        <f t="shared" si="215"/>
        <v>1</v>
      </c>
    </row>
    <row r="6882" spans="1:13" x14ac:dyDescent="0.3">
      <c r="A6882">
        <v>6880</v>
      </c>
      <c r="B6882">
        <v>6881</v>
      </c>
      <c r="C6882" t="s">
        <v>6959</v>
      </c>
      <c r="D6882">
        <v>1985</v>
      </c>
      <c r="F6882" t="s">
        <v>2540</v>
      </c>
      <c r="G6882">
        <v>0</v>
      </c>
      <c r="H6882">
        <v>0</v>
      </c>
      <c r="I6882">
        <v>1</v>
      </c>
      <c r="J6882">
        <v>0</v>
      </c>
      <c r="K6882">
        <v>0</v>
      </c>
      <c r="L6882">
        <f t="shared" si="214"/>
        <v>4.7</v>
      </c>
      <c r="M6882">
        <f t="shared" si="215"/>
        <v>1</v>
      </c>
    </row>
    <row r="6883" spans="1:13" x14ac:dyDescent="0.3">
      <c r="A6883">
        <v>6881</v>
      </c>
      <c r="B6883">
        <v>6882</v>
      </c>
      <c r="C6883" t="s">
        <v>6960</v>
      </c>
      <c r="D6883">
        <v>2014</v>
      </c>
      <c r="F6883" t="s">
        <v>2540</v>
      </c>
      <c r="G6883">
        <v>0</v>
      </c>
      <c r="H6883">
        <v>0</v>
      </c>
      <c r="I6883">
        <v>1</v>
      </c>
      <c r="J6883">
        <v>0</v>
      </c>
      <c r="K6883">
        <v>0</v>
      </c>
      <c r="L6883">
        <f t="shared" si="214"/>
        <v>4.7</v>
      </c>
      <c r="M6883">
        <f t="shared" si="215"/>
        <v>1</v>
      </c>
    </row>
    <row r="6884" spans="1:13" x14ac:dyDescent="0.3">
      <c r="A6884">
        <v>6882</v>
      </c>
      <c r="B6884">
        <v>6883</v>
      </c>
      <c r="C6884" t="s">
        <v>6961</v>
      </c>
      <c r="D6884">
        <v>1997</v>
      </c>
      <c r="E6884" t="s">
        <v>11</v>
      </c>
      <c r="F6884" t="s">
        <v>2540</v>
      </c>
      <c r="G6884">
        <v>0</v>
      </c>
      <c r="H6884">
        <v>0</v>
      </c>
      <c r="I6884">
        <v>1</v>
      </c>
      <c r="J6884">
        <v>0</v>
      </c>
      <c r="K6884">
        <v>0</v>
      </c>
      <c r="L6884">
        <f t="shared" si="214"/>
        <v>4.7</v>
      </c>
      <c r="M6884">
        <f t="shared" si="215"/>
        <v>1</v>
      </c>
    </row>
    <row r="6885" spans="1:13" x14ac:dyDescent="0.3">
      <c r="A6885">
        <v>6883</v>
      </c>
      <c r="B6885">
        <v>6884</v>
      </c>
      <c r="C6885" t="s">
        <v>6962</v>
      </c>
      <c r="D6885">
        <v>2016</v>
      </c>
      <c r="E6885" t="s">
        <v>28</v>
      </c>
      <c r="F6885" t="s">
        <v>2540</v>
      </c>
      <c r="G6885">
        <v>0</v>
      </c>
      <c r="H6885">
        <v>0</v>
      </c>
      <c r="I6885">
        <v>1</v>
      </c>
      <c r="J6885">
        <v>0</v>
      </c>
      <c r="K6885">
        <v>0</v>
      </c>
      <c r="L6885">
        <f t="shared" si="214"/>
        <v>4.7</v>
      </c>
      <c r="M6885">
        <f t="shared" si="215"/>
        <v>1</v>
      </c>
    </row>
    <row r="6886" spans="1:13" x14ac:dyDescent="0.3">
      <c r="A6886">
        <v>6884</v>
      </c>
      <c r="B6886">
        <v>6885</v>
      </c>
      <c r="C6886" t="s">
        <v>6963</v>
      </c>
      <c r="D6886">
        <v>2017</v>
      </c>
      <c r="F6886" t="s">
        <v>2633</v>
      </c>
      <c r="G6886">
        <v>0</v>
      </c>
      <c r="H6886">
        <v>0</v>
      </c>
      <c r="I6886">
        <v>1</v>
      </c>
      <c r="J6886">
        <v>0</v>
      </c>
      <c r="K6886">
        <v>0</v>
      </c>
      <c r="L6886">
        <f t="shared" si="214"/>
        <v>4.5999999999999996</v>
      </c>
      <c r="M6886">
        <f t="shared" si="215"/>
        <v>1</v>
      </c>
    </row>
    <row r="6887" spans="1:13" x14ac:dyDescent="0.3">
      <c r="A6887">
        <v>6885</v>
      </c>
      <c r="B6887">
        <v>6886</v>
      </c>
      <c r="C6887" t="s">
        <v>6964</v>
      </c>
      <c r="D6887">
        <v>2001</v>
      </c>
      <c r="E6887" t="s">
        <v>36</v>
      </c>
      <c r="F6887" t="s">
        <v>2633</v>
      </c>
      <c r="G6887">
        <v>0</v>
      </c>
      <c r="H6887">
        <v>0</v>
      </c>
      <c r="I6887">
        <v>1</v>
      </c>
      <c r="J6887">
        <v>0</v>
      </c>
      <c r="K6887">
        <v>0</v>
      </c>
      <c r="L6887">
        <f t="shared" si="214"/>
        <v>4.5999999999999996</v>
      </c>
      <c r="M6887">
        <f t="shared" si="215"/>
        <v>1</v>
      </c>
    </row>
    <row r="6888" spans="1:13" x14ac:dyDescent="0.3">
      <c r="A6888">
        <v>6886</v>
      </c>
      <c r="B6888">
        <v>6887</v>
      </c>
      <c r="C6888" t="s">
        <v>6965</v>
      </c>
      <c r="D6888">
        <v>1945</v>
      </c>
      <c r="F6888" t="s">
        <v>2633</v>
      </c>
      <c r="G6888">
        <v>0</v>
      </c>
      <c r="H6888">
        <v>0</v>
      </c>
      <c r="I6888">
        <v>1</v>
      </c>
      <c r="J6888">
        <v>0</v>
      </c>
      <c r="K6888">
        <v>0</v>
      </c>
      <c r="L6888">
        <f t="shared" si="214"/>
        <v>4.5999999999999996</v>
      </c>
      <c r="M6888">
        <f t="shared" si="215"/>
        <v>1</v>
      </c>
    </row>
    <row r="6889" spans="1:13" x14ac:dyDescent="0.3">
      <c r="A6889">
        <v>6887</v>
      </c>
      <c r="B6889">
        <v>6888</v>
      </c>
      <c r="C6889" t="s">
        <v>6966</v>
      </c>
      <c r="D6889">
        <v>2021</v>
      </c>
      <c r="E6889" t="s">
        <v>22</v>
      </c>
      <c r="F6889" t="s">
        <v>2633</v>
      </c>
      <c r="G6889">
        <v>0</v>
      </c>
      <c r="H6889">
        <v>0</v>
      </c>
      <c r="I6889">
        <v>1</v>
      </c>
      <c r="J6889">
        <v>0</v>
      </c>
      <c r="K6889">
        <v>0</v>
      </c>
      <c r="L6889">
        <f t="shared" si="214"/>
        <v>4.5999999999999996</v>
      </c>
      <c r="M6889">
        <f t="shared" si="215"/>
        <v>1</v>
      </c>
    </row>
    <row r="6890" spans="1:13" x14ac:dyDescent="0.3">
      <c r="A6890">
        <v>6888</v>
      </c>
      <c r="B6890">
        <v>6889</v>
      </c>
      <c r="C6890" t="s">
        <v>6967</v>
      </c>
      <c r="D6890">
        <v>2015</v>
      </c>
      <c r="E6890" t="s">
        <v>11</v>
      </c>
      <c r="F6890" t="s">
        <v>2633</v>
      </c>
      <c r="G6890">
        <v>0</v>
      </c>
      <c r="H6890">
        <v>0</v>
      </c>
      <c r="I6890">
        <v>1</v>
      </c>
      <c r="J6890">
        <v>0</v>
      </c>
      <c r="K6890">
        <v>0</v>
      </c>
      <c r="L6890">
        <f t="shared" si="214"/>
        <v>4.5999999999999996</v>
      </c>
      <c r="M6890">
        <f t="shared" si="215"/>
        <v>1</v>
      </c>
    </row>
    <row r="6891" spans="1:13" x14ac:dyDescent="0.3">
      <c r="A6891">
        <v>6889</v>
      </c>
      <c r="B6891">
        <v>6890</v>
      </c>
      <c r="C6891" t="s">
        <v>6968</v>
      </c>
      <c r="D6891">
        <v>2015</v>
      </c>
      <c r="E6891" t="s">
        <v>11</v>
      </c>
      <c r="F6891" t="s">
        <v>2633</v>
      </c>
      <c r="G6891">
        <v>0</v>
      </c>
      <c r="H6891">
        <v>0</v>
      </c>
      <c r="I6891">
        <v>1</v>
      </c>
      <c r="J6891">
        <v>0</v>
      </c>
      <c r="K6891">
        <v>0</v>
      </c>
      <c r="L6891">
        <f t="shared" si="214"/>
        <v>4.5999999999999996</v>
      </c>
      <c r="M6891">
        <f t="shared" si="215"/>
        <v>1</v>
      </c>
    </row>
    <row r="6892" spans="1:13" x14ac:dyDescent="0.3">
      <c r="A6892">
        <v>6890</v>
      </c>
      <c r="B6892">
        <v>6891</v>
      </c>
      <c r="C6892" t="s">
        <v>6969</v>
      </c>
      <c r="D6892">
        <v>2020</v>
      </c>
      <c r="F6892" t="s">
        <v>2633</v>
      </c>
      <c r="G6892">
        <v>0</v>
      </c>
      <c r="H6892">
        <v>0</v>
      </c>
      <c r="I6892">
        <v>1</v>
      </c>
      <c r="J6892">
        <v>0</v>
      </c>
      <c r="K6892">
        <v>0</v>
      </c>
      <c r="L6892">
        <f t="shared" si="214"/>
        <v>4.5999999999999996</v>
      </c>
      <c r="M6892">
        <f t="shared" si="215"/>
        <v>1</v>
      </c>
    </row>
    <row r="6893" spans="1:13" x14ac:dyDescent="0.3">
      <c r="A6893">
        <v>6891</v>
      </c>
      <c r="B6893">
        <v>6892</v>
      </c>
      <c r="C6893" t="s">
        <v>6970</v>
      </c>
      <c r="D6893">
        <v>2008</v>
      </c>
      <c r="F6893" t="s">
        <v>2633</v>
      </c>
      <c r="G6893">
        <v>0</v>
      </c>
      <c r="H6893">
        <v>0</v>
      </c>
      <c r="I6893">
        <v>1</v>
      </c>
      <c r="J6893">
        <v>0</v>
      </c>
      <c r="K6893">
        <v>0</v>
      </c>
      <c r="L6893">
        <f t="shared" si="214"/>
        <v>4.5999999999999996</v>
      </c>
      <c r="M6893">
        <f t="shared" si="215"/>
        <v>1</v>
      </c>
    </row>
    <row r="6894" spans="1:13" x14ac:dyDescent="0.3">
      <c r="A6894">
        <v>6892</v>
      </c>
      <c r="B6894">
        <v>6893</v>
      </c>
      <c r="C6894" t="s">
        <v>6971</v>
      </c>
      <c r="D6894">
        <v>1979</v>
      </c>
      <c r="E6894" t="s">
        <v>36</v>
      </c>
      <c r="F6894" t="s">
        <v>2633</v>
      </c>
      <c r="G6894">
        <v>0</v>
      </c>
      <c r="H6894">
        <v>0</v>
      </c>
      <c r="I6894">
        <v>1</v>
      </c>
      <c r="J6894">
        <v>0</v>
      </c>
      <c r="K6894">
        <v>0</v>
      </c>
      <c r="L6894">
        <f t="shared" si="214"/>
        <v>4.5999999999999996</v>
      </c>
      <c r="M6894">
        <f t="shared" si="215"/>
        <v>1</v>
      </c>
    </row>
    <row r="6895" spans="1:13" x14ac:dyDescent="0.3">
      <c r="A6895">
        <v>6893</v>
      </c>
      <c r="B6895">
        <v>6894</v>
      </c>
      <c r="C6895" t="s">
        <v>6972</v>
      </c>
      <c r="D6895">
        <v>2021</v>
      </c>
      <c r="F6895" t="s">
        <v>2633</v>
      </c>
      <c r="G6895">
        <v>0</v>
      </c>
      <c r="H6895">
        <v>0</v>
      </c>
      <c r="I6895">
        <v>1</v>
      </c>
      <c r="J6895">
        <v>0</v>
      </c>
      <c r="K6895">
        <v>0</v>
      </c>
      <c r="L6895">
        <f t="shared" si="214"/>
        <v>4.5999999999999996</v>
      </c>
      <c r="M6895">
        <f t="shared" si="215"/>
        <v>1</v>
      </c>
    </row>
    <row r="6896" spans="1:13" x14ac:dyDescent="0.3">
      <c r="A6896">
        <v>6894</v>
      </c>
      <c r="B6896">
        <v>6895</v>
      </c>
      <c r="C6896" t="s">
        <v>6973</v>
      </c>
      <c r="D6896">
        <v>2016</v>
      </c>
      <c r="E6896" t="s">
        <v>22</v>
      </c>
      <c r="F6896" t="s">
        <v>2633</v>
      </c>
      <c r="G6896">
        <v>0</v>
      </c>
      <c r="H6896">
        <v>0</v>
      </c>
      <c r="I6896">
        <v>1</v>
      </c>
      <c r="J6896">
        <v>0</v>
      </c>
      <c r="K6896">
        <v>0</v>
      </c>
      <c r="L6896">
        <f t="shared" si="214"/>
        <v>4.5999999999999996</v>
      </c>
      <c r="M6896">
        <f t="shared" si="215"/>
        <v>1</v>
      </c>
    </row>
    <row r="6897" spans="1:13" x14ac:dyDescent="0.3">
      <c r="A6897">
        <v>6895</v>
      </c>
      <c r="B6897">
        <v>6896</v>
      </c>
      <c r="C6897" t="s">
        <v>6974</v>
      </c>
      <c r="D6897">
        <v>2018</v>
      </c>
      <c r="F6897" t="s">
        <v>2633</v>
      </c>
      <c r="G6897">
        <v>0</v>
      </c>
      <c r="H6897">
        <v>0</v>
      </c>
      <c r="I6897">
        <v>1</v>
      </c>
      <c r="J6897">
        <v>0</v>
      </c>
      <c r="K6897">
        <v>0</v>
      </c>
      <c r="L6897">
        <f t="shared" si="214"/>
        <v>4.5999999999999996</v>
      </c>
      <c r="M6897">
        <f t="shared" si="215"/>
        <v>1</v>
      </c>
    </row>
    <row r="6898" spans="1:13" x14ac:dyDescent="0.3">
      <c r="A6898">
        <v>6896</v>
      </c>
      <c r="B6898">
        <v>6897</v>
      </c>
      <c r="C6898" t="s">
        <v>6975</v>
      </c>
      <c r="D6898">
        <v>2011</v>
      </c>
      <c r="F6898" t="s">
        <v>2633</v>
      </c>
      <c r="G6898">
        <v>0</v>
      </c>
      <c r="H6898">
        <v>0</v>
      </c>
      <c r="I6898">
        <v>1</v>
      </c>
      <c r="J6898">
        <v>0</v>
      </c>
      <c r="K6898">
        <v>0</v>
      </c>
      <c r="L6898">
        <f t="shared" si="214"/>
        <v>4.5999999999999996</v>
      </c>
      <c r="M6898">
        <f t="shared" si="215"/>
        <v>1</v>
      </c>
    </row>
    <row r="6899" spans="1:13" x14ac:dyDescent="0.3">
      <c r="A6899">
        <v>6897</v>
      </c>
      <c r="B6899">
        <v>6898</v>
      </c>
      <c r="C6899" t="s">
        <v>6976</v>
      </c>
      <c r="D6899">
        <v>2003</v>
      </c>
      <c r="E6899" t="s">
        <v>11</v>
      </c>
      <c r="F6899" t="s">
        <v>2633</v>
      </c>
      <c r="G6899">
        <v>0</v>
      </c>
      <c r="H6899">
        <v>0</v>
      </c>
      <c r="I6899">
        <v>1</v>
      </c>
      <c r="J6899">
        <v>0</v>
      </c>
      <c r="K6899">
        <v>0</v>
      </c>
      <c r="L6899">
        <f t="shared" si="214"/>
        <v>4.5999999999999996</v>
      </c>
      <c r="M6899">
        <f t="shared" si="215"/>
        <v>1</v>
      </c>
    </row>
    <row r="6900" spans="1:13" x14ac:dyDescent="0.3">
      <c r="A6900">
        <v>6898</v>
      </c>
      <c r="B6900">
        <v>6899</v>
      </c>
      <c r="C6900" t="s">
        <v>6977</v>
      </c>
      <c r="D6900">
        <v>2018</v>
      </c>
      <c r="F6900" t="s">
        <v>2633</v>
      </c>
      <c r="G6900">
        <v>0</v>
      </c>
      <c r="H6900">
        <v>0</v>
      </c>
      <c r="I6900">
        <v>1</v>
      </c>
      <c r="J6900">
        <v>0</v>
      </c>
      <c r="K6900">
        <v>0</v>
      </c>
      <c r="L6900">
        <f t="shared" si="214"/>
        <v>4.5999999999999996</v>
      </c>
      <c r="M6900">
        <f t="shared" si="215"/>
        <v>1</v>
      </c>
    </row>
    <row r="6901" spans="1:13" x14ac:dyDescent="0.3">
      <c r="A6901">
        <v>6899</v>
      </c>
      <c r="B6901">
        <v>6900</v>
      </c>
      <c r="C6901" t="s">
        <v>6978</v>
      </c>
      <c r="D6901">
        <v>1995</v>
      </c>
      <c r="E6901" t="s">
        <v>22</v>
      </c>
      <c r="F6901" t="s">
        <v>2633</v>
      </c>
      <c r="G6901">
        <v>0</v>
      </c>
      <c r="H6901">
        <v>0</v>
      </c>
      <c r="I6901">
        <v>1</v>
      </c>
      <c r="J6901">
        <v>0</v>
      </c>
      <c r="K6901">
        <v>0</v>
      </c>
      <c r="L6901">
        <f t="shared" si="214"/>
        <v>4.5999999999999996</v>
      </c>
      <c r="M6901">
        <f t="shared" si="215"/>
        <v>1</v>
      </c>
    </row>
    <row r="6902" spans="1:13" x14ac:dyDescent="0.3">
      <c r="A6902">
        <v>6900</v>
      </c>
      <c r="B6902">
        <v>6901</v>
      </c>
      <c r="C6902" t="s">
        <v>6979</v>
      </c>
      <c r="D6902">
        <v>2017</v>
      </c>
      <c r="F6902" t="s">
        <v>2633</v>
      </c>
      <c r="G6902">
        <v>0</v>
      </c>
      <c r="H6902">
        <v>0</v>
      </c>
      <c r="I6902">
        <v>1</v>
      </c>
      <c r="J6902">
        <v>0</v>
      </c>
      <c r="K6902">
        <v>0</v>
      </c>
      <c r="L6902">
        <f t="shared" si="214"/>
        <v>4.5999999999999996</v>
      </c>
      <c r="M6902">
        <f t="shared" si="215"/>
        <v>1</v>
      </c>
    </row>
    <row r="6903" spans="1:13" x14ac:dyDescent="0.3">
      <c r="A6903">
        <v>6901</v>
      </c>
      <c r="B6903">
        <v>6902</v>
      </c>
      <c r="C6903" t="s">
        <v>6980</v>
      </c>
      <c r="D6903">
        <v>2020</v>
      </c>
      <c r="F6903" t="s">
        <v>2633</v>
      </c>
      <c r="G6903">
        <v>0</v>
      </c>
      <c r="H6903">
        <v>0</v>
      </c>
      <c r="I6903">
        <v>1</v>
      </c>
      <c r="J6903">
        <v>0</v>
      </c>
      <c r="K6903">
        <v>0</v>
      </c>
      <c r="L6903">
        <f t="shared" si="214"/>
        <v>4.5999999999999996</v>
      </c>
      <c r="M6903">
        <f t="shared" si="215"/>
        <v>1</v>
      </c>
    </row>
    <row r="6904" spans="1:13" x14ac:dyDescent="0.3">
      <c r="A6904">
        <v>6902</v>
      </c>
      <c r="B6904">
        <v>6903</v>
      </c>
      <c r="C6904" t="s">
        <v>6981</v>
      </c>
      <c r="D6904">
        <v>2018</v>
      </c>
      <c r="E6904" t="s">
        <v>22</v>
      </c>
      <c r="F6904" t="s">
        <v>2633</v>
      </c>
      <c r="G6904">
        <v>0</v>
      </c>
      <c r="H6904">
        <v>0</v>
      </c>
      <c r="I6904">
        <v>1</v>
      </c>
      <c r="J6904">
        <v>0</v>
      </c>
      <c r="K6904">
        <v>0</v>
      </c>
      <c r="L6904">
        <f t="shared" si="214"/>
        <v>4.5999999999999996</v>
      </c>
      <c r="M6904">
        <f t="shared" si="215"/>
        <v>1</v>
      </c>
    </row>
    <row r="6905" spans="1:13" x14ac:dyDescent="0.3">
      <c r="A6905">
        <v>6903</v>
      </c>
      <c r="B6905">
        <v>6904</v>
      </c>
      <c r="C6905" t="s">
        <v>6982</v>
      </c>
      <c r="D6905">
        <v>1937</v>
      </c>
      <c r="E6905" t="s">
        <v>36</v>
      </c>
      <c r="F6905" t="s">
        <v>2633</v>
      </c>
      <c r="G6905">
        <v>0</v>
      </c>
      <c r="H6905">
        <v>0</v>
      </c>
      <c r="I6905">
        <v>1</v>
      </c>
      <c r="J6905">
        <v>0</v>
      </c>
      <c r="K6905">
        <v>0</v>
      </c>
      <c r="L6905">
        <f t="shared" si="214"/>
        <v>4.5999999999999996</v>
      </c>
      <c r="M6905">
        <f t="shared" si="215"/>
        <v>1</v>
      </c>
    </row>
    <row r="6906" spans="1:13" x14ac:dyDescent="0.3">
      <c r="A6906">
        <v>6904</v>
      </c>
      <c r="B6906">
        <v>6905</v>
      </c>
      <c r="C6906" t="s">
        <v>6983</v>
      </c>
      <c r="D6906">
        <v>2021</v>
      </c>
      <c r="F6906" t="s">
        <v>2633</v>
      </c>
      <c r="G6906">
        <v>0</v>
      </c>
      <c r="H6906">
        <v>0</v>
      </c>
      <c r="I6906">
        <v>1</v>
      </c>
      <c r="J6906">
        <v>0</v>
      </c>
      <c r="K6906">
        <v>0</v>
      </c>
      <c r="L6906">
        <f t="shared" si="214"/>
        <v>4.5999999999999996</v>
      </c>
      <c r="M6906">
        <f t="shared" si="215"/>
        <v>1</v>
      </c>
    </row>
    <row r="6907" spans="1:13" x14ac:dyDescent="0.3">
      <c r="A6907">
        <v>6905</v>
      </c>
      <c r="B6907">
        <v>6906</v>
      </c>
      <c r="C6907" t="s">
        <v>6984</v>
      </c>
      <c r="D6907">
        <v>1931</v>
      </c>
      <c r="F6907" t="s">
        <v>2633</v>
      </c>
      <c r="G6907">
        <v>0</v>
      </c>
      <c r="H6907">
        <v>0</v>
      </c>
      <c r="I6907">
        <v>1</v>
      </c>
      <c r="J6907">
        <v>0</v>
      </c>
      <c r="K6907">
        <v>0</v>
      </c>
      <c r="L6907">
        <f t="shared" si="214"/>
        <v>4.5999999999999996</v>
      </c>
      <c r="M6907">
        <f t="shared" si="215"/>
        <v>1</v>
      </c>
    </row>
    <row r="6908" spans="1:13" x14ac:dyDescent="0.3">
      <c r="A6908">
        <v>6906</v>
      </c>
      <c r="B6908">
        <v>6907</v>
      </c>
      <c r="C6908" t="s">
        <v>6985</v>
      </c>
      <c r="D6908">
        <v>2007</v>
      </c>
      <c r="F6908" t="s">
        <v>2633</v>
      </c>
      <c r="G6908">
        <v>0</v>
      </c>
      <c r="H6908">
        <v>0</v>
      </c>
      <c r="I6908">
        <v>1</v>
      </c>
      <c r="J6908">
        <v>0</v>
      </c>
      <c r="K6908">
        <v>0</v>
      </c>
      <c r="L6908">
        <f t="shared" si="214"/>
        <v>4.5999999999999996</v>
      </c>
      <c r="M6908">
        <f t="shared" si="215"/>
        <v>1</v>
      </c>
    </row>
    <row r="6909" spans="1:13" x14ac:dyDescent="0.3">
      <c r="A6909">
        <v>6907</v>
      </c>
      <c r="B6909">
        <v>6908</v>
      </c>
      <c r="C6909" t="s">
        <v>6986</v>
      </c>
      <c r="D6909">
        <v>1992</v>
      </c>
      <c r="F6909" t="s">
        <v>2633</v>
      </c>
      <c r="G6909">
        <v>0</v>
      </c>
      <c r="H6909">
        <v>0</v>
      </c>
      <c r="I6909">
        <v>1</v>
      </c>
      <c r="J6909">
        <v>0</v>
      </c>
      <c r="K6909">
        <v>0</v>
      </c>
      <c r="L6909">
        <f t="shared" si="214"/>
        <v>4.5999999999999996</v>
      </c>
      <c r="M6909">
        <f t="shared" si="215"/>
        <v>1</v>
      </c>
    </row>
    <row r="6910" spans="1:13" x14ac:dyDescent="0.3">
      <c r="A6910">
        <v>6908</v>
      </c>
      <c r="B6910">
        <v>6909</v>
      </c>
      <c r="C6910" t="s">
        <v>6987</v>
      </c>
      <c r="D6910">
        <v>2009</v>
      </c>
      <c r="F6910" t="s">
        <v>2633</v>
      </c>
      <c r="G6910">
        <v>0</v>
      </c>
      <c r="H6910">
        <v>0</v>
      </c>
      <c r="I6910">
        <v>1</v>
      </c>
      <c r="J6910">
        <v>0</v>
      </c>
      <c r="K6910">
        <v>0</v>
      </c>
      <c r="L6910">
        <f t="shared" si="214"/>
        <v>4.5999999999999996</v>
      </c>
      <c r="M6910">
        <f t="shared" si="215"/>
        <v>1</v>
      </c>
    </row>
    <row r="6911" spans="1:13" x14ac:dyDescent="0.3">
      <c r="A6911">
        <v>6909</v>
      </c>
      <c r="B6911">
        <v>6910</v>
      </c>
      <c r="C6911" t="s">
        <v>6988</v>
      </c>
      <c r="D6911">
        <v>2018</v>
      </c>
      <c r="F6911" t="s">
        <v>2633</v>
      </c>
      <c r="G6911">
        <v>0</v>
      </c>
      <c r="H6911">
        <v>0</v>
      </c>
      <c r="I6911">
        <v>1</v>
      </c>
      <c r="J6911">
        <v>0</v>
      </c>
      <c r="K6911">
        <v>0</v>
      </c>
      <c r="L6911">
        <f t="shared" si="214"/>
        <v>4.5999999999999996</v>
      </c>
      <c r="M6911">
        <f t="shared" si="215"/>
        <v>1</v>
      </c>
    </row>
    <row r="6912" spans="1:13" x14ac:dyDescent="0.3">
      <c r="A6912">
        <v>6910</v>
      </c>
      <c r="B6912">
        <v>6911</v>
      </c>
      <c r="C6912" t="s">
        <v>6989</v>
      </c>
      <c r="D6912">
        <v>1983</v>
      </c>
      <c r="F6912" t="s">
        <v>2633</v>
      </c>
      <c r="G6912">
        <v>0</v>
      </c>
      <c r="H6912">
        <v>0</v>
      </c>
      <c r="I6912">
        <v>1</v>
      </c>
      <c r="J6912">
        <v>0</v>
      </c>
      <c r="K6912">
        <v>0</v>
      </c>
      <c r="L6912">
        <f t="shared" si="214"/>
        <v>4.5999999999999996</v>
      </c>
      <c r="M6912">
        <f t="shared" si="215"/>
        <v>1</v>
      </c>
    </row>
    <row r="6913" spans="1:13" x14ac:dyDescent="0.3">
      <c r="A6913">
        <v>6911</v>
      </c>
      <c r="B6913">
        <v>6912</v>
      </c>
      <c r="C6913" t="s">
        <v>6990</v>
      </c>
      <c r="D6913">
        <v>2018</v>
      </c>
      <c r="F6913" t="s">
        <v>2633</v>
      </c>
      <c r="G6913">
        <v>0</v>
      </c>
      <c r="H6913">
        <v>0</v>
      </c>
      <c r="I6913">
        <v>1</v>
      </c>
      <c r="J6913">
        <v>0</v>
      </c>
      <c r="K6913">
        <v>0</v>
      </c>
      <c r="L6913">
        <f t="shared" si="214"/>
        <v>4.5999999999999996</v>
      </c>
      <c r="M6913">
        <f t="shared" si="215"/>
        <v>1</v>
      </c>
    </row>
    <row r="6914" spans="1:13" x14ac:dyDescent="0.3">
      <c r="A6914">
        <v>6912</v>
      </c>
      <c r="B6914">
        <v>6913</v>
      </c>
      <c r="C6914" t="s">
        <v>6991</v>
      </c>
      <c r="D6914">
        <v>2020</v>
      </c>
      <c r="F6914" t="s">
        <v>2633</v>
      </c>
      <c r="G6914">
        <v>0</v>
      </c>
      <c r="H6914">
        <v>0</v>
      </c>
      <c r="I6914">
        <v>1</v>
      </c>
      <c r="J6914">
        <v>0</v>
      </c>
      <c r="K6914">
        <v>0</v>
      </c>
      <c r="L6914">
        <f t="shared" si="214"/>
        <v>4.5999999999999996</v>
      </c>
      <c r="M6914">
        <f t="shared" si="215"/>
        <v>1</v>
      </c>
    </row>
    <row r="6915" spans="1:13" x14ac:dyDescent="0.3">
      <c r="A6915">
        <v>6913</v>
      </c>
      <c r="B6915">
        <v>6914</v>
      </c>
      <c r="C6915" t="s">
        <v>6992</v>
      </c>
      <c r="D6915">
        <v>2019</v>
      </c>
      <c r="E6915" t="s">
        <v>36</v>
      </c>
      <c r="F6915" t="s">
        <v>2633</v>
      </c>
      <c r="G6915">
        <v>0</v>
      </c>
      <c r="H6915">
        <v>0</v>
      </c>
      <c r="I6915">
        <v>1</v>
      </c>
      <c r="J6915">
        <v>0</v>
      </c>
      <c r="K6915">
        <v>0</v>
      </c>
      <c r="L6915">
        <f t="shared" ref="L6915:L6978" si="216">IFERROR(VALUE(LEFT(F6915,FIND("/",F6915)-1))/10,"")</f>
        <v>4.5999999999999996</v>
      </c>
      <c r="M6915">
        <f t="shared" ref="M6915:M6978" si="217">SUM(G6915:J6915)</f>
        <v>1</v>
      </c>
    </row>
    <row r="6916" spans="1:13" x14ac:dyDescent="0.3">
      <c r="A6916">
        <v>6914</v>
      </c>
      <c r="B6916">
        <v>6915</v>
      </c>
      <c r="C6916" t="s">
        <v>6993</v>
      </c>
      <c r="D6916">
        <v>2007</v>
      </c>
      <c r="E6916" t="s">
        <v>14</v>
      </c>
      <c r="F6916" t="s">
        <v>2633</v>
      </c>
      <c r="G6916">
        <v>0</v>
      </c>
      <c r="H6916">
        <v>0</v>
      </c>
      <c r="I6916">
        <v>1</v>
      </c>
      <c r="J6916">
        <v>0</v>
      </c>
      <c r="K6916">
        <v>0</v>
      </c>
      <c r="L6916">
        <f t="shared" si="216"/>
        <v>4.5999999999999996</v>
      </c>
      <c r="M6916">
        <f t="shared" si="217"/>
        <v>1</v>
      </c>
    </row>
    <row r="6917" spans="1:13" x14ac:dyDescent="0.3">
      <c r="A6917">
        <v>6915</v>
      </c>
      <c r="B6917">
        <v>6916</v>
      </c>
      <c r="C6917" t="s">
        <v>6994</v>
      </c>
      <c r="D6917">
        <v>1945</v>
      </c>
      <c r="F6917" t="s">
        <v>2633</v>
      </c>
      <c r="G6917">
        <v>0</v>
      </c>
      <c r="H6917">
        <v>0</v>
      </c>
      <c r="I6917">
        <v>1</v>
      </c>
      <c r="J6917">
        <v>0</v>
      </c>
      <c r="K6917">
        <v>0</v>
      </c>
      <c r="L6917">
        <f t="shared" si="216"/>
        <v>4.5999999999999996</v>
      </c>
      <c r="M6917">
        <f t="shared" si="217"/>
        <v>1</v>
      </c>
    </row>
    <row r="6918" spans="1:13" x14ac:dyDescent="0.3">
      <c r="A6918">
        <v>6916</v>
      </c>
      <c r="B6918">
        <v>6917</v>
      </c>
      <c r="C6918" t="s">
        <v>6995</v>
      </c>
      <c r="D6918">
        <v>2011</v>
      </c>
      <c r="E6918" t="s">
        <v>11</v>
      </c>
      <c r="F6918" t="s">
        <v>2633</v>
      </c>
      <c r="G6918">
        <v>0</v>
      </c>
      <c r="H6918">
        <v>0</v>
      </c>
      <c r="I6918">
        <v>1</v>
      </c>
      <c r="J6918">
        <v>0</v>
      </c>
      <c r="K6918">
        <v>0</v>
      </c>
      <c r="L6918">
        <f t="shared" si="216"/>
        <v>4.5999999999999996</v>
      </c>
      <c r="M6918">
        <f t="shared" si="217"/>
        <v>1</v>
      </c>
    </row>
    <row r="6919" spans="1:13" x14ac:dyDescent="0.3">
      <c r="A6919">
        <v>6917</v>
      </c>
      <c r="B6919">
        <v>6918</v>
      </c>
      <c r="C6919" t="s">
        <v>6996</v>
      </c>
      <c r="D6919">
        <v>2007</v>
      </c>
      <c r="F6919" t="s">
        <v>2633</v>
      </c>
      <c r="G6919">
        <v>0</v>
      </c>
      <c r="H6919">
        <v>0</v>
      </c>
      <c r="I6919">
        <v>1</v>
      </c>
      <c r="J6919">
        <v>0</v>
      </c>
      <c r="K6919">
        <v>0</v>
      </c>
      <c r="L6919">
        <f t="shared" si="216"/>
        <v>4.5999999999999996</v>
      </c>
      <c r="M6919">
        <f t="shared" si="217"/>
        <v>1</v>
      </c>
    </row>
    <row r="6920" spans="1:13" x14ac:dyDescent="0.3">
      <c r="A6920">
        <v>6918</v>
      </c>
      <c r="B6920">
        <v>6919</v>
      </c>
      <c r="C6920" t="s">
        <v>6997</v>
      </c>
      <c r="D6920">
        <v>2014</v>
      </c>
      <c r="F6920" t="s">
        <v>2633</v>
      </c>
      <c r="G6920">
        <v>0</v>
      </c>
      <c r="H6920">
        <v>0</v>
      </c>
      <c r="I6920">
        <v>1</v>
      </c>
      <c r="J6920">
        <v>0</v>
      </c>
      <c r="K6920">
        <v>0</v>
      </c>
      <c r="L6920">
        <f t="shared" si="216"/>
        <v>4.5999999999999996</v>
      </c>
      <c r="M6920">
        <f t="shared" si="217"/>
        <v>1</v>
      </c>
    </row>
    <row r="6921" spans="1:13" x14ac:dyDescent="0.3">
      <c r="A6921">
        <v>6919</v>
      </c>
      <c r="B6921">
        <v>6920</v>
      </c>
      <c r="C6921" t="s">
        <v>6998</v>
      </c>
      <c r="D6921">
        <v>1996</v>
      </c>
      <c r="E6921" t="s">
        <v>22</v>
      </c>
      <c r="F6921" t="s">
        <v>2633</v>
      </c>
      <c r="G6921">
        <v>0</v>
      </c>
      <c r="H6921">
        <v>0</v>
      </c>
      <c r="I6921">
        <v>1</v>
      </c>
      <c r="J6921">
        <v>0</v>
      </c>
      <c r="K6921">
        <v>0</v>
      </c>
      <c r="L6921">
        <f t="shared" si="216"/>
        <v>4.5999999999999996</v>
      </c>
      <c r="M6921">
        <f t="shared" si="217"/>
        <v>1</v>
      </c>
    </row>
    <row r="6922" spans="1:13" x14ac:dyDescent="0.3">
      <c r="A6922">
        <v>6920</v>
      </c>
      <c r="B6922">
        <v>6921</v>
      </c>
      <c r="C6922" t="s">
        <v>6999</v>
      </c>
      <c r="D6922">
        <v>2017</v>
      </c>
      <c r="F6922" t="s">
        <v>2633</v>
      </c>
      <c r="G6922">
        <v>0</v>
      </c>
      <c r="H6922">
        <v>0</v>
      </c>
      <c r="I6922">
        <v>1</v>
      </c>
      <c r="J6922">
        <v>0</v>
      </c>
      <c r="K6922">
        <v>0</v>
      </c>
      <c r="L6922">
        <f t="shared" si="216"/>
        <v>4.5999999999999996</v>
      </c>
      <c r="M6922">
        <f t="shared" si="217"/>
        <v>1</v>
      </c>
    </row>
    <row r="6923" spans="1:13" x14ac:dyDescent="0.3">
      <c r="A6923">
        <v>6921</v>
      </c>
      <c r="B6923">
        <v>6922</v>
      </c>
      <c r="C6923" t="s">
        <v>7000</v>
      </c>
      <c r="D6923">
        <v>2000</v>
      </c>
      <c r="E6923" t="s">
        <v>11</v>
      </c>
      <c r="F6923" t="s">
        <v>2633</v>
      </c>
      <c r="G6923">
        <v>0</v>
      </c>
      <c r="H6923">
        <v>0</v>
      </c>
      <c r="I6923">
        <v>1</v>
      </c>
      <c r="J6923">
        <v>0</v>
      </c>
      <c r="K6923">
        <v>0</v>
      </c>
      <c r="L6923">
        <f t="shared" si="216"/>
        <v>4.5999999999999996</v>
      </c>
      <c r="M6923">
        <f t="shared" si="217"/>
        <v>1</v>
      </c>
    </row>
    <row r="6924" spans="1:13" x14ac:dyDescent="0.3">
      <c r="A6924">
        <v>6922</v>
      </c>
      <c r="B6924">
        <v>6923</v>
      </c>
      <c r="C6924" t="s">
        <v>7001</v>
      </c>
      <c r="D6924">
        <v>1934</v>
      </c>
      <c r="E6924" t="s">
        <v>36</v>
      </c>
      <c r="F6924" t="s">
        <v>2633</v>
      </c>
      <c r="G6924">
        <v>0</v>
      </c>
      <c r="H6924">
        <v>0</v>
      </c>
      <c r="I6924">
        <v>1</v>
      </c>
      <c r="J6924">
        <v>0</v>
      </c>
      <c r="K6924">
        <v>0</v>
      </c>
      <c r="L6924">
        <f t="shared" si="216"/>
        <v>4.5999999999999996</v>
      </c>
      <c r="M6924">
        <f t="shared" si="217"/>
        <v>1</v>
      </c>
    </row>
    <row r="6925" spans="1:13" x14ac:dyDescent="0.3">
      <c r="A6925">
        <v>6923</v>
      </c>
      <c r="B6925">
        <v>6924</v>
      </c>
      <c r="C6925" t="s">
        <v>7002</v>
      </c>
      <c r="D6925">
        <v>1939</v>
      </c>
      <c r="F6925" t="s">
        <v>2633</v>
      </c>
      <c r="G6925">
        <v>0</v>
      </c>
      <c r="H6925">
        <v>0</v>
      </c>
      <c r="I6925">
        <v>1</v>
      </c>
      <c r="J6925">
        <v>0</v>
      </c>
      <c r="K6925">
        <v>0</v>
      </c>
      <c r="L6925">
        <f t="shared" si="216"/>
        <v>4.5999999999999996</v>
      </c>
      <c r="M6925">
        <f t="shared" si="217"/>
        <v>1</v>
      </c>
    </row>
    <row r="6926" spans="1:13" x14ac:dyDescent="0.3">
      <c r="A6926">
        <v>6924</v>
      </c>
      <c r="B6926">
        <v>6925</v>
      </c>
      <c r="C6926" t="s">
        <v>7003</v>
      </c>
      <c r="D6926">
        <v>2005</v>
      </c>
      <c r="E6926" t="s">
        <v>11</v>
      </c>
      <c r="F6926" t="s">
        <v>2633</v>
      </c>
      <c r="G6926">
        <v>0</v>
      </c>
      <c r="H6926">
        <v>0</v>
      </c>
      <c r="I6926">
        <v>1</v>
      </c>
      <c r="J6926">
        <v>0</v>
      </c>
      <c r="K6926">
        <v>0</v>
      </c>
      <c r="L6926">
        <f t="shared" si="216"/>
        <v>4.5999999999999996</v>
      </c>
      <c r="M6926">
        <f t="shared" si="217"/>
        <v>1</v>
      </c>
    </row>
    <row r="6927" spans="1:13" x14ac:dyDescent="0.3">
      <c r="A6927">
        <v>6925</v>
      </c>
      <c r="B6927">
        <v>6926</v>
      </c>
      <c r="C6927" t="s">
        <v>7004</v>
      </c>
      <c r="D6927">
        <v>2004</v>
      </c>
      <c r="E6927" t="s">
        <v>14</v>
      </c>
      <c r="F6927" t="s">
        <v>2633</v>
      </c>
      <c r="G6927">
        <v>0</v>
      </c>
      <c r="H6927">
        <v>0</v>
      </c>
      <c r="I6927">
        <v>1</v>
      </c>
      <c r="J6927">
        <v>0</v>
      </c>
      <c r="K6927">
        <v>0</v>
      </c>
      <c r="L6927">
        <f t="shared" si="216"/>
        <v>4.5999999999999996</v>
      </c>
      <c r="M6927">
        <f t="shared" si="217"/>
        <v>1</v>
      </c>
    </row>
    <row r="6928" spans="1:13" x14ac:dyDescent="0.3">
      <c r="A6928">
        <v>6926</v>
      </c>
      <c r="B6928">
        <v>6927</v>
      </c>
      <c r="C6928" t="s">
        <v>7005</v>
      </c>
      <c r="D6928">
        <v>2016</v>
      </c>
      <c r="E6928" t="s">
        <v>22</v>
      </c>
      <c r="F6928" t="s">
        <v>2633</v>
      </c>
      <c r="G6928">
        <v>0</v>
      </c>
      <c r="H6928">
        <v>0</v>
      </c>
      <c r="I6928">
        <v>1</v>
      </c>
      <c r="J6928">
        <v>0</v>
      </c>
      <c r="K6928">
        <v>0</v>
      </c>
      <c r="L6928">
        <f t="shared" si="216"/>
        <v>4.5999999999999996</v>
      </c>
      <c r="M6928">
        <f t="shared" si="217"/>
        <v>1</v>
      </c>
    </row>
    <row r="6929" spans="1:13" x14ac:dyDescent="0.3">
      <c r="A6929">
        <v>6927</v>
      </c>
      <c r="B6929">
        <v>6928</v>
      </c>
      <c r="C6929" t="s">
        <v>7006</v>
      </c>
      <c r="D6929">
        <v>2011</v>
      </c>
      <c r="E6929" t="s">
        <v>28</v>
      </c>
      <c r="F6929" t="s">
        <v>2633</v>
      </c>
      <c r="G6929">
        <v>0</v>
      </c>
      <c r="H6929">
        <v>0</v>
      </c>
      <c r="I6929">
        <v>1</v>
      </c>
      <c r="J6929">
        <v>0</v>
      </c>
      <c r="K6929">
        <v>0</v>
      </c>
      <c r="L6929">
        <f t="shared" si="216"/>
        <v>4.5999999999999996</v>
      </c>
      <c r="M6929">
        <f t="shared" si="217"/>
        <v>1</v>
      </c>
    </row>
    <row r="6930" spans="1:13" x14ac:dyDescent="0.3">
      <c r="A6930">
        <v>6928</v>
      </c>
      <c r="B6930">
        <v>6929</v>
      </c>
      <c r="C6930" t="s">
        <v>7007</v>
      </c>
      <c r="D6930">
        <v>2017</v>
      </c>
      <c r="E6930" t="s">
        <v>11</v>
      </c>
      <c r="F6930" t="s">
        <v>2633</v>
      </c>
      <c r="G6930">
        <v>0</v>
      </c>
      <c r="H6930">
        <v>0</v>
      </c>
      <c r="I6930">
        <v>1</v>
      </c>
      <c r="J6930">
        <v>0</v>
      </c>
      <c r="K6930">
        <v>0</v>
      </c>
      <c r="L6930">
        <f t="shared" si="216"/>
        <v>4.5999999999999996</v>
      </c>
      <c r="M6930">
        <f t="shared" si="217"/>
        <v>1</v>
      </c>
    </row>
    <row r="6931" spans="1:13" x14ac:dyDescent="0.3">
      <c r="A6931">
        <v>6929</v>
      </c>
      <c r="B6931">
        <v>6930</v>
      </c>
      <c r="C6931" t="s">
        <v>7008</v>
      </c>
      <c r="D6931">
        <v>2021</v>
      </c>
      <c r="F6931" t="s">
        <v>2633</v>
      </c>
      <c r="G6931">
        <v>0</v>
      </c>
      <c r="H6931">
        <v>0</v>
      </c>
      <c r="I6931">
        <v>1</v>
      </c>
      <c r="J6931">
        <v>0</v>
      </c>
      <c r="K6931">
        <v>0</v>
      </c>
      <c r="L6931">
        <f t="shared" si="216"/>
        <v>4.5999999999999996</v>
      </c>
      <c r="M6931">
        <f t="shared" si="217"/>
        <v>1</v>
      </c>
    </row>
    <row r="6932" spans="1:13" x14ac:dyDescent="0.3">
      <c r="A6932">
        <v>6930</v>
      </c>
      <c r="B6932">
        <v>6931</v>
      </c>
      <c r="C6932" t="s">
        <v>7009</v>
      </c>
      <c r="D6932">
        <v>1944</v>
      </c>
      <c r="F6932" t="s">
        <v>2633</v>
      </c>
      <c r="G6932">
        <v>0</v>
      </c>
      <c r="H6932">
        <v>0</v>
      </c>
      <c r="I6932">
        <v>1</v>
      </c>
      <c r="J6932">
        <v>0</v>
      </c>
      <c r="K6932">
        <v>0</v>
      </c>
      <c r="L6932">
        <f t="shared" si="216"/>
        <v>4.5999999999999996</v>
      </c>
      <c r="M6932">
        <f t="shared" si="217"/>
        <v>1</v>
      </c>
    </row>
    <row r="6933" spans="1:13" x14ac:dyDescent="0.3">
      <c r="A6933">
        <v>6931</v>
      </c>
      <c r="B6933">
        <v>6932</v>
      </c>
      <c r="C6933" t="s">
        <v>7010</v>
      </c>
      <c r="D6933">
        <v>1939</v>
      </c>
      <c r="F6933" t="s">
        <v>2633</v>
      </c>
      <c r="G6933">
        <v>0</v>
      </c>
      <c r="H6933">
        <v>0</v>
      </c>
      <c r="I6933">
        <v>1</v>
      </c>
      <c r="J6933">
        <v>0</v>
      </c>
      <c r="K6933">
        <v>0</v>
      </c>
      <c r="L6933">
        <f t="shared" si="216"/>
        <v>4.5999999999999996</v>
      </c>
      <c r="M6933">
        <f t="shared" si="217"/>
        <v>1</v>
      </c>
    </row>
    <row r="6934" spans="1:13" x14ac:dyDescent="0.3">
      <c r="A6934">
        <v>6932</v>
      </c>
      <c r="B6934">
        <v>6933</v>
      </c>
      <c r="C6934" t="s">
        <v>7011</v>
      </c>
      <c r="D6934">
        <v>2018</v>
      </c>
      <c r="E6934" t="s">
        <v>28</v>
      </c>
      <c r="F6934" t="s">
        <v>2633</v>
      </c>
      <c r="G6934">
        <v>0</v>
      </c>
      <c r="H6934">
        <v>0</v>
      </c>
      <c r="I6934">
        <v>1</v>
      </c>
      <c r="J6934">
        <v>0</v>
      </c>
      <c r="K6934">
        <v>0</v>
      </c>
      <c r="L6934">
        <f t="shared" si="216"/>
        <v>4.5999999999999996</v>
      </c>
      <c r="M6934">
        <f t="shared" si="217"/>
        <v>1</v>
      </c>
    </row>
    <row r="6935" spans="1:13" x14ac:dyDescent="0.3">
      <c r="A6935">
        <v>6933</v>
      </c>
      <c r="B6935">
        <v>6934</v>
      </c>
      <c r="C6935" t="s">
        <v>7012</v>
      </c>
      <c r="D6935">
        <v>2016</v>
      </c>
      <c r="F6935" t="s">
        <v>2633</v>
      </c>
      <c r="G6935">
        <v>0</v>
      </c>
      <c r="H6935">
        <v>0</v>
      </c>
      <c r="I6935">
        <v>1</v>
      </c>
      <c r="J6935">
        <v>0</v>
      </c>
      <c r="K6935">
        <v>0</v>
      </c>
      <c r="L6935">
        <f t="shared" si="216"/>
        <v>4.5999999999999996</v>
      </c>
      <c r="M6935">
        <f t="shared" si="217"/>
        <v>1</v>
      </c>
    </row>
    <row r="6936" spans="1:13" x14ac:dyDescent="0.3">
      <c r="A6936">
        <v>6934</v>
      </c>
      <c r="B6936">
        <v>6935</v>
      </c>
      <c r="C6936" t="s">
        <v>7013</v>
      </c>
      <c r="D6936">
        <v>1971</v>
      </c>
      <c r="E6936" t="s">
        <v>11</v>
      </c>
      <c r="F6936" t="s">
        <v>2633</v>
      </c>
      <c r="G6936">
        <v>0</v>
      </c>
      <c r="H6936">
        <v>0</v>
      </c>
      <c r="I6936">
        <v>1</v>
      </c>
      <c r="J6936">
        <v>0</v>
      </c>
      <c r="K6936">
        <v>0</v>
      </c>
      <c r="L6936">
        <f t="shared" si="216"/>
        <v>4.5999999999999996</v>
      </c>
      <c r="M6936">
        <f t="shared" si="217"/>
        <v>1</v>
      </c>
    </row>
    <row r="6937" spans="1:13" x14ac:dyDescent="0.3">
      <c r="A6937">
        <v>6935</v>
      </c>
      <c r="B6937">
        <v>6936</v>
      </c>
      <c r="C6937" t="s">
        <v>7014</v>
      </c>
      <c r="D6937">
        <v>2007</v>
      </c>
      <c r="E6937" t="s">
        <v>11</v>
      </c>
      <c r="F6937" t="s">
        <v>2633</v>
      </c>
      <c r="G6937">
        <v>0</v>
      </c>
      <c r="H6937">
        <v>0</v>
      </c>
      <c r="I6937">
        <v>1</v>
      </c>
      <c r="J6937">
        <v>0</v>
      </c>
      <c r="K6937">
        <v>0</v>
      </c>
      <c r="L6937">
        <f t="shared" si="216"/>
        <v>4.5999999999999996</v>
      </c>
      <c r="M6937">
        <f t="shared" si="217"/>
        <v>1</v>
      </c>
    </row>
    <row r="6938" spans="1:13" x14ac:dyDescent="0.3">
      <c r="A6938">
        <v>6936</v>
      </c>
      <c r="B6938">
        <v>6937</v>
      </c>
      <c r="C6938" t="s">
        <v>7015</v>
      </c>
      <c r="D6938">
        <v>2000</v>
      </c>
      <c r="E6938" t="s">
        <v>11</v>
      </c>
      <c r="F6938" t="s">
        <v>2633</v>
      </c>
      <c r="G6938">
        <v>0</v>
      </c>
      <c r="H6938">
        <v>0</v>
      </c>
      <c r="I6938">
        <v>1</v>
      </c>
      <c r="J6938">
        <v>0</v>
      </c>
      <c r="K6938">
        <v>0</v>
      </c>
      <c r="L6938">
        <f t="shared" si="216"/>
        <v>4.5999999999999996</v>
      </c>
      <c r="M6938">
        <f t="shared" si="217"/>
        <v>1</v>
      </c>
    </row>
    <row r="6939" spans="1:13" x14ac:dyDescent="0.3">
      <c r="A6939">
        <v>6937</v>
      </c>
      <c r="B6939">
        <v>6938</v>
      </c>
      <c r="C6939" t="s">
        <v>7016</v>
      </c>
      <c r="D6939">
        <v>2011</v>
      </c>
      <c r="F6939" t="s">
        <v>2633</v>
      </c>
      <c r="G6939">
        <v>0</v>
      </c>
      <c r="H6939">
        <v>0</v>
      </c>
      <c r="I6939">
        <v>1</v>
      </c>
      <c r="J6939">
        <v>0</v>
      </c>
      <c r="K6939">
        <v>0</v>
      </c>
      <c r="L6939">
        <f t="shared" si="216"/>
        <v>4.5999999999999996</v>
      </c>
      <c r="M6939">
        <f t="shared" si="217"/>
        <v>1</v>
      </c>
    </row>
    <row r="6940" spans="1:13" x14ac:dyDescent="0.3">
      <c r="A6940">
        <v>6938</v>
      </c>
      <c r="B6940">
        <v>6939</v>
      </c>
      <c r="C6940" t="s">
        <v>7017</v>
      </c>
      <c r="D6940">
        <v>2009</v>
      </c>
      <c r="E6940" t="s">
        <v>22</v>
      </c>
      <c r="F6940" t="s">
        <v>2633</v>
      </c>
      <c r="G6940">
        <v>0</v>
      </c>
      <c r="H6940">
        <v>0</v>
      </c>
      <c r="I6940">
        <v>1</v>
      </c>
      <c r="J6940">
        <v>0</v>
      </c>
      <c r="K6940">
        <v>0</v>
      </c>
      <c r="L6940">
        <f t="shared" si="216"/>
        <v>4.5999999999999996</v>
      </c>
      <c r="M6940">
        <f t="shared" si="217"/>
        <v>1</v>
      </c>
    </row>
    <row r="6941" spans="1:13" x14ac:dyDescent="0.3">
      <c r="A6941">
        <v>6939</v>
      </c>
      <c r="B6941">
        <v>6940</v>
      </c>
      <c r="C6941" t="s">
        <v>7018</v>
      </c>
      <c r="D6941">
        <v>2017</v>
      </c>
      <c r="E6941" t="s">
        <v>28</v>
      </c>
      <c r="F6941" t="s">
        <v>2633</v>
      </c>
      <c r="G6941">
        <v>0</v>
      </c>
      <c r="H6941">
        <v>0</v>
      </c>
      <c r="I6941">
        <v>1</v>
      </c>
      <c r="J6941">
        <v>0</v>
      </c>
      <c r="K6941">
        <v>0</v>
      </c>
      <c r="L6941">
        <f t="shared" si="216"/>
        <v>4.5999999999999996</v>
      </c>
      <c r="M6941">
        <f t="shared" si="217"/>
        <v>1</v>
      </c>
    </row>
    <row r="6942" spans="1:13" x14ac:dyDescent="0.3">
      <c r="A6942">
        <v>6940</v>
      </c>
      <c r="B6942">
        <v>6941</v>
      </c>
      <c r="C6942" t="s">
        <v>7019</v>
      </c>
      <c r="D6942">
        <v>2012</v>
      </c>
      <c r="E6942" t="s">
        <v>36</v>
      </c>
      <c r="F6942" t="s">
        <v>2633</v>
      </c>
      <c r="G6942">
        <v>0</v>
      </c>
      <c r="H6942">
        <v>0</v>
      </c>
      <c r="I6942">
        <v>1</v>
      </c>
      <c r="J6942">
        <v>0</v>
      </c>
      <c r="K6942">
        <v>0</v>
      </c>
      <c r="L6942">
        <f t="shared" si="216"/>
        <v>4.5999999999999996</v>
      </c>
      <c r="M6942">
        <f t="shared" si="217"/>
        <v>1</v>
      </c>
    </row>
    <row r="6943" spans="1:13" x14ac:dyDescent="0.3">
      <c r="A6943">
        <v>6941</v>
      </c>
      <c r="B6943">
        <v>6942</v>
      </c>
      <c r="C6943" t="s">
        <v>7020</v>
      </c>
      <c r="D6943">
        <v>1959</v>
      </c>
      <c r="F6943" t="s">
        <v>2633</v>
      </c>
      <c r="G6943">
        <v>0</v>
      </c>
      <c r="H6943">
        <v>0</v>
      </c>
      <c r="I6943">
        <v>1</v>
      </c>
      <c r="J6943">
        <v>0</v>
      </c>
      <c r="K6943">
        <v>0</v>
      </c>
      <c r="L6943">
        <f t="shared" si="216"/>
        <v>4.5999999999999996</v>
      </c>
      <c r="M6943">
        <f t="shared" si="217"/>
        <v>1</v>
      </c>
    </row>
    <row r="6944" spans="1:13" x14ac:dyDescent="0.3">
      <c r="A6944">
        <v>6942</v>
      </c>
      <c r="B6944">
        <v>6943</v>
      </c>
      <c r="C6944" t="s">
        <v>7021</v>
      </c>
      <c r="D6944">
        <v>1997</v>
      </c>
      <c r="E6944" t="s">
        <v>14</v>
      </c>
      <c r="F6944" t="s">
        <v>2633</v>
      </c>
      <c r="G6944">
        <v>0</v>
      </c>
      <c r="H6944">
        <v>0</v>
      </c>
      <c r="I6944">
        <v>1</v>
      </c>
      <c r="J6944">
        <v>0</v>
      </c>
      <c r="K6944">
        <v>0</v>
      </c>
      <c r="L6944">
        <f t="shared" si="216"/>
        <v>4.5999999999999996</v>
      </c>
      <c r="M6944">
        <f t="shared" si="217"/>
        <v>1</v>
      </c>
    </row>
    <row r="6945" spans="1:13" x14ac:dyDescent="0.3">
      <c r="A6945">
        <v>6943</v>
      </c>
      <c r="B6945">
        <v>6944</v>
      </c>
      <c r="C6945" t="s">
        <v>7022</v>
      </c>
      <c r="D6945">
        <v>2020</v>
      </c>
      <c r="F6945" t="s">
        <v>2633</v>
      </c>
      <c r="G6945">
        <v>0</v>
      </c>
      <c r="H6945">
        <v>0</v>
      </c>
      <c r="I6945">
        <v>1</v>
      </c>
      <c r="J6945">
        <v>0</v>
      </c>
      <c r="K6945">
        <v>0</v>
      </c>
      <c r="L6945">
        <f t="shared" si="216"/>
        <v>4.5999999999999996</v>
      </c>
      <c r="M6945">
        <f t="shared" si="217"/>
        <v>1</v>
      </c>
    </row>
    <row r="6946" spans="1:13" x14ac:dyDescent="0.3">
      <c r="A6946">
        <v>6944</v>
      </c>
      <c r="B6946">
        <v>6945</v>
      </c>
      <c r="C6946" t="s">
        <v>7023</v>
      </c>
      <c r="D6946">
        <v>2006</v>
      </c>
      <c r="F6946" t="s">
        <v>2633</v>
      </c>
      <c r="G6946">
        <v>0</v>
      </c>
      <c r="H6946">
        <v>0</v>
      </c>
      <c r="I6946">
        <v>1</v>
      </c>
      <c r="J6946">
        <v>0</v>
      </c>
      <c r="K6946">
        <v>0</v>
      </c>
      <c r="L6946">
        <f t="shared" si="216"/>
        <v>4.5999999999999996</v>
      </c>
      <c r="M6946">
        <f t="shared" si="217"/>
        <v>1</v>
      </c>
    </row>
    <row r="6947" spans="1:13" x14ac:dyDescent="0.3">
      <c r="A6947">
        <v>6945</v>
      </c>
      <c r="B6947">
        <v>6946</v>
      </c>
      <c r="C6947" t="s">
        <v>7024</v>
      </c>
      <c r="D6947">
        <v>2019</v>
      </c>
      <c r="E6947" t="s">
        <v>22</v>
      </c>
      <c r="F6947" t="s">
        <v>2633</v>
      </c>
      <c r="G6947">
        <v>0</v>
      </c>
      <c r="H6947">
        <v>0</v>
      </c>
      <c r="I6947">
        <v>1</v>
      </c>
      <c r="J6947">
        <v>0</v>
      </c>
      <c r="K6947">
        <v>0</v>
      </c>
      <c r="L6947">
        <f t="shared" si="216"/>
        <v>4.5999999999999996</v>
      </c>
      <c r="M6947">
        <f t="shared" si="217"/>
        <v>1</v>
      </c>
    </row>
    <row r="6948" spans="1:13" x14ac:dyDescent="0.3">
      <c r="A6948">
        <v>6946</v>
      </c>
      <c r="B6948">
        <v>6947</v>
      </c>
      <c r="C6948" t="s">
        <v>7025</v>
      </c>
      <c r="D6948">
        <v>1987</v>
      </c>
      <c r="E6948" t="s">
        <v>11</v>
      </c>
      <c r="F6948" t="s">
        <v>2633</v>
      </c>
      <c r="G6948">
        <v>0</v>
      </c>
      <c r="H6948">
        <v>0</v>
      </c>
      <c r="I6948">
        <v>1</v>
      </c>
      <c r="J6948">
        <v>0</v>
      </c>
      <c r="K6948">
        <v>0</v>
      </c>
      <c r="L6948">
        <f t="shared" si="216"/>
        <v>4.5999999999999996</v>
      </c>
      <c r="M6948">
        <f t="shared" si="217"/>
        <v>1</v>
      </c>
    </row>
    <row r="6949" spans="1:13" x14ac:dyDescent="0.3">
      <c r="A6949">
        <v>6947</v>
      </c>
      <c r="B6949">
        <v>6948</v>
      </c>
      <c r="C6949" t="s">
        <v>7026</v>
      </c>
      <c r="D6949">
        <v>2010</v>
      </c>
      <c r="F6949" t="s">
        <v>2633</v>
      </c>
      <c r="G6949">
        <v>0</v>
      </c>
      <c r="H6949">
        <v>0</v>
      </c>
      <c r="I6949">
        <v>1</v>
      </c>
      <c r="J6949">
        <v>0</v>
      </c>
      <c r="K6949">
        <v>0</v>
      </c>
      <c r="L6949">
        <f t="shared" si="216"/>
        <v>4.5999999999999996</v>
      </c>
      <c r="M6949">
        <f t="shared" si="217"/>
        <v>1</v>
      </c>
    </row>
    <row r="6950" spans="1:13" x14ac:dyDescent="0.3">
      <c r="A6950">
        <v>6948</v>
      </c>
      <c r="B6950">
        <v>6949</v>
      </c>
      <c r="C6950" t="s">
        <v>7027</v>
      </c>
      <c r="D6950">
        <v>2018</v>
      </c>
      <c r="F6950" t="s">
        <v>2633</v>
      </c>
      <c r="G6950">
        <v>0</v>
      </c>
      <c r="H6950">
        <v>0</v>
      </c>
      <c r="I6950">
        <v>1</v>
      </c>
      <c r="J6950">
        <v>0</v>
      </c>
      <c r="K6950">
        <v>0</v>
      </c>
      <c r="L6950">
        <f t="shared" si="216"/>
        <v>4.5999999999999996</v>
      </c>
      <c r="M6950">
        <f t="shared" si="217"/>
        <v>1</v>
      </c>
    </row>
    <row r="6951" spans="1:13" x14ac:dyDescent="0.3">
      <c r="A6951">
        <v>6949</v>
      </c>
      <c r="B6951">
        <v>6950</v>
      </c>
      <c r="C6951" t="s">
        <v>7028</v>
      </c>
      <c r="D6951">
        <v>2019</v>
      </c>
      <c r="F6951" t="s">
        <v>2633</v>
      </c>
      <c r="G6951">
        <v>0</v>
      </c>
      <c r="H6951">
        <v>0</v>
      </c>
      <c r="I6951">
        <v>1</v>
      </c>
      <c r="J6951">
        <v>0</v>
      </c>
      <c r="K6951">
        <v>0</v>
      </c>
      <c r="L6951">
        <f t="shared" si="216"/>
        <v>4.5999999999999996</v>
      </c>
      <c r="M6951">
        <f t="shared" si="217"/>
        <v>1</v>
      </c>
    </row>
    <row r="6952" spans="1:13" x14ac:dyDescent="0.3">
      <c r="A6952">
        <v>6950</v>
      </c>
      <c r="B6952">
        <v>6951</v>
      </c>
      <c r="C6952" t="s">
        <v>7029</v>
      </c>
      <c r="D6952">
        <v>2017</v>
      </c>
      <c r="F6952" t="s">
        <v>2633</v>
      </c>
      <c r="G6952">
        <v>0</v>
      </c>
      <c r="H6952">
        <v>0</v>
      </c>
      <c r="I6952">
        <v>1</v>
      </c>
      <c r="J6952">
        <v>0</v>
      </c>
      <c r="K6952">
        <v>0</v>
      </c>
      <c r="L6952">
        <f t="shared" si="216"/>
        <v>4.5999999999999996</v>
      </c>
      <c r="M6952">
        <f t="shared" si="217"/>
        <v>1</v>
      </c>
    </row>
    <row r="6953" spans="1:13" x14ac:dyDescent="0.3">
      <c r="A6953">
        <v>6951</v>
      </c>
      <c r="B6953">
        <v>6952</v>
      </c>
      <c r="C6953" t="s">
        <v>7030</v>
      </c>
      <c r="D6953">
        <v>2015</v>
      </c>
      <c r="F6953" t="s">
        <v>2633</v>
      </c>
      <c r="G6953">
        <v>0</v>
      </c>
      <c r="H6953">
        <v>0</v>
      </c>
      <c r="I6953">
        <v>1</v>
      </c>
      <c r="J6953">
        <v>0</v>
      </c>
      <c r="K6953">
        <v>0</v>
      </c>
      <c r="L6953">
        <f t="shared" si="216"/>
        <v>4.5999999999999996</v>
      </c>
      <c r="M6953">
        <f t="shared" si="217"/>
        <v>1</v>
      </c>
    </row>
    <row r="6954" spans="1:13" x14ac:dyDescent="0.3">
      <c r="A6954">
        <v>6952</v>
      </c>
      <c r="B6954">
        <v>6953</v>
      </c>
      <c r="C6954" t="s">
        <v>7031</v>
      </c>
      <c r="D6954">
        <v>2011</v>
      </c>
      <c r="E6954" t="s">
        <v>14</v>
      </c>
      <c r="F6954" t="s">
        <v>2633</v>
      </c>
      <c r="G6954">
        <v>0</v>
      </c>
      <c r="H6954">
        <v>0</v>
      </c>
      <c r="I6954">
        <v>1</v>
      </c>
      <c r="J6954">
        <v>0</v>
      </c>
      <c r="K6954">
        <v>0</v>
      </c>
      <c r="L6954">
        <f t="shared" si="216"/>
        <v>4.5999999999999996</v>
      </c>
      <c r="M6954">
        <f t="shared" si="217"/>
        <v>1</v>
      </c>
    </row>
    <row r="6955" spans="1:13" x14ac:dyDescent="0.3">
      <c r="A6955">
        <v>6953</v>
      </c>
      <c r="B6955">
        <v>6954</v>
      </c>
      <c r="C6955" t="s">
        <v>7032</v>
      </c>
      <c r="D6955">
        <v>1953</v>
      </c>
      <c r="F6955" t="s">
        <v>2633</v>
      </c>
      <c r="G6955">
        <v>0</v>
      </c>
      <c r="H6955">
        <v>0</v>
      </c>
      <c r="I6955">
        <v>1</v>
      </c>
      <c r="J6955">
        <v>0</v>
      </c>
      <c r="K6955">
        <v>0</v>
      </c>
      <c r="L6955">
        <f t="shared" si="216"/>
        <v>4.5999999999999996</v>
      </c>
      <c r="M6955">
        <f t="shared" si="217"/>
        <v>1</v>
      </c>
    </row>
    <row r="6956" spans="1:13" x14ac:dyDescent="0.3">
      <c r="A6956">
        <v>6954</v>
      </c>
      <c r="B6956">
        <v>6955</v>
      </c>
      <c r="C6956" t="s">
        <v>7033</v>
      </c>
      <c r="D6956">
        <v>2014</v>
      </c>
      <c r="F6956" t="s">
        <v>2633</v>
      </c>
      <c r="G6956">
        <v>0</v>
      </c>
      <c r="H6956">
        <v>0</v>
      </c>
      <c r="I6956">
        <v>1</v>
      </c>
      <c r="J6956">
        <v>0</v>
      </c>
      <c r="K6956">
        <v>0</v>
      </c>
      <c r="L6956">
        <f t="shared" si="216"/>
        <v>4.5999999999999996</v>
      </c>
      <c r="M6956">
        <f t="shared" si="217"/>
        <v>1</v>
      </c>
    </row>
    <row r="6957" spans="1:13" x14ac:dyDescent="0.3">
      <c r="A6957">
        <v>6955</v>
      </c>
      <c r="B6957">
        <v>6956</v>
      </c>
      <c r="C6957" t="s">
        <v>7034</v>
      </c>
      <c r="D6957">
        <v>2004</v>
      </c>
      <c r="E6957" t="s">
        <v>14</v>
      </c>
      <c r="F6957" t="s">
        <v>2633</v>
      </c>
      <c r="G6957">
        <v>0</v>
      </c>
      <c r="H6957">
        <v>0</v>
      </c>
      <c r="I6957">
        <v>1</v>
      </c>
      <c r="J6957">
        <v>0</v>
      </c>
      <c r="K6957">
        <v>0</v>
      </c>
      <c r="L6957">
        <f t="shared" si="216"/>
        <v>4.5999999999999996</v>
      </c>
      <c r="M6957">
        <f t="shared" si="217"/>
        <v>1</v>
      </c>
    </row>
    <row r="6958" spans="1:13" x14ac:dyDescent="0.3">
      <c r="A6958">
        <v>6956</v>
      </c>
      <c r="B6958">
        <v>6957</v>
      </c>
      <c r="C6958" t="s">
        <v>7035</v>
      </c>
      <c r="D6958">
        <v>2008</v>
      </c>
      <c r="F6958" t="s">
        <v>2633</v>
      </c>
      <c r="G6958">
        <v>0</v>
      </c>
      <c r="H6958">
        <v>0</v>
      </c>
      <c r="I6958">
        <v>1</v>
      </c>
      <c r="J6958">
        <v>0</v>
      </c>
      <c r="K6958">
        <v>0</v>
      </c>
      <c r="L6958">
        <f t="shared" si="216"/>
        <v>4.5999999999999996</v>
      </c>
      <c r="M6958">
        <f t="shared" si="217"/>
        <v>1</v>
      </c>
    </row>
    <row r="6959" spans="1:13" x14ac:dyDescent="0.3">
      <c r="A6959">
        <v>6957</v>
      </c>
      <c r="B6959">
        <v>6958</v>
      </c>
      <c r="C6959" t="s">
        <v>7036</v>
      </c>
      <c r="D6959">
        <v>2012</v>
      </c>
      <c r="E6959" t="s">
        <v>28</v>
      </c>
      <c r="F6959" t="s">
        <v>2633</v>
      </c>
      <c r="G6959">
        <v>0</v>
      </c>
      <c r="H6959">
        <v>0</v>
      </c>
      <c r="I6959">
        <v>1</v>
      </c>
      <c r="J6959">
        <v>0</v>
      </c>
      <c r="K6959">
        <v>0</v>
      </c>
      <c r="L6959">
        <f t="shared" si="216"/>
        <v>4.5999999999999996</v>
      </c>
      <c r="M6959">
        <f t="shared" si="217"/>
        <v>1</v>
      </c>
    </row>
    <row r="6960" spans="1:13" x14ac:dyDescent="0.3">
      <c r="A6960">
        <v>6958</v>
      </c>
      <c r="B6960">
        <v>6959</v>
      </c>
      <c r="C6960" t="s">
        <v>7037</v>
      </c>
      <c r="D6960">
        <v>1996</v>
      </c>
      <c r="F6960" t="s">
        <v>2633</v>
      </c>
      <c r="G6960">
        <v>0</v>
      </c>
      <c r="H6960">
        <v>0</v>
      </c>
      <c r="I6960">
        <v>1</v>
      </c>
      <c r="J6960">
        <v>0</v>
      </c>
      <c r="K6960">
        <v>0</v>
      </c>
      <c r="L6960">
        <f t="shared" si="216"/>
        <v>4.5999999999999996</v>
      </c>
      <c r="M6960">
        <f t="shared" si="217"/>
        <v>1</v>
      </c>
    </row>
    <row r="6961" spans="1:13" x14ac:dyDescent="0.3">
      <c r="A6961">
        <v>6959</v>
      </c>
      <c r="B6961">
        <v>6960</v>
      </c>
      <c r="C6961" t="s">
        <v>7038</v>
      </c>
      <c r="D6961">
        <v>2014</v>
      </c>
      <c r="E6961" t="s">
        <v>14</v>
      </c>
      <c r="F6961" t="s">
        <v>2633</v>
      </c>
      <c r="G6961">
        <v>0</v>
      </c>
      <c r="H6961">
        <v>0</v>
      </c>
      <c r="I6961">
        <v>1</v>
      </c>
      <c r="J6961">
        <v>0</v>
      </c>
      <c r="K6961">
        <v>0</v>
      </c>
      <c r="L6961">
        <f t="shared" si="216"/>
        <v>4.5999999999999996</v>
      </c>
      <c r="M6961">
        <f t="shared" si="217"/>
        <v>1</v>
      </c>
    </row>
    <row r="6962" spans="1:13" x14ac:dyDescent="0.3">
      <c r="A6962">
        <v>6960</v>
      </c>
      <c r="B6962">
        <v>6961</v>
      </c>
      <c r="C6962" t="s">
        <v>7039</v>
      </c>
      <c r="D6962">
        <v>2016</v>
      </c>
      <c r="F6962" t="s">
        <v>2633</v>
      </c>
      <c r="G6962">
        <v>0</v>
      </c>
      <c r="H6962">
        <v>0</v>
      </c>
      <c r="I6962">
        <v>1</v>
      </c>
      <c r="J6962">
        <v>0</v>
      </c>
      <c r="K6962">
        <v>0</v>
      </c>
      <c r="L6962">
        <f t="shared" si="216"/>
        <v>4.5999999999999996</v>
      </c>
      <c r="M6962">
        <f t="shared" si="217"/>
        <v>1</v>
      </c>
    </row>
    <row r="6963" spans="1:13" x14ac:dyDescent="0.3">
      <c r="A6963">
        <v>6961</v>
      </c>
      <c r="B6963">
        <v>6962</v>
      </c>
      <c r="C6963" t="s">
        <v>7040</v>
      </c>
      <c r="D6963">
        <v>1951</v>
      </c>
      <c r="F6963" t="s">
        <v>2633</v>
      </c>
      <c r="G6963">
        <v>0</v>
      </c>
      <c r="H6963">
        <v>0</v>
      </c>
      <c r="I6963">
        <v>1</v>
      </c>
      <c r="J6963">
        <v>0</v>
      </c>
      <c r="K6963">
        <v>0</v>
      </c>
      <c r="L6963">
        <f t="shared" si="216"/>
        <v>4.5999999999999996</v>
      </c>
      <c r="M6963">
        <f t="shared" si="217"/>
        <v>1</v>
      </c>
    </row>
    <row r="6964" spans="1:13" x14ac:dyDescent="0.3">
      <c r="A6964">
        <v>6962</v>
      </c>
      <c r="B6964">
        <v>6963</v>
      </c>
      <c r="C6964" t="s">
        <v>7041</v>
      </c>
      <c r="D6964">
        <v>1997</v>
      </c>
      <c r="E6964" t="s">
        <v>14</v>
      </c>
      <c r="F6964" t="s">
        <v>2633</v>
      </c>
      <c r="G6964">
        <v>0</v>
      </c>
      <c r="H6964">
        <v>0</v>
      </c>
      <c r="I6964">
        <v>1</v>
      </c>
      <c r="J6964">
        <v>0</v>
      </c>
      <c r="K6964">
        <v>0</v>
      </c>
      <c r="L6964">
        <f t="shared" si="216"/>
        <v>4.5999999999999996</v>
      </c>
      <c r="M6964">
        <f t="shared" si="217"/>
        <v>1</v>
      </c>
    </row>
    <row r="6965" spans="1:13" x14ac:dyDescent="0.3">
      <c r="A6965">
        <v>6963</v>
      </c>
      <c r="B6965">
        <v>6964</v>
      </c>
      <c r="C6965" t="s">
        <v>7042</v>
      </c>
      <c r="D6965">
        <v>2013</v>
      </c>
      <c r="E6965" t="s">
        <v>14</v>
      </c>
      <c r="F6965" t="s">
        <v>2633</v>
      </c>
      <c r="G6965">
        <v>0</v>
      </c>
      <c r="H6965">
        <v>0</v>
      </c>
      <c r="I6965">
        <v>1</v>
      </c>
      <c r="J6965">
        <v>0</v>
      </c>
      <c r="K6965">
        <v>0</v>
      </c>
      <c r="L6965">
        <f t="shared" si="216"/>
        <v>4.5999999999999996</v>
      </c>
      <c r="M6965">
        <f t="shared" si="217"/>
        <v>1</v>
      </c>
    </row>
    <row r="6966" spans="1:13" x14ac:dyDescent="0.3">
      <c r="A6966">
        <v>6964</v>
      </c>
      <c r="B6966">
        <v>6965</v>
      </c>
      <c r="C6966" t="s">
        <v>7043</v>
      </c>
      <c r="D6966">
        <v>2016</v>
      </c>
      <c r="F6966" t="s">
        <v>2633</v>
      </c>
      <c r="G6966">
        <v>0</v>
      </c>
      <c r="H6966">
        <v>0</v>
      </c>
      <c r="I6966">
        <v>1</v>
      </c>
      <c r="J6966">
        <v>0</v>
      </c>
      <c r="K6966">
        <v>0</v>
      </c>
      <c r="L6966">
        <f t="shared" si="216"/>
        <v>4.5999999999999996</v>
      </c>
      <c r="M6966">
        <f t="shared" si="217"/>
        <v>1</v>
      </c>
    </row>
    <row r="6967" spans="1:13" x14ac:dyDescent="0.3">
      <c r="A6967">
        <v>6965</v>
      </c>
      <c r="B6967">
        <v>6966</v>
      </c>
      <c r="C6967" t="s">
        <v>7044</v>
      </c>
      <c r="D6967">
        <v>2017</v>
      </c>
      <c r="F6967" t="s">
        <v>2633</v>
      </c>
      <c r="G6967">
        <v>0</v>
      </c>
      <c r="H6967">
        <v>0</v>
      </c>
      <c r="I6967">
        <v>1</v>
      </c>
      <c r="J6967">
        <v>0</v>
      </c>
      <c r="K6967">
        <v>0</v>
      </c>
      <c r="L6967">
        <f t="shared" si="216"/>
        <v>4.5999999999999996</v>
      </c>
      <c r="M6967">
        <f t="shared" si="217"/>
        <v>1</v>
      </c>
    </row>
    <row r="6968" spans="1:13" x14ac:dyDescent="0.3">
      <c r="A6968">
        <v>6966</v>
      </c>
      <c r="B6968">
        <v>6967</v>
      </c>
      <c r="C6968" t="s">
        <v>7045</v>
      </c>
      <c r="D6968">
        <v>2010</v>
      </c>
      <c r="E6968" t="s">
        <v>22</v>
      </c>
      <c r="F6968" t="s">
        <v>2633</v>
      </c>
      <c r="G6968">
        <v>0</v>
      </c>
      <c r="H6968">
        <v>0</v>
      </c>
      <c r="I6968">
        <v>1</v>
      </c>
      <c r="J6968">
        <v>0</v>
      </c>
      <c r="K6968">
        <v>0</v>
      </c>
      <c r="L6968">
        <f t="shared" si="216"/>
        <v>4.5999999999999996</v>
      </c>
      <c r="M6968">
        <f t="shared" si="217"/>
        <v>1</v>
      </c>
    </row>
    <row r="6969" spans="1:13" x14ac:dyDescent="0.3">
      <c r="A6969">
        <v>6967</v>
      </c>
      <c r="B6969">
        <v>6968</v>
      </c>
      <c r="C6969" t="s">
        <v>7046</v>
      </c>
      <c r="D6969">
        <v>2016</v>
      </c>
      <c r="E6969" t="s">
        <v>22</v>
      </c>
      <c r="F6969" t="s">
        <v>2633</v>
      </c>
      <c r="G6969">
        <v>0</v>
      </c>
      <c r="H6969">
        <v>0</v>
      </c>
      <c r="I6969">
        <v>1</v>
      </c>
      <c r="J6969">
        <v>0</v>
      </c>
      <c r="K6969">
        <v>0</v>
      </c>
      <c r="L6969">
        <f t="shared" si="216"/>
        <v>4.5999999999999996</v>
      </c>
      <c r="M6969">
        <f t="shared" si="217"/>
        <v>1</v>
      </c>
    </row>
    <row r="6970" spans="1:13" x14ac:dyDescent="0.3">
      <c r="A6970">
        <v>6968</v>
      </c>
      <c r="B6970">
        <v>6969</v>
      </c>
      <c r="C6970" t="s">
        <v>7047</v>
      </c>
      <c r="D6970">
        <v>2015</v>
      </c>
      <c r="F6970" t="s">
        <v>2633</v>
      </c>
      <c r="G6970">
        <v>0</v>
      </c>
      <c r="H6970">
        <v>0</v>
      </c>
      <c r="I6970">
        <v>1</v>
      </c>
      <c r="J6970">
        <v>0</v>
      </c>
      <c r="K6970">
        <v>0</v>
      </c>
      <c r="L6970">
        <f t="shared" si="216"/>
        <v>4.5999999999999996</v>
      </c>
      <c r="M6970">
        <f t="shared" si="217"/>
        <v>1</v>
      </c>
    </row>
    <row r="6971" spans="1:13" x14ac:dyDescent="0.3">
      <c r="A6971">
        <v>6969</v>
      </c>
      <c r="B6971">
        <v>6970</v>
      </c>
      <c r="C6971" t="s">
        <v>7048</v>
      </c>
      <c r="D6971">
        <v>2002</v>
      </c>
      <c r="F6971" t="s">
        <v>2633</v>
      </c>
      <c r="G6971">
        <v>0</v>
      </c>
      <c r="H6971">
        <v>0</v>
      </c>
      <c r="I6971">
        <v>1</v>
      </c>
      <c r="J6971">
        <v>0</v>
      </c>
      <c r="K6971">
        <v>0</v>
      </c>
      <c r="L6971">
        <f t="shared" si="216"/>
        <v>4.5999999999999996</v>
      </c>
      <c r="M6971">
        <f t="shared" si="217"/>
        <v>1</v>
      </c>
    </row>
    <row r="6972" spans="1:13" x14ac:dyDescent="0.3">
      <c r="A6972">
        <v>6970</v>
      </c>
      <c r="B6972">
        <v>6971</v>
      </c>
      <c r="C6972" t="s">
        <v>7049</v>
      </c>
      <c r="D6972">
        <v>2016</v>
      </c>
      <c r="F6972" t="s">
        <v>2633</v>
      </c>
      <c r="G6972">
        <v>0</v>
      </c>
      <c r="H6972">
        <v>0</v>
      </c>
      <c r="I6972">
        <v>1</v>
      </c>
      <c r="J6972">
        <v>0</v>
      </c>
      <c r="K6972">
        <v>0</v>
      </c>
      <c r="L6972">
        <f t="shared" si="216"/>
        <v>4.5999999999999996</v>
      </c>
      <c r="M6972">
        <f t="shared" si="217"/>
        <v>1</v>
      </c>
    </row>
    <row r="6973" spans="1:13" x14ac:dyDescent="0.3">
      <c r="A6973">
        <v>6971</v>
      </c>
      <c r="B6973">
        <v>6972</v>
      </c>
      <c r="C6973" t="s">
        <v>7050</v>
      </c>
      <c r="D6973">
        <v>2015</v>
      </c>
      <c r="E6973" t="s">
        <v>28</v>
      </c>
      <c r="F6973" t="s">
        <v>2633</v>
      </c>
      <c r="G6973">
        <v>0</v>
      </c>
      <c r="H6973">
        <v>0</v>
      </c>
      <c r="I6973">
        <v>1</v>
      </c>
      <c r="J6973">
        <v>0</v>
      </c>
      <c r="K6973">
        <v>0</v>
      </c>
      <c r="L6973">
        <f t="shared" si="216"/>
        <v>4.5999999999999996</v>
      </c>
      <c r="M6973">
        <f t="shared" si="217"/>
        <v>1</v>
      </c>
    </row>
    <row r="6974" spans="1:13" x14ac:dyDescent="0.3">
      <c r="A6974">
        <v>6972</v>
      </c>
      <c r="B6974">
        <v>6973</v>
      </c>
      <c r="C6974" t="s">
        <v>7051</v>
      </c>
      <c r="D6974">
        <v>2013</v>
      </c>
      <c r="F6974" t="s">
        <v>2633</v>
      </c>
      <c r="G6974">
        <v>0</v>
      </c>
      <c r="H6974">
        <v>0</v>
      </c>
      <c r="I6974">
        <v>1</v>
      </c>
      <c r="J6974">
        <v>0</v>
      </c>
      <c r="K6974">
        <v>0</v>
      </c>
      <c r="L6974">
        <f t="shared" si="216"/>
        <v>4.5999999999999996</v>
      </c>
      <c r="M6974">
        <f t="shared" si="217"/>
        <v>1</v>
      </c>
    </row>
    <row r="6975" spans="1:13" x14ac:dyDescent="0.3">
      <c r="A6975">
        <v>6973</v>
      </c>
      <c r="B6975">
        <v>6974</v>
      </c>
      <c r="C6975" t="s">
        <v>7052</v>
      </c>
      <c r="D6975">
        <v>2019</v>
      </c>
      <c r="F6975" t="s">
        <v>2633</v>
      </c>
      <c r="G6975">
        <v>0</v>
      </c>
      <c r="H6975">
        <v>0</v>
      </c>
      <c r="I6975">
        <v>1</v>
      </c>
      <c r="J6975">
        <v>0</v>
      </c>
      <c r="K6975">
        <v>0</v>
      </c>
      <c r="L6975">
        <f t="shared" si="216"/>
        <v>4.5999999999999996</v>
      </c>
      <c r="M6975">
        <f t="shared" si="217"/>
        <v>1</v>
      </c>
    </row>
    <row r="6976" spans="1:13" x14ac:dyDescent="0.3">
      <c r="A6976">
        <v>6974</v>
      </c>
      <c r="B6976">
        <v>6975</v>
      </c>
      <c r="C6976" t="s">
        <v>7053</v>
      </c>
      <c r="D6976">
        <v>2017</v>
      </c>
      <c r="F6976" t="s">
        <v>2633</v>
      </c>
      <c r="G6976">
        <v>0</v>
      </c>
      <c r="H6976">
        <v>0</v>
      </c>
      <c r="I6976">
        <v>1</v>
      </c>
      <c r="J6976">
        <v>0</v>
      </c>
      <c r="K6976">
        <v>0</v>
      </c>
      <c r="L6976">
        <f t="shared" si="216"/>
        <v>4.5999999999999996</v>
      </c>
      <c r="M6976">
        <f t="shared" si="217"/>
        <v>1</v>
      </c>
    </row>
    <row r="6977" spans="1:13" x14ac:dyDescent="0.3">
      <c r="A6977">
        <v>6975</v>
      </c>
      <c r="B6977">
        <v>6976</v>
      </c>
      <c r="C6977" t="s">
        <v>7054</v>
      </c>
      <c r="D6977">
        <v>2012</v>
      </c>
      <c r="E6977" t="s">
        <v>11</v>
      </c>
      <c r="F6977" t="s">
        <v>2633</v>
      </c>
      <c r="G6977">
        <v>0</v>
      </c>
      <c r="H6977">
        <v>0</v>
      </c>
      <c r="I6977">
        <v>1</v>
      </c>
      <c r="J6977">
        <v>0</v>
      </c>
      <c r="K6977">
        <v>0</v>
      </c>
      <c r="L6977">
        <f t="shared" si="216"/>
        <v>4.5999999999999996</v>
      </c>
      <c r="M6977">
        <f t="shared" si="217"/>
        <v>1</v>
      </c>
    </row>
    <row r="6978" spans="1:13" x14ac:dyDescent="0.3">
      <c r="A6978">
        <v>6976</v>
      </c>
      <c r="B6978">
        <v>6977</v>
      </c>
      <c r="C6978" t="s">
        <v>7055</v>
      </c>
      <c r="D6978">
        <v>2007</v>
      </c>
      <c r="E6978" t="s">
        <v>11</v>
      </c>
      <c r="F6978" t="s">
        <v>2633</v>
      </c>
      <c r="G6978">
        <v>0</v>
      </c>
      <c r="H6978">
        <v>0</v>
      </c>
      <c r="I6978">
        <v>1</v>
      </c>
      <c r="J6978">
        <v>0</v>
      </c>
      <c r="K6978">
        <v>0</v>
      </c>
      <c r="L6978">
        <f t="shared" si="216"/>
        <v>4.5999999999999996</v>
      </c>
      <c r="M6978">
        <f t="shared" si="217"/>
        <v>1</v>
      </c>
    </row>
    <row r="6979" spans="1:13" x14ac:dyDescent="0.3">
      <c r="A6979">
        <v>6977</v>
      </c>
      <c r="B6979">
        <v>6978</v>
      </c>
      <c r="C6979" t="s">
        <v>7056</v>
      </c>
      <c r="D6979">
        <v>2018</v>
      </c>
      <c r="E6979" t="s">
        <v>11</v>
      </c>
      <c r="F6979" t="s">
        <v>2633</v>
      </c>
      <c r="G6979">
        <v>0</v>
      </c>
      <c r="H6979">
        <v>0</v>
      </c>
      <c r="I6979">
        <v>1</v>
      </c>
      <c r="J6979">
        <v>0</v>
      </c>
      <c r="K6979">
        <v>0</v>
      </c>
      <c r="L6979">
        <f t="shared" ref="L6979:L7042" si="218">IFERROR(VALUE(LEFT(F6979,FIND("/",F6979)-1))/10,"")</f>
        <v>4.5999999999999996</v>
      </c>
      <c r="M6979">
        <f t="shared" ref="M6979:M7042" si="219">SUM(G6979:J6979)</f>
        <v>1</v>
      </c>
    </row>
    <row r="6980" spans="1:13" x14ac:dyDescent="0.3">
      <c r="A6980">
        <v>6978</v>
      </c>
      <c r="B6980">
        <v>6979</v>
      </c>
      <c r="C6980" t="s">
        <v>7057</v>
      </c>
      <c r="D6980">
        <v>1998</v>
      </c>
      <c r="E6980" t="s">
        <v>22</v>
      </c>
      <c r="F6980" t="s">
        <v>2633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f t="shared" si="218"/>
        <v>4.5999999999999996</v>
      </c>
      <c r="M6980">
        <f t="shared" si="219"/>
        <v>1</v>
      </c>
    </row>
    <row r="6981" spans="1:13" x14ac:dyDescent="0.3">
      <c r="A6981">
        <v>6979</v>
      </c>
      <c r="B6981">
        <v>6980</v>
      </c>
      <c r="C6981" t="s">
        <v>7058</v>
      </c>
      <c r="D6981">
        <v>2011</v>
      </c>
      <c r="E6981" t="s">
        <v>14</v>
      </c>
      <c r="F6981" t="s">
        <v>2633</v>
      </c>
      <c r="G6981">
        <v>0</v>
      </c>
      <c r="H6981">
        <v>0</v>
      </c>
      <c r="I6981">
        <v>1</v>
      </c>
      <c r="J6981">
        <v>0</v>
      </c>
      <c r="K6981">
        <v>0</v>
      </c>
      <c r="L6981">
        <f t="shared" si="218"/>
        <v>4.5999999999999996</v>
      </c>
      <c r="M6981">
        <f t="shared" si="219"/>
        <v>1</v>
      </c>
    </row>
    <row r="6982" spans="1:13" x14ac:dyDescent="0.3">
      <c r="A6982">
        <v>6980</v>
      </c>
      <c r="B6982">
        <v>6981</v>
      </c>
      <c r="C6982" t="s">
        <v>7059</v>
      </c>
      <c r="D6982">
        <v>2014</v>
      </c>
      <c r="F6982" t="s">
        <v>2633</v>
      </c>
      <c r="G6982">
        <v>0</v>
      </c>
      <c r="H6982">
        <v>0</v>
      </c>
      <c r="I6982">
        <v>1</v>
      </c>
      <c r="J6982">
        <v>0</v>
      </c>
      <c r="K6982">
        <v>0</v>
      </c>
      <c r="L6982">
        <f t="shared" si="218"/>
        <v>4.5999999999999996</v>
      </c>
      <c r="M6982">
        <f t="shared" si="219"/>
        <v>1</v>
      </c>
    </row>
    <row r="6983" spans="1:13" x14ac:dyDescent="0.3">
      <c r="A6983">
        <v>6981</v>
      </c>
      <c r="B6983">
        <v>6982</v>
      </c>
      <c r="C6983" t="s">
        <v>7060</v>
      </c>
      <c r="D6983">
        <v>2018</v>
      </c>
      <c r="E6983" t="s">
        <v>22</v>
      </c>
      <c r="F6983" t="s">
        <v>2633</v>
      </c>
      <c r="G6983">
        <v>0</v>
      </c>
      <c r="H6983">
        <v>0</v>
      </c>
      <c r="I6983">
        <v>1</v>
      </c>
      <c r="J6983">
        <v>0</v>
      </c>
      <c r="K6983">
        <v>0</v>
      </c>
      <c r="L6983">
        <f t="shared" si="218"/>
        <v>4.5999999999999996</v>
      </c>
      <c r="M6983">
        <f t="shared" si="219"/>
        <v>1</v>
      </c>
    </row>
    <row r="6984" spans="1:13" x14ac:dyDescent="0.3">
      <c r="A6984">
        <v>6982</v>
      </c>
      <c r="B6984">
        <v>6983</v>
      </c>
      <c r="C6984" t="s">
        <v>7061</v>
      </c>
      <c r="D6984">
        <v>2014</v>
      </c>
      <c r="F6984" t="s">
        <v>2633</v>
      </c>
      <c r="G6984">
        <v>0</v>
      </c>
      <c r="H6984">
        <v>0</v>
      </c>
      <c r="I6984">
        <v>1</v>
      </c>
      <c r="J6984">
        <v>0</v>
      </c>
      <c r="K6984">
        <v>0</v>
      </c>
      <c r="L6984">
        <f t="shared" si="218"/>
        <v>4.5999999999999996</v>
      </c>
      <c r="M6984">
        <f t="shared" si="219"/>
        <v>1</v>
      </c>
    </row>
    <row r="6985" spans="1:13" x14ac:dyDescent="0.3">
      <c r="A6985">
        <v>6983</v>
      </c>
      <c r="B6985">
        <v>6984</v>
      </c>
      <c r="C6985" t="s">
        <v>7062</v>
      </c>
      <c r="D6985">
        <v>1979</v>
      </c>
      <c r="F6985" t="s">
        <v>2633</v>
      </c>
      <c r="G6985">
        <v>0</v>
      </c>
      <c r="H6985">
        <v>0</v>
      </c>
      <c r="I6985">
        <v>1</v>
      </c>
      <c r="J6985">
        <v>0</v>
      </c>
      <c r="K6985">
        <v>0</v>
      </c>
      <c r="L6985">
        <f t="shared" si="218"/>
        <v>4.5999999999999996</v>
      </c>
      <c r="M6985">
        <f t="shared" si="219"/>
        <v>1</v>
      </c>
    </row>
    <row r="6986" spans="1:13" x14ac:dyDescent="0.3">
      <c r="A6986">
        <v>6984</v>
      </c>
      <c r="B6986">
        <v>6985</v>
      </c>
      <c r="C6986" t="s">
        <v>7063</v>
      </c>
      <c r="D6986">
        <v>1999</v>
      </c>
      <c r="E6986" t="s">
        <v>14</v>
      </c>
      <c r="F6986" t="s">
        <v>2633</v>
      </c>
      <c r="G6986">
        <v>0</v>
      </c>
      <c r="H6986">
        <v>0</v>
      </c>
      <c r="I6986">
        <v>1</v>
      </c>
      <c r="J6986">
        <v>0</v>
      </c>
      <c r="K6986">
        <v>0</v>
      </c>
      <c r="L6986">
        <f t="shared" si="218"/>
        <v>4.5999999999999996</v>
      </c>
      <c r="M6986">
        <f t="shared" si="219"/>
        <v>1</v>
      </c>
    </row>
    <row r="6987" spans="1:13" x14ac:dyDescent="0.3">
      <c r="A6987">
        <v>6985</v>
      </c>
      <c r="B6987">
        <v>6986</v>
      </c>
      <c r="C6987" t="s">
        <v>7064</v>
      </c>
      <c r="D6987">
        <v>2014</v>
      </c>
      <c r="F6987" t="s">
        <v>2633</v>
      </c>
      <c r="G6987">
        <v>0</v>
      </c>
      <c r="H6987">
        <v>0</v>
      </c>
      <c r="I6987">
        <v>1</v>
      </c>
      <c r="J6987">
        <v>0</v>
      </c>
      <c r="K6987">
        <v>0</v>
      </c>
      <c r="L6987">
        <f t="shared" si="218"/>
        <v>4.5999999999999996</v>
      </c>
      <c r="M6987">
        <f t="shared" si="219"/>
        <v>1</v>
      </c>
    </row>
    <row r="6988" spans="1:13" x14ac:dyDescent="0.3">
      <c r="A6988">
        <v>6986</v>
      </c>
      <c r="B6988">
        <v>6987</v>
      </c>
      <c r="C6988" t="s">
        <v>7065</v>
      </c>
      <c r="D6988">
        <v>2016</v>
      </c>
      <c r="E6988" t="s">
        <v>11</v>
      </c>
      <c r="F6988" t="s">
        <v>2633</v>
      </c>
      <c r="G6988">
        <v>0</v>
      </c>
      <c r="H6988">
        <v>0</v>
      </c>
      <c r="I6988">
        <v>1</v>
      </c>
      <c r="J6988">
        <v>0</v>
      </c>
      <c r="K6988">
        <v>0</v>
      </c>
      <c r="L6988">
        <f t="shared" si="218"/>
        <v>4.5999999999999996</v>
      </c>
      <c r="M6988">
        <f t="shared" si="219"/>
        <v>1</v>
      </c>
    </row>
    <row r="6989" spans="1:13" x14ac:dyDescent="0.3">
      <c r="A6989">
        <v>6987</v>
      </c>
      <c r="B6989">
        <v>6988</v>
      </c>
      <c r="C6989" t="s">
        <v>7066</v>
      </c>
      <c r="D6989">
        <v>1985</v>
      </c>
      <c r="F6989" t="s">
        <v>2633</v>
      </c>
      <c r="G6989">
        <v>0</v>
      </c>
      <c r="H6989">
        <v>0</v>
      </c>
      <c r="I6989">
        <v>1</v>
      </c>
      <c r="J6989">
        <v>0</v>
      </c>
      <c r="K6989">
        <v>0</v>
      </c>
      <c r="L6989">
        <f t="shared" si="218"/>
        <v>4.5999999999999996</v>
      </c>
      <c r="M6989">
        <f t="shared" si="219"/>
        <v>1</v>
      </c>
    </row>
    <row r="6990" spans="1:13" x14ac:dyDescent="0.3">
      <c r="A6990">
        <v>6988</v>
      </c>
      <c r="B6990">
        <v>6989</v>
      </c>
      <c r="C6990" t="s">
        <v>7067</v>
      </c>
      <c r="D6990">
        <v>1969</v>
      </c>
      <c r="F6990" t="s">
        <v>2633</v>
      </c>
      <c r="G6990">
        <v>0</v>
      </c>
      <c r="H6990">
        <v>0</v>
      </c>
      <c r="I6990">
        <v>1</v>
      </c>
      <c r="J6990">
        <v>0</v>
      </c>
      <c r="K6990">
        <v>0</v>
      </c>
      <c r="L6990">
        <f t="shared" si="218"/>
        <v>4.5999999999999996</v>
      </c>
      <c r="M6990">
        <f t="shared" si="219"/>
        <v>1</v>
      </c>
    </row>
    <row r="6991" spans="1:13" x14ac:dyDescent="0.3">
      <c r="A6991">
        <v>6989</v>
      </c>
      <c r="B6991">
        <v>6990</v>
      </c>
      <c r="C6991" t="s">
        <v>7068</v>
      </c>
      <c r="D6991">
        <v>2019</v>
      </c>
      <c r="E6991" t="s">
        <v>22</v>
      </c>
      <c r="F6991" t="s">
        <v>2633</v>
      </c>
      <c r="G6991">
        <v>0</v>
      </c>
      <c r="H6991">
        <v>0</v>
      </c>
      <c r="I6991">
        <v>1</v>
      </c>
      <c r="J6991">
        <v>0</v>
      </c>
      <c r="K6991">
        <v>0</v>
      </c>
      <c r="L6991">
        <f t="shared" si="218"/>
        <v>4.5999999999999996</v>
      </c>
      <c r="M6991">
        <f t="shared" si="219"/>
        <v>1</v>
      </c>
    </row>
    <row r="6992" spans="1:13" x14ac:dyDescent="0.3">
      <c r="A6992">
        <v>6990</v>
      </c>
      <c r="B6992">
        <v>6991</v>
      </c>
      <c r="C6992" t="s">
        <v>7069</v>
      </c>
      <c r="D6992">
        <v>2021</v>
      </c>
      <c r="E6992" t="s">
        <v>11</v>
      </c>
      <c r="F6992" t="s">
        <v>2633</v>
      </c>
      <c r="G6992">
        <v>0</v>
      </c>
      <c r="H6992">
        <v>0</v>
      </c>
      <c r="I6992">
        <v>1</v>
      </c>
      <c r="J6992">
        <v>0</v>
      </c>
      <c r="K6992">
        <v>0</v>
      </c>
      <c r="L6992">
        <f t="shared" si="218"/>
        <v>4.5999999999999996</v>
      </c>
      <c r="M6992">
        <f t="shared" si="219"/>
        <v>1</v>
      </c>
    </row>
    <row r="6993" spans="1:13" x14ac:dyDescent="0.3">
      <c r="A6993">
        <v>6991</v>
      </c>
      <c r="B6993">
        <v>6992</v>
      </c>
      <c r="C6993" t="s">
        <v>7070</v>
      </c>
      <c r="D6993">
        <v>2017</v>
      </c>
      <c r="E6993" t="s">
        <v>14</v>
      </c>
      <c r="F6993" t="s">
        <v>2633</v>
      </c>
      <c r="G6993">
        <v>0</v>
      </c>
      <c r="H6993">
        <v>0</v>
      </c>
      <c r="I6993">
        <v>1</v>
      </c>
      <c r="J6993">
        <v>0</v>
      </c>
      <c r="K6993">
        <v>0</v>
      </c>
      <c r="L6993">
        <f t="shared" si="218"/>
        <v>4.5999999999999996</v>
      </c>
      <c r="M6993">
        <f t="shared" si="219"/>
        <v>1</v>
      </c>
    </row>
    <row r="6994" spans="1:13" x14ac:dyDescent="0.3">
      <c r="A6994">
        <v>6992</v>
      </c>
      <c r="B6994">
        <v>6993</v>
      </c>
      <c r="C6994" t="s">
        <v>7071</v>
      </c>
      <c r="D6994">
        <v>2018</v>
      </c>
      <c r="F6994" t="s">
        <v>2633</v>
      </c>
      <c r="G6994">
        <v>0</v>
      </c>
      <c r="H6994">
        <v>0</v>
      </c>
      <c r="I6994">
        <v>1</v>
      </c>
      <c r="J6994">
        <v>0</v>
      </c>
      <c r="K6994">
        <v>0</v>
      </c>
      <c r="L6994">
        <f t="shared" si="218"/>
        <v>4.5999999999999996</v>
      </c>
      <c r="M6994">
        <f t="shared" si="219"/>
        <v>1</v>
      </c>
    </row>
    <row r="6995" spans="1:13" x14ac:dyDescent="0.3">
      <c r="A6995">
        <v>6993</v>
      </c>
      <c r="B6995">
        <v>6994</v>
      </c>
      <c r="C6995" t="s">
        <v>7072</v>
      </c>
      <c r="D6995">
        <v>2006</v>
      </c>
      <c r="E6995" t="s">
        <v>11</v>
      </c>
      <c r="F6995" t="s">
        <v>2633</v>
      </c>
      <c r="G6995">
        <v>0</v>
      </c>
      <c r="H6995">
        <v>0</v>
      </c>
      <c r="I6995">
        <v>1</v>
      </c>
      <c r="J6995">
        <v>0</v>
      </c>
      <c r="K6995">
        <v>0</v>
      </c>
      <c r="L6995">
        <f t="shared" si="218"/>
        <v>4.5999999999999996</v>
      </c>
      <c r="M6995">
        <f t="shared" si="219"/>
        <v>1</v>
      </c>
    </row>
    <row r="6996" spans="1:13" x14ac:dyDescent="0.3">
      <c r="A6996">
        <v>6994</v>
      </c>
      <c r="B6996">
        <v>6995</v>
      </c>
      <c r="C6996" t="s">
        <v>7073</v>
      </c>
      <c r="D6996">
        <v>2015</v>
      </c>
      <c r="F6996" t="s">
        <v>2633</v>
      </c>
      <c r="G6996">
        <v>0</v>
      </c>
      <c r="H6996">
        <v>0</v>
      </c>
      <c r="I6996">
        <v>1</v>
      </c>
      <c r="J6996">
        <v>0</v>
      </c>
      <c r="K6996">
        <v>0</v>
      </c>
      <c r="L6996">
        <f t="shared" si="218"/>
        <v>4.5999999999999996</v>
      </c>
      <c r="M6996">
        <f t="shared" si="219"/>
        <v>1</v>
      </c>
    </row>
    <row r="6997" spans="1:13" x14ac:dyDescent="0.3">
      <c r="A6997">
        <v>6995</v>
      </c>
      <c r="B6997">
        <v>6996</v>
      </c>
      <c r="C6997" t="s">
        <v>7074</v>
      </c>
      <c r="D6997">
        <v>2010</v>
      </c>
      <c r="F6997" t="s">
        <v>2633</v>
      </c>
      <c r="G6997">
        <v>0</v>
      </c>
      <c r="H6997">
        <v>0</v>
      </c>
      <c r="I6997">
        <v>1</v>
      </c>
      <c r="J6997">
        <v>0</v>
      </c>
      <c r="K6997">
        <v>0</v>
      </c>
      <c r="L6997">
        <f t="shared" si="218"/>
        <v>4.5999999999999996</v>
      </c>
      <c r="M6997">
        <f t="shared" si="219"/>
        <v>1</v>
      </c>
    </row>
    <row r="6998" spans="1:13" x14ac:dyDescent="0.3">
      <c r="A6998">
        <v>6996</v>
      </c>
      <c r="B6998">
        <v>6997</v>
      </c>
      <c r="C6998" t="s">
        <v>7075</v>
      </c>
      <c r="D6998">
        <v>2007</v>
      </c>
      <c r="F6998" t="s">
        <v>2633</v>
      </c>
      <c r="G6998">
        <v>0</v>
      </c>
      <c r="H6998">
        <v>0</v>
      </c>
      <c r="I6998">
        <v>1</v>
      </c>
      <c r="J6998">
        <v>0</v>
      </c>
      <c r="K6998">
        <v>0</v>
      </c>
      <c r="L6998">
        <f t="shared" si="218"/>
        <v>4.5999999999999996</v>
      </c>
      <c r="M6998">
        <f t="shared" si="219"/>
        <v>1</v>
      </c>
    </row>
    <row r="6999" spans="1:13" x14ac:dyDescent="0.3">
      <c r="A6999">
        <v>6997</v>
      </c>
      <c r="B6999">
        <v>6998</v>
      </c>
      <c r="C6999" t="s">
        <v>7076</v>
      </c>
      <c r="D6999">
        <v>2000</v>
      </c>
      <c r="E6999" t="s">
        <v>11</v>
      </c>
      <c r="F6999" t="s">
        <v>2633</v>
      </c>
      <c r="G6999">
        <v>0</v>
      </c>
      <c r="H6999">
        <v>0</v>
      </c>
      <c r="I6999">
        <v>1</v>
      </c>
      <c r="J6999">
        <v>0</v>
      </c>
      <c r="K6999">
        <v>0</v>
      </c>
      <c r="L6999">
        <f t="shared" si="218"/>
        <v>4.5999999999999996</v>
      </c>
      <c r="M6999">
        <f t="shared" si="219"/>
        <v>1</v>
      </c>
    </row>
    <row r="7000" spans="1:13" x14ac:dyDescent="0.3">
      <c r="A7000">
        <v>6998</v>
      </c>
      <c r="B7000">
        <v>6999</v>
      </c>
      <c r="C7000" t="s">
        <v>7077</v>
      </c>
      <c r="D7000">
        <v>2018</v>
      </c>
      <c r="F7000" t="s">
        <v>2633</v>
      </c>
      <c r="G7000">
        <v>0</v>
      </c>
      <c r="H7000">
        <v>0</v>
      </c>
      <c r="I7000">
        <v>1</v>
      </c>
      <c r="J7000">
        <v>0</v>
      </c>
      <c r="K7000">
        <v>0</v>
      </c>
      <c r="L7000">
        <f t="shared" si="218"/>
        <v>4.5999999999999996</v>
      </c>
      <c r="M7000">
        <f t="shared" si="219"/>
        <v>1</v>
      </c>
    </row>
    <row r="7001" spans="1:13" x14ac:dyDescent="0.3">
      <c r="A7001">
        <v>6999</v>
      </c>
      <c r="B7001">
        <v>7000</v>
      </c>
      <c r="C7001" t="s">
        <v>7078</v>
      </c>
      <c r="D7001">
        <v>2019</v>
      </c>
      <c r="F7001" t="s">
        <v>2633</v>
      </c>
      <c r="G7001">
        <v>0</v>
      </c>
      <c r="H7001">
        <v>0</v>
      </c>
      <c r="I7001">
        <v>1</v>
      </c>
      <c r="J7001">
        <v>0</v>
      </c>
      <c r="K7001">
        <v>0</v>
      </c>
      <c r="L7001">
        <f t="shared" si="218"/>
        <v>4.5999999999999996</v>
      </c>
      <c r="M7001">
        <f t="shared" si="219"/>
        <v>1</v>
      </c>
    </row>
    <row r="7002" spans="1:13" x14ac:dyDescent="0.3">
      <c r="A7002">
        <v>7000</v>
      </c>
      <c r="B7002">
        <v>7001</v>
      </c>
      <c r="C7002" t="s">
        <v>7079</v>
      </c>
      <c r="D7002">
        <v>1961</v>
      </c>
      <c r="F7002" t="s">
        <v>2633</v>
      </c>
      <c r="G7002">
        <v>0</v>
      </c>
      <c r="H7002">
        <v>0</v>
      </c>
      <c r="I7002">
        <v>1</v>
      </c>
      <c r="J7002">
        <v>0</v>
      </c>
      <c r="K7002">
        <v>0</v>
      </c>
      <c r="L7002">
        <f t="shared" si="218"/>
        <v>4.5999999999999996</v>
      </c>
      <c r="M7002">
        <f t="shared" si="219"/>
        <v>1</v>
      </c>
    </row>
    <row r="7003" spans="1:13" x14ac:dyDescent="0.3">
      <c r="A7003">
        <v>7001</v>
      </c>
      <c r="B7003">
        <v>7002</v>
      </c>
      <c r="C7003" t="s">
        <v>7080</v>
      </c>
      <c r="D7003">
        <v>2015</v>
      </c>
      <c r="F7003" t="s">
        <v>2633</v>
      </c>
      <c r="G7003">
        <v>0</v>
      </c>
      <c r="H7003">
        <v>0</v>
      </c>
      <c r="I7003">
        <v>1</v>
      </c>
      <c r="J7003">
        <v>0</v>
      </c>
      <c r="K7003">
        <v>0</v>
      </c>
      <c r="L7003">
        <f t="shared" si="218"/>
        <v>4.5999999999999996</v>
      </c>
      <c r="M7003">
        <f t="shared" si="219"/>
        <v>1</v>
      </c>
    </row>
    <row r="7004" spans="1:13" x14ac:dyDescent="0.3">
      <c r="A7004">
        <v>7002</v>
      </c>
      <c r="B7004">
        <v>7003</v>
      </c>
      <c r="C7004" t="s">
        <v>7081</v>
      </c>
      <c r="D7004">
        <v>1944</v>
      </c>
      <c r="F7004" t="s">
        <v>2633</v>
      </c>
      <c r="G7004">
        <v>0</v>
      </c>
      <c r="H7004">
        <v>0</v>
      </c>
      <c r="I7004">
        <v>1</v>
      </c>
      <c r="J7004">
        <v>0</v>
      </c>
      <c r="K7004">
        <v>0</v>
      </c>
      <c r="L7004">
        <f t="shared" si="218"/>
        <v>4.5999999999999996</v>
      </c>
      <c r="M7004">
        <f t="shared" si="219"/>
        <v>1</v>
      </c>
    </row>
    <row r="7005" spans="1:13" x14ac:dyDescent="0.3">
      <c r="A7005">
        <v>7003</v>
      </c>
      <c r="B7005">
        <v>7004</v>
      </c>
      <c r="C7005" t="s">
        <v>7082</v>
      </c>
      <c r="D7005">
        <v>2016</v>
      </c>
      <c r="F7005" t="s">
        <v>2633</v>
      </c>
      <c r="G7005">
        <v>0</v>
      </c>
      <c r="H7005">
        <v>0</v>
      </c>
      <c r="I7005">
        <v>1</v>
      </c>
      <c r="J7005">
        <v>0</v>
      </c>
      <c r="K7005">
        <v>0</v>
      </c>
      <c r="L7005">
        <f t="shared" si="218"/>
        <v>4.5999999999999996</v>
      </c>
      <c r="M7005">
        <f t="shared" si="219"/>
        <v>1</v>
      </c>
    </row>
    <row r="7006" spans="1:13" x14ac:dyDescent="0.3">
      <c r="A7006">
        <v>7004</v>
      </c>
      <c r="B7006">
        <v>7005</v>
      </c>
      <c r="C7006" t="s">
        <v>7083</v>
      </c>
      <c r="D7006">
        <v>2015</v>
      </c>
      <c r="F7006" t="s">
        <v>2633</v>
      </c>
      <c r="G7006">
        <v>0</v>
      </c>
      <c r="H7006">
        <v>0</v>
      </c>
      <c r="I7006">
        <v>1</v>
      </c>
      <c r="J7006">
        <v>0</v>
      </c>
      <c r="K7006">
        <v>0</v>
      </c>
      <c r="L7006">
        <f t="shared" si="218"/>
        <v>4.5999999999999996</v>
      </c>
      <c r="M7006">
        <f t="shared" si="219"/>
        <v>1</v>
      </c>
    </row>
    <row r="7007" spans="1:13" x14ac:dyDescent="0.3">
      <c r="A7007">
        <v>7005</v>
      </c>
      <c r="B7007">
        <v>7006</v>
      </c>
      <c r="C7007" t="s">
        <v>7084</v>
      </c>
      <c r="D7007">
        <v>2018</v>
      </c>
      <c r="F7007" t="s">
        <v>2633</v>
      </c>
      <c r="G7007">
        <v>0</v>
      </c>
      <c r="H7007">
        <v>0</v>
      </c>
      <c r="I7007">
        <v>1</v>
      </c>
      <c r="J7007">
        <v>0</v>
      </c>
      <c r="K7007">
        <v>0</v>
      </c>
      <c r="L7007">
        <f t="shared" si="218"/>
        <v>4.5999999999999996</v>
      </c>
      <c r="M7007">
        <f t="shared" si="219"/>
        <v>1</v>
      </c>
    </row>
    <row r="7008" spans="1:13" x14ac:dyDescent="0.3">
      <c r="A7008">
        <v>7006</v>
      </c>
      <c r="B7008">
        <v>7007</v>
      </c>
      <c r="C7008" t="s">
        <v>7085</v>
      </c>
      <c r="D7008">
        <v>2011</v>
      </c>
      <c r="E7008" t="s">
        <v>11</v>
      </c>
      <c r="F7008" t="s">
        <v>2633</v>
      </c>
      <c r="G7008">
        <v>0</v>
      </c>
      <c r="H7008">
        <v>0</v>
      </c>
      <c r="I7008">
        <v>1</v>
      </c>
      <c r="J7008">
        <v>0</v>
      </c>
      <c r="K7008">
        <v>0</v>
      </c>
      <c r="L7008">
        <f t="shared" si="218"/>
        <v>4.5999999999999996</v>
      </c>
      <c r="M7008">
        <f t="shared" si="219"/>
        <v>1</v>
      </c>
    </row>
    <row r="7009" spans="1:13" x14ac:dyDescent="0.3">
      <c r="A7009">
        <v>7007</v>
      </c>
      <c r="B7009">
        <v>7008</v>
      </c>
      <c r="C7009" t="s">
        <v>7086</v>
      </c>
      <c r="D7009">
        <v>2018</v>
      </c>
      <c r="F7009" t="s">
        <v>2633</v>
      </c>
      <c r="G7009">
        <v>0</v>
      </c>
      <c r="H7009">
        <v>0</v>
      </c>
      <c r="I7009">
        <v>1</v>
      </c>
      <c r="J7009">
        <v>0</v>
      </c>
      <c r="K7009">
        <v>0</v>
      </c>
      <c r="L7009">
        <f t="shared" si="218"/>
        <v>4.5999999999999996</v>
      </c>
      <c r="M7009">
        <f t="shared" si="219"/>
        <v>1</v>
      </c>
    </row>
    <row r="7010" spans="1:13" x14ac:dyDescent="0.3">
      <c r="A7010">
        <v>7008</v>
      </c>
      <c r="B7010">
        <v>7009</v>
      </c>
      <c r="C7010" t="s">
        <v>7087</v>
      </c>
      <c r="D7010">
        <v>2012</v>
      </c>
      <c r="F7010" t="s">
        <v>2633</v>
      </c>
      <c r="G7010">
        <v>0</v>
      </c>
      <c r="H7010">
        <v>0</v>
      </c>
      <c r="I7010">
        <v>1</v>
      </c>
      <c r="J7010">
        <v>0</v>
      </c>
      <c r="K7010">
        <v>0</v>
      </c>
      <c r="L7010">
        <f t="shared" si="218"/>
        <v>4.5999999999999996</v>
      </c>
      <c r="M7010">
        <f t="shared" si="219"/>
        <v>1</v>
      </c>
    </row>
    <row r="7011" spans="1:13" x14ac:dyDescent="0.3">
      <c r="A7011">
        <v>7009</v>
      </c>
      <c r="B7011">
        <v>7010</v>
      </c>
      <c r="C7011" t="s">
        <v>7088</v>
      </c>
      <c r="D7011">
        <v>2015</v>
      </c>
      <c r="F7011" t="s">
        <v>2633</v>
      </c>
      <c r="G7011">
        <v>0</v>
      </c>
      <c r="H7011">
        <v>0</v>
      </c>
      <c r="I7011">
        <v>1</v>
      </c>
      <c r="J7011">
        <v>0</v>
      </c>
      <c r="K7011">
        <v>0</v>
      </c>
      <c r="L7011">
        <f t="shared" si="218"/>
        <v>4.5999999999999996</v>
      </c>
      <c r="M7011">
        <f t="shared" si="219"/>
        <v>1</v>
      </c>
    </row>
    <row r="7012" spans="1:13" x14ac:dyDescent="0.3">
      <c r="A7012">
        <v>7010</v>
      </c>
      <c r="B7012">
        <v>7011</v>
      </c>
      <c r="C7012" t="s">
        <v>7089</v>
      </c>
      <c r="D7012">
        <v>2014</v>
      </c>
      <c r="F7012" t="s">
        <v>2633</v>
      </c>
      <c r="G7012">
        <v>0</v>
      </c>
      <c r="H7012">
        <v>0</v>
      </c>
      <c r="I7012">
        <v>1</v>
      </c>
      <c r="J7012">
        <v>0</v>
      </c>
      <c r="K7012">
        <v>0</v>
      </c>
      <c r="L7012">
        <f t="shared" si="218"/>
        <v>4.5999999999999996</v>
      </c>
      <c r="M7012">
        <f t="shared" si="219"/>
        <v>1</v>
      </c>
    </row>
    <row r="7013" spans="1:13" x14ac:dyDescent="0.3">
      <c r="A7013">
        <v>7011</v>
      </c>
      <c r="B7013">
        <v>7012</v>
      </c>
      <c r="C7013" t="s">
        <v>7090</v>
      </c>
      <c r="D7013">
        <v>2021</v>
      </c>
      <c r="F7013" t="s">
        <v>2633</v>
      </c>
      <c r="G7013">
        <v>0</v>
      </c>
      <c r="H7013">
        <v>0</v>
      </c>
      <c r="I7013">
        <v>1</v>
      </c>
      <c r="J7013">
        <v>0</v>
      </c>
      <c r="K7013">
        <v>0</v>
      </c>
      <c r="L7013">
        <f t="shared" si="218"/>
        <v>4.5999999999999996</v>
      </c>
      <c r="M7013">
        <f t="shared" si="219"/>
        <v>1</v>
      </c>
    </row>
    <row r="7014" spans="1:13" x14ac:dyDescent="0.3">
      <c r="A7014">
        <v>7012</v>
      </c>
      <c r="B7014">
        <v>7013</v>
      </c>
      <c r="C7014" t="s">
        <v>7091</v>
      </c>
      <c r="D7014">
        <v>2005</v>
      </c>
      <c r="E7014" t="s">
        <v>11</v>
      </c>
      <c r="F7014" t="s">
        <v>2633</v>
      </c>
      <c r="G7014">
        <v>0</v>
      </c>
      <c r="H7014">
        <v>0</v>
      </c>
      <c r="I7014">
        <v>1</v>
      </c>
      <c r="J7014">
        <v>0</v>
      </c>
      <c r="K7014">
        <v>0</v>
      </c>
      <c r="L7014">
        <f t="shared" si="218"/>
        <v>4.5999999999999996</v>
      </c>
      <c r="M7014">
        <f t="shared" si="219"/>
        <v>1</v>
      </c>
    </row>
    <row r="7015" spans="1:13" x14ac:dyDescent="0.3">
      <c r="A7015">
        <v>7013</v>
      </c>
      <c r="B7015">
        <v>7014</v>
      </c>
      <c r="C7015" t="s">
        <v>7092</v>
      </c>
      <c r="D7015">
        <v>1971</v>
      </c>
      <c r="F7015" t="s">
        <v>2633</v>
      </c>
      <c r="G7015">
        <v>0</v>
      </c>
      <c r="H7015">
        <v>0</v>
      </c>
      <c r="I7015">
        <v>1</v>
      </c>
      <c r="J7015">
        <v>0</v>
      </c>
      <c r="K7015">
        <v>0</v>
      </c>
      <c r="L7015">
        <f t="shared" si="218"/>
        <v>4.5999999999999996</v>
      </c>
      <c r="M7015">
        <f t="shared" si="219"/>
        <v>1</v>
      </c>
    </row>
    <row r="7016" spans="1:13" x14ac:dyDescent="0.3">
      <c r="A7016">
        <v>7014</v>
      </c>
      <c r="B7016">
        <v>7015</v>
      </c>
      <c r="C7016" t="s">
        <v>7093</v>
      </c>
      <c r="D7016">
        <v>2017</v>
      </c>
      <c r="E7016" t="s">
        <v>28</v>
      </c>
      <c r="F7016" t="s">
        <v>2633</v>
      </c>
      <c r="G7016">
        <v>0</v>
      </c>
      <c r="H7016">
        <v>0</v>
      </c>
      <c r="I7016">
        <v>1</v>
      </c>
      <c r="J7016">
        <v>0</v>
      </c>
      <c r="K7016">
        <v>0</v>
      </c>
      <c r="L7016">
        <f t="shared" si="218"/>
        <v>4.5999999999999996</v>
      </c>
      <c r="M7016">
        <f t="shared" si="219"/>
        <v>1</v>
      </c>
    </row>
    <row r="7017" spans="1:13" x14ac:dyDescent="0.3">
      <c r="A7017">
        <v>7015</v>
      </c>
      <c r="B7017">
        <v>7016</v>
      </c>
      <c r="C7017" t="s">
        <v>7094</v>
      </c>
      <c r="D7017">
        <v>2020</v>
      </c>
      <c r="F7017" t="s">
        <v>2633</v>
      </c>
      <c r="G7017">
        <v>0</v>
      </c>
      <c r="H7017">
        <v>0</v>
      </c>
      <c r="I7017">
        <v>1</v>
      </c>
      <c r="J7017">
        <v>0</v>
      </c>
      <c r="K7017">
        <v>0</v>
      </c>
      <c r="L7017">
        <f t="shared" si="218"/>
        <v>4.5999999999999996</v>
      </c>
      <c r="M7017">
        <f t="shared" si="219"/>
        <v>1</v>
      </c>
    </row>
    <row r="7018" spans="1:13" x14ac:dyDescent="0.3">
      <c r="A7018">
        <v>7016</v>
      </c>
      <c r="B7018">
        <v>7017</v>
      </c>
      <c r="C7018" t="s">
        <v>7095</v>
      </c>
      <c r="D7018">
        <v>2019</v>
      </c>
      <c r="F7018" t="s">
        <v>2633</v>
      </c>
      <c r="G7018">
        <v>0</v>
      </c>
      <c r="H7018">
        <v>0</v>
      </c>
      <c r="I7018">
        <v>1</v>
      </c>
      <c r="J7018">
        <v>0</v>
      </c>
      <c r="K7018">
        <v>0</v>
      </c>
      <c r="L7018">
        <f t="shared" si="218"/>
        <v>4.5999999999999996</v>
      </c>
      <c r="M7018">
        <f t="shared" si="219"/>
        <v>1</v>
      </c>
    </row>
    <row r="7019" spans="1:13" x14ac:dyDescent="0.3">
      <c r="A7019">
        <v>7017</v>
      </c>
      <c r="B7019">
        <v>7018</v>
      </c>
      <c r="C7019" t="s">
        <v>7096</v>
      </c>
      <c r="D7019">
        <v>2019</v>
      </c>
      <c r="E7019" t="s">
        <v>11</v>
      </c>
      <c r="F7019" t="s">
        <v>2633</v>
      </c>
      <c r="G7019">
        <v>0</v>
      </c>
      <c r="H7019">
        <v>0</v>
      </c>
      <c r="I7019">
        <v>1</v>
      </c>
      <c r="J7019">
        <v>0</v>
      </c>
      <c r="K7019">
        <v>0</v>
      </c>
      <c r="L7019">
        <f t="shared" si="218"/>
        <v>4.5999999999999996</v>
      </c>
      <c r="M7019">
        <f t="shared" si="219"/>
        <v>1</v>
      </c>
    </row>
    <row r="7020" spans="1:13" x14ac:dyDescent="0.3">
      <c r="A7020">
        <v>7018</v>
      </c>
      <c r="B7020">
        <v>7019</v>
      </c>
      <c r="C7020" t="s">
        <v>7097</v>
      </c>
      <c r="D7020">
        <v>2005</v>
      </c>
      <c r="F7020" t="s">
        <v>2633</v>
      </c>
      <c r="G7020">
        <v>0</v>
      </c>
      <c r="H7020">
        <v>0</v>
      </c>
      <c r="I7020">
        <v>1</v>
      </c>
      <c r="J7020">
        <v>1</v>
      </c>
      <c r="K7020">
        <v>0</v>
      </c>
      <c r="L7020">
        <f t="shared" si="218"/>
        <v>4.5999999999999996</v>
      </c>
      <c r="M7020">
        <f t="shared" si="219"/>
        <v>2</v>
      </c>
    </row>
    <row r="7021" spans="1:13" x14ac:dyDescent="0.3">
      <c r="A7021">
        <v>7019</v>
      </c>
      <c r="B7021">
        <v>7020</v>
      </c>
      <c r="C7021" t="s">
        <v>7098</v>
      </c>
      <c r="D7021">
        <v>1935</v>
      </c>
      <c r="F7021" t="s">
        <v>2633</v>
      </c>
      <c r="G7021">
        <v>0</v>
      </c>
      <c r="H7021">
        <v>0</v>
      </c>
      <c r="I7021">
        <v>1</v>
      </c>
      <c r="J7021">
        <v>0</v>
      </c>
      <c r="K7021">
        <v>0</v>
      </c>
      <c r="L7021">
        <f t="shared" si="218"/>
        <v>4.5999999999999996</v>
      </c>
      <c r="M7021">
        <f t="shared" si="219"/>
        <v>1</v>
      </c>
    </row>
    <row r="7022" spans="1:13" x14ac:dyDescent="0.3">
      <c r="A7022">
        <v>7020</v>
      </c>
      <c r="B7022">
        <v>7021</v>
      </c>
      <c r="C7022" t="s">
        <v>7099</v>
      </c>
      <c r="D7022">
        <v>2014</v>
      </c>
      <c r="E7022" t="s">
        <v>11</v>
      </c>
      <c r="F7022" t="s">
        <v>2633</v>
      </c>
      <c r="G7022">
        <v>0</v>
      </c>
      <c r="H7022">
        <v>0</v>
      </c>
      <c r="I7022">
        <v>1</v>
      </c>
      <c r="J7022">
        <v>0</v>
      </c>
      <c r="K7022">
        <v>0</v>
      </c>
      <c r="L7022">
        <f t="shared" si="218"/>
        <v>4.5999999999999996</v>
      </c>
      <c r="M7022">
        <f t="shared" si="219"/>
        <v>1</v>
      </c>
    </row>
    <row r="7023" spans="1:13" x14ac:dyDescent="0.3">
      <c r="A7023">
        <v>7021</v>
      </c>
      <c r="B7023">
        <v>7022</v>
      </c>
      <c r="C7023" t="s">
        <v>7100</v>
      </c>
      <c r="D7023">
        <v>2016</v>
      </c>
      <c r="F7023" t="s">
        <v>2755</v>
      </c>
      <c r="G7023">
        <v>0</v>
      </c>
      <c r="H7023">
        <v>0</v>
      </c>
      <c r="I7023">
        <v>1</v>
      </c>
      <c r="J7023">
        <v>0</v>
      </c>
      <c r="K7023">
        <v>0</v>
      </c>
      <c r="L7023">
        <f t="shared" si="218"/>
        <v>4.5</v>
      </c>
      <c r="M7023">
        <f t="shared" si="219"/>
        <v>1</v>
      </c>
    </row>
    <row r="7024" spans="1:13" x14ac:dyDescent="0.3">
      <c r="A7024">
        <v>7022</v>
      </c>
      <c r="B7024">
        <v>7023</v>
      </c>
      <c r="C7024" t="s">
        <v>7101</v>
      </c>
      <c r="D7024">
        <v>2008</v>
      </c>
      <c r="E7024" t="s">
        <v>11</v>
      </c>
      <c r="F7024" t="s">
        <v>2755</v>
      </c>
      <c r="G7024">
        <v>0</v>
      </c>
      <c r="H7024">
        <v>0</v>
      </c>
      <c r="I7024">
        <v>1</v>
      </c>
      <c r="J7024">
        <v>0</v>
      </c>
      <c r="K7024">
        <v>0</v>
      </c>
      <c r="L7024">
        <f t="shared" si="218"/>
        <v>4.5</v>
      </c>
      <c r="M7024">
        <f t="shared" si="219"/>
        <v>1</v>
      </c>
    </row>
    <row r="7025" spans="1:13" x14ac:dyDescent="0.3">
      <c r="A7025">
        <v>7023</v>
      </c>
      <c r="B7025">
        <v>7024</v>
      </c>
      <c r="C7025" t="s">
        <v>7102</v>
      </c>
      <c r="D7025">
        <v>2016</v>
      </c>
      <c r="E7025" t="s">
        <v>36</v>
      </c>
      <c r="F7025" t="s">
        <v>2755</v>
      </c>
      <c r="G7025">
        <v>0</v>
      </c>
      <c r="H7025">
        <v>0</v>
      </c>
      <c r="I7025">
        <v>1</v>
      </c>
      <c r="J7025">
        <v>0</v>
      </c>
      <c r="K7025">
        <v>0</v>
      </c>
      <c r="L7025">
        <f t="shared" si="218"/>
        <v>4.5</v>
      </c>
      <c r="M7025">
        <f t="shared" si="219"/>
        <v>1</v>
      </c>
    </row>
    <row r="7026" spans="1:13" x14ac:dyDescent="0.3">
      <c r="A7026">
        <v>7024</v>
      </c>
      <c r="B7026">
        <v>7025</v>
      </c>
      <c r="C7026" t="s">
        <v>7103</v>
      </c>
      <c r="D7026">
        <v>2007</v>
      </c>
      <c r="E7026" t="s">
        <v>14</v>
      </c>
      <c r="F7026" t="s">
        <v>2755</v>
      </c>
      <c r="G7026">
        <v>0</v>
      </c>
      <c r="H7026">
        <v>0</v>
      </c>
      <c r="I7026">
        <v>1</v>
      </c>
      <c r="J7026">
        <v>0</v>
      </c>
      <c r="K7026">
        <v>0</v>
      </c>
      <c r="L7026">
        <f t="shared" si="218"/>
        <v>4.5</v>
      </c>
      <c r="M7026">
        <f t="shared" si="219"/>
        <v>1</v>
      </c>
    </row>
    <row r="7027" spans="1:13" x14ac:dyDescent="0.3">
      <c r="A7027">
        <v>7025</v>
      </c>
      <c r="B7027">
        <v>7026</v>
      </c>
      <c r="C7027" t="s">
        <v>7104</v>
      </c>
      <c r="D7027">
        <v>2018</v>
      </c>
      <c r="E7027" t="s">
        <v>11</v>
      </c>
      <c r="F7027" t="s">
        <v>2755</v>
      </c>
      <c r="G7027">
        <v>0</v>
      </c>
      <c r="H7027">
        <v>0</v>
      </c>
      <c r="I7027">
        <v>1</v>
      </c>
      <c r="J7027">
        <v>0</v>
      </c>
      <c r="K7027">
        <v>0</v>
      </c>
      <c r="L7027">
        <f t="shared" si="218"/>
        <v>4.5</v>
      </c>
      <c r="M7027">
        <f t="shared" si="219"/>
        <v>1</v>
      </c>
    </row>
    <row r="7028" spans="1:13" x14ac:dyDescent="0.3">
      <c r="A7028">
        <v>7026</v>
      </c>
      <c r="B7028">
        <v>7027</v>
      </c>
      <c r="C7028" t="s">
        <v>7105</v>
      </c>
      <c r="D7028">
        <v>1991</v>
      </c>
      <c r="E7028" t="s">
        <v>11</v>
      </c>
      <c r="F7028" t="s">
        <v>2755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f t="shared" si="218"/>
        <v>4.5</v>
      </c>
      <c r="M7028">
        <f t="shared" si="219"/>
        <v>1</v>
      </c>
    </row>
    <row r="7029" spans="1:13" x14ac:dyDescent="0.3">
      <c r="A7029">
        <v>7027</v>
      </c>
      <c r="B7029">
        <v>7028</v>
      </c>
      <c r="C7029" t="s">
        <v>7106</v>
      </c>
      <c r="D7029">
        <v>2007</v>
      </c>
      <c r="E7029" t="s">
        <v>22</v>
      </c>
      <c r="F7029" t="s">
        <v>2755</v>
      </c>
      <c r="G7029">
        <v>0</v>
      </c>
      <c r="H7029">
        <v>0</v>
      </c>
      <c r="I7029">
        <v>1</v>
      </c>
      <c r="J7029">
        <v>0</v>
      </c>
      <c r="K7029">
        <v>0</v>
      </c>
      <c r="L7029">
        <f t="shared" si="218"/>
        <v>4.5</v>
      </c>
      <c r="M7029">
        <f t="shared" si="219"/>
        <v>1</v>
      </c>
    </row>
    <row r="7030" spans="1:13" x14ac:dyDescent="0.3">
      <c r="A7030">
        <v>7028</v>
      </c>
      <c r="B7030">
        <v>7029</v>
      </c>
      <c r="C7030" t="s">
        <v>7107</v>
      </c>
      <c r="D7030">
        <v>2014</v>
      </c>
      <c r="E7030" t="s">
        <v>14</v>
      </c>
      <c r="F7030" t="s">
        <v>2755</v>
      </c>
      <c r="G7030">
        <v>0</v>
      </c>
      <c r="H7030">
        <v>0</v>
      </c>
      <c r="I7030">
        <v>1</v>
      </c>
      <c r="J7030">
        <v>0</v>
      </c>
      <c r="K7030">
        <v>0</v>
      </c>
      <c r="L7030">
        <f t="shared" si="218"/>
        <v>4.5</v>
      </c>
      <c r="M7030">
        <f t="shared" si="219"/>
        <v>1</v>
      </c>
    </row>
    <row r="7031" spans="1:13" x14ac:dyDescent="0.3">
      <c r="A7031">
        <v>7029</v>
      </c>
      <c r="B7031">
        <v>7030</v>
      </c>
      <c r="C7031" t="s">
        <v>7108</v>
      </c>
      <c r="D7031">
        <v>1970</v>
      </c>
      <c r="E7031" t="s">
        <v>22</v>
      </c>
      <c r="F7031" t="s">
        <v>2755</v>
      </c>
      <c r="G7031">
        <v>0</v>
      </c>
      <c r="H7031">
        <v>0</v>
      </c>
      <c r="I7031">
        <v>1</v>
      </c>
      <c r="J7031">
        <v>0</v>
      </c>
      <c r="K7031">
        <v>0</v>
      </c>
      <c r="L7031">
        <f t="shared" si="218"/>
        <v>4.5</v>
      </c>
      <c r="M7031">
        <f t="shared" si="219"/>
        <v>1</v>
      </c>
    </row>
    <row r="7032" spans="1:13" x14ac:dyDescent="0.3">
      <c r="A7032">
        <v>7030</v>
      </c>
      <c r="B7032">
        <v>7031</v>
      </c>
      <c r="C7032" t="s">
        <v>7109</v>
      </c>
      <c r="D7032">
        <v>1940</v>
      </c>
      <c r="E7032" t="s">
        <v>36</v>
      </c>
      <c r="F7032" t="s">
        <v>2755</v>
      </c>
      <c r="G7032">
        <v>0</v>
      </c>
      <c r="H7032">
        <v>0</v>
      </c>
      <c r="I7032">
        <v>1</v>
      </c>
      <c r="J7032">
        <v>0</v>
      </c>
      <c r="K7032">
        <v>0</v>
      </c>
      <c r="L7032">
        <f t="shared" si="218"/>
        <v>4.5</v>
      </c>
      <c r="M7032">
        <f t="shared" si="219"/>
        <v>1</v>
      </c>
    </row>
    <row r="7033" spans="1:13" x14ac:dyDescent="0.3">
      <c r="A7033">
        <v>7031</v>
      </c>
      <c r="B7033">
        <v>7032</v>
      </c>
      <c r="C7033" t="s">
        <v>7110</v>
      </c>
      <c r="D7033">
        <v>2014</v>
      </c>
      <c r="F7033" t="s">
        <v>2755</v>
      </c>
      <c r="G7033">
        <v>0</v>
      </c>
      <c r="H7033">
        <v>0</v>
      </c>
      <c r="I7033">
        <v>1</v>
      </c>
      <c r="J7033">
        <v>0</v>
      </c>
      <c r="K7033">
        <v>0</v>
      </c>
      <c r="L7033">
        <f t="shared" si="218"/>
        <v>4.5</v>
      </c>
      <c r="M7033">
        <f t="shared" si="219"/>
        <v>1</v>
      </c>
    </row>
    <row r="7034" spans="1:13" x14ac:dyDescent="0.3">
      <c r="A7034">
        <v>7032</v>
      </c>
      <c r="B7034">
        <v>7033</v>
      </c>
      <c r="C7034" t="s">
        <v>7111</v>
      </c>
      <c r="D7034">
        <v>2012</v>
      </c>
      <c r="F7034" t="s">
        <v>2755</v>
      </c>
      <c r="G7034">
        <v>0</v>
      </c>
      <c r="H7034">
        <v>0</v>
      </c>
      <c r="I7034">
        <v>1</v>
      </c>
      <c r="J7034">
        <v>0</v>
      </c>
      <c r="K7034">
        <v>0</v>
      </c>
      <c r="L7034">
        <f t="shared" si="218"/>
        <v>4.5</v>
      </c>
      <c r="M7034">
        <f t="shared" si="219"/>
        <v>1</v>
      </c>
    </row>
    <row r="7035" spans="1:13" x14ac:dyDescent="0.3">
      <c r="A7035">
        <v>7033</v>
      </c>
      <c r="B7035">
        <v>7034</v>
      </c>
      <c r="C7035" t="s">
        <v>7112</v>
      </c>
      <c r="D7035">
        <v>2007</v>
      </c>
      <c r="E7035" t="s">
        <v>11</v>
      </c>
      <c r="F7035" t="s">
        <v>2755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f t="shared" si="218"/>
        <v>4.5</v>
      </c>
      <c r="M7035">
        <f t="shared" si="219"/>
        <v>1</v>
      </c>
    </row>
    <row r="7036" spans="1:13" x14ac:dyDescent="0.3">
      <c r="A7036">
        <v>7034</v>
      </c>
      <c r="B7036">
        <v>7035</v>
      </c>
      <c r="C7036" t="s">
        <v>7113</v>
      </c>
      <c r="D7036">
        <v>1997</v>
      </c>
      <c r="F7036" t="s">
        <v>2755</v>
      </c>
      <c r="G7036">
        <v>0</v>
      </c>
      <c r="H7036">
        <v>0</v>
      </c>
      <c r="I7036">
        <v>1</v>
      </c>
      <c r="J7036">
        <v>0</v>
      </c>
      <c r="K7036">
        <v>0</v>
      </c>
      <c r="L7036">
        <f t="shared" si="218"/>
        <v>4.5</v>
      </c>
      <c r="M7036">
        <f t="shared" si="219"/>
        <v>1</v>
      </c>
    </row>
    <row r="7037" spans="1:13" x14ac:dyDescent="0.3">
      <c r="A7037">
        <v>7035</v>
      </c>
      <c r="B7037">
        <v>7036</v>
      </c>
      <c r="C7037" t="s">
        <v>7114</v>
      </c>
      <c r="D7037">
        <v>1984</v>
      </c>
      <c r="F7037" t="s">
        <v>2755</v>
      </c>
      <c r="G7037">
        <v>0</v>
      </c>
      <c r="H7037">
        <v>0</v>
      </c>
      <c r="I7037">
        <v>1</v>
      </c>
      <c r="J7037">
        <v>0</v>
      </c>
      <c r="K7037">
        <v>0</v>
      </c>
      <c r="L7037">
        <f t="shared" si="218"/>
        <v>4.5</v>
      </c>
      <c r="M7037">
        <f t="shared" si="219"/>
        <v>1</v>
      </c>
    </row>
    <row r="7038" spans="1:13" x14ac:dyDescent="0.3">
      <c r="A7038">
        <v>7036</v>
      </c>
      <c r="B7038">
        <v>7037</v>
      </c>
      <c r="C7038" t="s">
        <v>7115</v>
      </c>
      <c r="D7038">
        <v>2017</v>
      </c>
      <c r="F7038" t="s">
        <v>2755</v>
      </c>
      <c r="G7038">
        <v>0</v>
      </c>
      <c r="H7038">
        <v>0</v>
      </c>
      <c r="I7038">
        <v>1</v>
      </c>
      <c r="J7038">
        <v>0</v>
      </c>
      <c r="K7038">
        <v>0</v>
      </c>
      <c r="L7038">
        <f t="shared" si="218"/>
        <v>4.5</v>
      </c>
      <c r="M7038">
        <f t="shared" si="219"/>
        <v>1</v>
      </c>
    </row>
    <row r="7039" spans="1:13" x14ac:dyDescent="0.3">
      <c r="A7039">
        <v>7037</v>
      </c>
      <c r="B7039">
        <v>7038</v>
      </c>
      <c r="C7039" t="s">
        <v>7116</v>
      </c>
      <c r="D7039">
        <v>2016</v>
      </c>
      <c r="E7039" t="s">
        <v>14</v>
      </c>
      <c r="F7039" t="s">
        <v>2755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f t="shared" si="218"/>
        <v>4.5</v>
      </c>
      <c r="M7039">
        <f t="shared" si="219"/>
        <v>1</v>
      </c>
    </row>
    <row r="7040" spans="1:13" x14ac:dyDescent="0.3">
      <c r="A7040">
        <v>7038</v>
      </c>
      <c r="B7040">
        <v>7039</v>
      </c>
      <c r="C7040" t="s">
        <v>7117</v>
      </c>
      <c r="D7040">
        <v>2018</v>
      </c>
      <c r="F7040" t="s">
        <v>2755</v>
      </c>
      <c r="G7040">
        <v>0</v>
      </c>
      <c r="H7040">
        <v>0</v>
      </c>
      <c r="I7040">
        <v>1</v>
      </c>
      <c r="J7040">
        <v>0</v>
      </c>
      <c r="K7040">
        <v>0</v>
      </c>
      <c r="L7040">
        <f t="shared" si="218"/>
        <v>4.5</v>
      </c>
      <c r="M7040">
        <f t="shared" si="219"/>
        <v>1</v>
      </c>
    </row>
    <row r="7041" spans="1:13" x14ac:dyDescent="0.3">
      <c r="A7041">
        <v>7039</v>
      </c>
      <c r="B7041">
        <v>7040</v>
      </c>
      <c r="C7041" t="s">
        <v>7118</v>
      </c>
      <c r="D7041">
        <v>2020</v>
      </c>
      <c r="F7041" t="s">
        <v>2755</v>
      </c>
      <c r="G7041">
        <v>0</v>
      </c>
      <c r="H7041">
        <v>0</v>
      </c>
      <c r="I7041">
        <v>1</v>
      </c>
      <c r="J7041">
        <v>0</v>
      </c>
      <c r="K7041">
        <v>0</v>
      </c>
      <c r="L7041">
        <f t="shared" si="218"/>
        <v>4.5</v>
      </c>
      <c r="M7041">
        <f t="shared" si="219"/>
        <v>1</v>
      </c>
    </row>
    <row r="7042" spans="1:13" x14ac:dyDescent="0.3">
      <c r="A7042">
        <v>7040</v>
      </c>
      <c r="B7042">
        <v>7041</v>
      </c>
      <c r="C7042" t="s">
        <v>7119</v>
      </c>
      <c r="D7042">
        <v>2014</v>
      </c>
      <c r="F7042" t="s">
        <v>2755</v>
      </c>
      <c r="G7042">
        <v>0</v>
      </c>
      <c r="H7042">
        <v>0</v>
      </c>
      <c r="I7042">
        <v>1</v>
      </c>
      <c r="J7042">
        <v>0</v>
      </c>
      <c r="K7042">
        <v>0</v>
      </c>
      <c r="L7042">
        <f t="shared" si="218"/>
        <v>4.5</v>
      </c>
      <c r="M7042">
        <f t="shared" si="219"/>
        <v>1</v>
      </c>
    </row>
    <row r="7043" spans="1:13" x14ac:dyDescent="0.3">
      <c r="A7043">
        <v>7041</v>
      </c>
      <c r="B7043">
        <v>7042</v>
      </c>
      <c r="C7043" t="s">
        <v>7120</v>
      </c>
      <c r="D7043">
        <v>2019</v>
      </c>
      <c r="E7043" t="s">
        <v>14</v>
      </c>
      <c r="F7043" t="s">
        <v>2755</v>
      </c>
      <c r="G7043">
        <v>0</v>
      </c>
      <c r="H7043">
        <v>0</v>
      </c>
      <c r="I7043">
        <v>1</v>
      </c>
      <c r="J7043">
        <v>0</v>
      </c>
      <c r="K7043">
        <v>0</v>
      </c>
      <c r="L7043">
        <f t="shared" ref="L7043:L7106" si="220">IFERROR(VALUE(LEFT(F7043,FIND("/",F7043)-1))/10,"")</f>
        <v>4.5</v>
      </c>
      <c r="M7043">
        <f t="shared" ref="M7043:M7106" si="221">SUM(G7043:J7043)</f>
        <v>1</v>
      </c>
    </row>
    <row r="7044" spans="1:13" x14ac:dyDescent="0.3">
      <c r="A7044">
        <v>7042</v>
      </c>
      <c r="B7044">
        <v>7043</v>
      </c>
      <c r="C7044" t="s">
        <v>7121</v>
      </c>
      <c r="D7044">
        <v>1988</v>
      </c>
      <c r="E7044" t="s">
        <v>11</v>
      </c>
      <c r="F7044" t="s">
        <v>2755</v>
      </c>
      <c r="G7044">
        <v>0</v>
      </c>
      <c r="H7044">
        <v>0</v>
      </c>
      <c r="I7044">
        <v>1</v>
      </c>
      <c r="J7044">
        <v>0</v>
      </c>
      <c r="K7044">
        <v>0</v>
      </c>
      <c r="L7044">
        <f t="shared" si="220"/>
        <v>4.5</v>
      </c>
      <c r="M7044">
        <f t="shared" si="221"/>
        <v>1</v>
      </c>
    </row>
    <row r="7045" spans="1:13" x14ac:dyDescent="0.3">
      <c r="A7045">
        <v>7043</v>
      </c>
      <c r="B7045">
        <v>7044</v>
      </c>
      <c r="C7045" t="s">
        <v>7122</v>
      </c>
      <c r="D7045">
        <v>1914</v>
      </c>
      <c r="F7045" t="s">
        <v>2755</v>
      </c>
      <c r="G7045">
        <v>0</v>
      </c>
      <c r="H7045">
        <v>0</v>
      </c>
      <c r="I7045">
        <v>1</v>
      </c>
      <c r="J7045">
        <v>0</v>
      </c>
      <c r="K7045">
        <v>0</v>
      </c>
      <c r="L7045">
        <f t="shared" si="220"/>
        <v>4.5</v>
      </c>
      <c r="M7045">
        <f t="shared" si="221"/>
        <v>1</v>
      </c>
    </row>
    <row r="7046" spans="1:13" x14ac:dyDescent="0.3">
      <c r="A7046">
        <v>7044</v>
      </c>
      <c r="B7046">
        <v>7045</v>
      </c>
      <c r="C7046" t="s">
        <v>7123</v>
      </c>
      <c r="D7046">
        <v>2020</v>
      </c>
      <c r="F7046" t="s">
        <v>2755</v>
      </c>
      <c r="G7046">
        <v>0</v>
      </c>
      <c r="H7046">
        <v>0</v>
      </c>
      <c r="I7046">
        <v>1</v>
      </c>
      <c r="J7046">
        <v>0</v>
      </c>
      <c r="K7046">
        <v>0</v>
      </c>
      <c r="L7046">
        <f t="shared" si="220"/>
        <v>4.5</v>
      </c>
      <c r="M7046">
        <f t="shared" si="221"/>
        <v>1</v>
      </c>
    </row>
    <row r="7047" spans="1:13" x14ac:dyDescent="0.3">
      <c r="A7047">
        <v>7045</v>
      </c>
      <c r="B7047">
        <v>7046</v>
      </c>
      <c r="C7047" t="s">
        <v>7124</v>
      </c>
      <c r="D7047">
        <v>2008</v>
      </c>
      <c r="E7047" t="s">
        <v>11</v>
      </c>
      <c r="F7047" t="s">
        <v>2755</v>
      </c>
      <c r="G7047">
        <v>0</v>
      </c>
      <c r="H7047">
        <v>0</v>
      </c>
      <c r="I7047">
        <v>1</v>
      </c>
      <c r="J7047">
        <v>0</v>
      </c>
      <c r="K7047">
        <v>0</v>
      </c>
      <c r="L7047">
        <f t="shared" si="220"/>
        <v>4.5</v>
      </c>
      <c r="M7047">
        <f t="shared" si="221"/>
        <v>1</v>
      </c>
    </row>
    <row r="7048" spans="1:13" x14ac:dyDescent="0.3">
      <c r="A7048">
        <v>7046</v>
      </c>
      <c r="B7048">
        <v>7047</v>
      </c>
      <c r="C7048" t="s">
        <v>7125</v>
      </c>
      <c r="D7048">
        <v>2012</v>
      </c>
      <c r="E7048" t="s">
        <v>28</v>
      </c>
      <c r="F7048" t="s">
        <v>2755</v>
      </c>
      <c r="G7048">
        <v>0</v>
      </c>
      <c r="H7048">
        <v>0</v>
      </c>
      <c r="I7048">
        <v>1</v>
      </c>
      <c r="J7048">
        <v>0</v>
      </c>
      <c r="K7048">
        <v>0</v>
      </c>
      <c r="L7048">
        <f t="shared" si="220"/>
        <v>4.5</v>
      </c>
      <c r="M7048">
        <f t="shared" si="221"/>
        <v>1</v>
      </c>
    </row>
    <row r="7049" spans="1:13" x14ac:dyDescent="0.3">
      <c r="A7049">
        <v>7047</v>
      </c>
      <c r="B7049">
        <v>7048</v>
      </c>
      <c r="C7049" t="s">
        <v>7126</v>
      </c>
      <c r="D7049">
        <v>1969</v>
      </c>
      <c r="E7049" t="s">
        <v>22</v>
      </c>
      <c r="F7049" t="s">
        <v>2755</v>
      </c>
      <c r="G7049">
        <v>0</v>
      </c>
      <c r="H7049">
        <v>0</v>
      </c>
      <c r="I7049">
        <v>1</v>
      </c>
      <c r="J7049">
        <v>0</v>
      </c>
      <c r="K7049">
        <v>0</v>
      </c>
      <c r="L7049">
        <f t="shared" si="220"/>
        <v>4.5</v>
      </c>
      <c r="M7049">
        <f t="shared" si="221"/>
        <v>1</v>
      </c>
    </row>
    <row r="7050" spans="1:13" x14ac:dyDescent="0.3">
      <c r="A7050">
        <v>7048</v>
      </c>
      <c r="B7050">
        <v>7049</v>
      </c>
      <c r="C7050" t="s">
        <v>7127</v>
      </c>
      <c r="D7050">
        <v>2012</v>
      </c>
      <c r="F7050" t="s">
        <v>2755</v>
      </c>
      <c r="G7050">
        <v>0</v>
      </c>
      <c r="H7050">
        <v>0</v>
      </c>
      <c r="I7050">
        <v>1</v>
      </c>
      <c r="J7050">
        <v>0</v>
      </c>
      <c r="K7050">
        <v>0</v>
      </c>
      <c r="L7050">
        <f t="shared" si="220"/>
        <v>4.5</v>
      </c>
      <c r="M7050">
        <f t="shared" si="221"/>
        <v>1</v>
      </c>
    </row>
    <row r="7051" spans="1:13" x14ac:dyDescent="0.3">
      <c r="A7051">
        <v>7049</v>
      </c>
      <c r="B7051">
        <v>7050</v>
      </c>
      <c r="C7051" t="s">
        <v>7128</v>
      </c>
      <c r="D7051">
        <v>2020</v>
      </c>
      <c r="F7051" t="s">
        <v>2755</v>
      </c>
      <c r="G7051">
        <v>0</v>
      </c>
      <c r="H7051">
        <v>0</v>
      </c>
      <c r="I7051">
        <v>1</v>
      </c>
      <c r="J7051">
        <v>0</v>
      </c>
      <c r="K7051">
        <v>0</v>
      </c>
      <c r="L7051">
        <f t="shared" si="220"/>
        <v>4.5</v>
      </c>
      <c r="M7051">
        <f t="shared" si="221"/>
        <v>1</v>
      </c>
    </row>
    <row r="7052" spans="1:13" x14ac:dyDescent="0.3">
      <c r="A7052">
        <v>7050</v>
      </c>
      <c r="B7052">
        <v>7051</v>
      </c>
      <c r="C7052" t="s">
        <v>7129</v>
      </c>
      <c r="D7052">
        <v>2016</v>
      </c>
      <c r="F7052" t="s">
        <v>2755</v>
      </c>
      <c r="G7052">
        <v>0</v>
      </c>
      <c r="H7052">
        <v>0</v>
      </c>
      <c r="I7052">
        <v>1</v>
      </c>
      <c r="J7052">
        <v>0</v>
      </c>
      <c r="K7052">
        <v>0</v>
      </c>
      <c r="L7052">
        <f t="shared" si="220"/>
        <v>4.5</v>
      </c>
      <c r="M7052">
        <f t="shared" si="221"/>
        <v>1</v>
      </c>
    </row>
    <row r="7053" spans="1:13" x14ac:dyDescent="0.3">
      <c r="A7053">
        <v>7051</v>
      </c>
      <c r="B7053">
        <v>7052</v>
      </c>
      <c r="C7053" t="s">
        <v>7130</v>
      </c>
      <c r="D7053">
        <v>2018</v>
      </c>
      <c r="F7053" t="s">
        <v>2755</v>
      </c>
      <c r="G7053">
        <v>0</v>
      </c>
      <c r="H7053">
        <v>0</v>
      </c>
      <c r="I7053">
        <v>1</v>
      </c>
      <c r="J7053">
        <v>0</v>
      </c>
      <c r="K7053">
        <v>0</v>
      </c>
      <c r="L7053">
        <f t="shared" si="220"/>
        <v>4.5</v>
      </c>
      <c r="M7053">
        <f t="shared" si="221"/>
        <v>1</v>
      </c>
    </row>
    <row r="7054" spans="1:13" x14ac:dyDescent="0.3">
      <c r="A7054">
        <v>7052</v>
      </c>
      <c r="B7054">
        <v>7053</v>
      </c>
      <c r="C7054" t="s">
        <v>7131</v>
      </c>
      <c r="D7054">
        <v>2017</v>
      </c>
      <c r="F7054" t="s">
        <v>2755</v>
      </c>
      <c r="G7054">
        <v>0</v>
      </c>
      <c r="H7054">
        <v>0</v>
      </c>
      <c r="I7054">
        <v>1</v>
      </c>
      <c r="J7054">
        <v>0</v>
      </c>
      <c r="K7054">
        <v>0</v>
      </c>
      <c r="L7054">
        <f t="shared" si="220"/>
        <v>4.5</v>
      </c>
      <c r="M7054">
        <f t="shared" si="221"/>
        <v>1</v>
      </c>
    </row>
    <row r="7055" spans="1:13" x14ac:dyDescent="0.3">
      <c r="A7055">
        <v>7053</v>
      </c>
      <c r="B7055">
        <v>7054</v>
      </c>
      <c r="C7055" t="s">
        <v>7132</v>
      </c>
      <c r="D7055">
        <v>2019</v>
      </c>
      <c r="F7055" t="s">
        <v>2755</v>
      </c>
      <c r="G7055">
        <v>0</v>
      </c>
      <c r="H7055">
        <v>0</v>
      </c>
      <c r="I7055">
        <v>1</v>
      </c>
      <c r="J7055">
        <v>0</v>
      </c>
      <c r="K7055">
        <v>0</v>
      </c>
      <c r="L7055">
        <f t="shared" si="220"/>
        <v>4.5</v>
      </c>
      <c r="M7055">
        <f t="shared" si="221"/>
        <v>1</v>
      </c>
    </row>
    <row r="7056" spans="1:13" x14ac:dyDescent="0.3">
      <c r="A7056">
        <v>7054</v>
      </c>
      <c r="B7056">
        <v>7055</v>
      </c>
      <c r="C7056" t="s">
        <v>7133</v>
      </c>
      <c r="D7056">
        <v>2020</v>
      </c>
      <c r="E7056" t="s">
        <v>22</v>
      </c>
      <c r="F7056" t="s">
        <v>2755</v>
      </c>
      <c r="G7056">
        <v>0</v>
      </c>
      <c r="H7056">
        <v>0</v>
      </c>
      <c r="I7056">
        <v>1</v>
      </c>
      <c r="J7056">
        <v>0</v>
      </c>
      <c r="K7056">
        <v>0</v>
      </c>
      <c r="L7056">
        <f t="shared" si="220"/>
        <v>4.5</v>
      </c>
      <c r="M7056">
        <f t="shared" si="221"/>
        <v>1</v>
      </c>
    </row>
    <row r="7057" spans="1:13" x14ac:dyDescent="0.3">
      <c r="A7057">
        <v>7055</v>
      </c>
      <c r="B7057">
        <v>7056</v>
      </c>
      <c r="C7057" t="s">
        <v>7134</v>
      </c>
      <c r="D7057">
        <v>2013</v>
      </c>
      <c r="F7057" t="s">
        <v>2755</v>
      </c>
      <c r="G7057">
        <v>0</v>
      </c>
      <c r="H7057">
        <v>0</v>
      </c>
      <c r="I7057">
        <v>1</v>
      </c>
      <c r="J7057">
        <v>0</v>
      </c>
      <c r="K7057">
        <v>0</v>
      </c>
      <c r="L7057">
        <f t="shared" si="220"/>
        <v>4.5</v>
      </c>
      <c r="M7057">
        <f t="shared" si="221"/>
        <v>1</v>
      </c>
    </row>
    <row r="7058" spans="1:13" x14ac:dyDescent="0.3">
      <c r="A7058">
        <v>7056</v>
      </c>
      <c r="B7058">
        <v>7057</v>
      </c>
      <c r="C7058" t="s">
        <v>7135</v>
      </c>
      <c r="D7058">
        <v>2019</v>
      </c>
      <c r="E7058" t="s">
        <v>14</v>
      </c>
      <c r="F7058" t="s">
        <v>2755</v>
      </c>
      <c r="G7058">
        <v>0</v>
      </c>
      <c r="H7058">
        <v>0</v>
      </c>
      <c r="I7058">
        <v>1</v>
      </c>
      <c r="J7058">
        <v>0</v>
      </c>
      <c r="K7058">
        <v>0</v>
      </c>
      <c r="L7058">
        <f t="shared" si="220"/>
        <v>4.5</v>
      </c>
      <c r="M7058">
        <f t="shared" si="221"/>
        <v>1</v>
      </c>
    </row>
    <row r="7059" spans="1:13" x14ac:dyDescent="0.3">
      <c r="A7059">
        <v>7057</v>
      </c>
      <c r="B7059">
        <v>7058</v>
      </c>
      <c r="C7059" t="s">
        <v>7136</v>
      </c>
      <c r="D7059">
        <v>2013</v>
      </c>
      <c r="E7059" t="s">
        <v>14</v>
      </c>
      <c r="F7059" t="s">
        <v>2755</v>
      </c>
      <c r="G7059">
        <v>0</v>
      </c>
      <c r="H7059">
        <v>0</v>
      </c>
      <c r="I7059">
        <v>1</v>
      </c>
      <c r="J7059">
        <v>0</v>
      </c>
      <c r="K7059">
        <v>0</v>
      </c>
      <c r="L7059">
        <f t="shared" si="220"/>
        <v>4.5</v>
      </c>
      <c r="M7059">
        <f t="shared" si="221"/>
        <v>1</v>
      </c>
    </row>
    <row r="7060" spans="1:13" x14ac:dyDescent="0.3">
      <c r="A7060">
        <v>7058</v>
      </c>
      <c r="B7060">
        <v>7059</v>
      </c>
      <c r="C7060" t="s">
        <v>7137</v>
      </c>
      <c r="D7060">
        <v>2013</v>
      </c>
      <c r="F7060" t="s">
        <v>2755</v>
      </c>
      <c r="G7060">
        <v>0</v>
      </c>
      <c r="H7060">
        <v>0</v>
      </c>
      <c r="I7060">
        <v>1</v>
      </c>
      <c r="J7060">
        <v>0</v>
      </c>
      <c r="K7060">
        <v>0</v>
      </c>
      <c r="L7060">
        <f t="shared" si="220"/>
        <v>4.5</v>
      </c>
      <c r="M7060">
        <f t="shared" si="221"/>
        <v>1</v>
      </c>
    </row>
    <row r="7061" spans="1:13" x14ac:dyDescent="0.3">
      <c r="A7061">
        <v>7059</v>
      </c>
      <c r="B7061">
        <v>7060</v>
      </c>
      <c r="C7061" t="s">
        <v>7138</v>
      </c>
      <c r="D7061">
        <v>2012</v>
      </c>
      <c r="E7061" t="s">
        <v>11</v>
      </c>
      <c r="F7061" t="s">
        <v>2755</v>
      </c>
      <c r="G7061">
        <v>0</v>
      </c>
      <c r="H7061">
        <v>0</v>
      </c>
      <c r="I7061">
        <v>1</v>
      </c>
      <c r="J7061">
        <v>0</v>
      </c>
      <c r="K7061">
        <v>0</v>
      </c>
      <c r="L7061">
        <f t="shared" si="220"/>
        <v>4.5</v>
      </c>
      <c r="M7061">
        <f t="shared" si="221"/>
        <v>1</v>
      </c>
    </row>
    <row r="7062" spans="1:13" x14ac:dyDescent="0.3">
      <c r="A7062">
        <v>7060</v>
      </c>
      <c r="B7062">
        <v>7061</v>
      </c>
      <c r="C7062" t="s">
        <v>7139</v>
      </c>
      <c r="D7062">
        <v>2016</v>
      </c>
      <c r="F7062" t="s">
        <v>2755</v>
      </c>
      <c r="G7062">
        <v>0</v>
      </c>
      <c r="H7062">
        <v>0</v>
      </c>
      <c r="I7062">
        <v>1</v>
      </c>
      <c r="J7062">
        <v>0</v>
      </c>
      <c r="K7062">
        <v>0</v>
      </c>
      <c r="L7062">
        <f t="shared" si="220"/>
        <v>4.5</v>
      </c>
      <c r="M7062">
        <f t="shared" si="221"/>
        <v>1</v>
      </c>
    </row>
    <row r="7063" spans="1:13" x14ac:dyDescent="0.3">
      <c r="A7063">
        <v>7061</v>
      </c>
      <c r="B7063">
        <v>7062</v>
      </c>
      <c r="C7063" t="s">
        <v>7140</v>
      </c>
      <c r="D7063">
        <v>2014</v>
      </c>
      <c r="E7063" t="s">
        <v>14</v>
      </c>
      <c r="F7063" t="s">
        <v>2755</v>
      </c>
      <c r="G7063">
        <v>0</v>
      </c>
      <c r="H7063">
        <v>0</v>
      </c>
      <c r="I7063">
        <v>1</v>
      </c>
      <c r="J7063">
        <v>0</v>
      </c>
      <c r="K7063">
        <v>0</v>
      </c>
      <c r="L7063">
        <f t="shared" si="220"/>
        <v>4.5</v>
      </c>
      <c r="M7063">
        <f t="shared" si="221"/>
        <v>1</v>
      </c>
    </row>
    <row r="7064" spans="1:13" x14ac:dyDescent="0.3">
      <c r="A7064">
        <v>7062</v>
      </c>
      <c r="B7064">
        <v>7063</v>
      </c>
      <c r="C7064" t="s">
        <v>7141</v>
      </c>
      <c r="D7064">
        <v>2020</v>
      </c>
      <c r="F7064" t="s">
        <v>2755</v>
      </c>
      <c r="G7064">
        <v>0</v>
      </c>
      <c r="H7064">
        <v>0</v>
      </c>
      <c r="I7064">
        <v>1</v>
      </c>
      <c r="J7064">
        <v>0</v>
      </c>
      <c r="K7064">
        <v>0</v>
      </c>
      <c r="L7064">
        <f t="shared" si="220"/>
        <v>4.5</v>
      </c>
      <c r="M7064">
        <f t="shared" si="221"/>
        <v>1</v>
      </c>
    </row>
    <row r="7065" spans="1:13" x14ac:dyDescent="0.3">
      <c r="A7065">
        <v>7063</v>
      </c>
      <c r="B7065">
        <v>7064</v>
      </c>
      <c r="C7065" t="s">
        <v>7142</v>
      </c>
      <c r="D7065">
        <v>2010</v>
      </c>
      <c r="F7065" t="s">
        <v>2755</v>
      </c>
      <c r="G7065">
        <v>0</v>
      </c>
      <c r="H7065">
        <v>0</v>
      </c>
      <c r="I7065">
        <v>1</v>
      </c>
      <c r="J7065">
        <v>0</v>
      </c>
      <c r="K7065">
        <v>0</v>
      </c>
      <c r="L7065">
        <f t="shared" si="220"/>
        <v>4.5</v>
      </c>
      <c r="M7065">
        <f t="shared" si="221"/>
        <v>1</v>
      </c>
    </row>
    <row r="7066" spans="1:13" x14ac:dyDescent="0.3">
      <c r="A7066">
        <v>7064</v>
      </c>
      <c r="B7066">
        <v>7065</v>
      </c>
      <c r="C7066" t="s">
        <v>7143</v>
      </c>
      <c r="D7066">
        <v>2001</v>
      </c>
      <c r="F7066" t="s">
        <v>2755</v>
      </c>
      <c r="G7066">
        <v>0</v>
      </c>
      <c r="H7066">
        <v>0</v>
      </c>
      <c r="I7066">
        <v>1</v>
      </c>
      <c r="J7066">
        <v>0</v>
      </c>
      <c r="K7066">
        <v>0</v>
      </c>
      <c r="L7066">
        <f t="shared" si="220"/>
        <v>4.5</v>
      </c>
      <c r="M7066">
        <f t="shared" si="221"/>
        <v>1</v>
      </c>
    </row>
    <row r="7067" spans="1:13" x14ac:dyDescent="0.3">
      <c r="A7067">
        <v>7065</v>
      </c>
      <c r="B7067">
        <v>7066</v>
      </c>
      <c r="C7067" t="s">
        <v>7144</v>
      </c>
      <c r="D7067">
        <v>2020</v>
      </c>
      <c r="F7067" t="s">
        <v>2755</v>
      </c>
      <c r="G7067">
        <v>0</v>
      </c>
      <c r="H7067">
        <v>0</v>
      </c>
      <c r="I7067">
        <v>1</v>
      </c>
      <c r="J7067">
        <v>0</v>
      </c>
      <c r="K7067">
        <v>0</v>
      </c>
      <c r="L7067">
        <f t="shared" si="220"/>
        <v>4.5</v>
      </c>
      <c r="M7067">
        <f t="shared" si="221"/>
        <v>1</v>
      </c>
    </row>
    <row r="7068" spans="1:13" x14ac:dyDescent="0.3">
      <c r="A7068">
        <v>7066</v>
      </c>
      <c r="B7068">
        <v>7067</v>
      </c>
      <c r="C7068" t="s">
        <v>7145</v>
      </c>
      <c r="D7068">
        <v>2020</v>
      </c>
      <c r="F7068" t="s">
        <v>2755</v>
      </c>
      <c r="G7068">
        <v>0</v>
      </c>
      <c r="H7068">
        <v>0</v>
      </c>
      <c r="I7068">
        <v>1</v>
      </c>
      <c r="J7068">
        <v>0</v>
      </c>
      <c r="K7068">
        <v>0</v>
      </c>
      <c r="L7068">
        <f t="shared" si="220"/>
        <v>4.5</v>
      </c>
      <c r="M7068">
        <f t="shared" si="221"/>
        <v>1</v>
      </c>
    </row>
    <row r="7069" spans="1:13" x14ac:dyDescent="0.3">
      <c r="A7069">
        <v>7067</v>
      </c>
      <c r="B7069">
        <v>7068</v>
      </c>
      <c r="C7069" t="s">
        <v>7146</v>
      </c>
      <c r="D7069">
        <v>2003</v>
      </c>
      <c r="F7069" t="s">
        <v>2755</v>
      </c>
      <c r="G7069">
        <v>0</v>
      </c>
      <c r="H7069">
        <v>0</v>
      </c>
      <c r="I7069">
        <v>1</v>
      </c>
      <c r="J7069">
        <v>0</v>
      </c>
      <c r="K7069">
        <v>0</v>
      </c>
      <c r="L7069">
        <f t="shared" si="220"/>
        <v>4.5</v>
      </c>
      <c r="M7069">
        <f t="shared" si="221"/>
        <v>1</v>
      </c>
    </row>
    <row r="7070" spans="1:13" x14ac:dyDescent="0.3">
      <c r="A7070">
        <v>7068</v>
      </c>
      <c r="B7070">
        <v>7069</v>
      </c>
      <c r="C7070" t="s">
        <v>7147</v>
      </c>
      <c r="D7070">
        <v>2016</v>
      </c>
      <c r="E7070" t="s">
        <v>11</v>
      </c>
      <c r="F7070" t="s">
        <v>2755</v>
      </c>
      <c r="G7070">
        <v>0</v>
      </c>
      <c r="H7070">
        <v>0</v>
      </c>
      <c r="I7070">
        <v>1</v>
      </c>
      <c r="J7070">
        <v>0</v>
      </c>
      <c r="K7070">
        <v>0</v>
      </c>
      <c r="L7070">
        <f t="shared" si="220"/>
        <v>4.5</v>
      </c>
      <c r="M7070">
        <f t="shared" si="221"/>
        <v>1</v>
      </c>
    </row>
    <row r="7071" spans="1:13" x14ac:dyDescent="0.3">
      <c r="A7071">
        <v>7069</v>
      </c>
      <c r="B7071">
        <v>7070</v>
      </c>
      <c r="C7071" t="s">
        <v>7148</v>
      </c>
      <c r="D7071">
        <v>1984</v>
      </c>
      <c r="E7071" t="s">
        <v>11</v>
      </c>
      <c r="F7071" t="s">
        <v>2755</v>
      </c>
      <c r="G7071">
        <v>0</v>
      </c>
      <c r="H7071">
        <v>0</v>
      </c>
      <c r="I7071">
        <v>1</v>
      </c>
      <c r="J7071">
        <v>0</v>
      </c>
      <c r="K7071">
        <v>0</v>
      </c>
      <c r="L7071">
        <f t="shared" si="220"/>
        <v>4.5</v>
      </c>
      <c r="M7071">
        <f t="shared" si="221"/>
        <v>1</v>
      </c>
    </row>
    <row r="7072" spans="1:13" x14ac:dyDescent="0.3">
      <c r="A7072">
        <v>7070</v>
      </c>
      <c r="B7072">
        <v>7071</v>
      </c>
      <c r="C7072" t="s">
        <v>7149</v>
      </c>
      <c r="D7072">
        <v>1985</v>
      </c>
      <c r="F7072" t="s">
        <v>2755</v>
      </c>
      <c r="G7072">
        <v>0</v>
      </c>
      <c r="H7072">
        <v>0</v>
      </c>
      <c r="I7072">
        <v>1</v>
      </c>
      <c r="J7072">
        <v>0</v>
      </c>
      <c r="K7072">
        <v>0</v>
      </c>
      <c r="L7072">
        <f t="shared" si="220"/>
        <v>4.5</v>
      </c>
      <c r="M7072">
        <f t="shared" si="221"/>
        <v>1</v>
      </c>
    </row>
    <row r="7073" spans="1:13" x14ac:dyDescent="0.3">
      <c r="A7073">
        <v>7071</v>
      </c>
      <c r="B7073">
        <v>7072</v>
      </c>
      <c r="C7073" t="s">
        <v>7150</v>
      </c>
      <c r="D7073">
        <v>1950</v>
      </c>
      <c r="F7073" t="s">
        <v>2755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f t="shared" si="220"/>
        <v>4.5</v>
      </c>
      <c r="M7073">
        <f t="shared" si="221"/>
        <v>1</v>
      </c>
    </row>
    <row r="7074" spans="1:13" x14ac:dyDescent="0.3">
      <c r="A7074">
        <v>7072</v>
      </c>
      <c r="B7074">
        <v>7073</v>
      </c>
      <c r="C7074" t="s">
        <v>7151</v>
      </c>
      <c r="D7074">
        <v>2019</v>
      </c>
      <c r="F7074" t="s">
        <v>2755</v>
      </c>
      <c r="G7074">
        <v>0</v>
      </c>
      <c r="H7074">
        <v>0</v>
      </c>
      <c r="I7074">
        <v>1</v>
      </c>
      <c r="J7074">
        <v>0</v>
      </c>
      <c r="K7074">
        <v>0</v>
      </c>
      <c r="L7074">
        <f t="shared" si="220"/>
        <v>4.5</v>
      </c>
      <c r="M7074">
        <f t="shared" si="221"/>
        <v>1</v>
      </c>
    </row>
    <row r="7075" spans="1:13" x14ac:dyDescent="0.3">
      <c r="A7075">
        <v>7073</v>
      </c>
      <c r="B7075">
        <v>7074</v>
      </c>
      <c r="C7075" t="s">
        <v>7152</v>
      </c>
      <c r="D7075">
        <v>2015</v>
      </c>
      <c r="E7075" t="s">
        <v>11</v>
      </c>
      <c r="F7075" t="s">
        <v>2755</v>
      </c>
      <c r="G7075">
        <v>0</v>
      </c>
      <c r="H7075">
        <v>0</v>
      </c>
      <c r="I7075">
        <v>1</v>
      </c>
      <c r="J7075">
        <v>0</v>
      </c>
      <c r="K7075">
        <v>0</v>
      </c>
      <c r="L7075">
        <f t="shared" si="220"/>
        <v>4.5</v>
      </c>
      <c r="M7075">
        <f t="shared" si="221"/>
        <v>1</v>
      </c>
    </row>
    <row r="7076" spans="1:13" x14ac:dyDescent="0.3">
      <c r="A7076">
        <v>7074</v>
      </c>
      <c r="B7076">
        <v>7075</v>
      </c>
      <c r="C7076" t="s">
        <v>7153</v>
      </c>
      <c r="D7076">
        <v>2011</v>
      </c>
      <c r="E7076" t="s">
        <v>22</v>
      </c>
      <c r="F7076" t="s">
        <v>2755</v>
      </c>
      <c r="G7076">
        <v>0</v>
      </c>
      <c r="H7076">
        <v>0</v>
      </c>
      <c r="I7076">
        <v>1</v>
      </c>
      <c r="J7076">
        <v>0</v>
      </c>
      <c r="K7076">
        <v>0</v>
      </c>
      <c r="L7076">
        <f t="shared" si="220"/>
        <v>4.5</v>
      </c>
      <c r="M7076">
        <f t="shared" si="221"/>
        <v>1</v>
      </c>
    </row>
    <row r="7077" spans="1:13" x14ac:dyDescent="0.3">
      <c r="A7077">
        <v>7075</v>
      </c>
      <c r="B7077">
        <v>7076</v>
      </c>
      <c r="C7077" t="s">
        <v>7154</v>
      </c>
      <c r="D7077">
        <v>1976</v>
      </c>
      <c r="E7077" t="s">
        <v>11</v>
      </c>
      <c r="F7077" t="s">
        <v>2755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f t="shared" si="220"/>
        <v>4.5</v>
      </c>
      <c r="M7077">
        <f t="shared" si="221"/>
        <v>1</v>
      </c>
    </row>
    <row r="7078" spans="1:13" x14ac:dyDescent="0.3">
      <c r="A7078">
        <v>7076</v>
      </c>
      <c r="B7078">
        <v>7077</v>
      </c>
      <c r="C7078" t="s">
        <v>7155</v>
      </c>
      <c r="D7078">
        <v>2000</v>
      </c>
      <c r="E7078" t="s">
        <v>22</v>
      </c>
      <c r="F7078" t="s">
        <v>2755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f t="shared" si="220"/>
        <v>4.5</v>
      </c>
      <c r="M7078">
        <f t="shared" si="221"/>
        <v>1</v>
      </c>
    </row>
    <row r="7079" spans="1:13" x14ac:dyDescent="0.3">
      <c r="A7079">
        <v>7077</v>
      </c>
      <c r="B7079">
        <v>7078</v>
      </c>
      <c r="C7079" t="s">
        <v>7156</v>
      </c>
      <c r="D7079">
        <v>2014</v>
      </c>
      <c r="E7079" t="s">
        <v>14</v>
      </c>
      <c r="F7079" t="s">
        <v>2755</v>
      </c>
      <c r="G7079">
        <v>0</v>
      </c>
      <c r="H7079">
        <v>0</v>
      </c>
      <c r="I7079">
        <v>1</v>
      </c>
      <c r="J7079">
        <v>0</v>
      </c>
      <c r="K7079">
        <v>0</v>
      </c>
      <c r="L7079">
        <f t="shared" si="220"/>
        <v>4.5</v>
      </c>
      <c r="M7079">
        <f t="shared" si="221"/>
        <v>1</v>
      </c>
    </row>
    <row r="7080" spans="1:13" x14ac:dyDescent="0.3">
      <c r="A7080">
        <v>7078</v>
      </c>
      <c r="B7080">
        <v>7079</v>
      </c>
      <c r="C7080" t="s">
        <v>7157</v>
      </c>
      <c r="D7080">
        <v>2015</v>
      </c>
      <c r="F7080" t="s">
        <v>2755</v>
      </c>
      <c r="G7080">
        <v>0</v>
      </c>
      <c r="H7080">
        <v>0</v>
      </c>
      <c r="I7080">
        <v>1</v>
      </c>
      <c r="J7080">
        <v>0</v>
      </c>
      <c r="K7080">
        <v>0</v>
      </c>
      <c r="L7080">
        <f t="shared" si="220"/>
        <v>4.5</v>
      </c>
      <c r="M7080">
        <f t="shared" si="221"/>
        <v>1</v>
      </c>
    </row>
    <row r="7081" spans="1:13" x14ac:dyDescent="0.3">
      <c r="A7081">
        <v>7079</v>
      </c>
      <c r="B7081">
        <v>7080</v>
      </c>
      <c r="C7081" t="s">
        <v>7158</v>
      </c>
      <c r="D7081">
        <v>2014</v>
      </c>
      <c r="E7081" t="s">
        <v>22</v>
      </c>
      <c r="F7081" t="s">
        <v>2755</v>
      </c>
      <c r="G7081">
        <v>0</v>
      </c>
      <c r="H7081">
        <v>0</v>
      </c>
      <c r="I7081">
        <v>1</v>
      </c>
      <c r="J7081">
        <v>0</v>
      </c>
      <c r="K7081">
        <v>0</v>
      </c>
      <c r="L7081">
        <f t="shared" si="220"/>
        <v>4.5</v>
      </c>
      <c r="M7081">
        <f t="shared" si="221"/>
        <v>1</v>
      </c>
    </row>
    <row r="7082" spans="1:13" x14ac:dyDescent="0.3">
      <c r="A7082">
        <v>7080</v>
      </c>
      <c r="B7082">
        <v>7081</v>
      </c>
      <c r="C7082" t="s">
        <v>7159</v>
      </c>
      <c r="D7082">
        <v>2021</v>
      </c>
      <c r="F7082" t="s">
        <v>2755</v>
      </c>
      <c r="G7082">
        <v>0</v>
      </c>
      <c r="H7082">
        <v>0</v>
      </c>
      <c r="I7082">
        <v>1</v>
      </c>
      <c r="J7082">
        <v>0</v>
      </c>
      <c r="K7082">
        <v>0</v>
      </c>
      <c r="L7082">
        <f t="shared" si="220"/>
        <v>4.5</v>
      </c>
      <c r="M7082">
        <f t="shared" si="221"/>
        <v>1</v>
      </c>
    </row>
    <row r="7083" spans="1:13" x14ac:dyDescent="0.3">
      <c r="A7083">
        <v>7081</v>
      </c>
      <c r="B7083">
        <v>7082</v>
      </c>
      <c r="C7083" t="s">
        <v>7160</v>
      </c>
      <c r="D7083">
        <v>2021</v>
      </c>
      <c r="F7083" t="s">
        <v>2755</v>
      </c>
      <c r="G7083">
        <v>0</v>
      </c>
      <c r="H7083">
        <v>0</v>
      </c>
      <c r="I7083">
        <v>1</v>
      </c>
      <c r="J7083">
        <v>0</v>
      </c>
      <c r="K7083">
        <v>0</v>
      </c>
      <c r="L7083">
        <f t="shared" si="220"/>
        <v>4.5</v>
      </c>
      <c r="M7083">
        <f t="shared" si="221"/>
        <v>1</v>
      </c>
    </row>
    <row r="7084" spans="1:13" x14ac:dyDescent="0.3">
      <c r="A7084">
        <v>7082</v>
      </c>
      <c r="B7084">
        <v>7083</v>
      </c>
      <c r="C7084" t="s">
        <v>7161</v>
      </c>
      <c r="D7084">
        <v>2017</v>
      </c>
      <c r="E7084" t="s">
        <v>11</v>
      </c>
      <c r="F7084" t="s">
        <v>2755</v>
      </c>
      <c r="G7084">
        <v>0</v>
      </c>
      <c r="H7084">
        <v>0</v>
      </c>
      <c r="I7084">
        <v>1</v>
      </c>
      <c r="J7084">
        <v>0</v>
      </c>
      <c r="K7084">
        <v>0</v>
      </c>
      <c r="L7084">
        <f t="shared" si="220"/>
        <v>4.5</v>
      </c>
      <c r="M7084">
        <f t="shared" si="221"/>
        <v>1</v>
      </c>
    </row>
    <row r="7085" spans="1:13" x14ac:dyDescent="0.3">
      <c r="A7085">
        <v>7083</v>
      </c>
      <c r="B7085">
        <v>7084</v>
      </c>
      <c r="C7085" t="s">
        <v>7162</v>
      </c>
      <c r="D7085">
        <v>1973</v>
      </c>
      <c r="F7085" t="s">
        <v>2755</v>
      </c>
      <c r="G7085">
        <v>0</v>
      </c>
      <c r="H7085">
        <v>0</v>
      </c>
      <c r="I7085">
        <v>1</v>
      </c>
      <c r="J7085">
        <v>0</v>
      </c>
      <c r="K7085">
        <v>0</v>
      </c>
      <c r="L7085">
        <f t="shared" si="220"/>
        <v>4.5</v>
      </c>
      <c r="M7085">
        <f t="shared" si="221"/>
        <v>1</v>
      </c>
    </row>
    <row r="7086" spans="1:13" x14ac:dyDescent="0.3">
      <c r="A7086">
        <v>7084</v>
      </c>
      <c r="B7086">
        <v>7085</v>
      </c>
      <c r="C7086" t="s">
        <v>7163</v>
      </c>
      <c r="D7086">
        <v>2016</v>
      </c>
      <c r="E7086" t="s">
        <v>14</v>
      </c>
      <c r="F7086" t="s">
        <v>2755</v>
      </c>
      <c r="G7086">
        <v>0</v>
      </c>
      <c r="H7086">
        <v>0</v>
      </c>
      <c r="I7086">
        <v>1</v>
      </c>
      <c r="J7086">
        <v>0</v>
      </c>
      <c r="K7086">
        <v>0</v>
      </c>
      <c r="L7086">
        <f t="shared" si="220"/>
        <v>4.5</v>
      </c>
      <c r="M7086">
        <f t="shared" si="221"/>
        <v>1</v>
      </c>
    </row>
    <row r="7087" spans="1:13" x14ac:dyDescent="0.3">
      <c r="A7087">
        <v>7085</v>
      </c>
      <c r="B7087">
        <v>7086</v>
      </c>
      <c r="C7087" t="s">
        <v>7164</v>
      </c>
      <c r="D7087">
        <v>2016</v>
      </c>
      <c r="F7087" t="s">
        <v>2755</v>
      </c>
      <c r="G7087">
        <v>0</v>
      </c>
      <c r="H7087">
        <v>0</v>
      </c>
      <c r="I7087">
        <v>1</v>
      </c>
      <c r="J7087">
        <v>0</v>
      </c>
      <c r="K7087">
        <v>0</v>
      </c>
      <c r="L7087">
        <f t="shared" si="220"/>
        <v>4.5</v>
      </c>
      <c r="M7087">
        <f t="shared" si="221"/>
        <v>1</v>
      </c>
    </row>
    <row r="7088" spans="1:13" x14ac:dyDescent="0.3">
      <c r="A7088">
        <v>7086</v>
      </c>
      <c r="B7088">
        <v>7087</v>
      </c>
      <c r="C7088" t="s">
        <v>7165</v>
      </c>
      <c r="D7088">
        <v>2006</v>
      </c>
      <c r="F7088" t="s">
        <v>2755</v>
      </c>
      <c r="G7088">
        <v>0</v>
      </c>
      <c r="H7088">
        <v>0</v>
      </c>
      <c r="I7088">
        <v>1</v>
      </c>
      <c r="J7088">
        <v>0</v>
      </c>
      <c r="K7088">
        <v>0</v>
      </c>
      <c r="L7088">
        <f t="shared" si="220"/>
        <v>4.5</v>
      </c>
      <c r="M7088">
        <f t="shared" si="221"/>
        <v>1</v>
      </c>
    </row>
    <row r="7089" spans="1:13" x14ac:dyDescent="0.3">
      <c r="A7089">
        <v>7087</v>
      </c>
      <c r="B7089">
        <v>7088</v>
      </c>
      <c r="C7089" t="s">
        <v>7166</v>
      </c>
      <c r="D7089">
        <v>2016</v>
      </c>
      <c r="E7089" t="s">
        <v>11</v>
      </c>
      <c r="F7089" t="s">
        <v>2755</v>
      </c>
      <c r="G7089">
        <v>0</v>
      </c>
      <c r="H7089">
        <v>0</v>
      </c>
      <c r="I7089">
        <v>1</v>
      </c>
      <c r="J7089">
        <v>0</v>
      </c>
      <c r="K7089">
        <v>0</v>
      </c>
      <c r="L7089">
        <f t="shared" si="220"/>
        <v>4.5</v>
      </c>
      <c r="M7089">
        <f t="shared" si="221"/>
        <v>1</v>
      </c>
    </row>
    <row r="7090" spans="1:13" x14ac:dyDescent="0.3">
      <c r="A7090">
        <v>7088</v>
      </c>
      <c r="B7090">
        <v>7089</v>
      </c>
      <c r="C7090" t="s">
        <v>7167</v>
      </c>
      <c r="D7090">
        <v>2007</v>
      </c>
      <c r="E7090" t="s">
        <v>22</v>
      </c>
      <c r="F7090" t="s">
        <v>2755</v>
      </c>
      <c r="G7090">
        <v>0</v>
      </c>
      <c r="H7090">
        <v>0</v>
      </c>
      <c r="I7090">
        <v>1</v>
      </c>
      <c r="J7090">
        <v>0</v>
      </c>
      <c r="K7090">
        <v>0</v>
      </c>
      <c r="L7090">
        <f t="shared" si="220"/>
        <v>4.5</v>
      </c>
      <c r="M7090">
        <f t="shared" si="221"/>
        <v>1</v>
      </c>
    </row>
    <row r="7091" spans="1:13" x14ac:dyDescent="0.3">
      <c r="A7091">
        <v>7089</v>
      </c>
      <c r="B7091">
        <v>7090</v>
      </c>
      <c r="C7091" t="s">
        <v>7168</v>
      </c>
      <c r="D7091">
        <v>1970</v>
      </c>
      <c r="F7091" t="s">
        <v>2755</v>
      </c>
      <c r="G7091">
        <v>0</v>
      </c>
      <c r="H7091">
        <v>0</v>
      </c>
      <c r="I7091">
        <v>1</v>
      </c>
      <c r="J7091">
        <v>0</v>
      </c>
      <c r="K7091">
        <v>0</v>
      </c>
      <c r="L7091">
        <f t="shared" si="220"/>
        <v>4.5</v>
      </c>
      <c r="M7091">
        <f t="shared" si="221"/>
        <v>1</v>
      </c>
    </row>
    <row r="7092" spans="1:13" x14ac:dyDescent="0.3">
      <c r="A7092">
        <v>7090</v>
      </c>
      <c r="B7092">
        <v>7091</v>
      </c>
      <c r="C7092" t="s">
        <v>7169</v>
      </c>
      <c r="D7092">
        <v>1981</v>
      </c>
      <c r="E7092" t="s">
        <v>14</v>
      </c>
      <c r="F7092" t="s">
        <v>2755</v>
      </c>
      <c r="G7092">
        <v>0</v>
      </c>
      <c r="H7092">
        <v>0</v>
      </c>
      <c r="I7092">
        <v>1</v>
      </c>
      <c r="J7092">
        <v>0</v>
      </c>
      <c r="K7092">
        <v>0</v>
      </c>
      <c r="L7092">
        <f t="shared" si="220"/>
        <v>4.5</v>
      </c>
      <c r="M7092">
        <f t="shared" si="221"/>
        <v>1</v>
      </c>
    </row>
    <row r="7093" spans="1:13" x14ac:dyDescent="0.3">
      <c r="A7093">
        <v>7091</v>
      </c>
      <c r="B7093">
        <v>7092</v>
      </c>
      <c r="C7093" t="s">
        <v>7170</v>
      </c>
      <c r="D7093">
        <v>2012</v>
      </c>
      <c r="F7093" t="s">
        <v>2755</v>
      </c>
      <c r="G7093">
        <v>0</v>
      </c>
      <c r="H7093">
        <v>0</v>
      </c>
      <c r="I7093">
        <v>1</v>
      </c>
      <c r="J7093">
        <v>0</v>
      </c>
      <c r="K7093">
        <v>0</v>
      </c>
      <c r="L7093">
        <f t="shared" si="220"/>
        <v>4.5</v>
      </c>
      <c r="M7093">
        <f t="shared" si="221"/>
        <v>1</v>
      </c>
    </row>
    <row r="7094" spans="1:13" x14ac:dyDescent="0.3">
      <c r="A7094">
        <v>7092</v>
      </c>
      <c r="B7094">
        <v>7093</v>
      </c>
      <c r="C7094" t="s">
        <v>7171</v>
      </c>
      <c r="D7094">
        <v>1989</v>
      </c>
      <c r="F7094" t="s">
        <v>2755</v>
      </c>
      <c r="G7094">
        <v>0</v>
      </c>
      <c r="H7094">
        <v>0</v>
      </c>
      <c r="I7094">
        <v>1</v>
      </c>
      <c r="J7094">
        <v>0</v>
      </c>
      <c r="K7094">
        <v>0</v>
      </c>
      <c r="L7094">
        <f t="shared" si="220"/>
        <v>4.5</v>
      </c>
      <c r="M7094">
        <f t="shared" si="221"/>
        <v>1</v>
      </c>
    </row>
    <row r="7095" spans="1:13" x14ac:dyDescent="0.3">
      <c r="A7095">
        <v>7093</v>
      </c>
      <c r="B7095">
        <v>7094</v>
      </c>
      <c r="C7095" t="s">
        <v>7172</v>
      </c>
      <c r="D7095">
        <v>2018</v>
      </c>
      <c r="F7095" t="s">
        <v>2755</v>
      </c>
      <c r="G7095">
        <v>0</v>
      </c>
      <c r="H7095">
        <v>0</v>
      </c>
      <c r="I7095">
        <v>1</v>
      </c>
      <c r="J7095">
        <v>0</v>
      </c>
      <c r="K7095">
        <v>0</v>
      </c>
      <c r="L7095">
        <f t="shared" si="220"/>
        <v>4.5</v>
      </c>
      <c r="M7095">
        <f t="shared" si="221"/>
        <v>1</v>
      </c>
    </row>
    <row r="7096" spans="1:13" x14ac:dyDescent="0.3">
      <c r="A7096">
        <v>7094</v>
      </c>
      <c r="B7096">
        <v>7095</v>
      </c>
      <c r="C7096" t="s">
        <v>7173</v>
      </c>
      <c r="D7096">
        <v>2016</v>
      </c>
      <c r="F7096" t="s">
        <v>2755</v>
      </c>
      <c r="G7096">
        <v>0</v>
      </c>
      <c r="H7096">
        <v>0</v>
      </c>
      <c r="I7096">
        <v>1</v>
      </c>
      <c r="J7096">
        <v>0</v>
      </c>
      <c r="K7096">
        <v>0</v>
      </c>
      <c r="L7096">
        <f t="shared" si="220"/>
        <v>4.5</v>
      </c>
      <c r="M7096">
        <f t="shared" si="221"/>
        <v>1</v>
      </c>
    </row>
    <row r="7097" spans="1:13" x14ac:dyDescent="0.3">
      <c r="A7097">
        <v>7095</v>
      </c>
      <c r="B7097">
        <v>7096</v>
      </c>
      <c r="C7097" t="s">
        <v>7174</v>
      </c>
      <c r="D7097">
        <v>2014</v>
      </c>
      <c r="E7097" t="s">
        <v>11</v>
      </c>
      <c r="F7097" t="s">
        <v>2755</v>
      </c>
      <c r="G7097">
        <v>0</v>
      </c>
      <c r="H7097">
        <v>0</v>
      </c>
      <c r="I7097">
        <v>1</v>
      </c>
      <c r="J7097">
        <v>0</v>
      </c>
      <c r="K7097">
        <v>0</v>
      </c>
      <c r="L7097">
        <f t="shared" si="220"/>
        <v>4.5</v>
      </c>
      <c r="M7097">
        <f t="shared" si="221"/>
        <v>1</v>
      </c>
    </row>
    <row r="7098" spans="1:13" x14ac:dyDescent="0.3">
      <c r="A7098">
        <v>7096</v>
      </c>
      <c r="B7098">
        <v>7097</v>
      </c>
      <c r="C7098" t="s">
        <v>7175</v>
      </c>
      <c r="D7098">
        <v>2018</v>
      </c>
      <c r="E7098" t="s">
        <v>14</v>
      </c>
      <c r="F7098" t="s">
        <v>2755</v>
      </c>
      <c r="G7098">
        <v>0</v>
      </c>
      <c r="H7098">
        <v>0</v>
      </c>
      <c r="I7098">
        <v>1</v>
      </c>
      <c r="J7098">
        <v>0</v>
      </c>
      <c r="K7098">
        <v>0</v>
      </c>
      <c r="L7098">
        <f t="shared" si="220"/>
        <v>4.5</v>
      </c>
      <c r="M7098">
        <f t="shared" si="221"/>
        <v>1</v>
      </c>
    </row>
    <row r="7099" spans="1:13" x14ac:dyDescent="0.3">
      <c r="A7099">
        <v>7097</v>
      </c>
      <c r="B7099">
        <v>7098</v>
      </c>
      <c r="C7099" t="s">
        <v>7176</v>
      </c>
      <c r="D7099">
        <v>2019</v>
      </c>
      <c r="F7099" t="s">
        <v>2755</v>
      </c>
      <c r="G7099">
        <v>0</v>
      </c>
      <c r="H7099">
        <v>0</v>
      </c>
      <c r="I7099">
        <v>1</v>
      </c>
      <c r="J7099">
        <v>0</v>
      </c>
      <c r="K7099">
        <v>0</v>
      </c>
      <c r="L7099">
        <f t="shared" si="220"/>
        <v>4.5</v>
      </c>
      <c r="M7099">
        <f t="shared" si="221"/>
        <v>1</v>
      </c>
    </row>
    <row r="7100" spans="1:13" x14ac:dyDescent="0.3">
      <c r="A7100">
        <v>7098</v>
      </c>
      <c r="B7100">
        <v>7099</v>
      </c>
      <c r="C7100" t="s">
        <v>7177</v>
      </c>
      <c r="D7100">
        <v>2011</v>
      </c>
      <c r="E7100" t="s">
        <v>28</v>
      </c>
      <c r="F7100" t="s">
        <v>2755</v>
      </c>
      <c r="G7100">
        <v>0</v>
      </c>
      <c r="H7100">
        <v>0</v>
      </c>
      <c r="I7100">
        <v>1</v>
      </c>
      <c r="J7100">
        <v>0</v>
      </c>
      <c r="K7100">
        <v>0</v>
      </c>
      <c r="L7100">
        <f t="shared" si="220"/>
        <v>4.5</v>
      </c>
      <c r="M7100">
        <f t="shared" si="221"/>
        <v>1</v>
      </c>
    </row>
    <row r="7101" spans="1:13" x14ac:dyDescent="0.3">
      <c r="A7101">
        <v>7099</v>
      </c>
      <c r="B7101">
        <v>7100</v>
      </c>
      <c r="C7101" t="s">
        <v>7178</v>
      </c>
      <c r="D7101">
        <v>2019</v>
      </c>
      <c r="F7101" t="s">
        <v>2755</v>
      </c>
      <c r="G7101">
        <v>0</v>
      </c>
      <c r="H7101">
        <v>0</v>
      </c>
      <c r="I7101">
        <v>1</v>
      </c>
      <c r="J7101">
        <v>0</v>
      </c>
      <c r="K7101">
        <v>0</v>
      </c>
      <c r="L7101">
        <f t="shared" si="220"/>
        <v>4.5</v>
      </c>
      <c r="M7101">
        <f t="shared" si="221"/>
        <v>1</v>
      </c>
    </row>
    <row r="7102" spans="1:13" x14ac:dyDescent="0.3">
      <c r="A7102">
        <v>7100</v>
      </c>
      <c r="B7102">
        <v>7101</v>
      </c>
      <c r="C7102" t="s">
        <v>7179</v>
      </c>
      <c r="D7102">
        <v>2015</v>
      </c>
      <c r="E7102" t="s">
        <v>11</v>
      </c>
      <c r="F7102" t="s">
        <v>2755</v>
      </c>
      <c r="G7102">
        <v>0</v>
      </c>
      <c r="H7102">
        <v>0</v>
      </c>
      <c r="I7102">
        <v>1</v>
      </c>
      <c r="J7102">
        <v>0</v>
      </c>
      <c r="K7102">
        <v>0</v>
      </c>
      <c r="L7102">
        <f t="shared" si="220"/>
        <v>4.5</v>
      </c>
      <c r="M7102">
        <f t="shared" si="221"/>
        <v>1</v>
      </c>
    </row>
    <row r="7103" spans="1:13" x14ac:dyDescent="0.3">
      <c r="A7103">
        <v>7101</v>
      </c>
      <c r="B7103">
        <v>7102</v>
      </c>
      <c r="C7103" t="s">
        <v>7180</v>
      </c>
      <c r="D7103">
        <v>1938</v>
      </c>
      <c r="F7103" t="s">
        <v>2755</v>
      </c>
      <c r="G7103">
        <v>0</v>
      </c>
      <c r="H7103">
        <v>0</v>
      </c>
      <c r="I7103">
        <v>1</v>
      </c>
      <c r="J7103">
        <v>0</v>
      </c>
      <c r="K7103">
        <v>0</v>
      </c>
      <c r="L7103">
        <f t="shared" si="220"/>
        <v>4.5</v>
      </c>
      <c r="M7103">
        <f t="shared" si="221"/>
        <v>1</v>
      </c>
    </row>
    <row r="7104" spans="1:13" x14ac:dyDescent="0.3">
      <c r="A7104">
        <v>7102</v>
      </c>
      <c r="B7104">
        <v>7103</v>
      </c>
      <c r="C7104" t="s">
        <v>7181</v>
      </c>
      <c r="D7104">
        <v>2012</v>
      </c>
      <c r="F7104" t="s">
        <v>2755</v>
      </c>
      <c r="G7104">
        <v>0</v>
      </c>
      <c r="H7104">
        <v>0</v>
      </c>
      <c r="I7104">
        <v>1</v>
      </c>
      <c r="J7104">
        <v>0</v>
      </c>
      <c r="K7104">
        <v>0</v>
      </c>
      <c r="L7104">
        <f t="shared" si="220"/>
        <v>4.5</v>
      </c>
      <c r="M7104">
        <f t="shared" si="221"/>
        <v>1</v>
      </c>
    </row>
    <row r="7105" spans="1:13" x14ac:dyDescent="0.3">
      <c r="A7105">
        <v>7103</v>
      </c>
      <c r="B7105">
        <v>7104</v>
      </c>
      <c r="C7105" t="s">
        <v>7182</v>
      </c>
      <c r="D7105">
        <v>2014</v>
      </c>
      <c r="E7105" t="s">
        <v>22</v>
      </c>
      <c r="F7105" t="s">
        <v>2755</v>
      </c>
      <c r="G7105">
        <v>0</v>
      </c>
      <c r="H7105">
        <v>0</v>
      </c>
      <c r="I7105">
        <v>1</v>
      </c>
      <c r="J7105">
        <v>0</v>
      </c>
      <c r="K7105">
        <v>0</v>
      </c>
      <c r="L7105">
        <f t="shared" si="220"/>
        <v>4.5</v>
      </c>
      <c r="M7105">
        <f t="shared" si="221"/>
        <v>1</v>
      </c>
    </row>
    <row r="7106" spans="1:13" x14ac:dyDescent="0.3">
      <c r="A7106">
        <v>7104</v>
      </c>
      <c r="B7106">
        <v>7105</v>
      </c>
      <c r="C7106" t="s">
        <v>7183</v>
      </c>
      <c r="D7106">
        <v>2008</v>
      </c>
      <c r="F7106" t="s">
        <v>2755</v>
      </c>
      <c r="G7106">
        <v>0</v>
      </c>
      <c r="H7106">
        <v>0</v>
      </c>
      <c r="I7106">
        <v>1</v>
      </c>
      <c r="J7106">
        <v>0</v>
      </c>
      <c r="K7106">
        <v>0</v>
      </c>
      <c r="L7106">
        <f t="shared" si="220"/>
        <v>4.5</v>
      </c>
      <c r="M7106">
        <f t="shared" si="221"/>
        <v>1</v>
      </c>
    </row>
    <row r="7107" spans="1:13" x14ac:dyDescent="0.3">
      <c r="A7107">
        <v>7105</v>
      </c>
      <c r="B7107">
        <v>7106</v>
      </c>
      <c r="C7107" t="s">
        <v>7184</v>
      </c>
      <c r="D7107">
        <v>1995</v>
      </c>
      <c r="F7107" t="s">
        <v>2755</v>
      </c>
      <c r="G7107">
        <v>0</v>
      </c>
      <c r="H7107">
        <v>0</v>
      </c>
      <c r="I7107">
        <v>1</v>
      </c>
      <c r="J7107">
        <v>0</v>
      </c>
      <c r="K7107">
        <v>0</v>
      </c>
      <c r="L7107">
        <f t="shared" ref="L7107:L7170" si="222">IFERROR(VALUE(LEFT(F7107,FIND("/",F7107)-1))/10,"")</f>
        <v>4.5</v>
      </c>
      <c r="M7107">
        <f t="shared" ref="M7107:M7170" si="223">SUM(G7107:J7107)</f>
        <v>1</v>
      </c>
    </row>
    <row r="7108" spans="1:13" x14ac:dyDescent="0.3">
      <c r="A7108">
        <v>7106</v>
      </c>
      <c r="B7108">
        <v>7107</v>
      </c>
      <c r="C7108" t="s">
        <v>7185</v>
      </c>
      <c r="D7108">
        <v>2020</v>
      </c>
      <c r="F7108" t="s">
        <v>2755</v>
      </c>
      <c r="G7108">
        <v>0</v>
      </c>
      <c r="H7108">
        <v>0</v>
      </c>
      <c r="I7108">
        <v>1</v>
      </c>
      <c r="J7108">
        <v>0</v>
      </c>
      <c r="K7108">
        <v>0</v>
      </c>
      <c r="L7108">
        <f t="shared" si="222"/>
        <v>4.5</v>
      </c>
      <c r="M7108">
        <f t="shared" si="223"/>
        <v>1</v>
      </c>
    </row>
    <row r="7109" spans="1:13" x14ac:dyDescent="0.3">
      <c r="A7109">
        <v>7107</v>
      </c>
      <c r="B7109">
        <v>7108</v>
      </c>
      <c r="C7109" t="s">
        <v>7186</v>
      </c>
      <c r="D7109">
        <v>2012</v>
      </c>
      <c r="E7109" t="s">
        <v>14</v>
      </c>
      <c r="F7109" t="s">
        <v>2755</v>
      </c>
      <c r="G7109">
        <v>0</v>
      </c>
      <c r="H7109">
        <v>0</v>
      </c>
      <c r="I7109">
        <v>1</v>
      </c>
      <c r="J7109">
        <v>0</v>
      </c>
      <c r="K7109">
        <v>0</v>
      </c>
      <c r="L7109">
        <f t="shared" si="222"/>
        <v>4.5</v>
      </c>
      <c r="M7109">
        <f t="shared" si="223"/>
        <v>1</v>
      </c>
    </row>
    <row r="7110" spans="1:13" x14ac:dyDescent="0.3">
      <c r="A7110">
        <v>7108</v>
      </c>
      <c r="B7110">
        <v>7109</v>
      </c>
      <c r="C7110" t="s">
        <v>7187</v>
      </c>
      <c r="D7110">
        <v>2013</v>
      </c>
      <c r="E7110" t="s">
        <v>22</v>
      </c>
      <c r="F7110" t="s">
        <v>2755</v>
      </c>
      <c r="G7110">
        <v>0</v>
      </c>
      <c r="H7110">
        <v>0</v>
      </c>
      <c r="I7110">
        <v>1</v>
      </c>
      <c r="J7110">
        <v>0</v>
      </c>
      <c r="K7110">
        <v>0</v>
      </c>
      <c r="L7110">
        <f t="shared" si="222"/>
        <v>4.5</v>
      </c>
      <c r="M7110">
        <f t="shared" si="223"/>
        <v>1</v>
      </c>
    </row>
    <row r="7111" spans="1:13" x14ac:dyDescent="0.3">
      <c r="A7111">
        <v>7109</v>
      </c>
      <c r="B7111">
        <v>7110</v>
      </c>
      <c r="C7111" t="s">
        <v>7188</v>
      </c>
      <c r="D7111">
        <v>2020</v>
      </c>
      <c r="F7111" t="s">
        <v>2755</v>
      </c>
      <c r="G7111">
        <v>0</v>
      </c>
      <c r="H7111">
        <v>0</v>
      </c>
      <c r="I7111">
        <v>1</v>
      </c>
      <c r="J7111">
        <v>0</v>
      </c>
      <c r="K7111">
        <v>0</v>
      </c>
      <c r="L7111">
        <f t="shared" si="222"/>
        <v>4.5</v>
      </c>
      <c r="M7111">
        <f t="shared" si="223"/>
        <v>1</v>
      </c>
    </row>
    <row r="7112" spans="1:13" x14ac:dyDescent="0.3">
      <c r="A7112">
        <v>7110</v>
      </c>
      <c r="B7112">
        <v>7111</v>
      </c>
      <c r="C7112" t="s">
        <v>7189</v>
      </c>
      <c r="D7112">
        <v>2016</v>
      </c>
      <c r="F7112" t="s">
        <v>2755</v>
      </c>
      <c r="G7112">
        <v>0</v>
      </c>
      <c r="H7112">
        <v>0</v>
      </c>
      <c r="I7112">
        <v>1</v>
      </c>
      <c r="J7112">
        <v>0</v>
      </c>
      <c r="K7112">
        <v>0</v>
      </c>
      <c r="L7112">
        <f t="shared" si="222"/>
        <v>4.5</v>
      </c>
      <c r="M7112">
        <f t="shared" si="223"/>
        <v>1</v>
      </c>
    </row>
    <row r="7113" spans="1:13" x14ac:dyDescent="0.3">
      <c r="A7113">
        <v>7111</v>
      </c>
      <c r="B7113">
        <v>7112</v>
      </c>
      <c r="C7113" t="s">
        <v>7190</v>
      </c>
      <c r="D7113">
        <v>2016</v>
      </c>
      <c r="E7113" t="s">
        <v>28</v>
      </c>
      <c r="F7113" t="s">
        <v>2755</v>
      </c>
      <c r="G7113">
        <v>0</v>
      </c>
      <c r="H7113">
        <v>0</v>
      </c>
      <c r="I7113">
        <v>1</v>
      </c>
      <c r="J7113">
        <v>0</v>
      </c>
      <c r="K7113">
        <v>0</v>
      </c>
      <c r="L7113">
        <f t="shared" si="222"/>
        <v>4.5</v>
      </c>
      <c r="M7113">
        <f t="shared" si="223"/>
        <v>1</v>
      </c>
    </row>
    <row r="7114" spans="1:13" x14ac:dyDescent="0.3">
      <c r="A7114">
        <v>7112</v>
      </c>
      <c r="B7114">
        <v>7113</v>
      </c>
      <c r="C7114" t="s">
        <v>7191</v>
      </c>
      <c r="D7114">
        <v>1995</v>
      </c>
      <c r="F7114" t="s">
        <v>2755</v>
      </c>
      <c r="G7114">
        <v>0</v>
      </c>
      <c r="H7114">
        <v>0</v>
      </c>
      <c r="I7114">
        <v>1</v>
      </c>
      <c r="J7114">
        <v>0</v>
      </c>
      <c r="K7114">
        <v>0</v>
      </c>
      <c r="L7114">
        <f t="shared" si="222"/>
        <v>4.5</v>
      </c>
      <c r="M7114">
        <f t="shared" si="223"/>
        <v>1</v>
      </c>
    </row>
    <row r="7115" spans="1:13" x14ac:dyDescent="0.3">
      <c r="A7115">
        <v>7113</v>
      </c>
      <c r="B7115">
        <v>7114</v>
      </c>
      <c r="C7115" t="s">
        <v>7192</v>
      </c>
      <c r="D7115">
        <v>2020</v>
      </c>
      <c r="F7115" t="s">
        <v>2755</v>
      </c>
      <c r="G7115">
        <v>0</v>
      </c>
      <c r="H7115">
        <v>0</v>
      </c>
      <c r="I7115">
        <v>1</v>
      </c>
      <c r="J7115">
        <v>0</v>
      </c>
      <c r="K7115">
        <v>0</v>
      </c>
      <c r="L7115">
        <f t="shared" si="222"/>
        <v>4.5</v>
      </c>
      <c r="M7115">
        <f t="shared" si="223"/>
        <v>1</v>
      </c>
    </row>
    <row r="7116" spans="1:13" x14ac:dyDescent="0.3">
      <c r="A7116">
        <v>7114</v>
      </c>
      <c r="B7116">
        <v>7115</v>
      </c>
      <c r="C7116" t="s">
        <v>7193</v>
      </c>
      <c r="D7116">
        <v>1976</v>
      </c>
      <c r="E7116" t="s">
        <v>11</v>
      </c>
      <c r="F7116" t="s">
        <v>2755</v>
      </c>
      <c r="G7116">
        <v>0</v>
      </c>
      <c r="H7116">
        <v>0</v>
      </c>
      <c r="I7116">
        <v>1</v>
      </c>
      <c r="J7116">
        <v>0</v>
      </c>
      <c r="K7116">
        <v>0</v>
      </c>
      <c r="L7116">
        <f t="shared" si="222"/>
        <v>4.5</v>
      </c>
      <c r="M7116">
        <f t="shared" si="223"/>
        <v>1</v>
      </c>
    </row>
    <row r="7117" spans="1:13" x14ac:dyDescent="0.3">
      <c r="A7117">
        <v>7115</v>
      </c>
      <c r="B7117">
        <v>7116</v>
      </c>
      <c r="C7117" t="s">
        <v>7194</v>
      </c>
      <c r="D7117">
        <v>2020</v>
      </c>
      <c r="E7117" t="s">
        <v>14</v>
      </c>
      <c r="F7117" t="s">
        <v>2755</v>
      </c>
      <c r="G7117">
        <v>0</v>
      </c>
      <c r="H7117">
        <v>0</v>
      </c>
      <c r="I7117">
        <v>1</v>
      </c>
      <c r="J7117">
        <v>0</v>
      </c>
      <c r="K7117">
        <v>0</v>
      </c>
      <c r="L7117">
        <f t="shared" si="222"/>
        <v>4.5</v>
      </c>
      <c r="M7117">
        <f t="shared" si="223"/>
        <v>1</v>
      </c>
    </row>
    <row r="7118" spans="1:13" x14ac:dyDescent="0.3">
      <c r="A7118">
        <v>7116</v>
      </c>
      <c r="B7118">
        <v>7117</v>
      </c>
      <c r="C7118" t="s">
        <v>7195</v>
      </c>
      <c r="D7118">
        <v>2013</v>
      </c>
      <c r="F7118" t="s">
        <v>2755</v>
      </c>
      <c r="G7118">
        <v>0</v>
      </c>
      <c r="H7118">
        <v>0</v>
      </c>
      <c r="I7118">
        <v>1</v>
      </c>
      <c r="J7118">
        <v>0</v>
      </c>
      <c r="K7118">
        <v>0</v>
      </c>
      <c r="L7118">
        <f t="shared" si="222"/>
        <v>4.5</v>
      </c>
      <c r="M7118">
        <f t="shared" si="223"/>
        <v>1</v>
      </c>
    </row>
    <row r="7119" spans="1:13" x14ac:dyDescent="0.3">
      <c r="A7119">
        <v>7117</v>
      </c>
      <c r="B7119">
        <v>7118</v>
      </c>
      <c r="C7119" t="s">
        <v>7196</v>
      </c>
      <c r="D7119">
        <v>1941</v>
      </c>
      <c r="F7119" t="s">
        <v>2755</v>
      </c>
      <c r="G7119">
        <v>0</v>
      </c>
      <c r="H7119">
        <v>0</v>
      </c>
      <c r="I7119">
        <v>1</v>
      </c>
      <c r="J7119">
        <v>0</v>
      </c>
      <c r="K7119">
        <v>0</v>
      </c>
      <c r="L7119">
        <f t="shared" si="222"/>
        <v>4.5</v>
      </c>
      <c r="M7119">
        <f t="shared" si="223"/>
        <v>1</v>
      </c>
    </row>
    <row r="7120" spans="1:13" x14ac:dyDescent="0.3">
      <c r="A7120">
        <v>7118</v>
      </c>
      <c r="B7120">
        <v>7119</v>
      </c>
      <c r="C7120" t="s">
        <v>7197</v>
      </c>
      <c r="D7120">
        <v>2018</v>
      </c>
      <c r="F7120" t="s">
        <v>2755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f t="shared" si="222"/>
        <v>4.5</v>
      </c>
      <c r="M7120">
        <f t="shared" si="223"/>
        <v>1</v>
      </c>
    </row>
    <row r="7121" spans="1:13" x14ac:dyDescent="0.3">
      <c r="A7121">
        <v>7119</v>
      </c>
      <c r="B7121">
        <v>7120</v>
      </c>
      <c r="C7121" t="s">
        <v>7198</v>
      </c>
      <c r="D7121">
        <v>2014</v>
      </c>
      <c r="E7121" t="s">
        <v>22</v>
      </c>
      <c r="F7121" t="s">
        <v>2755</v>
      </c>
      <c r="G7121">
        <v>0</v>
      </c>
      <c r="H7121">
        <v>0</v>
      </c>
      <c r="I7121">
        <v>1</v>
      </c>
      <c r="J7121">
        <v>0</v>
      </c>
      <c r="K7121">
        <v>0</v>
      </c>
      <c r="L7121">
        <f t="shared" si="222"/>
        <v>4.5</v>
      </c>
      <c r="M7121">
        <f t="shared" si="223"/>
        <v>1</v>
      </c>
    </row>
    <row r="7122" spans="1:13" x14ac:dyDescent="0.3">
      <c r="A7122">
        <v>7120</v>
      </c>
      <c r="B7122">
        <v>7121</v>
      </c>
      <c r="C7122" t="s">
        <v>7199</v>
      </c>
      <c r="D7122">
        <v>2019</v>
      </c>
      <c r="F7122" t="s">
        <v>2755</v>
      </c>
      <c r="G7122">
        <v>0</v>
      </c>
      <c r="H7122">
        <v>0</v>
      </c>
      <c r="I7122">
        <v>1</v>
      </c>
      <c r="J7122">
        <v>0</v>
      </c>
      <c r="K7122">
        <v>0</v>
      </c>
      <c r="L7122">
        <f t="shared" si="222"/>
        <v>4.5</v>
      </c>
      <c r="M7122">
        <f t="shared" si="223"/>
        <v>1</v>
      </c>
    </row>
    <row r="7123" spans="1:13" x14ac:dyDescent="0.3">
      <c r="A7123">
        <v>7121</v>
      </c>
      <c r="B7123">
        <v>7122</v>
      </c>
      <c r="C7123" t="s">
        <v>7200</v>
      </c>
      <c r="D7123">
        <v>2013</v>
      </c>
      <c r="F7123" t="s">
        <v>2755</v>
      </c>
      <c r="G7123">
        <v>0</v>
      </c>
      <c r="H7123">
        <v>0</v>
      </c>
      <c r="I7123">
        <v>1</v>
      </c>
      <c r="J7123">
        <v>0</v>
      </c>
      <c r="K7123">
        <v>0</v>
      </c>
      <c r="L7123">
        <f t="shared" si="222"/>
        <v>4.5</v>
      </c>
      <c r="M7123">
        <f t="shared" si="223"/>
        <v>1</v>
      </c>
    </row>
    <row r="7124" spans="1:13" x14ac:dyDescent="0.3">
      <c r="A7124">
        <v>7122</v>
      </c>
      <c r="B7124">
        <v>7123</v>
      </c>
      <c r="C7124" t="s">
        <v>7201</v>
      </c>
      <c r="D7124">
        <v>2011</v>
      </c>
      <c r="E7124" t="s">
        <v>14</v>
      </c>
      <c r="F7124" t="s">
        <v>2755</v>
      </c>
      <c r="G7124">
        <v>0</v>
      </c>
      <c r="H7124">
        <v>0</v>
      </c>
      <c r="I7124">
        <v>1</v>
      </c>
      <c r="J7124">
        <v>0</v>
      </c>
      <c r="K7124">
        <v>0</v>
      </c>
      <c r="L7124">
        <f t="shared" si="222"/>
        <v>4.5</v>
      </c>
      <c r="M7124">
        <f t="shared" si="223"/>
        <v>1</v>
      </c>
    </row>
    <row r="7125" spans="1:13" x14ac:dyDescent="0.3">
      <c r="A7125">
        <v>7123</v>
      </c>
      <c r="B7125">
        <v>7124</v>
      </c>
      <c r="C7125" t="s">
        <v>7202</v>
      </c>
      <c r="D7125">
        <v>2014</v>
      </c>
      <c r="F7125" t="s">
        <v>2755</v>
      </c>
      <c r="G7125">
        <v>0</v>
      </c>
      <c r="H7125">
        <v>0</v>
      </c>
      <c r="I7125">
        <v>1</v>
      </c>
      <c r="J7125">
        <v>0</v>
      </c>
      <c r="K7125">
        <v>0</v>
      </c>
      <c r="L7125">
        <f t="shared" si="222"/>
        <v>4.5</v>
      </c>
      <c r="M7125">
        <f t="shared" si="223"/>
        <v>1</v>
      </c>
    </row>
    <row r="7126" spans="1:13" x14ac:dyDescent="0.3">
      <c r="A7126">
        <v>7124</v>
      </c>
      <c r="B7126">
        <v>7125</v>
      </c>
      <c r="C7126" t="s">
        <v>7203</v>
      </c>
      <c r="D7126">
        <v>1995</v>
      </c>
      <c r="F7126" t="s">
        <v>2755</v>
      </c>
      <c r="G7126">
        <v>0</v>
      </c>
      <c r="H7126">
        <v>0</v>
      </c>
      <c r="I7126">
        <v>1</v>
      </c>
      <c r="J7126">
        <v>0</v>
      </c>
      <c r="K7126">
        <v>0</v>
      </c>
      <c r="L7126">
        <f t="shared" si="222"/>
        <v>4.5</v>
      </c>
      <c r="M7126">
        <f t="shared" si="223"/>
        <v>1</v>
      </c>
    </row>
    <row r="7127" spans="1:13" x14ac:dyDescent="0.3">
      <c r="A7127">
        <v>7125</v>
      </c>
      <c r="B7127">
        <v>7126</v>
      </c>
      <c r="C7127" t="s">
        <v>7204</v>
      </c>
      <c r="D7127">
        <v>2017</v>
      </c>
      <c r="F7127" t="s">
        <v>2755</v>
      </c>
      <c r="G7127">
        <v>0</v>
      </c>
      <c r="H7127">
        <v>0</v>
      </c>
      <c r="I7127">
        <v>1</v>
      </c>
      <c r="J7127">
        <v>0</v>
      </c>
      <c r="K7127">
        <v>0</v>
      </c>
      <c r="L7127">
        <f t="shared" si="222"/>
        <v>4.5</v>
      </c>
      <c r="M7127">
        <f t="shared" si="223"/>
        <v>1</v>
      </c>
    </row>
    <row r="7128" spans="1:13" x14ac:dyDescent="0.3">
      <c r="A7128">
        <v>7126</v>
      </c>
      <c r="B7128">
        <v>7127</v>
      </c>
      <c r="C7128" t="s">
        <v>7205</v>
      </c>
      <c r="D7128">
        <v>2014</v>
      </c>
      <c r="E7128" t="s">
        <v>14</v>
      </c>
      <c r="F7128" t="s">
        <v>2755</v>
      </c>
      <c r="G7128">
        <v>0</v>
      </c>
      <c r="H7128">
        <v>0</v>
      </c>
      <c r="I7128">
        <v>1</v>
      </c>
      <c r="J7128">
        <v>0</v>
      </c>
      <c r="K7128">
        <v>0</v>
      </c>
      <c r="L7128">
        <f t="shared" si="222"/>
        <v>4.5</v>
      </c>
      <c r="M7128">
        <f t="shared" si="223"/>
        <v>1</v>
      </c>
    </row>
    <row r="7129" spans="1:13" x14ac:dyDescent="0.3">
      <c r="A7129">
        <v>7127</v>
      </c>
      <c r="B7129">
        <v>7128</v>
      </c>
      <c r="C7129" t="s">
        <v>7206</v>
      </c>
      <c r="D7129">
        <v>2017</v>
      </c>
      <c r="F7129" t="s">
        <v>2755</v>
      </c>
      <c r="G7129">
        <v>0</v>
      </c>
      <c r="H7129">
        <v>0</v>
      </c>
      <c r="I7129">
        <v>1</v>
      </c>
      <c r="J7129">
        <v>0</v>
      </c>
      <c r="K7129">
        <v>0</v>
      </c>
      <c r="L7129">
        <f t="shared" si="222"/>
        <v>4.5</v>
      </c>
      <c r="M7129">
        <f t="shared" si="223"/>
        <v>1</v>
      </c>
    </row>
    <row r="7130" spans="1:13" x14ac:dyDescent="0.3">
      <c r="A7130">
        <v>7128</v>
      </c>
      <c r="B7130">
        <v>7129</v>
      </c>
      <c r="C7130" t="s">
        <v>7207</v>
      </c>
      <c r="D7130">
        <v>2017</v>
      </c>
      <c r="E7130" t="s">
        <v>11</v>
      </c>
      <c r="F7130" t="s">
        <v>2755</v>
      </c>
      <c r="G7130">
        <v>0</v>
      </c>
      <c r="H7130">
        <v>0</v>
      </c>
      <c r="I7130">
        <v>1</v>
      </c>
      <c r="J7130">
        <v>0</v>
      </c>
      <c r="K7130">
        <v>0</v>
      </c>
      <c r="L7130">
        <f t="shared" si="222"/>
        <v>4.5</v>
      </c>
      <c r="M7130">
        <f t="shared" si="223"/>
        <v>1</v>
      </c>
    </row>
    <row r="7131" spans="1:13" x14ac:dyDescent="0.3">
      <c r="A7131">
        <v>7129</v>
      </c>
      <c r="B7131">
        <v>7130</v>
      </c>
      <c r="C7131" t="s">
        <v>7208</v>
      </c>
      <c r="D7131">
        <v>2007</v>
      </c>
      <c r="F7131" t="s">
        <v>2755</v>
      </c>
      <c r="G7131">
        <v>0</v>
      </c>
      <c r="H7131">
        <v>0</v>
      </c>
      <c r="I7131">
        <v>1</v>
      </c>
      <c r="J7131">
        <v>0</v>
      </c>
      <c r="K7131">
        <v>0</v>
      </c>
      <c r="L7131">
        <f t="shared" si="222"/>
        <v>4.5</v>
      </c>
      <c r="M7131">
        <f t="shared" si="223"/>
        <v>1</v>
      </c>
    </row>
    <row r="7132" spans="1:13" x14ac:dyDescent="0.3">
      <c r="A7132">
        <v>7130</v>
      </c>
      <c r="B7132">
        <v>7131</v>
      </c>
      <c r="C7132" t="s">
        <v>7209</v>
      </c>
      <c r="D7132">
        <v>2015</v>
      </c>
      <c r="F7132" t="s">
        <v>2755</v>
      </c>
      <c r="G7132">
        <v>0</v>
      </c>
      <c r="H7132">
        <v>0</v>
      </c>
      <c r="I7132">
        <v>1</v>
      </c>
      <c r="J7132">
        <v>0</v>
      </c>
      <c r="K7132">
        <v>0</v>
      </c>
      <c r="L7132">
        <f t="shared" si="222"/>
        <v>4.5</v>
      </c>
      <c r="M7132">
        <f t="shared" si="223"/>
        <v>1</v>
      </c>
    </row>
    <row r="7133" spans="1:13" x14ac:dyDescent="0.3">
      <c r="A7133">
        <v>7131</v>
      </c>
      <c r="B7133">
        <v>7132</v>
      </c>
      <c r="C7133" t="s">
        <v>7210</v>
      </c>
      <c r="D7133">
        <v>1961</v>
      </c>
      <c r="F7133" t="s">
        <v>2755</v>
      </c>
      <c r="G7133">
        <v>0</v>
      </c>
      <c r="H7133">
        <v>0</v>
      </c>
      <c r="I7133">
        <v>1</v>
      </c>
      <c r="J7133">
        <v>0</v>
      </c>
      <c r="K7133">
        <v>0</v>
      </c>
      <c r="L7133">
        <f t="shared" si="222"/>
        <v>4.5</v>
      </c>
      <c r="M7133">
        <f t="shared" si="223"/>
        <v>1</v>
      </c>
    </row>
    <row r="7134" spans="1:13" x14ac:dyDescent="0.3">
      <c r="A7134">
        <v>7132</v>
      </c>
      <c r="B7134">
        <v>7133</v>
      </c>
      <c r="C7134" t="s">
        <v>7211</v>
      </c>
      <c r="D7134">
        <v>2018</v>
      </c>
      <c r="E7134" t="s">
        <v>22</v>
      </c>
      <c r="F7134" t="s">
        <v>2755</v>
      </c>
      <c r="G7134">
        <v>0</v>
      </c>
      <c r="H7134">
        <v>0</v>
      </c>
      <c r="I7134">
        <v>1</v>
      </c>
      <c r="J7134">
        <v>0</v>
      </c>
      <c r="K7134">
        <v>0</v>
      </c>
      <c r="L7134">
        <f t="shared" si="222"/>
        <v>4.5</v>
      </c>
      <c r="M7134">
        <f t="shared" si="223"/>
        <v>1</v>
      </c>
    </row>
    <row r="7135" spans="1:13" x14ac:dyDescent="0.3">
      <c r="A7135">
        <v>7133</v>
      </c>
      <c r="B7135">
        <v>7134</v>
      </c>
      <c r="C7135" t="s">
        <v>7212</v>
      </c>
      <c r="D7135">
        <v>2018</v>
      </c>
      <c r="F7135" t="s">
        <v>2755</v>
      </c>
      <c r="G7135">
        <v>0</v>
      </c>
      <c r="H7135">
        <v>0</v>
      </c>
      <c r="I7135">
        <v>1</v>
      </c>
      <c r="J7135">
        <v>0</v>
      </c>
      <c r="K7135">
        <v>0</v>
      </c>
      <c r="L7135">
        <f t="shared" si="222"/>
        <v>4.5</v>
      </c>
      <c r="M7135">
        <f t="shared" si="223"/>
        <v>1</v>
      </c>
    </row>
    <row r="7136" spans="1:13" x14ac:dyDescent="0.3">
      <c r="A7136">
        <v>7134</v>
      </c>
      <c r="B7136">
        <v>7135</v>
      </c>
      <c r="C7136" t="s">
        <v>7213</v>
      </c>
      <c r="D7136">
        <v>2000</v>
      </c>
      <c r="E7136" t="s">
        <v>11</v>
      </c>
      <c r="F7136" t="s">
        <v>2755</v>
      </c>
      <c r="G7136">
        <v>0</v>
      </c>
      <c r="H7136">
        <v>0</v>
      </c>
      <c r="I7136">
        <v>1</v>
      </c>
      <c r="J7136">
        <v>0</v>
      </c>
      <c r="K7136">
        <v>0</v>
      </c>
      <c r="L7136">
        <f t="shared" si="222"/>
        <v>4.5</v>
      </c>
      <c r="M7136">
        <f t="shared" si="223"/>
        <v>1</v>
      </c>
    </row>
    <row r="7137" spans="1:13" x14ac:dyDescent="0.3">
      <c r="A7137">
        <v>7135</v>
      </c>
      <c r="B7137">
        <v>7136</v>
      </c>
      <c r="C7137" t="s">
        <v>7214</v>
      </c>
      <c r="D7137">
        <v>2015</v>
      </c>
      <c r="E7137" t="s">
        <v>22</v>
      </c>
      <c r="F7137" t="s">
        <v>2755</v>
      </c>
      <c r="G7137">
        <v>0</v>
      </c>
      <c r="H7137">
        <v>0</v>
      </c>
      <c r="I7137">
        <v>1</v>
      </c>
      <c r="J7137">
        <v>0</v>
      </c>
      <c r="K7137">
        <v>0</v>
      </c>
      <c r="L7137">
        <f t="shared" si="222"/>
        <v>4.5</v>
      </c>
      <c r="M7137">
        <f t="shared" si="223"/>
        <v>1</v>
      </c>
    </row>
    <row r="7138" spans="1:13" x14ac:dyDescent="0.3">
      <c r="A7138">
        <v>7136</v>
      </c>
      <c r="B7138">
        <v>7137</v>
      </c>
      <c r="C7138" t="s">
        <v>7215</v>
      </c>
      <c r="D7138">
        <v>1976</v>
      </c>
      <c r="F7138" t="s">
        <v>2755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f t="shared" si="222"/>
        <v>4.5</v>
      </c>
      <c r="M7138">
        <f t="shared" si="223"/>
        <v>1</v>
      </c>
    </row>
    <row r="7139" spans="1:13" x14ac:dyDescent="0.3">
      <c r="A7139">
        <v>7137</v>
      </c>
      <c r="B7139">
        <v>7138</v>
      </c>
      <c r="C7139" t="s">
        <v>7216</v>
      </c>
      <c r="D7139">
        <v>2009</v>
      </c>
      <c r="F7139" t="s">
        <v>2755</v>
      </c>
      <c r="G7139">
        <v>0</v>
      </c>
      <c r="H7139">
        <v>0</v>
      </c>
      <c r="I7139">
        <v>1</v>
      </c>
      <c r="J7139">
        <v>0</v>
      </c>
      <c r="K7139">
        <v>0</v>
      </c>
      <c r="L7139">
        <f t="shared" si="222"/>
        <v>4.5</v>
      </c>
      <c r="M7139">
        <f t="shared" si="223"/>
        <v>1</v>
      </c>
    </row>
    <row r="7140" spans="1:13" x14ac:dyDescent="0.3">
      <c r="A7140">
        <v>7138</v>
      </c>
      <c r="B7140">
        <v>7139</v>
      </c>
      <c r="C7140" t="s">
        <v>7217</v>
      </c>
      <c r="D7140">
        <v>1992</v>
      </c>
      <c r="E7140" t="s">
        <v>11</v>
      </c>
      <c r="F7140" t="s">
        <v>2755</v>
      </c>
      <c r="G7140">
        <v>0</v>
      </c>
      <c r="H7140">
        <v>0</v>
      </c>
      <c r="I7140">
        <v>1</v>
      </c>
      <c r="J7140">
        <v>0</v>
      </c>
      <c r="K7140">
        <v>0</v>
      </c>
      <c r="L7140">
        <f t="shared" si="222"/>
        <v>4.5</v>
      </c>
      <c r="M7140">
        <f t="shared" si="223"/>
        <v>1</v>
      </c>
    </row>
    <row r="7141" spans="1:13" x14ac:dyDescent="0.3">
      <c r="A7141">
        <v>7139</v>
      </c>
      <c r="B7141">
        <v>7140</v>
      </c>
      <c r="C7141" t="s">
        <v>7218</v>
      </c>
      <c r="D7141">
        <v>1943</v>
      </c>
      <c r="F7141" t="s">
        <v>2755</v>
      </c>
      <c r="G7141">
        <v>0</v>
      </c>
      <c r="H7141">
        <v>0</v>
      </c>
      <c r="I7141">
        <v>1</v>
      </c>
      <c r="J7141">
        <v>0</v>
      </c>
      <c r="K7141">
        <v>0</v>
      </c>
      <c r="L7141">
        <f t="shared" si="222"/>
        <v>4.5</v>
      </c>
      <c r="M7141">
        <f t="shared" si="223"/>
        <v>1</v>
      </c>
    </row>
    <row r="7142" spans="1:13" x14ac:dyDescent="0.3">
      <c r="A7142">
        <v>7140</v>
      </c>
      <c r="B7142">
        <v>7141</v>
      </c>
      <c r="C7142" t="s">
        <v>7219</v>
      </c>
      <c r="D7142">
        <v>2018</v>
      </c>
      <c r="E7142" t="s">
        <v>11</v>
      </c>
      <c r="F7142" t="s">
        <v>2755</v>
      </c>
      <c r="G7142">
        <v>0</v>
      </c>
      <c r="H7142">
        <v>0</v>
      </c>
      <c r="I7142">
        <v>1</v>
      </c>
      <c r="J7142">
        <v>0</v>
      </c>
      <c r="K7142">
        <v>0</v>
      </c>
      <c r="L7142">
        <f t="shared" si="222"/>
        <v>4.5</v>
      </c>
      <c r="M7142">
        <f t="shared" si="223"/>
        <v>1</v>
      </c>
    </row>
    <row r="7143" spans="1:13" x14ac:dyDescent="0.3">
      <c r="A7143">
        <v>7141</v>
      </c>
      <c r="B7143">
        <v>7142</v>
      </c>
      <c r="C7143" t="s">
        <v>7220</v>
      </c>
      <c r="D7143">
        <v>2003</v>
      </c>
      <c r="E7143" t="s">
        <v>14</v>
      </c>
      <c r="F7143" t="s">
        <v>2755</v>
      </c>
      <c r="G7143">
        <v>0</v>
      </c>
      <c r="H7143">
        <v>0</v>
      </c>
      <c r="I7143">
        <v>1</v>
      </c>
      <c r="J7143">
        <v>0</v>
      </c>
      <c r="K7143">
        <v>0</v>
      </c>
      <c r="L7143">
        <f t="shared" si="222"/>
        <v>4.5</v>
      </c>
      <c r="M7143">
        <f t="shared" si="223"/>
        <v>1</v>
      </c>
    </row>
    <row r="7144" spans="1:13" x14ac:dyDescent="0.3">
      <c r="A7144">
        <v>7142</v>
      </c>
      <c r="B7144">
        <v>7143</v>
      </c>
      <c r="C7144" t="s">
        <v>7221</v>
      </c>
      <c r="D7144">
        <v>1995</v>
      </c>
      <c r="E7144" t="s">
        <v>11</v>
      </c>
      <c r="F7144" t="s">
        <v>2755</v>
      </c>
      <c r="G7144">
        <v>0</v>
      </c>
      <c r="H7144">
        <v>0</v>
      </c>
      <c r="I7144">
        <v>1</v>
      </c>
      <c r="J7144">
        <v>0</v>
      </c>
      <c r="K7144">
        <v>0</v>
      </c>
      <c r="L7144">
        <f t="shared" si="222"/>
        <v>4.5</v>
      </c>
      <c r="M7144">
        <f t="shared" si="223"/>
        <v>1</v>
      </c>
    </row>
    <row r="7145" spans="1:13" x14ac:dyDescent="0.3">
      <c r="A7145">
        <v>7143</v>
      </c>
      <c r="B7145">
        <v>7144</v>
      </c>
      <c r="C7145" t="s">
        <v>7222</v>
      </c>
      <c r="D7145">
        <v>2005</v>
      </c>
      <c r="E7145" t="s">
        <v>14</v>
      </c>
      <c r="F7145" t="s">
        <v>2755</v>
      </c>
      <c r="G7145">
        <v>0</v>
      </c>
      <c r="H7145">
        <v>0</v>
      </c>
      <c r="I7145">
        <v>1</v>
      </c>
      <c r="J7145">
        <v>0</v>
      </c>
      <c r="K7145">
        <v>0</v>
      </c>
      <c r="L7145">
        <f t="shared" si="222"/>
        <v>4.5</v>
      </c>
      <c r="M7145">
        <f t="shared" si="223"/>
        <v>1</v>
      </c>
    </row>
    <row r="7146" spans="1:13" x14ac:dyDescent="0.3">
      <c r="A7146">
        <v>7144</v>
      </c>
      <c r="B7146">
        <v>7145</v>
      </c>
      <c r="C7146" t="s">
        <v>7223</v>
      </c>
      <c r="D7146">
        <v>1931</v>
      </c>
      <c r="F7146" t="s">
        <v>2755</v>
      </c>
      <c r="G7146">
        <v>0</v>
      </c>
      <c r="H7146">
        <v>0</v>
      </c>
      <c r="I7146">
        <v>1</v>
      </c>
      <c r="J7146">
        <v>0</v>
      </c>
      <c r="K7146">
        <v>0</v>
      </c>
      <c r="L7146">
        <f t="shared" si="222"/>
        <v>4.5</v>
      </c>
      <c r="M7146">
        <f t="shared" si="223"/>
        <v>1</v>
      </c>
    </row>
    <row r="7147" spans="1:13" x14ac:dyDescent="0.3">
      <c r="A7147">
        <v>7145</v>
      </c>
      <c r="B7147">
        <v>7146</v>
      </c>
      <c r="C7147" t="s">
        <v>7224</v>
      </c>
      <c r="D7147">
        <v>2017</v>
      </c>
      <c r="E7147" t="s">
        <v>14</v>
      </c>
      <c r="F7147" t="s">
        <v>2755</v>
      </c>
      <c r="G7147">
        <v>0</v>
      </c>
      <c r="H7147">
        <v>0</v>
      </c>
      <c r="I7147">
        <v>1</v>
      </c>
      <c r="J7147">
        <v>0</v>
      </c>
      <c r="K7147">
        <v>0</v>
      </c>
      <c r="L7147">
        <f t="shared" si="222"/>
        <v>4.5</v>
      </c>
      <c r="M7147">
        <f t="shared" si="223"/>
        <v>1</v>
      </c>
    </row>
    <row r="7148" spans="1:13" x14ac:dyDescent="0.3">
      <c r="A7148">
        <v>7146</v>
      </c>
      <c r="B7148">
        <v>7147</v>
      </c>
      <c r="C7148" t="s">
        <v>7225</v>
      </c>
      <c r="D7148">
        <v>2019</v>
      </c>
      <c r="E7148" t="s">
        <v>11</v>
      </c>
      <c r="F7148" t="s">
        <v>2755</v>
      </c>
      <c r="G7148">
        <v>0</v>
      </c>
      <c r="H7148">
        <v>0</v>
      </c>
      <c r="I7148">
        <v>1</v>
      </c>
      <c r="J7148">
        <v>0</v>
      </c>
      <c r="K7148">
        <v>0</v>
      </c>
      <c r="L7148">
        <f t="shared" si="222"/>
        <v>4.5</v>
      </c>
      <c r="M7148">
        <f t="shared" si="223"/>
        <v>1</v>
      </c>
    </row>
    <row r="7149" spans="1:13" x14ac:dyDescent="0.3">
      <c r="A7149">
        <v>7147</v>
      </c>
      <c r="B7149">
        <v>7148</v>
      </c>
      <c r="C7149" t="s">
        <v>7226</v>
      </c>
      <c r="D7149">
        <v>1990</v>
      </c>
      <c r="E7149" t="s">
        <v>22</v>
      </c>
      <c r="F7149" t="s">
        <v>2755</v>
      </c>
      <c r="G7149">
        <v>0</v>
      </c>
      <c r="H7149">
        <v>0</v>
      </c>
      <c r="I7149">
        <v>1</v>
      </c>
      <c r="J7149">
        <v>0</v>
      </c>
      <c r="K7149">
        <v>0</v>
      </c>
      <c r="L7149">
        <f t="shared" si="222"/>
        <v>4.5</v>
      </c>
      <c r="M7149">
        <f t="shared" si="223"/>
        <v>1</v>
      </c>
    </row>
    <row r="7150" spans="1:13" x14ac:dyDescent="0.3">
      <c r="A7150">
        <v>7148</v>
      </c>
      <c r="B7150">
        <v>7149</v>
      </c>
      <c r="C7150" t="s">
        <v>7227</v>
      </c>
      <c r="D7150">
        <v>2019</v>
      </c>
      <c r="E7150" t="s">
        <v>11</v>
      </c>
      <c r="F7150" t="s">
        <v>2755</v>
      </c>
      <c r="G7150">
        <v>0</v>
      </c>
      <c r="H7150">
        <v>0</v>
      </c>
      <c r="I7150">
        <v>1</v>
      </c>
      <c r="J7150">
        <v>0</v>
      </c>
      <c r="K7150">
        <v>0</v>
      </c>
      <c r="L7150">
        <f t="shared" si="222"/>
        <v>4.5</v>
      </c>
      <c r="M7150">
        <f t="shared" si="223"/>
        <v>1</v>
      </c>
    </row>
    <row r="7151" spans="1:13" x14ac:dyDescent="0.3">
      <c r="A7151">
        <v>7149</v>
      </c>
      <c r="B7151">
        <v>7150</v>
      </c>
      <c r="C7151" t="s">
        <v>7228</v>
      </c>
      <c r="D7151">
        <v>2000</v>
      </c>
      <c r="E7151" t="s">
        <v>11</v>
      </c>
      <c r="F7151" t="s">
        <v>2755</v>
      </c>
      <c r="G7151">
        <v>0</v>
      </c>
      <c r="H7151">
        <v>0</v>
      </c>
      <c r="I7151">
        <v>1</v>
      </c>
      <c r="J7151">
        <v>0</v>
      </c>
      <c r="K7151">
        <v>0</v>
      </c>
      <c r="L7151">
        <f t="shared" si="222"/>
        <v>4.5</v>
      </c>
      <c r="M7151">
        <f t="shared" si="223"/>
        <v>1</v>
      </c>
    </row>
    <row r="7152" spans="1:13" x14ac:dyDescent="0.3">
      <c r="A7152">
        <v>7150</v>
      </c>
      <c r="B7152">
        <v>7151</v>
      </c>
      <c r="C7152" t="s">
        <v>7229</v>
      </c>
      <c r="D7152">
        <v>2020</v>
      </c>
      <c r="F7152" t="s">
        <v>2755</v>
      </c>
      <c r="G7152">
        <v>0</v>
      </c>
      <c r="H7152">
        <v>0</v>
      </c>
      <c r="I7152">
        <v>1</v>
      </c>
      <c r="J7152">
        <v>0</v>
      </c>
      <c r="K7152">
        <v>0</v>
      </c>
      <c r="L7152">
        <f t="shared" si="222"/>
        <v>4.5</v>
      </c>
      <c r="M7152">
        <f t="shared" si="223"/>
        <v>1</v>
      </c>
    </row>
    <row r="7153" spans="1:13" x14ac:dyDescent="0.3">
      <c r="A7153">
        <v>7151</v>
      </c>
      <c r="B7153">
        <v>7152</v>
      </c>
      <c r="C7153" t="s">
        <v>7230</v>
      </c>
      <c r="D7153">
        <v>2013</v>
      </c>
      <c r="F7153" t="s">
        <v>2755</v>
      </c>
      <c r="G7153">
        <v>0</v>
      </c>
      <c r="H7153">
        <v>0</v>
      </c>
      <c r="I7153">
        <v>1</v>
      </c>
      <c r="J7153">
        <v>0</v>
      </c>
      <c r="K7153">
        <v>0</v>
      </c>
      <c r="L7153">
        <f t="shared" si="222"/>
        <v>4.5</v>
      </c>
      <c r="M7153">
        <f t="shared" si="223"/>
        <v>1</v>
      </c>
    </row>
    <row r="7154" spans="1:13" x14ac:dyDescent="0.3">
      <c r="A7154">
        <v>7152</v>
      </c>
      <c r="B7154">
        <v>7153</v>
      </c>
      <c r="C7154" t="s">
        <v>7231</v>
      </c>
      <c r="D7154">
        <v>1930</v>
      </c>
      <c r="E7154" t="s">
        <v>36</v>
      </c>
      <c r="F7154" t="s">
        <v>2755</v>
      </c>
      <c r="G7154">
        <v>0</v>
      </c>
      <c r="H7154">
        <v>0</v>
      </c>
      <c r="I7154">
        <v>1</v>
      </c>
      <c r="J7154">
        <v>0</v>
      </c>
      <c r="K7154">
        <v>0</v>
      </c>
      <c r="L7154">
        <f t="shared" si="222"/>
        <v>4.5</v>
      </c>
      <c r="M7154">
        <f t="shared" si="223"/>
        <v>1</v>
      </c>
    </row>
    <row r="7155" spans="1:13" x14ac:dyDescent="0.3">
      <c r="A7155">
        <v>7153</v>
      </c>
      <c r="B7155">
        <v>7154</v>
      </c>
      <c r="C7155" t="s">
        <v>7232</v>
      </c>
      <c r="D7155">
        <v>2003</v>
      </c>
      <c r="F7155" t="s">
        <v>2755</v>
      </c>
      <c r="G7155">
        <v>0</v>
      </c>
      <c r="H7155">
        <v>0</v>
      </c>
      <c r="I7155">
        <v>1</v>
      </c>
      <c r="J7155">
        <v>0</v>
      </c>
      <c r="K7155">
        <v>0</v>
      </c>
      <c r="L7155">
        <f t="shared" si="222"/>
        <v>4.5</v>
      </c>
      <c r="M7155">
        <f t="shared" si="223"/>
        <v>1</v>
      </c>
    </row>
    <row r="7156" spans="1:13" x14ac:dyDescent="0.3">
      <c r="A7156">
        <v>7154</v>
      </c>
      <c r="B7156">
        <v>7155</v>
      </c>
      <c r="C7156" t="s">
        <v>7233</v>
      </c>
      <c r="D7156">
        <v>2018</v>
      </c>
      <c r="E7156" t="s">
        <v>11</v>
      </c>
      <c r="F7156" t="s">
        <v>2755</v>
      </c>
      <c r="G7156">
        <v>0</v>
      </c>
      <c r="H7156">
        <v>0</v>
      </c>
      <c r="I7156">
        <v>1</v>
      </c>
      <c r="J7156">
        <v>0</v>
      </c>
      <c r="K7156">
        <v>0</v>
      </c>
      <c r="L7156">
        <f t="shared" si="222"/>
        <v>4.5</v>
      </c>
      <c r="M7156">
        <f t="shared" si="223"/>
        <v>1</v>
      </c>
    </row>
    <row r="7157" spans="1:13" x14ac:dyDescent="0.3">
      <c r="A7157">
        <v>7155</v>
      </c>
      <c r="B7157">
        <v>7156</v>
      </c>
      <c r="C7157" t="s">
        <v>7234</v>
      </c>
      <c r="D7157">
        <v>2012</v>
      </c>
      <c r="E7157" t="s">
        <v>22</v>
      </c>
      <c r="F7157" t="s">
        <v>2755</v>
      </c>
      <c r="G7157">
        <v>0</v>
      </c>
      <c r="H7157">
        <v>0</v>
      </c>
      <c r="I7157">
        <v>1</v>
      </c>
      <c r="J7157">
        <v>0</v>
      </c>
      <c r="K7157">
        <v>0</v>
      </c>
      <c r="L7157">
        <f t="shared" si="222"/>
        <v>4.5</v>
      </c>
      <c r="M7157">
        <f t="shared" si="223"/>
        <v>1</v>
      </c>
    </row>
    <row r="7158" spans="1:13" x14ac:dyDescent="0.3">
      <c r="A7158">
        <v>7156</v>
      </c>
      <c r="B7158">
        <v>7157</v>
      </c>
      <c r="C7158" t="s">
        <v>7235</v>
      </c>
      <c r="D7158">
        <v>2016</v>
      </c>
      <c r="F7158" t="s">
        <v>2755</v>
      </c>
      <c r="G7158">
        <v>0</v>
      </c>
      <c r="H7158">
        <v>0</v>
      </c>
      <c r="I7158">
        <v>1</v>
      </c>
      <c r="J7158">
        <v>0</v>
      </c>
      <c r="K7158">
        <v>0</v>
      </c>
      <c r="L7158">
        <f t="shared" si="222"/>
        <v>4.5</v>
      </c>
      <c r="M7158">
        <f t="shared" si="223"/>
        <v>1</v>
      </c>
    </row>
    <row r="7159" spans="1:13" x14ac:dyDescent="0.3">
      <c r="A7159">
        <v>7157</v>
      </c>
      <c r="B7159">
        <v>7158</v>
      </c>
      <c r="C7159" t="s">
        <v>7236</v>
      </c>
      <c r="D7159">
        <v>1975</v>
      </c>
      <c r="E7159" t="s">
        <v>28</v>
      </c>
      <c r="F7159" t="s">
        <v>2755</v>
      </c>
      <c r="G7159">
        <v>0</v>
      </c>
      <c r="H7159">
        <v>0</v>
      </c>
      <c r="I7159">
        <v>1</v>
      </c>
      <c r="J7159">
        <v>0</v>
      </c>
      <c r="K7159">
        <v>0</v>
      </c>
      <c r="L7159">
        <f t="shared" si="222"/>
        <v>4.5</v>
      </c>
      <c r="M7159">
        <f t="shared" si="223"/>
        <v>1</v>
      </c>
    </row>
    <row r="7160" spans="1:13" x14ac:dyDescent="0.3">
      <c r="A7160">
        <v>7158</v>
      </c>
      <c r="B7160">
        <v>7159</v>
      </c>
      <c r="C7160" t="s">
        <v>7237</v>
      </c>
      <c r="D7160">
        <v>2011</v>
      </c>
      <c r="F7160" t="s">
        <v>2755</v>
      </c>
      <c r="G7160">
        <v>0</v>
      </c>
      <c r="H7160">
        <v>0</v>
      </c>
      <c r="I7160">
        <v>1</v>
      </c>
      <c r="J7160">
        <v>0</v>
      </c>
      <c r="K7160">
        <v>0</v>
      </c>
      <c r="L7160">
        <f t="shared" si="222"/>
        <v>4.5</v>
      </c>
      <c r="M7160">
        <f t="shared" si="223"/>
        <v>1</v>
      </c>
    </row>
    <row r="7161" spans="1:13" x14ac:dyDescent="0.3">
      <c r="A7161">
        <v>7159</v>
      </c>
      <c r="B7161">
        <v>7160</v>
      </c>
      <c r="C7161" t="s">
        <v>7238</v>
      </c>
      <c r="D7161">
        <v>1929</v>
      </c>
      <c r="F7161" t="s">
        <v>2755</v>
      </c>
      <c r="G7161">
        <v>0</v>
      </c>
      <c r="H7161">
        <v>0</v>
      </c>
      <c r="I7161">
        <v>1</v>
      </c>
      <c r="J7161">
        <v>0</v>
      </c>
      <c r="K7161">
        <v>0</v>
      </c>
      <c r="L7161">
        <f t="shared" si="222"/>
        <v>4.5</v>
      </c>
      <c r="M7161">
        <f t="shared" si="223"/>
        <v>1</v>
      </c>
    </row>
    <row r="7162" spans="1:13" x14ac:dyDescent="0.3">
      <c r="A7162">
        <v>7160</v>
      </c>
      <c r="B7162">
        <v>7161</v>
      </c>
      <c r="C7162" t="s">
        <v>7239</v>
      </c>
      <c r="D7162">
        <v>2017</v>
      </c>
      <c r="F7162" t="s">
        <v>2755</v>
      </c>
      <c r="G7162">
        <v>0</v>
      </c>
      <c r="H7162">
        <v>0</v>
      </c>
      <c r="I7162">
        <v>1</v>
      </c>
      <c r="J7162">
        <v>0</v>
      </c>
      <c r="K7162">
        <v>0</v>
      </c>
      <c r="L7162">
        <f t="shared" si="222"/>
        <v>4.5</v>
      </c>
      <c r="M7162">
        <f t="shared" si="223"/>
        <v>1</v>
      </c>
    </row>
    <row r="7163" spans="1:13" x14ac:dyDescent="0.3">
      <c r="A7163">
        <v>7161</v>
      </c>
      <c r="B7163">
        <v>7162</v>
      </c>
      <c r="C7163" t="s">
        <v>7240</v>
      </c>
      <c r="D7163">
        <v>2018</v>
      </c>
      <c r="E7163" t="s">
        <v>14</v>
      </c>
      <c r="F7163" t="s">
        <v>2755</v>
      </c>
      <c r="G7163">
        <v>0</v>
      </c>
      <c r="H7163">
        <v>0</v>
      </c>
      <c r="I7163">
        <v>1</v>
      </c>
      <c r="J7163">
        <v>0</v>
      </c>
      <c r="K7163">
        <v>0</v>
      </c>
      <c r="L7163">
        <f t="shared" si="222"/>
        <v>4.5</v>
      </c>
      <c r="M7163">
        <f t="shared" si="223"/>
        <v>1</v>
      </c>
    </row>
    <row r="7164" spans="1:13" x14ac:dyDescent="0.3">
      <c r="A7164">
        <v>7162</v>
      </c>
      <c r="B7164">
        <v>7163</v>
      </c>
      <c r="C7164" t="s">
        <v>7241</v>
      </c>
      <c r="D7164">
        <v>2008</v>
      </c>
      <c r="E7164" t="s">
        <v>22</v>
      </c>
      <c r="F7164" t="s">
        <v>2755</v>
      </c>
      <c r="G7164">
        <v>0</v>
      </c>
      <c r="H7164">
        <v>0</v>
      </c>
      <c r="I7164">
        <v>1</v>
      </c>
      <c r="J7164">
        <v>0</v>
      </c>
      <c r="K7164">
        <v>0</v>
      </c>
      <c r="L7164">
        <f t="shared" si="222"/>
        <v>4.5</v>
      </c>
      <c r="M7164">
        <f t="shared" si="223"/>
        <v>1</v>
      </c>
    </row>
    <row r="7165" spans="1:13" x14ac:dyDescent="0.3">
      <c r="A7165">
        <v>7163</v>
      </c>
      <c r="B7165">
        <v>7164</v>
      </c>
      <c r="C7165" t="s">
        <v>7242</v>
      </c>
      <c r="D7165">
        <v>2007</v>
      </c>
      <c r="F7165" t="s">
        <v>2755</v>
      </c>
      <c r="G7165">
        <v>0</v>
      </c>
      <c r="H7165">
        <v>0</v>
      </c>
      <c r="I7165">
        <v>1</v>
      </c>
      <c r="J7165">
        <v>0</v>
      </c>
      <c r="K7165">
        <v>0</v>
      </c>
      <c r="L7165">
        <f t="shared" si="222"/>
        <v>4.5</v>
      </c>
      <c r="M7165">
        <f t="shared" si="223"/>
        <v>1</v>
      </c>
    </row>
    <row r="7166" spans="1:13" x14ac:dyDescent="0.3">
      <c r="A7166">
        <v>7164</v>
      </c>
      <c r="B7166">
        <v>7165</v>
      </c>
      <c r="C7166" t="s">
        <v>7243</v>
      </c>
      <c r="D7166">
        <v>2013</v>
      </c>
      <c r="F7166" t="s">
        <v>2755</v>
      </c>
      <c r="G7166">
        <v>0</v>
      </c>
      <c r="H7166">
        <v>0</v>
      </c>
      <c r="I7166">
        <v>1</v>
      </c>
      <c r="J7166">
        <v>0</v>
      </c>
      <c r="K7166">
        <v>0</v>
      </c>
      <c r="L7166">
        <f t="shared" si="222"/>
        <v>4.5</v>
      </c>
      <c r="M7166">
        <f t="shared" si="223"/>
        <v>1</v>
      </c>
    </row>
    <row r="7167" spans="1:13" x14ac:dyDescent="0.3">
      <c r="A7167">
        <v>7165</v>
      </c>
      <c r="B7167">
        <v>7166</v>
      </c>
      <c r="C7167" t="s">
        <v>7244</v>
      </c>
      <c r="D7167">
        <v>1928</v>
      </c>
      <c r="F7167" t="s">
        <v>2755</v>
      </c>
      <c r="G7167">
        <v>0</v>
      </c>
      <c r="H7167">
        <v>0</v>
      </c>
      <c r="I7167">
        <v>1</v>
      </c>
      <c r="J7167">
        <v>0</v>
      </c>
      <c r="K7167">
        <v>0</v>
      </c>
      <c r="L7167">
        <f t="shared" si="222"/>
        <v>4.5</v>
      </c>
      <c r="M7167">
        <f t="shared" si="223"/>
        <v>1</v>
      </c>
    </row>
    <row r="7168" spans="1:13" x14ac:dyDescent="0.3">
      <c r="A7168">
        <v>7166</v>
      </c>
      <c r="B7168">
        <v>7167</v>
      </c>
      <c r="C7168" t="s">
        <v>7245</v>
      </c>
      <c r="D7168">
        <v>1971</v>
      </c>
      <c r="F7168" t="s">
        <v>2755</v>
      </c>
      <c r="G7168">
        <v>0</v>
      </c>
      <c r="H7168">
        <v>0</v>
      </c>
      <c r="I7168">
        <v>1</v>
      </c>
      <c r="J7168">
        <v>0</v>
      </c>
      <c r="K7168">
        <v>0</v>
      </c>
      <c r="L7168">
        <f t="shared" si="222"/>
        <v>4.5</v>
      </c>
      <c r="M7168">
        <f t="shared" si="223"/>
        <v>1</v>
      </c>
    </row>
    <row r="7169" spans="1:13" x14ac:dyDescent="0.3">
      <c r="A7169">
        <v>7167</v>
      </c>
      <c r="B7169">
        <v>7168</v>
      </c>
      <c r="C7169" t="s">
        <v>7246</v>
      </c>
      <c r="D7169">
        <v>1938</v>
      </c>
      <c r="F7169" t="s">
        <v>2833</v>
      </c>
      <c r="G7169">
        <v>0</v>
      </c>
      <c r="H7169">
        <v>0</v>
      </c>
      <c r="I7169">
        <v>1</v>
      </c>
      <c r="J7169">
        <v>0</v>
      </c>
      <c r="K7169">
        <v>0</v>
      </c>
      <c r="L7169">
        <f t="shared" si="222"/>
        <v>4.4000000000000004</v>
      </c>
      <c r="M7169">
        <f t="shared" si="223"/>
        <v>1</v>
      </c>
    </row>
    <row r="7170" spans="1:13" x14ac:dyDescent="0.3">
      <c r="A7170">
        <v>7168</v>
      </c>
      <c r="B7170">
        <v>7169</v>
      </c>
      <c r="C7170" t="s">
        <v>7247</v>
      </c>
      <c r="D7170">
        <v>2017</v>
      </c>
      <c r="E7170" t="s">
        <v>11</v>
      </c>
      <c r="F7170" t="s">
        <v>2833</v>
      </c>
      <c r="G7170">
        <v>0</v>
      </c>
      <c r="H7170">
        <v>0</v>
      </c>
      <c r="I7170">
        <v>1</v>
      </c>
      <c r="J7170">
        <v>0</v>
      </c>
      <c r="K7170">
        <v>0</v>
      </c>
      <c r="L7170">
        <f t="shared" si="222"/>
        <v>4.4000000000000004</v>
      </c>
      <c r="M7170">
        <f t="shared" si="223"/>
        <v>1</v>
      </c>
    </row>
    <row r="7171" spans="1:13" x14ac:dyDescent="0.3">
      <c r="A7171">
        <v>7169</v>
      </c>
      <c r="B7171">
        <v>7170</v>
      </c>
      <c r="C7171" t="s">
        <v>7248</v>
      </c>
      <c r="D7171">
        <v>1963</v>
      </c>
      <c r="F7171" t="s">
        <v>2833</v>
      </c>
      <c r="G7171">
        <v>0</v>
      </c>
      <c r="H7171">
        <v>0</v>
      </c>
      <c r="I7171">
        <v>1</v>
      </c>
      <c r="J7171">
        <v>0</v>
      </c>
      <c r="K7171">
        <v>0</v>
      </c>
      <c r="L7171">
        <f t="shared" ref="L7171:L7234" si="224">IFERROR(VALUE(LEFT(F7171,FIND("/",F7171)-1))/10,"")</f>
        <v>4.4000000000000004</v>
      </c>
      <c r="M7171">
        <f t="shared" ref="M7171:M7234" si="225">SUM(G7171:J7171)</f>
        <v>1</v>
      </c>
    </row>
    <row r="7172" spans="1:13" x14ac:dyDescent="0.3">
      <c r="A7172">
        <v>7170</v>
      </c>
      <c r="B7172">
        <v>7171</v>
      </c>
      <c r="C7172" t="s">
        <v>7249</v>
      </c>
      <c r="D7172">
        <v>2015</v>
      </c>
      <c r="F7172" t="s">
        <v>2833</v>
      </c>
      <c r="G7172">
        <v>0</v>
      </c>
      <c r="H7172">
        <v>0</v>
      </c>
      <c r="I7172">
        <v>1</v>
      </c>
      <c r="J7172">
        <v>0</v>
      </c>
      <c r="K7172">
        <v>0</v>
      </c>
      <c r="L7172">
        <f t="shared" si="224"/>
        <v>4.4000000000000004</v>
      </c>
      <c r="M7172">
        <f t="shared" si="225"/>
        <v>1</v>
      </c>
    </row>
    <row r="7173" spans="1:13" x14ac:dyDescent="0.3">
      <c r="A7173">
        <v>7171</v>
      </c>
      <c r="B7173">
        <v>7172</v>
      </c>
      <c r="C7173" t="s">
        <v>7250</v>
      </c>
      <c r="D7173">
        <v>2020</v>
      </c>
      <c r="F7173" t="s">
        <v>2833</v>
      </c>
      <c r="G7173">
        <v>0</v>
      </c>
      <c r="H7173">
        <v>0</v>
      </c>
      <c r="I7173">
        <v>1</v>
      </c>
      <c r="J7173">
        <v>0</v>
      </c>
      <c r="K7173">
        <v>0</v>
      </c>
      <c r="L7173">
        <f t="shared" si="224"/>
        <v>4.4000000000000004</v>
      </c>
      <c r="M7173">
        <f t="shared" si="225"/>
        <v>1</v>
      </c>
    </row>
    <row r="7174" spans="1:13" x14ac:dyDescent="0.3">
      <c r="A7174">
        <v>7172</v>
      </c>
      <c r="B7174">
        <v>7173</v>
      </c>
      <c r="C7174" t="s">
        <v>7251</v>
      </c>
      <c r="D7174">
        <v>1935</v>
      </c>
      <c r="F7174" t="s">
        <v>2833</v>
      </c>
      <c r="G7174">
        <v>0</v>
      </c>
      <c r="H7174">
        <v>0</v>
      </c>
      <c r="I7174">
        <v>1</v>
      </c>
      <c r="J7174">
        <v>0</v>
      </c>
      <c r="K7174">
        <v>0</v>
      </c>
      <c r="L7174">
        <f t="shared" si="224"/>
        <v>4.4000000000000004</v>
      </c>
      <c r="M7174">
        <f t="shared" si="225"/>
        <v>1</v>
      </c>
    </row>
    <row r="7175" spans="1:13" x14ac:dyDescent="0.3">
      <c r="A7175">
        <v>7173</v>
      </c>
      <c r="B7175">
        <v>7174</v>
      </c>
      <c r="C7175" t="s">
        <v>7252</v>
      </c>
      <c r="D7175">
        <v>2021</v>
      </c>
      <c r="F7175" t="s">
        <v>2833</v>
      </c>
      <c r="G7175">
        <v>0</v>
      </c>
      <c r="H7175">
        <v>0</v>
      </c>
      <c r="I7175">
        <v>1</v>
      </c>
      <c r="J7175">
        <v>0</v>
      </c>
      <c r="K7175">
        <v>0</v>
      </c>
      <c r="L7175">
        <f t="shared" si="224"/>
        <v>4.4000000000000004</v>
      </c>
      <c r="M7175">
        <f t="shared" si="225"/>
        <v>1</v>
      </c>
    </row>
    <row r="7176" spans="1:13" x14ac:dyDescent="0.3">
      <c r="A7176">
        <v>7174</v>
      </c>
      <c r="B7176">
        <v>7175</v>
      </c>
      <c r="C7176" t="s">
        <v>7253</v>
      </c>
      <c r="D7176">
        <v>2018</v>
      </c>
      <c r="E7176" t="s">
        <v>11</v>
      </c>
      <c r="F7176" t="s">
        <v>2833</v>
      </c>
      <c r="G7176">
        <v>0</v>
      </c>
      <c r="H7176">
        <v>0</v>
      </c>
      <c r="I7176">
        <v>1</v>
      </c>
      <c r="J7176">
        <v>0</v>
      </c>
      <c r="K7176">
        <v>0</v>
      </c>
      <c r="L7176">
        <f t="shared" si="224"/>
        <v>4.4000000000000004</v>
      </c>
      <c r="M7176">
        <f t="shared" si="225"/>
        <v>1</v>
      </c>
    </row>
    <row r="7177" spans="1:13" x14ac:dyDescent="0.3">
      <c r="A7177">
        <v>7175</v>
      </c>
      <c r="B7177">
        <v>7176</v>
      </c>
      <c r="C7177" t="s">
        <v>7254</v>
      </c>
      <c r="D7177">
        <v>2017</v>
      </c>
      <c r="F7177" t="s">
        <v>2833</v>
      </c>
      <c r="G7177">
        <v>0</v>
      </c>
      <c r="H7177">
        <v>0</v>
      </c>
      <c r="I7177">
        <v>1</v>
      </c>
      <c r="J7177">
        <v>0</v>
      </c>
      <c r="K7177">
        <v>0</v>
      </c>
      <c r="L7177">
        <f t="shared" si="224"/>
        <v>4.4000000000000004</v>
      </c>
      <c r="M7177">
        <f t="shared" si="225"/>
        <v>1</v>
      </c>
    </row>
    <row r="7178" spans="1:13" x14ac:dyDescent="0.3">
      <c r="A7178">
        <v>7176</v>
      </c>
      <c r="B7178">
        <v>7177</v>
      </c>
      <c r="C7178" t="s">
        <v>7255</v>
      </c>
      <c r="D7178">
        <v>2016</v>
      </c>
      <c r="F7178" t="s">
        <v>2833</v>
      </c>
      <c r="G7178">
        <v>0</v>
      </c>
      <c r="H7178">
        <v>0</v>
      </c>
      <c r="I7178">
        <v>1</v>
      </c>
      <c r="J7178">
        <v>0</v>
      </c>
      <c r="K7178">
        <v>0</v>
      </c>
      <c r="L7178">
        <f t="shared" si="224"/>
        <v>4.4000000000000004</v>
      </c>
      <c r="M7178">
        <f t="shared" si="225"/>
        <v>1</v>
      </c>
    </row>
    <row r="7179" spans="1:13" x14ac:dyDescent="0.3">
      <c r="A7179">
        <v>7177</v>
      </c>
      <c r="B7179">
        <v>7178</v>
      </c>
      <c r="C7179" t="s">
        <v>7256</v>
      </c>
      <c r="D7179">
        <v>1973</v>
      </c>
      <c r="F7179" t="s">
        <v>2833</v>
      </c>
      <c r="G7179">
        <v>0</v>
      </c>
      <c r="H7179">
        <v>0</v>
      </c>
      <c r="I7179">
        <v>1</v>
      </c>
      <c r="J7179">
        <v>0</v>
      </c>
      <c r="K7179">
        <v>0</v>
      </c>
      <c r="L7179">
        <f t="shared" si="224"/>
        <v>4.4000000000000004</v>
      </c>
      <c r="M7179">
        <f t="shared" si="225"/>
        <v>1</v>
      </c>
    </row>
    <row r="7180" spans="1:13" x14ac:dyDescent="0.3">
      <c r="A7180">
        <v>7178</v>
      </c>
      <c r="B7180">
        <v>7179</v>
      </c>
      <c r="C7180" t="s">
        <v>7257</v>
      </c>
      <c r="D7180">
        <v>2014</v>
      </c>
      <c r="F7180" t="s">
        <v>2833</v>
      </c>
      <c r="G7180">
        <v>0</v>
      </c>
      <c r="H7180">
        <v>0</v>
      </c>
      <c r="I7180">
        <v>1</v>
      </c>
      <c r="J7180">
        <v>0</v>
      </c>
      <c r="K7180">
        <v>0</v>
      </c>
      <c r="L7180">
        <f t="shared" si="224"/>
        <v>4.4000000000000004</v>
      </c>
      <c r="M7180">
        <f t="shared" si="225"/>
        <v>1</v>
      </c>
    </row>
    <row r="7181" spans="1:13" x14ac:dyDescent="0.3">
      <c r="A7181">
        <v>7179</v>
      </c>
      <c r="B7181">
        <v>7180</v>
      </c>
      <c r="C7181" t="s">
        <v>7258</v>
      </c>
      <c r="D7181">
        <v>2012</v>
      </c>
      <c r="E7181" t="s">
        <v>28</v>
      </c>
      <c r="F7181" t="s">
        <v>2833</v>
      </c>
      <c r="G7181">
        <v>0</v>
      </c>
      <c r="H7181">
        <v>0</v>
      </c>
      <c r="I7181">
        <v>1</v>
      </c>
      <c r="J7181">
        <v>0</v>
      </c>
      <c r="K7181">
        <v>0</v>
      </c>
      <c r="L7181">
        <f t="shared" si="224"/>
        <v>4.4000000000000004</v>
      </c>
      <c r="M7181">
        <f t="shared" si="225"/>
        <v>1</v>
      </c>
    </row>
    <row r="7182" spans="1:13" x14ac:dyDescent="0.3">
      <c r="A7182">
        <v>7180</v>
      </c>
      <c r="B7182">
        <v>7181</v>
      </c>
      <c r="C7182" t="s">
        <v>7259</v>
      </c>
      <c r="D7182">
        <v>2018</v>
      </c>
      <c r="F7182" t="s">
        <v>2833</v>
      </c>
      <c r="G7182">
        <v>0</v>
      </c>
      <c r="H7182">
        <v>0</v>
      </c>
      <c r="I7182">
        <v>1</v>
      </c>
      <c r="J7182">
        <v>0</v>
      </c>
      <c r="K7182">
        <v>0</v>
      </c>
      <c r="L7182">
        <f t="shared" si="224"/>
        <v>4.4000000000000004</v>
      </c>
      <c r="M7182">
        <f t="shared" si="225"/>
        <v>1</v>
      </c>
    </row>
    <row r="7183" spans="1:13" x14ac:dyDescent="0.3">
      <c r="A7183">
        <v>7181</v>
      </c>
      <c r="B7183">
        <v>7182</v>
      </c>
      <c r="C7183" t="s">
        <v>7260</v>
      </c>
      <c r="D7183">
        <v>1995</v>
      </c>
      <c r="F7183" t="s">
        <v>2833</v>
      </c>
      <c r="G7183">
        <v>0</v>
      </c>
      <c r="H7183">
        <v>0</v>
      </c>
      <c r="I7183">
        <v>1</v>
      </c>
      <c r="J7183">
        <v>0</v>
      </c>
      <c r="K7183">
        <v>0</v>
      </c>
      <c r="L7183">
        <f t="shared" si="224"/>
        <v>4.4000000000000004</v>
      </c>
      <c r="M7183">
        <f t="shared" si="225"/>
        <v>1</v>
      </c>
    </row>
    <row r="7184" spans="1:13" x14ac:dyDescent="0.3">
      <c r="A7184">
        <v>7182</v>
      </c>
      <c r="B7184">
        <v>7183</v>
      </c>
      <c r="C7184" t="s">
        <v>7261</v>
      </c>
      <c r="D7184">
        <v>2010</v>
      </c>
      <c r="F7184" t="s">
        <v>2833</v>
      </c>
      <c r="G7184">
        <v>0</v>
      </c>
      <c r="H7184">
        <v>0</v>
      </c>
      <c r="I7184">
        <v>1</v>
      </c>
      <c r="J7184">
        <v>0</v>
      </c>
      <c r="K7184">
        <v>0</v>
      </c>
      <c r="L7184">
        <f t="shared" si="224"/>
        <v>4.4000000000000004</v>
      </c>
      <c r="M7184">
        <f t="shared" si="225"/>
        <v>1</v>
      </c>
    </row>
    <row r="7185" spans="1:13" x14ac:dyDescent="0.3">
      <c r="A7185">
        <v>7183</v>
      </c>
      <c r="B7185">
        <v>7184</v>
      </c>
      <c r="C7185" t="s">
        <v>7262</v>
      </c>
      <c r="D7185">
        <v>1995</v>
      </c>
      <c r="E7185" t="s">
        <v>11</v>
      </c>
      <c r="F7185" t="s">
        <v>2833</v>
      </c>
      <c r="G7185">
        <v>0</v>
      </c>
      <c r="H7185">
        <v>0</v>
      </c>
      <c r="I7185">
        <v>1</v>
      </c>
      <c r="J7185">
        <v>0</v>
      </c>
      <c r="K7185">
        <v>0</v>
      </c>
      <c r="L7185">
        <f t="shared" si="224"/>
        <v>4.4000000000000004</v>
      </c>
      <c r="M7185">
        <f t="shared" si="225"/>
        <v>1</v>
      </c>
    </row>
    <row r="7186" spans="1:13" x14ac:dyDescent="0.3">
      <c r="A7186">
        <v>7184</v>
      </c>
      <c r="B7186">
        <v>7185</v>
      </c>
      <c r="C7186" t="s">
        <v>7263</v>
      </c>
      <c r="D7186">
        <v>2018</v>
      </c>
      <c r="E7186" t="s">
        <v>11</v>
      </c>
      <c r="F7186" t="s">
        <v>2833</v>
      </c>
      <c r="G7186">
        <v>0</v>
      </c>
      <c r="H7186">
        <v>0</v>
      </c>
      <c r="I7186">
        <v>1</v>
      </c>
      <c r="J7186">
        <v>0</v>
      </c>
      <c r="K7186">
        <v>0</v>
      </c>
      <c r="L7186">
        <f t="shared" si="224"/>
        <v>4.4000000000000004</v>
      </c>
      <c r="M7186">
        <f t="shared" si="225"/>
        <v>1</v>
      </c>
    </row>
    <row r="7187" spans="1:13" x14ac:dyDescent="0.3">
      <c r="A7187">
        <v>7185</v>
      </c>
      <c r="B7187">
        <v>7186</v>
      </c>
      <c r="C7187" t="s">
        <v>7264</v>
      </c>
      <c r="D7187">
        <v>2016</v>
      </c>
      <c r="F7187" t="s">
        <v>2833</v>
      </c>
      <c r="G7187">
        <v>0</v>
      </c>
      <c r="H7187">
        <v>0</v>
      </c>
      <c r="I7187">
        <v>1</v>
      </c>
      <c r="J7187">
        <v>0</v>
      </c>
      <c r="K7187">
        <v>0</v>
      </c>
      <c r="L7187">
        <f t="shared" si="224"/>
        <v>4.4000000000000004</v>
      </c>
      <c r="M7187">
        <f t="shared" si="225"/>
        <v>1</v>
      </c>
    </row>
    <row r="7188" spans="1:13" x14ac:dyDescent="0.3">
      <c r="A7188">
        <v>7186</v>
      </c>
      <c r="B7188">
        <v>7187</v>
      </c>
      <c r="C7188" t="s">
        <v>7265</v>
      </c>
      <c r="D7188">
        <v>1936</v>
      </c>
      <c r="F7188" t="s">
        <v>2833</v>
      </c>
      <c r="G7188">
        <v>0</v>
      </c>
      <c r="H7188">
        <v>0</v>
      </c>
      <c r="I7188">
        <v>1</v>
      </c>
      <c r="J7188">
        <v>0</v>
      </c>
      <c r="K7188">
        <v>0</v>
      </c>
      <c r="L7188">
        <f t="shared" si="224"/>
        <v>4.4000000000000004</v>
      </c>
      <c r="M7188">
        <f t="shared" si="225"/>
        <v>1</v>
      </c>
    </row>
    <row r="7189" spans="1:13" x14ac:dyDescent="0.3">
      <c r="A7189">
        <v>7187</v>
      </c>
      <c r="B7189">
        <v>7188</v>
      </c>
      <c r="C7189" t="s">
        <v>7266</v>
      </c>
      <c r="D7189">
        <v>2015</v>
      </c>
      <c r="E7189" t="s">
        <v>14</v>
      </c>
      <c r="F7189" t="s">
        <v>2833</v>
      </c>
      <c r="G7189">
        <v>0</v>
      </c>
      <c r="H7189">
        <v>0</v>
      </c>
      <c r="I7189">
        <v>1</v>
      </c>
      <c r="J7189">
        <v>0</v>
      </c>
      <c r="K7189">
        <v>0</v>
      </c>
      <c r="L7189">
        <f t="shared" si="224"/>
        <v>4.4000000000000004</v>
      </c>
      <c r="M7189">
        <f t="shared" si="225"/>
        <v>1</v>
      </c>
    </row>
    <row r="7190" spans="1:13" x14ac:dyDescent="0.3">
      <c r="A7190">
        <v>7188</v>
      </c>
      <c r="B7190">
        <v>7189</v>
      </c>
      <c r="C7190" t="s">
        <v>7267</v>
      </c>
      <c r="D7190">
        <v>2012</v>
      </c>
      <c r="E7190" t="s">
        <v>22</v>
      </c>
      <c r="F7190" t="s">
        <v>2833</v>
      </c>
      <c r="G7190">
        <v>0</v>
      </c>
      <c r="H7190">
        <v>0</v>
      </c>
      <c r="I7190">
        <v>1</v>
      </c>
      <c r="J7190">
        <v>0</v>
      </c>
      <c r="K7190">
        <v>0</v>
      </c>
      <c r="L7190">
        <f t="shared" si="224"/>
        <v>4.4000000000000004</v>
      </c>
      <c r="M7190">
        <f t="shared" si="225"/>
        <v>1</v>
      </c>
    </row>
    <row r="7191" spans="1:13" x14ac:dyDescent="0.3">
      <c r="A7191">
        <v>7189</v>
      </c>
      <c r="B7191">
        <v>7190</v>
      </c>
      <c r="C7191" t="s">
        <v>7268</v>
      </c>
      <c r="D7191">
        <v>2017</v>
      </c>
      <c r="F7191" t="s">
        <v>2833</v>
      </c>
      <c r="G7191">
        <v>0</v>
      </c>
      <c r="H7191">
        <v>0</v>
      </c>
      <c r="I7191">
        <v>1</v>
      </c>
      <c r="J7191">
        <v>0</v>
      </c>
      <c r="K7191">
        <v>0</v>
      </c>
      <c r="L7191">
        <f t="shared" si="224"/>
        <v>4.4000000000000004</v>
      </c>
      <c r="M7191">
        <f t="shared" si="225"/>
        <v>1</v>
      </c>
    </row>
    <row r="7192" spans="1:13" x14ac:dyDescent="0.3">
      <c r="A7192">
        <v>7190</v>
      </c>
      <c r="B7192">
        <v>7191</v>
      </c>
      <c r="C7192" t="s">
        <v>7269</v>
      </c>
      <c r="D7192">
        <v>2008</v>
      </c>
      <c r="E7192" t="s">
        <v>14</v>
      </c>
      <c r="F7192" t="s">
        <v>2833</v>
      </c>
      <c r="G7192">
        <v>0</v>
      </c>
      <c r="H7192">
        <v>0</v>
      </c>
      <c r="I7192">
        <v>1</v>
      </c>
      <c r="J7192">
        <v>0</v>
      </c>
      <c r="K7192">
        <v>0</v>
      </c>
      <c r="L7192">
        <f t="shared" si="224"/>
        <v>4.4000000000000004</v>
      </c>
      <c r="M7192">
        <f t="shared" si="225"/>
        <v>1</v>
      </c>
    </row>
    <row r="7193" spans="1:13" x14ac:dyDescent="0.3">
      <c r="A7193">
        <v>7191</v>
      </c>
      <c r="B7193">
        <v>7192</v>
      </c>
      <c r="C7193" t="s">
        <v>7270</v>
      </c>
      <c r="D7193">
        <v>1958</v>
      </c>
      <c r="F7193" t="s">
        <v>2833</v>
      </c>
      <c r="G7193">
        <v>0</v>
      </c>
      <c r="H7193">
        <v>0</v>
      </c>
      <c r="I7193">
        <v>1</v>
      </c>
      <c r="J7193">
        <v>0</v>
      </c>
      <c r="K7193">
        <v>0</v>
      </c>
      <c r="L7193">
        <f t="shared" si="224"/>
        <v>4.4000000000000004</v>
      </c>
      <c r="M7193">
        <f t="shared" si="225"/>
        <v>1</v>
      </c>
    </row>
    <row r="7194" spans="1:13" x14ac:dyDescent="0.3">
      <c r="A7194">
        <v>7192</v>
      </c>
      <c r="B7194">
        <v>7193</v>
      </c>
      <c r="C7194" t="s">
        <v>7271</v>
      </c>
      <c r="D7194">
        <v>1967</v>
      </c>
      <c r="F7194" t="s">
        <v>2833</v>
      </c>
      <c r="G7194">
        <v>0</v>
      </c>
      <c r="H7194">
        <v>0</v>
      </c>
      <c r="I7194">
        <v>1</v>
      </c>
      <c r="J7194">
        <v>0</v>
      </c>
      <c r="K7194">
        <v>0</v>
      </c>
      <c r="L7194">
        <f t="shared" si="224"/>
        <v>4.4000000000000004</v>
      </c>
      <c r="M7194">
        <f t="shared" si="225"/>
        <v>1</v>
      </c>
    </row>
    <row r="7195" spans="1:13" x14ac:dyDescent="0.3">
      <c r="A7195">
        <v>7193</v>
      </c>
      <c r="B7195">
        <v>7194</v>
      </c>
      <c r="C7195" t="s">
        <v>7272</v>
      </c>
      <c r="D7195">
        <v>2004</v>
      </c>
      <c r="E7195" t="s">
        <v>22</v>
      </c>
      <c r="F7195" t="s">
        <v>2833</v>
      </c>
      <c r="G7195">
        <v>0</v>
      </c>
      <c r="H7195">
        <v>0</v>
      </c>
      <c r="I7195">
        <v>1</v>
      </c>
      <c r="J7195">
        <v>0</v>
      </c>
      <c r="K7195">
        <v>0</v>
      </c>
      <c r="L7195">
        <f t="shared" si="224"/>
        <v>4.4000000000000004</v>
      </c>
      <c r="M7195">
        <f t="shared" si="225"/>
        <v>1</v>
      </c>
    </row>
    <row r="7196" spans="1:13" x14ac:dyDescent="0.3">
      <c r="A7196">
        <v>7194</v>
      </c>
      <c r="B7196">
        <v>7195</v>
      </c>
      <c r="C7196" t="s">
        <v>7273</v>
      </c>
      <c r="D7196">
        <v>1953</v>
      </c>
      <c r="F7196" t="s">
        <v>2833</v>
      </c>
      <c r="G7196">
        <v>0</v>
      </c>
      <c r="H7196">
        <v>0</v>
      </c>
      <c r="I7196">
        <v>1</v>
      </c>
      <c r="J7196">
        <v>0</v>
      </c>
      <c r="K7196">
        <v>0</v>
      </c>
      <c r="L7196">
        <f t="shared" si="224"/>
        <v>4.4000000000000004</v>
      </c>
      <c r="M7196">
        <f t="shared" si="225"/>
        <v>1</v>
      </c>
    </row>
    <row r="7197" spans="1:13" x14ac:dyDescent="0.3">
      <c r="A7197">
        <v>7195</v>
      </c>
      <c r="B7197">
        <v>7196</v>
      </c>
      <c r="C7197" t="s">
        <v>7274</v>
      </c>
      <c r="D7197">
        <v>2014</v>
      </c>
      <c r="E7197" t="s">
        <v>14</v>
      </c>
      <c r="F7197" t="s">
        <v>2833</v>
      </c>
      <c r="G7197">
        <v>0</v>
      </c>
      <c r="H7197">
        <v>0</v>
      </c>
      <c r="I7197">
        <v>1</v>
      </c>
      <c r="J7197">
        <v>0</v>
      </c>
      <c r="K7197">
        <v>0</v>
      </c>
      <c r="L7197">
        <f t="shared" si="224"/>
        <v>4.4000000000000004</v>
      </c>
      <c r="M7197">
        <f t="shared" si="225"/>
        <v>1</v>
      </c>
    </row>
    <row r="7198" spans="1:13" x14ac:dyDescent="0.3">
      <c r="A7198">
        <v>7196</v>
      </c>
      <c r="B7198">
        <v>7197</v>
      </c>
      <c r="C7198" t="s">
        <v>7275</v>
      </c>
      <c r="D7198">
        <v>2001</v>
      </c>
      <c r="F7198" t="s">
        <v>2833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f t="shared" si="224"/>
        <v>4.4000000000000004</v>
      </c>
      <c r="M7198">
        <f t="shared" si="225"/>
        <v>1</v>
      </c>
    </row>
    <row r="7199" spans="1:13" x14ac:dyDescent="0.3">
      <c r="A7199">
        <v>7197</v>
      </c>
      <c r="B7199">
        <v>7198</v>
      </c>
      <c r="C7199" t="s">
        <v>7276</v>
      </c>
      <c r="D7199">
        <v>2019</v>
      </c>
      <c r="E7199" t="s">
        <v>22</v>
      </c>
      <c r="F7199" t="s">
        <v>2833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f t="shared" si="224"/>
        <v>4.4000000000000004</v>
      </c>
      <c r="M7199">
        <f t="shared" si="225"/>
        <v>1</v>
      </c>
    </row>
    <row r="7200" spans="1:13" x14ac:dyDescent="0.3">
      <c r="A7200">
        <v>7198</v>
      </c>
      <c r="B7200">
        <v>7199</v>
      </c>
      <c r="C7200" t="s">
        <v>7277</v>
      </c>
      <c r="D7200">
        <v>2013</v>
      </c>
      <c r="E7200" t="s">
        <v>11</v>
      </c>
      <c r="F7200" t="s">
        <v>2833</v>
      </c>
      <c r="G7200">
        <v>0</v>
      </c>
      <c r="H7200">
        <v>0</v>
      </c>
      <c r="I7200">
        <v>1</v>
      </c>
      <c r="J7200">
        <v>0</v>
      </c>
      <c r="K7200">
        <v>0</v>
      </c>
      <c r="L7200">
        <f t="shared" si="224"/>
        <v>4.4000000000000004</v>
      </c>
      <c r="M7200">
        <f t="shared" si="225"/>
        <v>1</v>
      </c>
    </row>
    <row r="7201" spans="1:13" x14ac:dyDescent="0.3">
      <c r="A7201">
        <v>7199</v>
      </c>
      <c r="B7201">
        <v>7200</v>
      </c>
      <c r="C7201" t="s">
        <v>7278</v>
      </c>
      <c r="D7201">
        <v>2004</v>
      </c>
      <c r="F7201" t="s">
        <v>2833</v>
      </c>
      <c r="G7201">
        <v>0</v>
      </c>
      <c r="H7201">
        <v>0</v>
      </c>
      <c r="I7201">
        <v>1</v>
      </c>
      <c r="J7201">
        <v>0</v>
      </c>
      <c r="K7201">
        <v>0</v>
      </c>
      <c r="L7201">
        <f t="shared" si="224"/>
        <v>4.4000000000000004</v>
      </c>
      <c r="M7201">
        <f t="shared" si="225"/>
        <v>1</v>
      </c>
    </row>
    <row r="7202" spans="1:13" x14ac:dyDescent="0.3">
      <c r="A7202">
        <v>7200</v>
      </c>
      <c r="B7202">
        <v>7201</v>
      </c>
      <c r="C7202" t="s">
        <v>7279</v>
      </c>
      <c r="D7202">
        <v>1934</v>
      </c>
      <c r="F7202" t="s">
        <v>2833</v>
      </c>
      <c r="G7202">
        <v>0</v>
      </c>
      <c r="H7202">
        <v>0</v>
      </c>
      <c r="I7202">
        <v>1</v>
      </c>
      <c r="J7202">
        <v>0</v>
      </c>
      <c r="K7202">
        <v>0</v>
      </c>
      <c r="L7202">
        <f t="shared" si="224"/>
        <v>4.4000000000000004</v>
      </c>
      <c r="M7202">
        <f t="shared" si="225"/>
        <v>1</v>
      </c>
    </row>
    <row r="7203" spans="1:13" x14ac:dyDescent="0.3">
      <c r="A7203">
        <v>7201</v>
      </c>
      <c r="B7203">
        <v>7202</v>
      </c>
      <c r="C7203" t="s">
        <v>7280</v>
      </c>
      <c r="D7203">
        <v>2008</v>
      </c>
      <c r="E7203" t="s">
        <v>11</v>
      </c>
      <c r="F7203" t="s">
        <v>2833</v>
      </c>
      <c r="G7203">
        <v>0</v>
      </c>
      <c r="H7203">
        <v>0</v>
      </c>
      <c r="I7203">
        <v>1</v>
      </c>
      <c r="J7203">
        <v>0</v>
      </c>
      <c r="K7203">
        <v>0</v>
      </c>
      <c r="L7203">
        <f t="shared" si="224"/>
        <v>4.4000000000000004</v>
      </c>
      <c r="M7203">
        <f t="shared" si="225"/>
        <v>1</v>
      </c>
    </row>
    <row r="7204" spans="1:13" x14ac:dyDescent="0.3">
      <c r="A7204">
        <v>7202</v>
      </c>
      <c r="B7204">
        <v>7203</v>
      </c>
      <c r="C7204" t="s">
        <v>7281</v>
      </c>
      <c r="D7204">
        <v>2011</v>
      </c>
      <c r="E7204" t="s">
        <v>36</v>
      </c>
      <c r="F7204" t="s">
        <v>2833</v>
      </c>
      <c r="G7204">
        <v>0</v>
      </c>
      <c r="H7204">
        <v>0</v>
      </c>
      <c r="I7204">
        <v>1</v>
      </c>
      <c r="J7204">
        <v>0</v>
      </c>
      <c r="K7204">
        <v>0</v>
      </c>
      <c r="L7204">
        <f t="shared" si="224"/>
        <v>4.4000000000000004</v>
      </c>
      <c r="M7204">
        <f t="shared" si="225"/>
        <v>1</v>
      </c>
    </row>
    <row r="7205" spans="1:13" x14ac:dyDescent="0.3">
      <c r="A7205">
        <v>7203</v>
      </c>
      <c r="B7205">
        <v>7204</v>
      </c>
      <c r="C7205" t="s">
        <v>7282</v>
      </c>
      <c r="D7205">
        <v>1957</v>
      </c>
      <c r="F7205" t="s">
        <v>2833</v>
      </c>
      <c r="G7205">
        <v>0</v>
      </c>
      <c r="H7205">
        <v>0</v>
      </c>
      <c r="I7205">
        <v>1</v>
      </c>
      <c r="J7205">
        <v>0</v>
      </c>
      <c r="K7205">
        <v>0</v>
      </c>
      <c r="L7205">
        <f t="shared" si="224"/>
        <v>4.4000000000000004</v>
      </c>
      <c r="M7205">
        <f t="shared" si="225"/>
        <v>1</v>
      </c>
    </row>
    <row r="7206" spans="1:13" x14ac:dyDescent="0.3">
      <c r="A7206">
        <v>7204</v>
      </c>
      <c r="B7206">
        <v>7205</v>
      </c>
      <c r="C7206" t="s">
        <v>7283</v>
      </c>
      <c r="D7206">
        <v>2019</v>
      </c>
      <c r="F7206" t="s">
        <v>2833</v>
      </c>
      <c r="G7206">
        <v>0</v>
      </c>
      <c r="H7206">
        <v>0</v>
      </c>
      <c r="I7206">
        <v>1</v>
      </c>
      <c r="J7206">
        <v>0</v>
      </c>
      <c r="K7206">
        <v>0</v>
      </c>
      <c r="L7206">
        <f t="shared" si="224"/>
        <v>4.4000000000000004</v>
      </c>
      <c r="M7206">
        <f t="shared" si="225"/>
        <v>1</v>
      </c>
    </row>
    <row r="7207" spans="1:13" x14ac:dyDescent="0.3">
      <c r="A7207">
        <v>7205</v>
      </c>
      <c r="B7207">
        <v>7206</v>
      </c>
      <c r="C7207" t="s">
        <v>7284</v>
      </c>
      <c r="D7207">
        <v>2006</v>
      </c>
      <c r="E7207" t="s">
        <v>22</v>
      </c>
      <c r="F7207" t="s">
        <v>2833</v>
      </c>
      <c r="G7207">
        <v>0</v>
      </c>
      <c r="H7207">
        <v>0</v>
      </c>
      <c r="I7207">
        <v>1</v>
      </c>
      <c r="J7207">
        <v>0</v>
      </c>
      <c r="K7207">
        <v>0</v>
      </c>
      <c r="L7207">
        <f t="shared" si="224"/>
        <v>4.4000000000000004</v>
      </c>
      <c r="M7207">
        <f t="shared" si="225"/>
        <v>1</v>
      </c>
    </row>
    <row r="7208" spans="1:13" x14ac:dyDescent="0.3">
      <c r="A7208">
        <v>7206</v>
      </c>
      <c r="B7208">
        <v>7207</v>
      </c>
      <c r="C7208" t="s">
        <v>7285</v>
      </c>
      <c r="D7208">
        <v>2009</v>
      </c>
      <c r="E7208" t="s">
        <v>14</v>
      </c>
      <c r="F7208" t="s">
        <v>2833</v>
      </c>
      <c r="G7208">
        <v>0</v>
      </c>
      <c r="H7208">
        <v>0</v>
      </c>
      <c r="I7208">
        <v>1</v>
      </c>
      <c r="J7208">
        <v>0</v>
      </c>
      <c r="K7208">
        <v>0</v>
      </c>
      <c r="L7208">
        <f t="shared" si="224"/>
        <v>4.4000000000000004</v>
      </c>
      <c r="M7208">
        <f t="shared" si="225"/>
        <v>1</v>
      </c>
    </row>
    <row r="7209" spans="1:13" x14ac:dyDescent="0.3">
      <c r="A7209">
        <v>7207</v>
      </c>
      <c r="B7209">
        <v>7208</v>
      </c>
      <c r="C7209" t="s">
        <v>7286</v>
      </c>
      <c r="D7209">
        <v>2017</v>
      </c>
      <c r="F7209" t="s">
        <v>2833</v>
      </c>
      <c r="G7209">
        <v>0</v>
      </c>
      <c r="H7209">
        <v>0</v>
      </c>
      <c r="I7209">
        <v>1</v>
      </c>
      <c r="J7209">
        <v>0</v>
      </c>
      <c r="K7209">
        <v>0</v>
      </c>
      <c r="L7209">
        <f t="shared" si="224"/>
        <v>4.4000000000000004</v>
      </c>
      <c r="M7209">
        <f t="shared" si="225"/>
        <v>1</v>
      </c>
    </row>
    <row r="7210" spans="1:13" x14ac:dyDescent="0.3">
      <c r="A7210">
        <v>7208</v>
      </c>
      <c r="B7210">
        <v>7209</v>
      </c>
      <c r="C7210" t="s">
        <v>7287</v>
      </c>
      <c r="D7210">
        <v>1915</v>
      </c>
      <c r="F7210" t="s">
        <v>2833</v>
      </c>
      <c r="G7210">
        <v>0</v>
      </c>
      <c r="H7210">
        <v>0</v>
      </c>
      <c r="I7210">
        <v>1</v>
      </c>
      <c r="J7210">
        <v>0</v>
      </c>
      <c r="K7210">
        <v>0</v>
      </c>
      <c r="L7210">
        <f t="shared" si="224"/>
        <v>4.4000000000000004</v>
      </c>
      <c r="M7210">
        <f t="shared" si="225"/>
        <v>1</v>
      </c>
    </row>
    <row r="7211" spans="1:13" x14ac:dyDescent="0.3">
      <c r="A7211">
        <v>7209</v>
      </c>
      <c r="B7211">
        <v>7210</v>
      </c>
      <c r="C7211" t="s">
        <v>7288</v>
      </c>
      <c r="D7211">
        <v>2013</v>
      </c>
      <c r="E7211" t="s">
        <v>36</v>
      </c>
      <c r="F7211" t="s">
        <v>2833</v>
      </c>
      <c r="G7211">
        <v>0</v>
      </c>
      <c r="H7211">
        <v>0</v>
      </c>
      <c r="I7211">
        <v>1</v>
      </c>
      <c r="J7211">
        <v>0</v>
      </c>
      <c r="K7211">
        <v>0</v>
      </c>
      <c r="L7211">
        <f t="shared" si="224"/>
        <v>4.4000000000000004</v>
      </c>
      <c r="M7211">
        <f t="shared" si="225"/>
        <v>1</v>
      </c>
    </row>
    <row r="7212" spans="1:13" x14ac:dyDescent="0.3">
      <c r="A7212">
        <v>7210</v>
      </c>
      <c r="B7212">
        <v>7211</v>
      </c>
      <c r="C7212" t="s">
        <v>7289</v>
      </c>
      <c r="D7212">
        <v>2013</v>
      </c>
      <c r="E7212" t="s">
        <v>11</v>
      </c>
      <c r="F7212" t="s">
        <v>2833</v>
      </c>
      <c r="G7212">
        <v>0</v>
      </c>
      <c r="H7212">
        <v>0</v>
      </c>
      <c r="I7212">
        <v>1</v>
      </c>
      <c r="J7212">
        <v>0</v>
      </c>
      <c r="K7212">
        <v>0</v>
      </c>
      <c r="L7212">
        <f t="shared" si="224"/>
        <v>4.4000000000000004</v>
      </c>
      <c r="M7212">
        <f t="shared" si="225"/>
        <v>1</v>
      </c>
    </row>
    <row r="7213" spans="1:13" x14ac:dyDescent="0.3">
      <c r="A7213">
        <v>7211</v>
      </c>
      <c r="B7213">
        <v>7212</v>
      </c>
      <c r="C7213" t="s">
        <v>7290</v>
      </c>
      <c r="D7213">
        <v>2013</v>
      </c>
      <c r="E7213" t="s">
        <v>22</v>
      </c>
      <c r="F7213" t="s">
        <v>2833</v>
      </c>
      <c r="G7213">
        <v>0</v>
      </c>
      <c r="H7213">
        <v>0</v>
      </c>
      <c r="I7213">
        <v>1</v>
      </c>
      <c r="J7213">
        <v>0</v>
      </c>
      <c r="K7213">
        <v>0</v>
      </c>
      <c r="L7213">
        <f t="shared" si="224"/>
        <v>4.4000000000000004</v>
      </c>
      <c r="M7213">
        <f t="shared" si="225"/>
        <v>1</v>
      </c>
    </row>
    <row r="7214" spans="1:13" x14ac:dyDescent="0.3">
      <c r="A7214">
        <v>7212</v>
      </c>
      <c r="B7214">
        <v>7213</v>
      </c>
      <c r="C7214" t="s">
        <v>7291</v>
      </c>
      <c r="D7214">
        <v>1994</v>
      </c>
      <c r="E7214" t="s">
        <v>11</v>
      </c>
      <c r="F7214" t="s">
        <v>2833</v>
      </c>
      <c r="G7214">
        <v>0</v>
      </c>
      <c r="H7214">
        <v>0</v>
      </c>
      <c r="I7214">
        <v>1</v>
      </c>
      <c r="J7214">
        <v>0</v>
      </c>
      <c r="K7214">
        <v>0</v>
      </c>
      <c r="L7214">
        <f t="shared" si="224"/>
        <v>4.4000000000000004</v>
      </c>
      <c r="M7214">
        <f t="shared" si="225"/>
        <v>1</v>
      </c>
    </row>
    <row r="7215" spans="1:13" x14ac:dyDescent="0.3">
      <c r="A7215">
        <v>7213</v>
      </c>
      <c r="B7215">
        <v>7214</v>
      </c>
      <c r="C7215" s="4">
        <v>39965</v>
      </c>
      <c r="D7215">
        <v>2008</v>
      </c>
      <c r="F7215" t="s">
        <v>2833</v>
      </c>
      <c r="G7215">
        <v>0</v>
      </c>
      <c r="H7215">
        <v>0</v>
      </c>
      <c r="I7215">
        <v>1</v>
      </c>
      <c r="J7215">
        <v>0</v>
      </c>
      <c r="K7215">
        <v>0</v>
      </c>
      <c r="L7215">
        <f t="shared" si="224"/>
        <v>4.4000000000000004</v>
      </c>
      <c r="M7215">
        <f t="shared" si="225"/>
        <v>1</v>
      </c>
    </row>
    <row r="7216" spans="1:13" x14ac:dyDescent="0.3">
      <c r="A7216">
        <v>7214</v>
      </c>
      <c r="B7216">
        <v>7215</v>
      </c>
      <c r="C7216" t="s">
        <v>7292</v>
      </c>
      <c r="D7216">
        <v>2019</v>
      </c>
      <c r="F7216" t="s">
        <v>2833</v>
      </c>
      <c r="G7216">
        <v>0</v>
      </c>
      <c r="H7216">
        <v>0</v>
      </c>
      <c r="I7216">
        <v>1</v>
      </c>
      <c r="J7216">
        <v>0</v>
      </c>
      <c r="K7216">
        <v>0</v>
      </c>
      <c r="L7216">
        <f t="shared" si="224"/>
        <v>4.4000000000000004</v>
      </c>
      <c r="M7216">
        <f t="shared" si="225"/>
        <v>1</v>
      </c>
    </row>
    <row r="7217" spans="1:13" x14ac:dyDescent="0.3">
      <c r="A7217">
        <v>7215</v>
      </c>
      <c r="B7217">
        <v>7216</v>
      </c>
      <c r="C7217" t="s">
        <v>7293</v>
      </c>
      <c r="D7217">
        <v>2017</v>
      </c>
      <c r="F7217" t="s">
        <v>2833</v>
      </c>
      <c r="G7217">
        <v>0</v>
      </c>
      <c r="H7217">
        <v>0</v>
      </c>
      <c r="I7217">
        <v>1</v>
      </c>
      <c r="J7217">
        <v>0</v>
      </c>
      <c r="K7217">
        <v>0</v>
      </c>
      <c r="L7217">
        <f t="shared" si="224"/>
        <v>4.4000000000000004</v>
      </c>
      <c r="M7217">
        <f t="shared" si="225"/>
        <v>1</v>
      </c>
    </row>
    <row r="7218" spans="1:13" x14ac:dyDescent="0.3">
      <c r="A7218">
        <v>7216</v>
      </c>
      <c r="B7218">
        <v>7217</v>
      </c>
      <c r="C7218" t="s">
        <v>7294</v>
      </c>
      <c r="D7218">
        <v>2019</v>
      </c>
      <c r="E7218" t="s">
        <v>14</v>
      </c>
      <c r="F7218" t="s">
        <v>2833</v>
      </c>
      <c r="G7218">
        <v>0</v>
      </c>
      <c r="H7218">
        <v>0</v>
      </c>
      <c r="I7218">
        <v>1</v>
      </c>
      <c r="J7218">
        <v>0</v>
      </c>
      <c r="K7218">
        <v>0</v>
      </c>
      <c r="L7218">
        <f t="shared" si="224"/>
        <v>4.4000000000000004</v>
      </c>
      <c r="M7218">
        <f t="shared" si="225"/>
        <v>1</v>
      </c>
    </row>
    <row r="7219" spans="1:13" x14ac:dyDescent="0.3">
      <c r="A7219">
        <v>7217</v>
      </c>
      <c r="B7219">
        <v>7218</v>
      </c>
      <c r="C7219" t="s">
        <v>7295</v>
      </c>
      <c r="D7219">
        <v>2015</v>
      </c>
      <c r="E7219" t="s">
        <v>28</v>
      </c>
      <c r="F7219" t="s">
        <v>2833</v>
      </c>
      <c r="G7219">
        <v>0</v>
      </c>
      <c r="H7219">
        <v>0</v>
      </c>
      <c r="I7219">
        <v>1</v>
      </c>
      <c r="J7219">
        <v>0</v>
      </c>
      <c r="K7219">
        <v>0</v>
      </c>
      <c r="L7219">
        <f t="shared" si="224"/>
        <v>4.4000000000000004</v>
      </c>
      <c r="M7219">
        <f t="shared" si="225"/>
        <v>1</v>
      </c>
    </row>
    <row r="7220" spans="1:13" x14ac:dyDescent="0.3">
      <c r="A7220">
        <v>7218</v>
      </c>
      <c r="B7220">
        <v>7219</v>
      </c>
      <c r="C7220" t="s">
        <v>7296</v>
      </c>
      <c r="D7220">
        <v>1936</v>
      </c>
      <c r="F7220" t="s">
        <v>2833</v>
      </c>
      <c r="G7220">
        <v>0</v>
      </c>
      <c r="H7220">
        <v>0</v>
      </c>
      <c r="I7220">
        <v>1</v>
      </c>
      <c r="J7220">
        <v>0</v>
      </c>
      <c r="K7220">
        <v>0</v>
      </c>
      <c r="L7220">
        <f t="shared" si="224"/>
        <v>4.4000000000000004</v>
      </c>
      <c r="M7220">
        <f t="shared" si="225"/>
        <v>1</v>
      </c>
    </row>
    <row r="7221" spans="1:13" x14ac:dyDescent="0.3">
      <c r="A7221">
        <v>7219</v>
      </c>
      <c r="B7221">
        <v>7220</v>
      </c>
      <c r="C7221" t="s">
        <v>7297</v>
      </c>
      <c r="D7221">
        <v>2012</v>
      </c>
      <c r="E7221" t="s">
        <v>11</v>
      </c>
      <c r="F7221" t="s">
        <v>2833</v>
      </c>
      <c r="G7221">
        <v>0</v>
      </c>
      <c r="H7221">
        <v>0</v>
      </c>
      <c r="I7221">
        <v>1</v>
      </c>
      <c r="J7221">
        <v>0</v>
      </c>
      <c r="K7221">
        <v>0</v>
      </c>
      <c r="L7221">
        <f t="shared" si="224"/>
        <v>4.4000000000000004</v>
      </c>
      <c r="M7221">
        <f t="shared" si="225"/>
        <v>1</v>
      </c>
    </row>
    <row r="7222" spans="1:13" x14ac:dyDescent="0.3">
      <c r="A7222">
        <v>7220</v>
      </c>
      <c r="B7222">
        <v>7221</v>
      </c>
      <c r="C7222" t="s">
        <v>7298</v>
      </c>
      <c r="D7222">
        <v>2017</v>
      </c>
      <c r="F7222" t="s">
        <v>2833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f t="shared" si="224"/>
        <v>4.4000000000000004</v>
      </c>
      <c r="M7222">
        <f t="shared" si="225"/>
        <v>1</v>
      </c>
    </row>
    <row r="7223" spans="1:13" x14ac:dyDescent="0.3">
      <c r="A7223">
        <v>7221</v>
      </c>
      <c r="B7223">
        <v>7222</v>
      </c>
      <c r="C7223" t="s">
        <v>7299</v>
      </c>
      <c r="D7223">
        <v>2018</v>
      </c>
      <c r="E7223" t="s">
        <v>22</v>
      </c>
      <c r="F7223" t="s">
        <v>2833</v>
      </c>
      <c r="G7223">
        <v>0</v>
      </c>
      <c r="H7223">
        <v>0</v>
      </c>
      <c r="I7223">
        <v>1</v>
      </c>
      <c r="J7223">
        <v>0</v>
      </c>
      <c r="K7223">
        <v>0</v>
      </c>
      <c r="L7223">
        <f t="shared" si="224"/>
        <v>4.4000000000000004</v>
      </c>
      <c r="M7223">
        <f t="shared" si="225"/>
        <v>1</v>
      </c>
    </row>
    <row r="7224" spans="1:13" x14ac:dyDescent="0.3">
      <c r="A7224">
        <v>7222</v>
      </c>
      <c r="B7224">
        <v>7223</v>
      </c>
      <c r="C7224" t="s">
        <v>7300</v>
      </c>
      <c r="D7224">
        <v>2018</v>
      </c>
      <c r="F7224" t="s">
        <v>2833</v>
      </c>
      <c r="G7224">
        <v>0</v>
      </c>
      <c r="H7224">
        <v>0</v>
      </c>
      <c r="I7224">
        <v>1</v>
      </c>
      <c r="J7224">
        <v>0</v>
      </c>
      <c r="K7224">
        <v>0</v>
      </c>
      <c r="L7224">
        <f t="shared" si="224"/>
        <v>4.4000000000000004</v>
      </c>
      <c r="M7224">
        <f t="shared" si="225"/>
        <v>1</v>
      </c>
    </row>
    <row r="7225" spans="1:13" x14ac:dyDescent="0.3">
      <c r="A7225">
        <v>7223</v>
      </c>
      <c r="B7225">
        <v>7224</v>
      </c>
      <c r="C7225" t="s">
        <v>7301</v>
      </c>
      <c r="D7225">
        <v>2019</v>
      </c>
      <c r="E7225" t="s">
        <v>11</v>
      </c>
      <c r="F7225" t="s">
        <v>2833</v>
      </c>
      <c r="G7225">
        <v>0</v>
      </c>
      <c r="H7225">
        <v>0</v>
      </c>
      <c r="I7225">
        <v>1</v>
      </c>
      <c r="J7225">
        <v>0</v>
      </c>
      <c r="K7225">
        <v>0</v>
      </c>
      <c r="L7225">
        <f t="shared" si="224"/>
        <v>4.4000000000000004</v>
      </c>
      <c r="M7225">
        <f t="shared" si="225"/>
        <v>1</v>
      </c>
    </row>
    <row r="7226" spans="1:13" x14ac:dyDescent="0.3">
      <c r="A7226">
        <v>7224</v>
      </c>
      <c r="B7226">
        <v>7225</v>
      </c>
      <c r="C7226" t="s">
        <v>7302</v>
      </c>
      <c r="D7226">
        <v>1970</v>
      </c>
      <c r="E7226" t="s">
        <v>11</v>
      </c>
      <c r="F7226" t="s">
        <v>2833</v>
      </c>
      <c r="G7226">
        <v>0</v>
      </c>
      <c r="H7226">
        <v>0</v>
      </c>
      <c r="I7226">
        <v>1</v>
      </c>
      <c r="J7226">
        <v>0</v>
      </c>
      <c r="K7226">
        <v>0</v>
      </c>
      <c r="L7226">
        <f t="shared" si="224"/>
        <v>4.4000000000000004</v>
      </c>
      <c r="M7226">
        <f t="shared" si="225"/>
        <v>1</v>
      </c>
    </row>
    <row r="7227" spans="1:13" x14ac:dyDescent="0.3">
      <c r="A7227">
        <v>7225</v>
      </c>
      <c r="B7227">
        <v>7226</v>
      </c>
      <c r="C7227" t="s">
        <v>7303</v>
      </c>
      <c r="D7227">
        <v>2018</v>
      </c>
      <c r="F7227" t="s">
        <v>2833</v>
      </c>
      <c r="G7227">
        <v>0</v>
      </c>
      <c r="H7227">
        <v>0</v>
      </c>
      <c r="I7227">
        <v>1</v>
      </c>
      <c r="J7227">
        <v>0</v>
      </c>
      <c r="K7227">
        <v>0</v>
      </c>
      <c r="L7227">
        <f t="shared" si="224"/>
        <v>4.4000000000000004</v>
      </c>
      <c r="M7227">
        <f t="shared" si="225"/>
        <v>1</v>
      </c>
    </row>
    <row r="7228" spans="1:13" x14ac:dyDescent="0.3">
      <c r="A7228">
        <v>7226</v>
      </c>
      <c r="B7228">
        <v>7227</v>
      </c>
      <c r="C7228" t="s">
        <v>7304</v>
      </c>
      <c r="D7228">
        <v>2005</v>
      </c>
      <c r="F7228" t="s">
        <v>2833</v>
      </c>
      <c r="G7228">
        <v>0</v>
      </c>
      <c r="H7228">
        <v>0</v>
      </c>
      <c r="I7228">
        <v>1</v>
      </c>
      <c r="J7228">
        <v>0</v>
      </c>
      <c r="K7228">
        <v>0</v>
      </c>
      <c r="L7228">
        <f t="shared" si="224"/>
        <v>4.4000000000000004</v>
      </c>
      <c r="M7228">
        <f t="shared" si="225"/>
        <v>1</v>
      </c>
    </row>
    <row r="7229" spans="1:13" x14ac:dyDescent="0.3">
      <c r="A7229">
        <v>7227</v>
      </c>
      <c r="B7229">
        <v>7228</v>
      </c>
      <c r="C7229" t="s">
        <v>7305</v>
      </c>
      <c r="D7229">
        <v>1970</v>
      </c>
      <c r="F7229" t="s">
        <v>2833</v>
      </c>
      <c r="G7229">
        <v>0</v>
      </c>
      <c r="H7229">
        <v>0</v>
      </c>
      <c r="I7229">
        <v>1</v>
      </c>
      <c r="J7229">
        <v>0</v>
      </c>
      <c r="K7229">
        <v>0</v>
      </c>
      <c r="L7229">
        <f t="shared" si="224"/>
        <v>4.4000000000000004</v>
      </c>
      <c r="M7229">
        <f t="shared" si="225"/>
        <v>1</v>
      </c>
    </row>
    <row r="7230" spans="1:13" x14ac:dyDescent="0.3">
      <c r="A7230">
        <v>7228</v>
      </c>
      <c r="B7230">
        <v>7229</v>
      </c>
      <c r="C7230" t="s">
        <v>7306</v>
      </c>
      <c r="D7230">
        <v>2003</v>
      </c>
      <c r="E7230" t="s">
        <v>14</v>
      </c>
      <c r="F7230" t="s">
        <v>2833</v>
      </c>
      <c r="G7230">
        <v>0</v>
      </c>
      <c r="H7230">
        <v>0</v>
      </c>
      <c r="I7230">
        <v>1</v>
      </c>
      <c r="J7230">
        <v>0</v>
      </c>
      <c r="K7230">
        <v>0</v>
      </c>
      <c r="L7230">
        <f t="shared" si="224"/>
        <v>4.4000000000000004</v>
      </c>
      <c r="M7230">
        <f t="shared" si="225"/>
        <v>1</v>
      </c>
    </row>
    <row r="7231" spans="1:13" x14ac:dyDescent="0.3">
      <c r="A7231">
        <v>7229</v>
      </c>
      <c r="B7231">
        <v>7230</v>
      </c>
      <c r="C7231" t="s">
        <v>7307</v>
      </c>
      <c r="D7231">
        <v>2014</v>
      </c>
      <c r="E7231" t="s">
        <v>36</v>
      </c>
      <c r="F7231" t="s">
        <v>2833</v>
      </c>
      <c r="G7231">
        <v>0</v>
      </c>
      <c r="H7231">
        <v>0</v>
      </c>
      <c r="I7231">
        <v>1</v>
      </c>
      <c r="J7231">
        <v>0</v>
      </c>
      <c r="K7231">
        <v>0</v>
      </c>
      <c r="L7231">
        <f t="shared" si="224"/>
        <v>4.4000000000000004</v>
      </c>
      <c r="M7231">
        <f t="shared" si="225"/>
        <v>1</v>
      </c>
    </row>
    <row r="7232" spans="1:13" x14ac:dyDescent="0.3">
      <c r="A7232">
        <v>7230</v>
      </c>
      <c r="B7232">
        <v>7231</v>
      </c>
      <c r="C7232" t="s">
        <v>7308</v>
      </c>
      <c r="D7232">
        <v>1970</v>
      </c>
      <c r="E7232" t="s">
        <v>11</v>
      </c>
      <c r="F7232" t="s">
        <v>2833</v>
      </c>
      <c r="G7232">
        <v>0</v>
      </c>
      <c r="H7232">
        <v>0</v>
      </c>
      <c r="I7232">
        <v>1</v>
      </c>
      <c r="J7232">
        <v>0</v>
      </c>
      <c r="K7232">
        <v>0</v>
      </c>
      <c r="L7232">
        <f t="shared" si="224"/>
        <v>4.4000000000000004</v>
      </c>
      <c r="M7232">
        <f t="shared" si="225"/>
        <v>1</v>
      </c>
    </row>
    <row r="7233" spans="1:13" x14ac:dyDescent="0.3">
      <c r="A7233">
        <v>7231</v>
      </c>
      <c r="B7233">
        <v>7232</v>
      </c>
      <c r="C7233" t="s">
        <v>7309</v>
      </c>
      <c r="D7233">
        <v>2017</v>
      </c>
      <c r="F7233" t="s">
        <v>2833</v>
      </c>
      <c r="G7233">
        <v>0</v>
      </c>
      <c r="H7233">
        <v>0</v>
      </c>
      <c r="I7233">
        <v>1</v>
      </c>
      <c r="J7233">
        <v>0</v>
      </c>
      <c r="K7233">
        <v>0</v>
      </c>
      <c r="L7233">
        <f t="shared" si="224"/>
        <v>4.4000000000000004</v>
      </c>
      <c r="M7233">
        <f t="shared" si="225"/>
        <v>1</v>
      </c>
    </row>
    <row r="7234" spans="1:13" x14ac:dyDescent="0.3">
      <c r="A7234">
        <v>7232</v>
      </c>
      <c r="B7234">
        <v>7233</v>
      </c>
      <c r="C7234" t="s">
        <v>7310</v>
      </c>
      <c r="D7234">
        <v>1956</v>
      </c>
      <c r="E7234" t="s">
        <v>14</v>
      </c>
      <c r="F7234" t="s">
        <v>2833</v>
      </c>
      <c r="G7234">
        <v>0</v>
      </c>
      <c r="H7234">
        <v>0</v>
      </c>
      <c r="I7234">
        <v>1</v>
      </c>
      <c r="J7234">
        <v>0</v>
      </c>
      <c r="K7234">
        <v>0</v>
      </c>
      <c r="L7234">
        <f t="shared" si="224"/>
        <v>4.4000000000000004</v>
      </c>
      <c r="M7234">
        <f t="shared" si="225"/>
        <v>1</v>
      </c>
    </row>
    <row r="7235" spans="1:13" x14ac:dyDescent="0.3">
      <c r="A7235">
        <v>7233</v>
      </c>
      <c r="B7235">
        <v>7234</v>
      </c>
      <c r="C7235" t="s">
        <v>7311</v>
      </c>
      <c r="D7235">
        <v>2017</v>
      </c>
      <c r="E7235" t="s">
        <v>36</v>
      </c>
      <c r="F7235" t="s">
        <v>2833</v>
      </c>
      <c r="G7235">
        <v>0</v>
      </c>
      <c r="H7235">
        <v>0</v>
      </c>
      <c r="I7235">
        <v>1</v>
      </c>
      <c r="J7235">
        <v>0</v>
      </c>
      <c r="K7235">
        <v>0</v>
      </c>
      <c r="L7235">
        <f t="shared" ref="L7235:L7298" si="226">IFERROR(VALUE(LEFT(F7235,FIND("/",F7235)-1))/10,"")</f>
        <v>4.4000000000000004</v>
      </c>
      <c r="M7235">
        <f t="shared" ref="M7235:M7298" si="227">SUM(G7235:J7235)</f>
        <v>1</v>
      </c>
    </row>
    <row r="7236" spans="1:13" x14ac:dyDescent="0.3">
      <c r="A7236">
        <v>7234</v>
      </c>
      <c r="B7236">
        <v>7235</v>
      </c>
      <c r="C7236" t="s">
        <v>7312</v>
      </c>
      <c r="D7236">
        <v>2008</v>
      </c>
      <c r="F7236" t="s">
        <v>2833</v>
      </c>
      <c r="G7236">
        <v>0</v>
      </c>
      <c r="H7236">
        <v>0</v>
      </c>
      <c r="I7236">
        <v>1</v>
      </c>
      <c r="J7236">
        <v>0</v>
      </c>
      <c r="K7236">
        <v>0</v>
      </c>
      <c r="L7236">
        <f t="shared" si="226"/>
        <v>4.4000000000000004</v>
      </c>
      <c r="M7236">
        <f t="shared" si="227"/>
        <v>1</v>
      </c>
    </row>
    <row r="7237" spans="1:13" x14ac:dyDescent="0.3">
      <c r="A7237">
        <v>7235</v>
      </c>
      <c r="B7237">
        <v>7236</v>
      </c>
      <c r="C7237" t="s">
        <v>7313</v>
      </c>
      <c r="D7237">
        <v>2004</v>
      </c>
      <c r="F7237" t="s">
        <v>2833</v>
      </c>
      <c r="G7237">
        <v>0</v>
      </c>
      <c r="H7237">
        <v>0</v>
      </c>
      <c r="I7237">
        <v>1</v>
      </c>
      <c r="J7237">
        <v>0</v>
      </c>
      <c r="K7237">
        <v>0</v>
      </c>
      <c r="L7237">
        <f t="shared" si="226"/>
        <v>4.4000000000000004</v>
      </c>
      <c r="M7237">
        <f t="shared" si="227"/>
        <v>1</v>
      </c>
    </row>
    <row r="7238" spans="1:13" x14ac:dyDescent="0.3">
      <c r="A7238">
        <v>7236</v>
      </c>
      <c r="B7238">
        <v>7237</v>
      </c>
      <c r="C7238" t="s">
        <v>7314</v>
      </c>
      <c r="D7238">
        <v>2017</v>
      </c>
      <c r="E7238" t="s">
        <v>14</v>
      </c>
      <c r="F7238" t="s">
        <v>2833</v>
      </c>
      <c r="G7238">
        <v>0</v>
      </c>
      <c r="H7238">
        <v>0</v>
      </c>
      <c r="I7238">
        <v>1</v>
      </c>
      <c r="J7238">
        <v>0</v>
      </c>
      <c r="K7238">
        <v>0</v>
      </c>
      <c r="L7238">
        <f t="shared" si="226"/>
        <v>4.4000000000000004</v>
      </c>
      <c r="M7238">
        <f t="shared" si="227"/>
        <v>1</v>
      </c>
    </row>
    <row r="7239" spans="1:13" x14ac:dyDescent="0.3">
      <c r="A7239">
        <v>7237</v>
      </c>
      <c r="B7239">
        <v>7238</v>
      </c>
      <c r="C7239" t="s">
        <v>7315</v>
      </c>
      <c r="D7239">
        <v>2019</v>
      </c>
      <c r="F7239" t="s">
        <v>2833</v>
      </c>
      <c r="G7239">
        <v>0</v>
      </c>
      <c r="H7239">
        <v>0</v>
      </c>
      <c r="I7239">
        <v>1</v>
      </c>
      <c r="J7239">
        <v>0</v>
      </c>
      <c r="K7239">
        <v>0</v>
      </c>
      <c r="L7239">
        <f t="shared" si="226"/>
        <v>4.4000000000000004</v>
      </c>
      <c r="M7239">
        <f t="shared" si="227"/>
        <v>1</v>
      </c>
    </row>
    <row r="7240" spans="1:13" x14ac:dyDescent="0.3">
      <c r="A7240">
        <v>7238</v>
      </c>
      <c r="B7240">
        <v>7239</v>
      </c>
      <c r="C7240" t="s">
        <v>7316</v>
      </c>
      <c r="D7240">
        <v>2010</v>
      </c>
      <c r="E7240" t="s">
        <v>14</v>
      </c>
      <c r="F7240" t="s">
        <v>2833</v>
      </c>
      <c r="G7240">
        <v>0</v>
      </c>
      <c r="H7240">
        <v>0</v>
      </c>
      <c r="I7240">
        <v>1</v>
      </c>
      <c r="J7240">
        <v>0</v>
      </c>
      <c r="K7240">
        <v>0</v>
      </c>
      <c r="L7240">
        <f t="shared" si="226"/>
        <v>4.4000000000000004</v>
      </c>
      <c r="M7240">
        <f t="shared" si="227"/>
        <v>1</v>
      </c>
    </row>
    <row r="7241" spans="1:13" x14ac:dyDescent="0.3">
      <c r="A7241">
        <v>7239</v>
      </c>
      <c r="B7241">
        <v>7240</v>
      </c>
      <c r="C7241" t="s">
        <v>7317</v>
      </c>
      <c r="D7241">
        <v>1996</v>
      </c>
      <c r="F7241" t="s">
        <v>2833</v>
      </c>
      <c r="G7241">
        <v>0</v>
      </c>
      <c r="H7241">
        <v>0</v>
      </c>
      <c r="I7241">
        <v>1</v>
      </c>
      <c r="J7241">
        <v>0</v>
      </c>
      <c r="K7241">
        <v>0</v>
      </c>
      <c r="L7241">
        <f t="shared" si="226"/>
        <v>4.4000000000000004</v>
      </c>
      <c r="M7241">
        <f t="shared" si="227"/>
        <v>1</v>
      </c>
    </row>
    <row r="7242" spans="1:13" x14ac:dyDescent="0.3">
      <c r="A7242">
        <v>7240</v>
      </c>
      <c r="B7242">
        <v>7241</v>
      </c>
      <c r="C7242" t="s">
        <v>7318</v>
      </c>
      <c r="D7242">
        <v>2012</v>
      </c>
      <c r="F7242" t="s">
        <v>2833</v>
      </c>
      <c r="G7242">
        <v>0</v>
      </c>
      <c r="H7242">
        <v>0</v>
      </c>
      <c r="I7242">
        <v>1</v>
      </c>
      <c r="J7242">
        <v>0</v>
      </c>
      <c r="K7242">
        <v>0</v>
      </c>
      <c r="L7242">
        <f t="shared" si="226"/>
        <v>4.4000000000000004</v>
      </c>
      <c r="M7242">
        <f t="shared" si="227"/>
        <v>1</v>
      </c>
    </row>
    <row r="7243" spans="1:13" x14ac:dyDescent="0.3">
      <c r="A7243">
        <v>7241</v>
      </c>
      <c r="B7243">
        <v>7242</v>
      </c>
      <c r="C7243" t="s">
        <v>7319</v>
      </c>
      <c r="D7243">
        <v>2013</v>
      </c>
      <c r="F7243" t="s">
        <v>2833</v>
      </c>
      <c r="G7243">
        <v>0</v>
      </c>
      <c r="H7243">
        <v>0</v>
      </c>
      <c r="I7243">
        <v>1</v>
      </c>
      <c r="J7243">
        <v>0</v>
      </c>
      <c r="K7243">
        <v>0</v>
      </c>
      <c r="L7243">
        <f t="shared" si="226"/>
        <v>4.4000000000000004</v>
      </c>
      <c r="M7243">
        <f t="shared" si="227"/>
        <v>1</v>
      </c>
    </row>
    <row r="7244" spans="1:13" x14ac:dyDescent="0.3">
      <c r="A7244">
        <v>7242</v>
      </c>
      <c r="B7244">
        <v>7243</v>
      </c>
      <c r="C7244" t="s">
        <v>7320</v>
      </c>
      <c r="D7244">
        <v>1994</v>
      </c>
      <c r="F7244" t="s">
        <v>2833</v>
      </c>
      <c r="G7244">
        <v>0</v>
      </c>
      <c r="H7244">
        <v>0</v>
      </c>
      <c r="I7244">
        <v>1</v>
      </c>
      <c r="J7244">
        <v>0</v>
      </c>
      <c r="K7244">
        <v>0</v>
      </c>
      <c r="L7244">
        <f t="shared" si="226"/>
        <v>4.4000000000000004</v>
      </c>
      <c r="M7244">
        <f t="shared" si="227"/>
        <v>1</v>
      </c>
    </row>
    <row r="7245" spans="1:13" x14ac:dyDescent="0.3">
      <c r="A7245">
        <v>7243</v>
      </c>
      <c r="B7245">
        <v>7244</v>
      </c>
      <c r="C7245" t="s">
        <v>7321</v>
      </c>
      <c r="D7245">
        <v>2014</v>
      </c>
      <c r="F7245" t="s">
        <v>2833</v>
      </c>
      <c r="G7245">
        <v>0</v>
      </c>
      <c r="H7245">
        <v>0</v>
      </c>
      <c r="I7245">
        <v>1</v>
      </c>
      <c r="J7245">
        <v>0</v>
      </c>
      <c r="K7245">
        <v>0</v>
      </c>
      <c r="L7245">
        <f t="shared" si="226"/>
        <v>4.4000000000000004</v>
      </c>
      <c r="M7245">
        <f t="shared" si="227"/>
        <v>1</v>
      </c>
    </row>
    <row r="7246" spans="1:13" x14ac:dyDescent="0.3">
      <c r="A7246">
        <v>7244</v>
      </c>
      <c r="B7246">
        <v>7245</v>
      </c>
      <c r="C7246" t="s">
        <v>7322</v>
      </c>
      <c r="D7246">
        <v>1991</v>
      </c>
      <c r="F7246" t="s">
        <v>2833</v>
      </c>
      <c r="G7246">
        <v>0</v>
      </c>
      <c r="H7246">
        <v>0</v>
      </c>
      <c r="I7246">
        <v>1</v>
      </c>
      <c r="J7246">
        <v>0</v>
      </c>
      <c r="K7246">
        <v>0</v>
      </c>
      <c r="L7246">
        <f t="shared" si="226"/>
        <v>4.4000000000000004</v>
      </c>
      <c r="M7246">
        <f t="shared" si="227"/>
        <v>1</v>
      </c>
    </row>
    <row r="7247" spans="1:13" x14ac:dyDescent="0.3">
      <c r="A7247">
        <v>7245</v>
      </c>
      <c r="B7247">
        <v>7246</v>
      </c>
      <c r="C7247" t="s">
        <v>7323</v>
      </c>
      <c r="D7247">
        <v>2004</v>
      </c>
      <c r="E7247" t="s">
        <v>11</v>
      </c>
      <c r="F7247" t="s">
        <v>2833</v>
      </c>
      <c r="G7247">
        <v>0</v>
      </c>
      <c r="H7247">
        <v>0</v>
      </c>
      <c r="I7247">
        <v>1</v>
      </c>
      <c r="J7247">
        <v>0</v>
      </c>
      <c r="K7247">
        <v>0</v>
      </c>
      <c r="L7247">
        <f t="shared" si="226"/>
        <v>4.4000000000000004</v>
      </c>
      <c r="M7247">
        <f t="shared" si="227"/>
        <v>1</v>
      </c>
    </row>
    <row r="7248" spans="1:13" x14ac:dyDescent="0.3">
      <c r="A7248">
        <v>7246</v>
      </c>
      <c r="B7248">
        <v>7247</v>
      </c>
      <c r="C7248" t="s">
        <v>7324</v>
      </c>
      <c r="D7248">
        <v>1940</v>
      </c>
      <c r="F7248" t="s">
        <v>2833</v>
      </c>
      <c r="G7248">
        <v>0</v>
      </c>
      <c r="H7248">
        <v>0</v>
      </c>
      <c r="I7248">
        <v>1</v>
      </c>
      <c r="J7248">
        <v>0</v>
      </c>
      <c r="K7248">
        <v>0</v>
      </c>
      <c r="L7248">
        <f t="shared" si="226"/>
        <v>4.4000000000000004</v>
      </c>
      <c r="M7248">
        <f t="shared" si="227"/>
        <v>1</v>
      </c>
    </row>
    <row r="7249" spans="1:13" x14ac:dyDescent="0.3">
      <c r="A7249">
        <v>7247</v>
      </c>
      <c r="B7249">
        <v>7248</v>
      </c>
      <c r="C7249" t="s">
        <v>7325</v>
      </c>
      <c r="D7249">
        <v>1978</v>
      </c>
      <c r="E7249" t="s">
        <v>28</v>
      </c>
      <c r="F7249" t="s">
        <v>2833</v>
      </c>
      <c r="G7249">
        <v>0</v>
      </c>
      <c r="H7249">
        <v>0</v>
      </c>
      <c r="I7249">
        <v>1</v>
      </c>
      <c r="J7249">
        <v>0</v>
      </c>
      <c r="K7249">
        <v>0</v>
      </c>
      <c r="L7249">
        <f t="shared" si="226"/>
        <v>4.4000000000000004</v>
      </c>
      <c r="M7249">
        <f t="shared" si="227"/>
        <v>1</v>
      </c>
    </row>
    <row r="7250" spans="1:13" x14ac:dyDescent="0.3">
      <c r="A7250">
        <v>7248</v>
      </c>
      <c r="B7250">
        <v>7249</v>
      </c>
      <c r="C7250" t="s">
        <v>7326</v>
      </c>
      <c r="D7250">
        <v>2019</v>
      </c>
      <c r="E7250" t="s">
        <v>14</v>
      </c>
      <c r="F7250" t="s">
        <v>2833</v>
      </c>
      <c r="G7250">
        <v>0</v>
      </c>
      <c r="H7250">
        <v>0</v>
      </c>
      <c r="I7250">
        <v>1</v>
      </c>
      <c r="J7250">
        <v>0</v>
      </c>
      <c r="K7250">
        <v>0</v>
      </c>
      <c r="L7250">
        <f t="shared" si="226"/>
        <v>4.4000000000000004</v>
      </c>
      <c r="M7250">
        <f t="shared" si="227"/>
        <v>1</v>
      </c>
    </row>
    <row r="7251" spans="1:13" x14ac:dyDescent="0.3">
      <c r="A7251">
        <v>7249</v>
      </c>
      <c r="B7251">
        <v>7250</v>
      </c>
      <c r="C7251" t="s">
        <v>7327</v>
      </c>
      <c r="D7251">
        <v>2013</v>
      </c>
      <c r="F7251" t="s">
        <v>2833</v>
      </c>
      <c r="G7251">
        <v>0</v>
      </c>
      <c r="H7251">
        <v>0</v>
      </c>
      <c r="I7251">
        <v>1</v>
      </c>
      <c r="J7251">
        <v>0</v>
      </c>
      <c r="K7251">
        <v>0</v>
      </c>
      <c r="L7251">
        <f t="shared" si="226"/>
        <v>4.4000000000000004</v>
      </c>
      <c r="M7251">
        <f t="shared" si="227"/>
        <v>1</v>
      </c>
    </row>
    <row r="7252" spans="1:13" x14ac:dyDescent="0.3">
      <c r="A7252">
        <v>7250</v>
      </c>
      <c r="B7252">
        <v>7251</v>
      </c>
      <c r="C7252" t="s">
        <v>7328</v>
      </c>
      <c r="D7252">
        <v>2007</v>
      </c>
      <c r="E7252" t="s">
        <v>14</v>
      </c>
      <c r="F7252" t="s">
        <v>2833</v>
      </c>
      <c r="G7252">
        <v>0</v>
      </c>
      <c r="H7252">
        <v>0</v>
      </c>
      <c r="I7252">
        <v>1</v>
      </c>
      <c r="J7252">
        <v>1</v>
      </c>
      <c r="K7252">
        <v>0</v>
      </c>
      <c r="L7252">
        <f t="shared" si="226"/>
        <v>4.4000000000000004</v>
      </c>
      <c r="M7252">
        <f t="shared" si="227"/>
        <v>2</v>
      </c>
    </row>
    <row r="7253" spans="1:13" x14ac:dyDescent="0.3">
      <c r="A7253">
        <v>7251</v>
      </c>
      <c r="B7253">
        <v>7252</v>
      </c>
      <c r="C7253" t="s">
        <v>7329</v>
      </c>
      <c r="D7253">
        <v>2000</v>
      </c>
      <c r="E7253" t="s">
        <v>11</v>
      </c>
      <c r="F7253" t="s">
        <v>2833</v>
      </c>
      <c r="G7253">
        <v>0</v>
      </c>
      <c r="H7253">
        <v>0</v>
      </c>
      <c r="I7253">
        <v>1</v>
      </c>
      <c r="J7253">
        <v>0</v>
      </c>
      <c r="K7253">
        <v>0</v>
      </c>
      <c r="L7253">
        <f t="shared" si="226"/>
        <v>4.4000000000000004</v>
      </c>
      <c r="M7253">
        <f t="shared" si="227"/>
        <v>1</v>
      </c>
    </row>
    <row r="7254" spans="1:13" x14ac:dyDescent="0.3">
      <c r="A7254">
        <v>7252</v>
      </c>
      <c r="B7254">
        <v>7253</v>
      </c>
      <c r="C7254" t="s">
        <v>7330</v>
      </c>
      <c r="D7254">
        <v>2011</v>
      </c>
      <c r="E7254" t="s">
        <v>11</v>
      </c>
      <c r="F7254" t="s">
        <v>2833</v>
      </c>
      <c r="G7254">
        <v>0</v>
      </c>
      <c r="H7254">
        <v>0</v>
      </c>
      <c r="I7254">
        <v>1</v>
      </c>
      <c r="J7254">
        <v>0</v>
      </c>
      <c r="K7254">
        <v>0</v>
      </c>
      <c r="L7254">
        <f t="shared" si="226"/>
        <v>4.4000000000000004</v>
      </c>
      <c r="M7254">
        <f t="shared" si="227"/>
        <v>1</v>
      </c>
    </row>
    <row r="7255" spans="1:13" x14ac:dyDescent="0.3">
      <c r="A7255">
        <v>7253</v>
      </c>
      <c r="B7255">
        <v>7254</v>
      </c>
      <c r="C7255" t="s">
        <v>7331</v>
      </c>
      <c r="D7255">
        <v>2020</v>
      </c>
      <c r="F7255" t="s">
        <v>2833</v>
      </c>
      <c r="G7255">
        <v>0</v>
      </c>
      <c r="H7255">
        <v>0</v>
      </c>
      <c r="I7255">
        <v>1</v>
      </c>
      <c r="J7255">
        <v>0</v>
      </c>
      <c r="K7255">
        <v>0</v>
      </c>
      <c r="L7255">
        <f t="shared" si="226"/>
        <v>4.4000000000000004</v>
      </c>
      <c r="M7255">
        <f t="shared" si="227"/>
        <v>1</v>
      </c>
    </row>
    <row r="7256" spans="1:13" x14ac:dyDescent="0.3">
      <c r="A7256">
        <v>7254</v>
      </c>
      <c r="B7256">
        <v>7255</v>
      </c>
      <c r="C7256" t="s">
        <v>7332</v>
      </c>
      <c r="D7256">
        <v>1939</v>
      </c>
      <c r="F7256" t="s">
        <v>2833</v>
      </c>
      <c r="G7256">
        <v>0</v>
      </c>
      <c r="H7256">
        <v>0</v>
      </c>
      <c r="I7256">
        <v>1</v>
      </c>
      <c r="J7256">
        <v>0</v>
      </c>
      <c r="K7256">
        <v>0</v>
      </c>
      <c r="L7256">
        <f t="shared" si="226"/>
        <v>4.4000000000000004</v>
      </c>
      <c r="M7256">
        <f t="shared" si="227"/>
        <v>1</v>
      </c>
    </row>
    <row r="7257" spans="1:13" x14ac:dyDescent="0.3">
      <c r="A7257">
        <v>7255</v>
      </c>
      <c r="B7257">
        <v>7256</v>
      </c>
      <c r="C7257" t="s">
        <v>7333</v>
      </c>
      <c r="D7257">
        <v>2009</v>
      </c>
      <c r="E7257" t="s">
        <v>11</v>
      </c>
      <c r="F7257" t="s">
        <v>2833</v>
      </c>
      <c r="G7257">
        <v>0</v>
      </c>
      <c r="H7257">
        <v>0</v>
      </c>
      <c r="I7257">
        <v>1</v>
      </c>
      <c r="J7257">
        <v>0</v>
      </c>
      <c r="K7257">
        <v>0</v>
      </c>
      <c r="L7257">
        <f t="shared" si="226"/>
        <v>4.4000000000000004</v>
      </c>
      <c r="M7257">
        <f t="shared" si="227"/>
        <v>1</v>
      </c>
    </row>
    <row r="7258" spans="1:13" x14ac:dyDescent="0.3">
      <c r="A7258">
        <v>7256</v>
      </c>
      <c r="B7258">
        <v>7257</v>
      </c>
      <c r="C7258" t="s">
        <v>7334</v>
      </c>
      <c r="D7258">
        <v>2019</v>
      </c>
      <c r="F7258" t="s">
        <v>2833</v>
      </c>
      <c r="G7258">
        <v>0</v>
      </c>
      <c r="H7258">
        <v>0</v>
      </c>
      <c r="I7258">
        <v>1</v>
      </c>
      <c r="J7258">
        <v>0</v>
      </c>
      <c r="K7258">
        <v>0</v>
      </c>
      <c r="L7258">
        <f t="shared" si="226"/>
        <v>4.4000000000000004</v>
      </c>
      <c r="M7258">
        <f t="shared" si="227"/>
        <v>1</v>
      </c>
    </row>
    <row r="7259" spans="1:13" x14ac:dyDescent="0.3">
      <c r="A7259">
        <v>7257</v>
      </c>
      <c r="B7259">
        <v>7258</v>
      </c>
      <c r="C7259" t="s">
        <v>7335</v>
      </c>
      <c r="D7259">
        <v>2012</v>
      </c>
      <c r="F7259" t="s">
        <v>2833</v>
      </c>
      <c r="G7259">
        <v>0</v>
      </c>
      <c r="H7259">
        <v>0</v>
      </c>
      <c r="I7259">
        <v>1</v>
      </c>
      <c r="J7259">
        <v>0</v>
      </c>
      <c r="K7259">
        <v>0</v>
      </c>
      <c r="L7259">
        <f t="shared" si="226"/>
        <v>4.4000000000000004</v>
      </c>
      <c r="M7259">
        <f t="shared" si="227"/>
        <v>1</v>
      </c>
    </row>
    <row r="7260" spans="1:13" x14ac:dyDescent="0.3">
      <c r="A7260">
        <v>7258</v>
      </c>
      <c r="B7260">
        <v>7259</v>
      </c>
      <c r="C7260" t="s">
        <v>7336</v>
      </c>
      <c r="D7260">
        <v>2015</v>
      </c>
      <c r="F7260" t="s">
        <v>2833</v>
      </c>
      <c r="G7260">
        <v>0</v>
      </c>
      <c r="H7260">
        <v>0</v>
      </c>
      <c r="I7260">
        <v>1</v>
      </c>
      <c r="J7260">
        <v>0</v>
      </c>
      <c r="K7260">
        <v>0</v>
      </c>
      <c r="L7260">
        <f t="shared" si="226"/>
        <v>4.4000000000000004</v>
      </c>
      <c r="M7260">
        <f t="shared" si="227"/>
        <v>1</v>
      </c>
    </row>
    <row r="7261" spans="1:13" x14ac:dyDescent="0.3">
      <c r="A7261">
        <v>7259</v>
      </c>
      <c r="B7261">
        <v>7260</v>
      </c>
      <c r="C7261" t="s">
        <v>7337</v>
      </c>
      <c r="D7261">
        <v>2013</v>
      </c>
      <c r="F7261" t="s">
        <v>2833</v>
      </c>
      <c r="G7261">
        <v>0</v>
      </c>
      <c r="H7261">
        <v>0</v>
      </c>
      <c r="I7261">
        <v>1</v>
      </c>
      <c r="J7261">
        <v>0</v>
      </c>
      <c r="K7261">
        <v>0</v>
      </c>
      <c r="L7261">
        <f t="shared" si="226"/>
        <v>4.4000000000000004</v>
      </c>
      <c r="M7261">
        <f t="shared" si="227"/>
        <v>1</v>
      </c>
    </row>
    <row r="7262" spans="1:13" x14ac:dyDescent="0.3">
      <c r="A7262">
        <v>7260</v>
      </c>
      <c r="B7262">
        <v>7261</v>
      </c>
      <c r="C7262" t="s">
        <v>7338</v>
      </c>
      <c r="D7262">
        <v>2002</v>
      </c>
      <c r="E7262" t="s">
        <v>14</v>
      </c>
      <c r="F7262" t="s">
        <v>2833</v>
      </c>
      <c r="G7262">
        <v>0</v>
      </c>
      <c r="H7262">
        <v>0</v>
      </c>
      <c r="I7262">
        <v>1</v>
      </c>
      <c r="J7262">
        <v>0</v>
      </c>
      <c r="K7262">
        <v>0</v>
      </c>
      <c r="L7262">
        <f t="shared" si="226"/>
        <v>4.4000000000000004</v>
      </c>
      <c r="M7262">
        <f t="shared" si="227"/>
        <v>1</v>
      </c>
    </row>
    <row r="7263" spans="1:13" x14ac:dyDescent="0.3">
      <c r="A7263">
        <v>7261</v>
      </c>
      <c r="B7263">
        <v>7262</v>
      </c>
      <c r="C7263" t="s">
        <v>7339</v>
      </c>
      <c r="D7263">
        <v>2007</v>
      </c>
      <c r="E7263" t="s">
        <v>11</v>
      </c>
      <c r="F7263" t="s">
        <v>2833</v>
      </c>
      <c r="G7263">
        <v>0</v>
      </c>
      <c r="H7263">
        <v>0</v>
      </c>
      <c r="I7263">
        <v>1</v>
      </c>
      <c r="J7263">
        <v>0</v>
      </c>
      <c r="K7263">
        <v>0</v>
      </c>
      <c r="L7263">
        <f t="shared" si="226"/>
        <v>4.4000000000000004</v>
      </c>
      <c r="M7263">
        <f t="shared" si="227"/>
        <v>1</v>
      </c>
    </row>
    <row r="7264" spans="1:13" x14ac:dyDescent="0.3">
      <c r="A7264">
        <v>7262</v>
      </c>
      <c r="B7264">
        <v>7263</v>
      </c>
      <c r="C7264" t="s">
        <v>7340</v>
      </c>
      <c r="D7264">
        <v>2017</v>
      </c>
      <c r="E7264" t="s">
        <v>11</v>
      </c>
      <c r="F7264" t="s">
        <v>2833</v>
      </c>
      <c r="G7264">
        <v>0</v>
      </c>
      <c r="H7264">
        <v>0</v>
      </c>
      <c r="I7264">
        <v>1</v>
      </c>
      <c r="J7264">
        <v>0</v>
      </c>
      <c r="K7264">
        <v>0</v>
      </c>
      <c r="L7264">
        <f t="shared" si="226"/>
        <v>4.4000000000000004</v>
      </c>
      <c r="M7264">
        <f t="shared" si="227"/>
        <v>1</v>
      </c>
    </row>
    <row r="7265" spans="1:13" x14ac:dyDescent="0.3">
      <c r="A7265">
        <v>7263</v>
      </c>
      <c r="B7265">
        <v>7264</v>
      </c>
      <c r="C7265" t="s">
        <v>7341</v>
      </c>
      <c r="D7265">
        <v>2013</v>
      </c>
      <c r="E7265" t="s">
        <v>11</v>
      </c>
      <c r="F7265" t="s">
        <v>2833</v>
      </c>
      <c r="G7265">
        <v>0</v>
      </c>
      <c r="H7265">
        <v>0</v>
      </c>
      <c r="I7265">
        <v>1</v>
      </c>
      <c r="J7265">
        <v>0</v>
      </c>
      <c r="K7265">
        <v>0</v>
      </c>
      <c r="L7265">
        <f t="shared" si="226"/>
        <v>4.4000000000000004</v>
      </c>
      <c r="M7265">
        <f t="shared" si="227"/>
        <v>1</v>
      </c>
    </row>
    <row r="7266" spans="1:13" x14ac:dyDescent="0.3">
      <c r="A7266">
        <v>7264</v>
      </c>
      <c r="B7266">
        <v>7265</v>
      </c>
      <c r="C7266" t="s">
        <v>7342</v>
      </c>
      <c r="D7266">
        <v>2018</v>
      </c>
      <c r="F7266" t="s">
        <v>2833</v>
      </c>
      <c r="G7266">
        <v>0</v>
      </c>
      <c r="H7266">
        <v>0</v>
      </c>
      <c r="I7266">
        <v>1</v>
      </c>
      <c r="J7266">
        <v>0</v>
      </c>
      <c r="K7266">
        <v>0</v>
      </c>
      <c r="L7266">
        <f t="shared" si="226"/>
        <v>4.4000000000000004</v>
      </c>
      <c r="M7266">
        <f t="shared" si="227"/>
        <v>1</v>
      </c>
    </row>
    <row r="7267" spans="1:13" x14ac:dyDescent="0.3">
      <c r="A7267">
        <v>7265</v>
      </c>
      <c r="B7267">
        <v>7266</v>
      </c>
      <c r="C7267" t="s">
        <v>7343</v>
      </c>
      <c r="D7267">
        <v>2008</v>
      </c>
      <c r="E7267" t="s">
        <v>36</v>
      </c>
      <c r="F7267" t="s">
        <v>2833</v>
      </c>
      <c r="G7267">
        <v>0</v>
      </c>
      <c r="H7267">
        <v>0</v>
      </c>
      <c r="I7267">
        <v>1</v>
      </c>
      <c r="J7267">
        <v>0</v>
      </c>
      <c r="K7267">
        <v>0</v>
      </c>
      <c r="L7267">
        <f t="shared" si="226"/>
        <v>4.4000000000000004</v>
      </c>
      <c r="M7267">
        <f t="shared" si="227"/>
        <v>1</v>
      </c>
    </row>
    <row r="7268" spans="1:13" x14ac:dyDescent="0.3">
      <c r="A7268">
        <v>7266</v>
      </c>
      <c r="B7268">
        <v>7267</v>
      </c>
      <c r="C7268" t="s">
        <v>7344</v>
      </c>
      <c r="D7268">
        <v>2017</v>
      </c>
      <c r="F7268" t="s">
        <v>2833</v>
      </c>
      <c r="G7268">
        <v>0</v>
      </c>
      <c r="H7268">
        <v>0</v>
      </c>
      <c r="I7268">
        <v>1</v>
      </c>
      <c r="J7268">
        <v>0</v>
      </c>
      <c r="K7268">
        <v>0</v>
      </c>
      <c r="L7268">
        <f t="shared" si="226"/>
        <v>4.4000000000000004</v>
      </c>
      <c r="M7268">
        <f t="shared" si="227"/>
        <v>1</v>
      </c>
    </row>
    <row r="7269" spans="1:13" x14ac:dyDescent="0.3">
      <c r="A7269">
        <v>7267</v>
      </c>
      <c r="B7269">
        <v>7268</v>
      </c>
      <c r="C7269" t="s">
        <v>7345</v>
      </c>
      <c r="D7269">
        <v>2016</v>
      </c>
      <c r="F7269" t="s">
        <v>2833</v>
      </c>
      <c r="G7269">
        <v>0</v>
      </c>
      <c r="H7269">
        <v>0</v>
      </c>
      <c r="I7269">
        <v>1</v>
      </c>
      <c r="J7269">
        <v>0</v>
      </c>
      <c r="K7269">
        <v>0</v>
      </c>
      <c r="L7269">
        <f t="shared" si="226"/>
        <v>4.4000000000000004</v>
      </c>
      <c r="M7269">
        <f t="shared" si="227"/>
        <v>1</v>
      </c>
    </row>
    <row r="7270" spans="1:13" x14ac:dyDescent="0.3">
      <c r="A7270">
        <v>7268</v>
      </c>
      <c r="B7270">
        <v>7269</v>
      </c>
      <c r="C7270" t="s">
        <v>7346</v>
      </c>
      <c r="D7270">
        <v>2016</v>
      </c>
      <c r="F7270" t="s">
        <v>2833</v>
      </c>
      <c r="G7270">
        <v>0</v>
      </c>
      <c r="H7270">
        <v>0</v>
      </c>
      <c r="I7270">
        <v>1</v>
      </c>
      <c r="J7270">
        <v>0</v>
      </c>
      <c r="K7270">
        <v>0</v>
      </c>
      <c r="L7270">
        <f t="shared" si="226"/>
        <v>4.4000000000000004</v>
      </c>
      <c r="M7270">
        <f t="shared" si="227"/>
        <v>1</v>
      </c>
    </row>
    <row r="7271" spans="1:13" x14ac:dyDescent="0.3">
      <c r="A7271">
        <v>7269</v>
      </c>
      <c r="B7271">
        <v>7270</v>
      </c>
      <c r="C7271" t="s">
        <v>7347</v>
      </c>
      <c r="D7271">
        <v>2005</v>
      </c>
      <c r="F7271" t="s">
        <v>2833</v>
      </c>
      <c r="G7271">
        <v>0</v>
      </c>
      <c r="H7271">
        <v>0</v>
      </c>
      <c r="I7271">
        <v>1</v>
      </c>
      <c r="J7271">
        <v>0</v>
      </c>
      <c r="K7271">
        <v>0</v>
      </c>
      <c r="L7271">
        <f t="shared" si="226"/>
        <v>4.4000000000000004</v>
      </c>
      <c r="M7271">
        <f t="shared" si="227"/>
        <v>1</v>
      </c>
    </row>
    <row r="7272" spans="1:13" x14ac:dyDescent="0.3">
      <c r="A7272">
        <v>7270</v>
      </c>
      <c r="B7272">
        <v>7271</v>
      </c>
      <c r="C7272" t="s">
        <v>7348</v>
      </c>
      <c r="D7272">
        <v>2019</v>
      </c>
      <c r="F7272" t="s">
        <v>2833</v>
      </c>
      <c r="G7272">
        <v>0</v>
      </c>
      <c r="H7272">
        <v>0</v>
      </c>
      <c r="I7272">
        <v>1</v>
      </c>
      <c r="J7272">
        <v>0</v>
      </c>
      <c r="K7272">
        <v>0</v>
      </c>
      <c r="L7272">
        <f t="shared" si="226"/>
        <v>4.4000000000000004</v>
      </c>
      <c r="M7272">
        <f t="shared" si="227"/>
        <v>1</v>
      </c>
    </row>
    <row r="7273" spans="1:13" x14ac:dyDescent="0.3">
      <c r="A7273">
        <v>7271</v>
      </c>
      <c r="B7273">
        <v>7272</v>
      </c>
      <c r="C7273" t="s">
        <v>7349</v>
      </c>
      <c r="D7273">
        <v>2017</v>
      </c>
      <c r="E7273" t="s">
        <v>22</v>
      </c>
      <c r="F7273" t="s">
        <v>2833</v>
      </c>
      <c r="G7273">
        <v>0</v>
      </c>
      <c r="H7273">
        <v>0</v>
      </c>
      <c r="I7273">
        <v>1</v>
      </c>
      <c r="J7273">
        <v>0</v>
      </c>
      <c r="K7273">
        <v>0</v>
      </c>
      <c r="L7273">
        <f t="shared" si="226"/>
        <v>4.4000000000000004</v>
      </c>
      <c r="M7273">
        <f t="shared" si="227"/>
        <v>1</v>
      </c>
    </row>
    <row r="7274" spans="1:13" x14ac:dyDescent="0.3">
      <c r="A7274">
        <v>7272</v>
      </c>
      <c r="B7274">
        <v>7273</v>
      </c>
      <c r="C7274" t="s">
        <v>7350</v>
      </c>
      <c r="D7274">
        <v>1957</v>
      </c>
      <c r="F7274" t="s">
        <v>2833</v>
      </c>
      <c r="G7274">
        <v>0</v>
      </c>
      <c r="H7274">
        <v>0</v>
      </c>
      <c r="I7274">
        <v>1</v>
      </c>
      <c r="J7274">
        <v>0</v>
      </c>
      <c r="K7274">
        <v>0</v>
      </c>
      <c r="L7274">
        <f t="shared" si="226"/>
        <v>4.4000000000000004</v>
      </c>
      <c r="M7274">
        <f t="shared" si="227"/>
        <v>1</v>
      </c>
    </row>
    <row r="7275" spans="1:13" x14ac:dyDescent="0.3">
      <c r="A7275">
        <v>7273</v>
      </c>
      <c r="B7275">
        <v>7274</v>
      </c>
      <c r="C7275" t="s">
        <v>7351</v>
      </c>
      <c r="D7275">
        <v>2013</v>
      </c>
      <c r="E7275" t="s">
        <v>14</v>
      </c>
      <c r="F7275" t="s">
        <v>2833</v>
      </c>
      <c r="G7275">
        <v>0</v>
      </c>
      <c r="H7275">
        <v>0</v>
      </c>
      <c r="I7275">
        <v>1</v>
      </c>
      <c r="J7275">
        <v>0</v>
      </c>
      <c r="K7275">
        <v>0</v>
      </c>
      <c r="L7275">
        <f t="shared" si="226"/>
        <v>4.4000000000000004</v>
      </c>
      <c r="M7275">
        <f t="shared" si="227"/>
        <v>1</v>
      </c>
    </row>
    <row r="7276" spans="1:13" x14ac:dyDescent="0.3">
      <c r="A7276">
        <v>7274</v>
      </c>
      <c r="B7276">
        <v>7275</v>
      </c>
      <c r="C7276" t="s">
        <v>7352</v>
      </c>
      <c r="D7276">
        <v>2019</v>
      </c>
      <c r="F7276" t="s">
        <v>2833</v>
      </c>
      <c r="G7276">
        <v>0</v>
      </c>
      <c r="H7276">
        <v>0</v>
      </c>
      <c r="I7276">
        <v>1</v>
      </c>
      <c r="J7276">
        <v>0</v>
      </c>
      <c r="K7276">
        <v>0</v>
      </c>
      <c r="L7276">
        <f t="shared" si="226"/>
        <v>4.4000000000000004</v>
      </c>
      <c r="M7276">
        <f t="shared" si="227"/>
        <v>1</v>
      </c>
    </row>
    <row r="7277" spans="1:13" x14ac:dyDescent="0.3">
      <c r="A7277">
        <v>7275</v>
      </c>
      <c r="B7277">
        <v>7276</v>
      </c>
      <c r="C7277" t="s">
        <v>7353</v>
      </c>
      <c r="D7277">
        <v>2012</v>
      </c>
      <c r="E7277" t="s">
        <v>36</v>
      </c>
      <c r="F7277" t="s">
        <v>2833</v>
      </c>
      <c r="G7277">
        <v>0</v>
      </c>
      <c r="H7277">
        <v>0</v>
      </c>
      <c r="I7277">
        <v>1</v>
      </c>
      <c r="J7277">
        <v>0</v>
      </c>
      <c r="K7277">
        <v>0</v>
      </c>
      <c r="L7277">
        <f t="shared" si="226"/>
        <v>4.4000000000000004</v>
      </c>
      <c r="M7277">
        <f t="shared" si="227"/>
        <v>1</v>
      </c>
    </row>
    <row r="7278" spans="1:13" x14ac:dyDescent="0.3">
      <c r="A7278">
        <v>7276</v>
      </c>
      <c r="B7278">
        <v>7277</v>
      </c>
      <c r="C7278" t="s">
        <v>7354</v>
      </c>
      <c r="D7278">
        <v>2014</v>
      </c>
      <c r="F7278" t="s">
        <v>2833</v>
      </c>
      <c r="G7278">
        <v>0</v>
      </c>
      <c r="H7278">
        <v>0</v>
      </c>
      <c r="I7278">
        <v>1</v>
      </c>
      <c r="J7278">
        <v>0</v>
      </c>
      <c r="K7278">
        <v>0</v>
      </c>
      <c r="L7278">
        <f t="shared" si="226"/>
        <v>4.4000000000000004</v>
      </c>
      <c r="M7278">
        <f t="shared" si="227"/>
        <v>1</v>
      </c>
    </row>
    <row r="7279" spans="1:13" x14ac:dyDescent="0.3">
      <c r="A7279">
        <v>7277</v>
      </c>
      <c r="B7279">
        <v>7278</v>
      </c>
      <c r="C7279" t="s">
        <v>7355</v>
      </c>
      <c r="D7279">
        <v>1936</v>
      </c>
      <c r="F7279" t="s">
        <v>2833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f t="shared" si="226"/>
        <v>4.4000000000000004</v>
      </c>
      <c r="M7279">
        <f t="shared" si="227"/>
        <v>1</v>
      </c>
    </row>
    <row r="7280" spans="1:13" x14ac:dyDescent="0.3">
      <c r="A7280">
        <v>7278</v>
      </c>
      <c r="B7280">
        <v>7279</v>
      </c>
      <c r="C7280" t="s">
        <v>7356</v>
      </c>
      <c r="D7280">
        <v>2004</v>
      </c>
      <c r="E7280" t="s">
        <v>11</v>
      </c>
      <c r="F7280" t="s">
        <v>2833</v>
      </c>
      <c r="G7280">
        <v>0</v>
      </c>
      <c r="H7280">
        <v>0</v>
      </c>
      <c r="I7280">
        <v>1</v>
      </c>
      <c r="J7280">
        <v>0</v>
      </c>
      <c r="K7280">
        <v>0</v>
      </c>
      <c r="L7280">
        <f t="shared" si="226"/>
        <v>4.4000000000000004</v>
      </c>
      <c r="M7280">
        <f t="shared" si="227"/>
        <v>1</v>
      </c>
    </row>
    <row r="7281" spans="1:13" x14ac:dyDescent="0.3">
      <c r="A7281">
        <v>7279</v>
      </c>
      <c r="B7281">
        <v>7280</v>
      </c>
      <c r="C7281" t="s">
        <v>7357</v>
      </c>
      <c r="D7281">
        <v>2013</v>
      </c>
      <c r="F7281" t="s">
        <v>2833</v>
      </c>
      <c r="G7281">
        <v>0</v>
      </c>
      <c r="H7281">
        <v>0</v>
      </c>
      <c r="I7281">
        <v>1</v>
      </c>
      <c r="J7281">
        <v>0</v>
      </c>
      <c r="K7281">
        <v>0</v>
      </c>
      <c r="L7281">
        <f t="shared" si="226"/>
        <v>4.4000000000000004</v>
      </c>
      <c r="M7281">
        <f t="shared" si="227"/>
        <v>1</v>
      </c>
    </row>
    <row r="7282" spans="1:13" x14ac:dyDescent="0.3">
      <c r="A7282">
        <v>7280</v>
      </c>
      <c r="B7282">
        <v>7281</v>
      </c>
      <c r="C7282" t="s">
        <v>7358</v>
      </c>
      <c r="D7282">
        <v>2021</v>
      </c>
      <c r="F7282" t="s">
        <v>2833</v>
      </c>
      <c r="G7282">
        <v>0</v>
      </c>
      <c r="H7282">
        <v>0</v>
      </c>
      <c r="I7282">
        <v>1</v>
      </c>
      <c r="J7282">
        <v>0</v>
      </c>
      <c r="K7282">
        <v>0</v>
      </c>
      <c r="L7282">
        <f t="shared" si="226"/>
        <v>4.4000000000000004</v>
      </c>
      <c r="M7282">
        <f t="shared" si="227"/>
        <v>1</v>
      </c>
    </row>
    <row r="7283" spans="1:13" x14ac:dyDescent="0.3">
      <c r="A7283">
        <v>7281</v>
      </c>
      <c r="B7283">
        <v>7282</v>
      </c>
      <c r="C7283" t="s">
        <v>7359</v>
      </c>
      <c r="D7283">
        <v>2013</v>
      </c>
      <c r="F7283" t="s">
        <v>2833</v>
      </c>
      <c r="G7283">
        <v>0</v>
      </c>
      <c r="H7283">
        <v>0</v>
      </c>
      <c r="I7283">
        <v>1</v>
      </c>
      <c r="J7283">
        <v>0</v>
      </c>
      <c r="K7283">
        <v>0</v>
      </c>
      <c r="L7283">
        <f t="shared" si="226"/>
        <v>4.4000000000000004</v>
      </c>
      <c r="M7283">
        <f t="shared" si="227"/>
        <v>1</v>
      </c>
    </row>
    <row r="7284" spans="1:13" x14ac:dyDescent="0.3">
      <c r="A7284">
        <v>7282</v>
      </c>
      <c r="B7284">
        <v>7283</v>
      </c>
      <c r="C7284" t="s">
        <v>7360</v>
      </c>
      <c r="D7284">
        <v>2000</v>
      </c>
      <c r="E7284" t="s">
        <v>14</v>
      </c>
      <c r="F7284" t="s">
        <v>2833</v>
      </c>
      <c r="G7284">
        <v>0</v>
      </c>
      <c r="H7284">
        <v>0</v>
      </c>
      <c r="I7284">
        <v>1</v>
      </c>
      <c r="J7284">
        <v>0</v>
      </c>
      <c r="K7284">
        <v>0</v>
      </c>
      <c r="L7284">
        <f t="shared" si="226"/>
        <v>4.4000000000000004</v>
      </c>
      <c r="M7284">
        <f t="shared" si="227"/>
        <v>1</v>
      </c>
    </row>
    <row r="7285" spans="1:13" x14ac:dyDescent="0.3">
      <c r="A7285">
        <v>7283</v>
      </c>
      <c r="B7285">
        <v>7284</v>
      </c>
      <c r="C7285" t="s">
        <v>7361</v>
      </c>
      <c r="D7285">
        <v>2017</v>
      </c>
      <c r="E7285" t="s">
        <v>11</v>
      </c>
      <c r="F7285" t="s">
        <v>2833</v>
      </c>
      <c r="G7285">
        <v>0</v>
      </c>
      <c r="H7285">
        <v>0</v>
      </c>
      <c r="I7285">
        <v>1</v>
      </c>
      <c r="J7285">
        <v>0</v>
      </c>
      <c r="K7285">
        <v>0</v>
      </c>
      <c r="L7285">
        <f t="shared" si="226"/>
        <v>4.4000000000000004</v>
      </c>
      <c r="M7285">
        <f t="shared" si="227"/>
        <v>1</v>
      </c>
    </row>
    <row r="7286" spans="1:13" x14ac:dyDescent="0.3">
      <c r="A7286">
        <v>7284</v>
      </c>
      <c r="B7286">
        <v>7285</v>
      </c>
      <c r="C7286" t="s">
        <v>7362</v>
      </c>
      <c r="D7286">
        <v>2015</v>
      </c>
      <c r="E7286" t="s">
        <v>28</v>
      </c>
      <c r="F7286" t="s">
        <v>2833</v>
      </c>
      <c r="G7286">
        <v>0</v>
      </c>
      <c r="H7286">
        <v>0</v>
      </c>
      <c r="I7286">
        <v>1</v>
      </c>
      <c r="J7286">
        <v>0</v>
      </c>
      <c r="K7286">
        <v>0</v>
      </c>
      <c r="L7286">
        <f t="shared" si="226"/>
        <v>4.4000000000000004</v>
      </c>
      <c r="M7286">
        <f t="shared" si="227"/>
        <v>1</v>
      </c>
    </row>
    <row r="7287" spans="1:13" x14ac:dyDescent="0.3">
      <c r="A7287">
        <v>7285</v>
      </c>
      <c r="B7287">
        <v>7286</v>
      </c>
      <c r="C7287" t="s">
        <v>7363</v>
      </c>
      <c r="D7287">
        <v>1946</v>
      </c>
      <c r="F7287" t="s">
        <v>2833</v>
      </c>
      <c r="G7287">
        <v>0</v>
      </c>
      <c r="H7287">
        <v>0</v>
      </c>
      <c r="I7287">
        <v>1</v>
      </c>
      <c r="J7287">
        <v>0</v>
      </c>
      <c r="K7287">
        <v>0</v>
      </c>
      <c r="L7287">
        <f t="shared" si="226"/>
        <v>4.4000000000000004</v>
      </c>
      <c r="M7287">
        <f t="shared" si="227"/>
        <v>1</v>
      </c>
    </row>
    <row r="7288" spans="1:13" x14ac:dyDescent="0.3">
      <c r="A7288">
        <v>7286</v>
      </c>
      <c r="B7288">
        <v>7287</v>
      </c>
      <c r="C7288" t="s">
        <v>7364</v>
      </c>
      <c r="D7288">
        <v>2012</v>
      </c>
      <c r="E7288" t="s">
        <v>11</v>
      </c>
      <c r="F7288" t="s">
        <v>2833</v>
      </c>
      <c r="G7288">
        <v>0</v>
      </c>
      <c r="H7288">
        <v>0</v>
      </c>
      <c r="I7288">
        <v>1</v>
      </c>
      <c r="J7288">
        <v>0</v>
      </c>
      <c r="K7288">
        <v>0</v>
      </c>
      <c r="L7288">
        <f t="shared" si="226"/>
        <v>4.4000000000000004</v>
      </c>
      <c r="M7288">
        <f t="shared" si="227"/>
        <v>1</v>
      </c>
    </row>
    <row r="7289" spans="1:13" x14ac:dyDescent="0.3">
      <c r="A7289">
        <v>7287</v>
      </c>
      <c r="B7289">
        <v>7288</v>
      </c>
      <c r="C7289" t="s">
        <v>7365</v>
      </c>
      <c r="D7289">
        <v>1976</v>
      </c>
      <c r="E7289" t="s">
        <v>14</v>
      </c>
      <c r="F7289" t="s">
        <v>2833</v>
      </c>
      <c r="G7289">
        <v>0</v>
      </c>
      <c r="H7289">
        <v>0</v>
      </c>
      <c r="I7289">
        <v>1</v>
      </c>
      <c r="J7289">
        <v>0</v>
      </c>
      <c r="K7289">
        <v>0</v>
      </c>
      <c r="L7289">
        <f t="shared" si="226"/>
        <v>4.4000000000000004</v>
      </c>
      <c r="M7289">
        <f t="shared" si="227"/>
        <v>1</v>
      </c>
    </row>
    <row r="7290" spans="1:13" x14ac:dyDescent="0.3">
      <c r="A7290">
        <v>7288</v>
      </c>
      <c r="B7290">
        <v>7289</v>
      </c>
      <c r="C7290" t="s">
        <v>7366</v>
      </c>
      <c r="D7290">
        <v>1989</v>
      </c>
      <c r="E7290" t="s">
        <v>36</v>
      </c>
      <c r="F7290" t="s">
        <v>2833</v>
      </c>
      <c r="G7290">
        <v>0</v>
      </c>
      <c r="H7290">
        <v>0</v>
      </c>
      <c r="I7290">
        <v>1</v>
      </c>
      <c r="J7290">
        <v>0</v>
      </c>
      <c r="K7290">
        <v>0</v>
      </c>
      <c r="L7290">
        <f t="shared" si="226"/>
        <v>4.4000000000000004</v>
      </c>
      <c r="M7290">
        <f t="shared" si="227"/>
        <v>1</v>
      </c>
    </row>
    <row r="7291" spans="1:13" x14ac:dyDescent="0.3">
      <c r="A7291">
        <v>7289</v>
      </c>
      <c r="B7291">
        <v>7290</v>
      </c>
      <c r="C7291" t="s">
        <v>7367</v>
      </c>
      <c r="D7291">
        <v>2015</v>
      </c>
      <c r="F7291" t="s">
        <v>2833</v>
      </c>
      <c r="G7291">
        <v>0</v>
      </c>
      <c r="H7291">
        <v>0</v>
      </c>
      <c r="I7291">
        <v>1</v>
      </c>
      <c r="J7291">
        <v>0</v>
      </c>
      <c r="K7291">
        <v>0</v>
      </c>
      <c r="L7291">
        <f t="shared" si="226"/>
        <v>4.4000000000000004</v>
      </c>
      <c r="M7291">
        <f t="shared" si="227"/>
        <v>1</v>
      </c>
    </row>
    <row r="7292" spans="1:13" x14ac:dyDescent="0.3">
      <c r="A7292">
        <v>7290</v>
      </c>
      <c r="B7292">
        <v>7291</v>
      </c>
      <c r="C7292" t="s">
        <v>7368</v>
      </c>
      <c r="D7292">
        <v>1978</v>
      </c>
      <c r="F7292" t="s">
        <v>2833</v>
      </c>
      <c r="G7292">
        <v>0</v>
      </c>
      <c r="H7292">
        <v>0</v>
      </c>
      <c r="I7292">
        <v>1</v>
      </c>
      <c r="J7292">
        <v>0</v>
      </c>
      <c r="K7292">
        <v>0</v>
      </c>
      <c r="L7292">
        <f t="shared" si="226"/>
        <v>4.4000000000000004</v>
      </c>
      <c r="M7292">
        <f t="shared" si="227"/>
        <v>1</v>
      </c>
    </row>
    <row r="7293" spans="1:13" x14ac:dyDescent="0.3">
      <c r="A7293">
        <v>7291</v>
      </c>
      <c r="B7293">
        <v>7292</v>
      </c>
      <c r="C7293" t="s">
        <v>7369</v>
      </c>
      <c r="D7293">
        <v>2005</v>
      </c>
      <c r="F7293" t="s">
        <v>2833</v>
      </c>
      <c r="G7293">
        <v>0</v>
      </c>
      <c r="H7293">
        <v>0</v>
      </c>
      <c r="I7293">
        <v>1</v>
      </c>
      <c r="J7293">
        <v>0</v>
      </c>
      <c r="K7293">
        <v>0</v>
      </c>
      <c r="L7293">
        <f t="shared" si="226"/>
        <v>4.4000000000000004</v>
      </c>
      <c r="M7293">
        <f t="shared" si="227"/>
        <v>1</v>
      </c>
    </row>
    <row r="7294" spans="1:13" x14ac:dyDescent="0.3">
      <c r="A7294">
        <v>7292</v>
      </c>
      <c r="B7294">
        <v>7293</v>
      </c>
      <c r="C7294" t="s">
        <v>7370</v>
      </c>
      <c r="D7294">
        <v>1956</v>
      </c>
      <c r="E7294" t="s">
        <v>36</v>
      </c>
      <c r="F7294" t="s">
        <v>2833</v>
      </c>
      <c r="G7294">
        <v>0</v>
      </c>
      <c r="H7294">
        <v>0</v>
      </c>
      <c r="I7294">
        <v>1</v>
      </c>
      <c r="J7294">
        <v>0</v>
      </c>
      <c r="K7294">
        <v>0</v>
      </c>
      <c r="L7294">
        <f t="shared" si="226"/>
        <v>4.4000000000000004</v>
      </c>
      <c r="M7294">
        <f t="shared" si="227"/>
        <v>1</v>
      </c>
    </row>
    <row r="7295" spans="1:13" x14ac:dyDescent="0.3">
      <c r="A7295">
        <v>7293</v>
      </c>
      <c r="B7295">
        <v>7294</v>
      </c>
      <c r="C7295" t="s">
        <v>7371</v>
      </c>
      <c r="D7295">
        <v>2020</v>
      </c>
      <c r="E7295" t="s">
        <v>11</v>
      </c>
      <c r="F7295" t="s">
        <v>2833</v>
      </c>
      <c r="G7295">
        <v>0</v>
      </c>
      <c r="H7295">
        <v>0</v>
      </c>
      <c r="I7295">
        <v>1</v>
      </c>
      <c r="J7295">
        <v>0</v>
      </c>
      <c r="K7295">
        <v>0</v>
      </c>
      <c r="L7295">
        <f t="shared" si="226"/>
        <v>4.4000000000000004</v>
      </c>
      <c r="M7295">
        <f t="shared" si="227"/>
        <v>1</v>
      </c>
    </row>
    <row r="7296" spans="1:13" x14ac:dyDescent="0.3">
      <c r="A7296">
        <v>7294</v>
      </c>
      <c r="B7296">
        <v>7295</v>
      </c>
      <c r="C7296" t="s">
        <v>7372</v>
      </c>
      <c r="D7296">
        <v>2015</v>
      </c>
      <c r="F7296" t="s">
        <v>2833</v>
      </c>
      <c r="G7296">
        <v>0</v>
      </c>
      <c r="H7296">
        <v>0</v>
      </c>
      <c r="I7296">
        <v>1</v>
      </c>
      <c r="J7296">
        <v>0</v>
      </c>
      <c r="K7296">
        <v>0</v>
      </c>
      <c r="L7296">
        <f t="shared" si="226"/>
        <v>4.4000000000000004</v>
      </c>
      <c r="M7296">
        <f t="shared" si="227"/>
        <v>1</v>
      </c>
    </row>
    <row r="7297" spans="1:13" x14ac:dyDescent="0.3">
      <c r="A7297">
        <v>7295</v>
      </c>
      <c r="B7297">
        <v>7296</v>
      </c>
      <c r="C7297" t="s">
        <v>7373</v>
      </c>
      <c r="D7297">
        <v>2013</v>
      </c>
      <c r="F7297" t="s">
        <v>2833</v>
      </c>
      <c r="G7297">
        <v>0</v>
      </c>
      <c r="H7297">
        <v>0</v>
      </c>
      <c r="I7297">
        <v>1</v>
      </c>
      <c r="J7297">
        <v>0</v>
      </c>
      <c r="K7297">
        <v>0</v>
      </c>
      <c r="L7297">
        <f t="shared" si="226"/>
        <v>4.4000000000000004</v>
      </c>
      <c r="M7297">
        <f t="shared" si="227"/>
        <v>1</v>
      </c>
    </row>
    <row r="7298" spans="1:13" x14ac:dyDescent="0.3">
      <c r="A7298">
        <v>7296</v>
      </c>
      <c r="B7298">
        <v>7297</v>
      </c>
      <c r="C7298" t="s">
        <v>7374</v>
      </c>
      <c r="D7298">
        <v>1953</v>
      </c>
      <c r="F7298" t="s">
        <v>2833</v>
      </c>
      <c r="G7298">
        <v>0</v>
      </c>
      <c r="H7298">
        <v>0</v>
      </c>
      <c r="I7298">
        <v>1</v>
      </c>
      <c r="J7298">
        <v>0</v>
      </c>
      <c r="K7298">
        <v>0</v>
      </c>
      <c r="L7298">
        <f t="shared" si="226"/>
        <v>4.4000000000000004</v>
      </c>
      <c r="M7298">
        <f t="shared" si="227"/>
        <v>1</v>
      </c>
    </row>
    <row r="7299" spans="1:13" x14ac:dyDescent="0.3">
      <c r="A7299">
        <v>7297</v>
      </c>
      <c r="B7299">
        <v>7298</v>
      </c>
      <c r="C7299" t="s">
        <v>7375</v>
      </c>
      <c r="D7299">
        <v>2018</v>
      </c>
      <c r="F7299" t="s">
        <v>2833</v>
      </c>
      <c r="G7299">
        <v>0</v>
      </c>
      <c r="H7299">
        <v>0</v>
      </c>
      <c r="I7299">
        <v>1</v>
      </c>
      <c r="J7299">
        <v>0</v>
      </c>
      <c r="K7299">
        <v>0</v>
      </c>
      <c r="L7299">
        <f t="shared" ref="L7299:L7362" si="228">IFERROR(VALUE(LEFT(F7299,FIND("/",F7299)-1))/10,"")</f>
        <v>4.4000000000000004</v>
      </c>
      <c r="M7299">
        <f t="shared" ref="M7299:M7362" si="229">SUM(G7299:J7299)</f>
        <v>1</v>
      </c>
    </row>
    <row r="7300" spans="1:13" x14ac:dyDescent="0.3">
      <c r="A7300">
        <v>7298</v>
      </c>
      <c r="B7300">
        <v>7299</v>
      </c>
      <c r="C7300" t="s">
        <v>7376</v>
      </c>
      <c r="D7300">
        <v>1990</v>
      </c>
      <c r="F7300" t="s">
        <v>2833</v>
      </c>
      <c r="G7300">
        <v>0</v>
      </c>
      <c r="H7300">
        <v>0</v>
      </c>
      <c r="I7300">
        <v>1</v>
      </c>
      <c r="J7300">
        <v>0</v>
      </c>
      <c r="K7300">
        <v>0</v>
      </c>
      <c r="L7300">
        <f t="shared" si="228"/>
        <v>4.4000000000000004</v>
      </c>
      <c r="M7300">
        <f t="shared" si="229"/>
        <v>1</v>
      </c>
    </row>
    <row r="7301" spans="1:13" x14ac:dyDescent="0.3">
      <c r="A7301">
        <v>7299</v>
      </c>
      <c r="B7301">
        <v>7300</v>
      </c>
      <c r="C7301" t="s">
        <v>7377</v>
      </c>
      <c r="D7301">
        <v>2011</v>
      </c>
      <c r="E7301" t="s">
        <v>11</v>
      </c>
      <c r="F7301" t="s">
        <v>2833</v>
      </c>
      <c r="G7301">
        <v>0</v>
      </c>
      <c r="H7301">
        <v>0</v>
      </c>
      <c r="I7301">
        <v>1</v>
      </c>
      <c r="J7301">
        <v>0</v>
      </c>
      <c r="K7301">
        <v>0</v>
      </c>
      <c r="L7301">
        <f t="shared" si="228"/>
        <v>4.4000000000000004</v>
      </c>
      <c r="M7301">
        <f t="shared" si="229"/>
        <v>1</v>
      </c>
    </row>
    <row r="7302" spans="1:13" x14ac:dyDescent="0.3">
      <c r="A7302">
        <v>7300</v>
      </c>
      <c r="B7302">
        <v>7301</v>
      </c>
      <c r="C7302" t="s">
        <v>7378</v>
      </c>
      <c r="D7302">
        <v>2013</v>
      </c>
      <c r="E7302" t="s">
        <v>11</v>
      </c>
      <c r="F7302" t="s">
        <v>2833</v>
      </c>
      <c r="G7302">
        <v>0</v>
      </c>
      <c r="H7302">
        <v>0</v>
      </c>
      <c r="I7302">
        <v>1</v>
      </c>
      <c r="J7302">
        <v>0</v>
      </c>
      <c r="K7302">
        <v>0</v>
      </c>
      <c r="L7302">
        <f t="shared" si="228"/>
        <v>4.4000000000000004</v>
      </c>
      <c r="M7302">
        <f t="shared" si="229"/>
        <v>1</v>
      </c>
    </row>
    <row r="7303" spans="1:13" x14ac:dyDescent="0.3">
      <c r="A7303">
        <v>7301</v>
      </c>
      <c r="B7303">
        <v>7302</v>
      </c>
      <c r="C7303" t="s">
        <v>7379</v>
      </c>
      <c r="D7303">
        <v>1974</v>
      </c>
      <c r="E7303" t="s">
        <v>11</v>
      </c>
      <c r="F7303" t="s">
        <v>2833</v>
      </c>
      <c r="G7303">
        <v>0</v>
      </c>
      <c r="H7303">
        <v>0</v>
      </c>
      <c r="I7303">
        <v>1</v>
      </c>
      <c r="J7303">
        <v>0</v>
      </c>
      <c r="K7303">
        <v>0</v>
      </c>
      <c r="L7303">
        <f t="shared" si="228"/>
        <v>4.4000000000000004</v>
      </c>
      <c r="M7303">
        <f t="shared" si="229"/>
        <v>1</v>
      </c>
    </row>
    <row r="7304" spans="1:13" x14ac:dyDescent="0.3">
      <c r="A7304">
        <v>7302</v>
      </c>
      <c r="B7304">
        <v>7303</v>
      </c>
      <c r="C7304" t="s">
        <v>7380</v>
      </c>
      <c r="D7304">
        <v>2018</v>
      </c>
      <c r="E7304" t="s">
        <v>11</v>
      </c>
      <c r="F7304" t="s">
        <v>2833</v>
      </c>
      <c r="G7304">
        <v>0</v>
      </c>
      <c r="H7304">
        <v>0</v>
      </c>
      <c r="I7304">
        <v>1</v>
      </c>
      <c r="J7304">
        <v>0</v>
      </c>
      <c r="K7304">
        <v>0</v>
      </c>
      <c r="L7304">
        <f t="shared" si="228"/>
        <v>4.4000000000000004</v>
      </c>
      <c r="M7304">
        <f t="shared" si="229"/>
        <v>1</v>
      </c>
    </row>
    <row r="7305" spans="1:13" x14ac:dyDescent="0.3">
      <c r="A7305">
        <v>7303</v>
      </c>
      <c r="B7305">
        <v>7304</v>
      </c>
      <c r="C7305" t="s">
        <v>7381</v>
      </c>
      <c r="D7305">
        <v>2016</v>
      </c>
      <c r="E7305" t="s">
        <v>11</v>
      </c>
      <c r="F7305" t="s">
        <v>2833</v>
      </c>
      <c r="G7305">
        <v>0</v>
      </c>
      <c r="H7305">
        <v>0</v>
      </c>
      <c r="I7305">
        <v>1</v>
      </c>
      <c r="J7305">
        <v>0</v>
      </c>
      <c r="K7305">
        <v>0</v>
      </c>
      <c r="L7305">
        <f t="shared" si="228"/>
        <v>4.4000000000000004</v>
      </c>
      <c r="M7305">
        <f t="shared" si="229"/>
        <v>1</v>
      </c>
    </row>
    <row r="7306" spans="1:13" x14ac:dyDescent="0.3">
      <c r="A7306">
        <v>7304</v>
      </c>
      <c r="B7306">
        <v>7305</v>
      </c>
      <c r="C7306" t="s">
        <v>7382</v>
      </c>
      <c r="D7306">
        <v>2015</v>
      </c>
      <c r="F7306" t="s">
        <v>2833</v>
      </c>
      <c r="G7306">
        <v>0</v>
      </c>
      <c r="H7306">
        <v>0</v>
      </c>
      <c r="I7306">
        <v>1</v>
      </c>
      <c r="J7306">
        <v>0</v>
      </c>
      <c r="K7306">
        <v>0</v>
      </c>
      <c r="L7306">
        <f t="shared" si="228"/>
        <v>4.4000000000000004</v>
      </c>
      <c r="M7306">
        <f t="shared" si="229"/>
        <v>1</v>
      </c>
    </row>
    <row r="7307" spans="1:13" x14ac:dyDescent="0.3">
      <c r="A7307">
        <v>7305</v>
      </c>
      <c r="B7307">
        <v>7306</v>
      </c>
      <c r="C7307" t="s">
        <v>7383</v>
      </c>
      <c r="D7307">
        <v>2013</v>
      </c>
      <c r="F7307" t="s">
        <v>2833</v>
      </c>
      <c r="G7307">
        <v>0</v>
      </c>
      <c r="H7307">
        <v>0</v>
      </c>
      <c r="I7307">
        <v>1</v>
      </c>
      <c r="J7307">
        <v>0</v>
      </c>
      <c r="K7307">
        <v>0</v>
      </c>
      <c r="L7307">
        <f t="shared" si="228"/>
        <v>4.4000000000000004</v>
      </c>
      <c r="M7307">
        <f t="shared" si="229"/>
        <v>1</v>
      </c>
    </row>
    <row r="7308" spans="1:13" x14ac:dyDescent="0.3">
      <c r="A7308">
        <v>7306</v>
      </c>
      <c r="B7308">
        <v>7307</v>
      </c>
      <c r="C7308" t="s">
        <v>7384</v>
      </c>
      <c r="D7308">
        <v>2004</v>
      </c>
      <c r="E7308" t="s">
        <v>11</v>
      </c>
      <c r="F7308" t="s">
        <v>2833</v>
      </c>
      <c r="G7308">
        <v>0</v>
      </c>
      <c r="H7308">
        <v>0</v>
      </c>
      <c r="I7308">
        <v>1</v>
      </c>
      <c r="J7308">
        <v>0</v>
      </c>
      <c r="K7308">
        <v>0</v>
      </c>
      <c r="L7308">
        <f t="shared" si="228"/>
        <v>4.4000000000000004</v>
      </c>
      <c r="M7308">
        <f t="shared" si="229"/>
        <v>1</v>
      </c>
    </row>
    <row r="7309" spans="1:13" x14ac:dyDescent="0.3">
      <c r="A7309">
        <v>7307</v>
      </c>
      <c r="B7309">
        <v>7308</v>
      </c>
      <c r="C7309" t="s">
        <v>7385</v>
      </c>
      <c r="D7309">
        <v>1942</v>
      </c>
      <c r="F7309" t="s">
        <v>2833</v>
      </c>
      <c r="G7309">
        <v>0</v>
      </c>
      <c r="H7309">
        <v>0</v>
      </c>
      <c r="I7309">
        <v>1</v>
      </c>
      <c r="J7309">
        <v>0</v>
      </c>
      <c r="K7309">
        <v>0</v>
      </c>
      <c r="L7309">
        <f t="shared" si="228"/>
        <v>4.4000000000000004</v>
      </c>
      <c r="M7309">
        <f t="shared" si="229"/>
        <v>1</v>
      </c>
    </row>
    <row r="7310" spans="1:13" x14ac:dyDescent="0.3">
      <c r="A7310">
        <v>7308</v>
      </c>
      <c r="B7310">
        <v>7309</v>
      </c>
      <c r="C7310" t="s">
        <v>7386</v>
      </c>
      <c r="D7310">
        <v>2017</v>
      </c>
      <c r="E7310" t="s">
        <v>14</v>
      </c>
      <c r="F7310" t="s">
        <v>2833</v>
      </c>
      <c r="G7310">
        <v>0</v>
      </c>
      <c r="H7310">
        <v>0</v>
      </c>
      <c r="I7310">
        <v>1</v>
      </c>
      <c r="J7310">
        <v>0</v>
      </c>
      <c r="K7310">
        <v>0</v>
      </c>
      <c r="L7310">
        <f t="shared" si="228"/>
        <v>4.4000000000000004</v>
      </c>
      <c r="M7310">
        <f t="shared" si="229"/>
        <v>1</v>
      </c>
    </row>
    <row r="7311" spans="1:13" x14ac:dyDescent="0.3">
      <c r="A7311">
        <v>7309</v>
      </c>
      <c r="B7311">
        <v>7310</v>
      </c>
      <c r="C7311" t="s">
        <v>7387</v>
      </c>
      <c r="D7311">
        <v>2013</v>
      </c>
      <c r="E7311" t="s">
        <v>14</v>
      </c>
      <c r="F7311" t="s">
        <v>2833</v>
      </c>
      <c r="G7311">
        <v>0</v>
      </c>
      <c r="H7311">
        <v>0</v>
      </c>
      <c r="I7311">
        <v>1</v>
      </c>
      <c r="J7311">
        <v>0</v>
      </c>
      <c r="K7311">
        <v>0</v>
      </c>
      <c r="L7311">
        <f t="shared" si="228"/>
        <v>4.4000000000000004</v>
      </c>
      <c r="M7311">
        <f t="shared" si="229"/>
        <v>1</v>
      </c>
    </row>
    <row r="7312" spans="1:13" x14ac:dyDescent="0.3">
      <c r="A7312">
        <v>7310</v>
      </c>
      <c r="B7312">
        <v>7311</v>
      </c>
      <c r="C7312" t="s">
        <v>7388</v>
      </c>
      <c r="D7312">
        <v>2012</v>
      </c>
      <c r="E7312" t="s">
        <v>14</v>
      </c>
      <c r="F7312" t="s">
        <v>2833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f t="shared" si="228"/>
        <v>4.4000000000000004</v>
      </c>
      <c r="M7312">
        <f t="shared" si="229"/>
        <v>1</v>
      </c>
    </row>
    <row r="7313" spans="1:13" x14ac:dyDescent="0.3">
      <c r="A7313">
        <v>7311</v>
      </c>
      <c r="B7313">
        <v>7312</v>
      </c>
      <c r="C7313" t="s">
        <v>7389</v>
      </c>
      <c r="D7313">
        <v>2013</v>
      </c>
      <c r="E7313" t="s">
        <v>14</v>
      </c>
      <c r="F7313" t="s">
        <v>2833</v>
      </c>
      <c r="G7313">
        <v>0</v>
      </c>
      <c r="H7313">
        <v>0</v>
      </c>
      <c r="I7313">
        <v>1</v>
      </c>
      <c r="J7313">
        <v>0</v>
      </c>
      <c r="K7313">
        <v>0</v>
      </c>
      <c r="L7313">
        <f t="shared" si="228"/>
        <v>4.4000000000000004</v>
      </c>
      <c r="M7313">
        <f t="shared" si="229"/>
        <v>1</v>
      </c>
    </row>
    <row r="7314" spans="1:13" x14ac:dyDescent="0.3">
      <c r="A7314">
        <v>7312</v>
      </c>
      <c r="B7314">
        <v>7313</v>
      </c>
      <c r="C7314" t="s">
        <v>7390</v>
      </c>
      <c r="D7314">
        <v>1945</v>
      </c>
      <c r="E7314" t="s">
        <v>36</v>
      </c>
      <c r="F7314" t="s">
        <v>2833</v>
      </c>
      <c r="G7314">
        <v>0</v>
      </c>
      <c r="H7314">
        <v>0</v>
      </c>
      <c r="I7314">
        <v>1</v>
      </c>
      <c r="J7314">
        <v>0</v>
      </c>
      <c r="K7314">
        <v>0</v>
      </c>
      <c r="L7314">
        <f t="shared" si="228"/>
        <v>4.4000000000000004</v>
      </c>
      <c r="M7314">
        <f t="shared" si="229"/>
        <v>1</v>
      </c>
    </row>
    <row r="7315" spans="1:13" x14ac:dyDescent="0.3">
      <c r="A7315">
        <v>7313</v>
      </c>
      <c r="B7315">
        <v>7314</v>
      </c>
      <c r="C7315" t="s">
        <v>7391</v>
      </c>
      <c r="D7315">
        <v>1988</v>
      </c>
      <c r="E7315" t="s">
        <v>14</v>
      </c>
      <c r="F7315" t="s">
        <v>2833</v>
      </c>
      <c r="G7315">
        <v>0</v>
      </c>
      <c r="H7315">
        <v>0</v>
      </c>
      <c r="I7315">
        <v>1</v>
      </c>
      <c r="J7315">
        <v>0</v>
      </c>
      <c r="K7315">
        <v>0</v>
      </c>
      <c r="L7315">
        <f t="shared" si="228"/>
        <v>4.4000000000000004</v>
      </c>
      <c r="M7315">
        <f t="shared" si="229"/>
        <v>1</v>
      </c>
    </row>
    <row r="7316" spans="1:13" x14ac:dyDescent="0.3">
      <c r="A7316">
        <v>7314</v>
      </c>
      <c r="B7316">
        <v>7315</v>
      </c>
      <c r="C7316" t="s">
        <v>7392</v>
      </c>
      <c r="D7316">
        <v>1916</v>
      </c>
      <c r="F7316" t="s">
        <v>2833</v>
      </c>
      <c r="G7316">
        <v>0</v>
      </c>
      <c r="H7316">
        <v>0</v>
      </c>
      <c r="I7316">
        <v>1</v>
      </c>
      <c r="J7316">
        <v>0</v>
      </c>
      <c r="K7316">
        <v>0</v>
      </c>
      <c r="L7316">
        <f t="shared" si="228"/>
        <v>4.4000000000000004</v>
      </c>
      <c r="M7316">
        <f t="shared" si="229"/>
        <v>1</v>
      </c>
    </row>
    <row r="7317" spans="1:13" x14ac:dyDescent="0.3">
      <c r="A7317">
        <v>7315</v>
      </c>
      <c r="B7317">
        <v>7316</v>
      </c>
      <c r="C7317" t="s">
        <v>7393</v>
      </c>
      <c r="D7317">
        <v>1971</v>
      </c>
      <c r="E7317" t="s">
        <v>36</v>
      </c>
      <c r="F7317" t="s">
        <v>2833</v>
      </c>
      <c r="G7317">
        <v>0</v>
      </c>
      <c r="H7317">
        <v>0</v>
      </c>
      <c r="I7317">
        <v>1</v>
      </c>
      <c r="J7317">
        <v>0</v>
      </c>
      <c r="K7317">
        <v>0</v>
      </c>
      <c r="L7317">
        <f t="shared" si="228"/>
        <v>4.4000000000000004</v>
      </c>
      <c r="M7317">
        <f t="shared" si="229"/>
        <v>1</v>
      </c>
    </row>
    <row r="7318" spans="1:13" x14ac:dyDescent="0.3">
      <c r="A7318">
        <v>7316</v>
      </c>
      <c r="B7318">
        <v>7317</v>
      </c>
      <c r="C7318" t="s">
        <v>7394</v>
      </c>
      <c r="D7318">
        <v>1943</v>
      </c>
      <c r="F7318" t="s">
        <v>2833</v>
      </c>
      <c r="G7318">
        <v>0</v>
      </c>
      <c r="H7318">
        <v>0</v>
      </c>
      <c r="I7318">
        <v>1</v>
      </c>
      <c r="J7318">
        <v>0</v>
      </c>
      <c r="K7318">
        <v>0</v>
      </c>
      <c r="L7318">
        <f t="shared" si="228"/>
        <v>4.4000000000000004</v>
      </c>
      <c r="M7318">
        <f t="shared" si="229"/>
        <v>1</v>
      </c>
    </row>
    <row r="7319" spans="1:13" x14ac:dyDescent="0.3">
      <c r="A7319">
        <v>7317</v>
      </c>
      <c r="B7319">
        <v>7318</v>
      </c>
      <c r="C7319" t="s">
        <v>7395</v>
      </c>
      <c r="D7319">
        <v>2010</v>
      </c>
      <c r="F7319" t="s">
        <v>2833</v>
      </c>
      <c r="G7319">
        <v>0</v>
      </c>
      <c r="H7319">
        <v>0</v>
      </c>
      <c r="I7319">
        <v>1</v>
      </c>
      <c r="J7319">
        <v>0</v>
      </c>
      <c r="K7319">
        <v>0</v>
      </c>
      <c r="L7319">
        <f t="shared" si="228"/>
        <v>4.4000000000000004</v>
      </c>
      <c r="M7319">
        <f t="shared" si="229"/>
        <v>1</v>
      </c>
    </row>
    <row r="7320" spans="1:13" x14ac:dyDescent="0.3">
      <c r="A7320">
        <v>7318</v>
      </c>
      <c r="B7320">
        <v>7319</v>
      </c>
      <c r="C7320" t="s">
        <v>7396</v>
      </c>
      <c r="D7320">
        <v>1979</v>
      </c>
      <c r="E7320" t="s">
        <v>14</v>
      </c>
      <c r="F7320" t="s">
        <v>2833</v>
      </c>
      <c r="G7320">
        <v>0</v>
      </c>
      <c r="H7320">
        <v>0</v>
      </c>
      <c r="I7320">
        <v>1</v>
      </c>
      <c r="J7320">
        <v>0</v>
      </c>
      <c r="K7320">
        <v>0</v>
      </c>
      <c r="L7320">
        <f t="shared" si="228"/>
        <v>4.4000000000000004</v>
      </c>
      <c r="M7320">
        <f t="shared" si="229"/>
        <v>1</v>
      </c>
    </row>
    <row r="7321" spans="1:13" x14ac:dyDescent="0.3">
      <c r="A7321">
        <v>7319</v>
      </c>
      <c r="B7321">
        <v>7320</v>
      </c>
      <c r="C7321" t="s">
        <v>7397</v>
      </c>
      <c r="D7321">
        <v>2020</v>
      </c>
      <c r="F7321" t="s">
        <v>2833</v>
      </c>
      <c r="G7321">
        <v>0</v>
      </c>
      <c r="H7321">
        <v>0</v>
      </c>
      <c r="I7321">
        <v>1</v>
      </c>
      <c r="J7321">
        <v>0</v>
      </c>
      <c r="K7321">
        <v>0</v>
      </c>
      <c r="L7321">
        <f t="shared" si="228"/>
        <v>4.4000000000000004</v>
      </c>
      <c r="M7321">
        <f t="shared" si="229"/>
        <v>1</v>
      </c>
    </row>
    <row r="7322" spans="1:13" x14ac:dyDescent="0.3">
      <c r="A7322">
        <v>7320</v>
      </c>
      <c r="B7322">
        <v>7321</v>
      </c>
      <c r="C7322" t="s">
        <v>7398</v>
      </c>
      <c r="D7322">
        <v>2012</v>
      </c>
      <c r="E7322" t="s">
        <v>11</v>
      </c>
      <c r="F7322" t="s">
        <v>2833</v>
      </c>
      <c r="G7322">
        <v>0</v>
      </c>
      <c r="H7322">
        <v>0</v>
      </c>
      <c r="I7322">
        <v>1</v>
      </c>
      <c r="J7322">
        <v>0</v>
      </c>
      <c r="K7322">
        <v>0</v>
      </c>
      <c r="L7322">
        <f t="shared" si="228"/>
        <v>4.4000000000000004</v>
      </c>
      <c r="M7322">
        <f t="shared" si="229"/>
        <v>1</v>
      </c>
    </row>
    <row r="7323" spans="1:13" x14ac:dyDescent="0.3">
      <c r="A7323">
        <v>7321</v>
      </c>
      <c r="B7323">
        <v>7322</v>
      </c>
      <c r="C7323" t="s">
        <v>7399</v>
      </c>
      <c r="D7323">
        <v>2012</v>
      </c>
      <c r="F7323" t="s">
        <v>2833</v>
      </c>
      <c r="G7323">
        <v>0</v>
      </c>
      <c r="H7323">
        <v>0</v>
      </c>
      <c r="I7323">
        <v>1</v>
      </c>
      <c r="J7323">
        <v>0</v>
      </c>
      <c r="K7323">
        <v>0</v>
      </c>
      <c r="L7323">
        <f t="shared" si="228"/>
        <v>4.4000000000000004</v>
      </c>
      <c r="M7323">
        <f t="shared" si="229"/>
        <v>1</v>
      </c>
    </row>
    <row r="7324" spans="1:13" x14ac:dyDescent="0.3">
      <c r="A7324">
        <v>7322</v>
      </c>
      <c r="B7324">
        <v>7323</v>
      </c>
      <c r="C7324" t="s">
        <v>7400</v>
      </c>
      <c r="D7324">
        <v>2016</v>
      </c>
      <c r="F7324" t="s">
        <v>2833</v>
      </c>
      <c r="G7324">
        <v>0</v>
      </c>
      <c r="H7324">
        <v>0</v>
      </c>
      <c r="I7324">
        <v>1</v>
      </c>
      <c r="J7324">
        <v>0</v>
      </c>
      <c r="K7324">
        <v>0</v>
      </c>
      <c r="L7324">
        <f t="shared" si="228"/>
        <v>4.4000000000000004</v>
      </c>
      <c r="M7324">
        <f t="shared" si="229"/>
        <v>1</v>
      </c>
    </row>
    <row r="7325" spans="1:13" x14ac:dyDescent="0.3">
      <c r="A7325">
        <v>7323</v>
      </c>
      <c r="B7325">
        <v>7324</v>
      </c>
      <c r="C7325" t="s">
        <v>7401</v>
      </c>
      <c r="D7325">
        <v>2014</v>
      </c>
      <c r="E7325" t="s">
        <v>22</v>
      </c>
      <c r="F7325" t="s">
        <v>2833</v>
      </c>
      <c r="G7325">
        <v>0</v>
      </c>
      <c r="H7325">
        <v>0</v>
      </c>
      <c r="I7325">
        <v>1</v>
      </c>
      <c r="J7325">
        <v>0</v>
      </c>
      <c r="K7325">
        <v>0</v>
      </c>
      <c r="L7325">
        <f t="shared" si="228"/>
        <v>4.4000000000000004</v>
      </c>
      <c r="M7325">
        <f t="shared" si="229"/>
        <v>1</v>
      </c>
    </row>
    <row r="7326" spans="1:13" x14ac:dyDescent="0.3">
      <c r="A7326">
        <v>7324</v>
      </c>
      <c r="B7326">
        <v>7325</v>
      </c>
      <c r="C7326" t="s">
        <v>7402</v>
      </c>
      <c r="D7326">
        <v>2016</v>
      </c>
      <c r="F7326" t="s">
        <v>2833</v>
      </c>
      <c r="G7326">
        <v>0</v>
      </c>
      <c r="H7326">
        <v>0</v>
      </c>
      <c r="I7326">
        <v>1</v>
      </c>
      <c r="J7326">
        <v>0</v>
      </c>
      <c r="K7326">
        <v>0</v>
      </c>
      <c r="L7326">
        <f t="shared" si="228"/>
        <v>4.4000000000000004</v>
      </c>
      <c r="M7326">
        <f t="shared" si="229"/>
        <v>1</v>
      </c>
    </row>
    <row r="7327" spans="1:13" x14ac:dyDescent="0.3">
      <c r="A7327">
        <v>7325</v>
      </c>
      <c r="B7327">
        <v>7326</v>
      </c>
      <c r="C7327" t="s">
        <v>7403</v>
      </c>
      <c r="D7327">
        <v>2016</v>
      </c>
      <c r="E7327" t="s">
        <v>14</v>
      </c>
      <c r="F7327" t="s">
        <v>2833</v>
      </c>
      <c r="G7327">
        <v>0</v>
      </c>
      <c r="H7327">
        <v>0</v>
      </c>
      <c r="I7327">
        <v>1</v>
      </c>
      <c r="J7327">
        <v>0</v>
      </c>
      <c r="K7327">
        <v>0</v>
      </c>
      <c r="L7327">
        <f t="shared" si="228"/>
        <v>4.4000000000000004</v>
      </c>
      <c r="M7327">
        <f t="shared" si="229"/>
        <v>1</v>
      </c>
    </row>
    <row r="7328" spans="1:13" x14ac:dyDescent="0.3">
      <c r="A7328">
        <v>7326</v>
      </c>
      <c r="B7328">
        <v>7327</v>
      </c>
      <c r="C7328" t="s">
        <v>7404</v>
      </c>
      <c r="D7328">
        <v>1949</v>
      </c>
      <c r="F7328" t="s">
        <v>2833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f t="shared" si="228"/>
        <v>4.4000000000000004</v>
      </c>
      <c r="M7328">
        <f t="shared" si="229"/>
        <v>1</v>
      </c>
    </row>
    <row r="7329" spans="1:13" x14ac:dyDescent="0.3">
      <c r="A7329">
        <v>7327</v>
      </c>
      <c r="B7329">
        <v>7328</v>
      </c>
      <c r="C7329" t="s">
        <v>7405</v>
      </c>
      <c r="D7329">
        <v>2010</v>
      </c>
      <c r="E7329" t="s">
        <v>22</v>
      </c>
      <c r="F7329" t="s">
        <v>2833</v>
      </c>
      <c r="G7329">
        <v>0</v>
      </c>
      <c r="H7329">
        <v>0</v>
      </c>
      <c r="I7329">
        <v>1</v>
      </c>
      <c r="J7329">
        <v>0</v>
      </c>
      <c r="K7329">
        <v>0</v>
      </c>
      <c r="L7329">
        <f t="shared" si="228"/>
        <v>4.4000000000000004</v>
      </c>
      <c r="M7329">
        <f t="shared" si="229"/>
        <v>1</v>
      </c>
    </row>
    <row r="7330" spans="1:13" x14ac:dyDescent="0.3">
      <c r="A7330">
        <v>7328</v>
      </c>
      <c r="B7330">
        <v>7329</v>
      </c>
      <c r="C7330" t="s">
        <v>7406</v>
      </c>
      <c r="D7330">
        <v>2013</v>
      </c>
      <c r="F7330" t="s">
        <v>2833</v>
      </c>
      <c r="G7330">
        <v>0</v>
      </c>
      <c r="H7330">
        <v>0</v>
      </c>
      <c r="I7330">
        <v>1</v>
      </c>
      <c r="J7330">
        <v>0</v>
      </c>
      <c r="K7330">
        <v>0</v>
      </c>
      <c r="L7330">
        <f t="shared" si="228"/>
        <v>4.4000000000000004</v>
      </c>
      <c r="M7330">
        <f t="shared" si="229"/>
        <v>1</v>
      </c>
    </row>
    <row r="7331" spans="1:13" x14ac:dyDescent="0.3">
      <c r="A7331">
        <v>7329</v>
      </c>
      <c r="B7331">
        <v>7330</v>
      </c>
      <c r="C7331" t="s">
        <v>7407</v>
      </c>
      <c r="D7331">
        <v>2017</v>
      </c>
      <c r="F7331" t="s">
        <v>2833</v>
      </c>
      <c r="G7331">
        <v>0</v>
      </c>
      <c r="H7331">
        <v>0</v>
      </c>
      <c r="I7331">
        <v>1</v>
      </c>
      <c r="J7331">
        <v>0</v>
      </c>
      <c r="K7331">
        <v>0</v>
      </c>
      <c r="L7331">
        <f t="shared" si="228"/>
        <v>4.4000000000000004</v>
      </c>
      <c r="M7331">
        <f t="shared" si="229"/>
        <v>1</v>
      </c>
    </row>
    <row r="7332" spans="1:13" x14ac:dyDescent="0.3">
      <c r="A7332">
        <v>7330</v>
      </c>
      <c r="B7332">
        <v>7331</v>
      </c>
      <c r="C7332" t="s">
        <v>7408</v>
      </c>
      <c r="D7332">
        <v>2002</v>
      </c>
      <c r="E7332" t="s">
        <v>14</v>
      </c>
      <c r="F7332" t="s">
        <v>2833</v>
      </c>
      <c r="G7332">
        <v>0</v>
      </c>
      <c r="H7332">
        <v>0</v>
      </c>
      <c r="I7332">
        <v>1</v>
      </c>
      <c r="J7332">
        <v>0</v>
      </c>
      <c r="K7332">
        <v>0</v>
      </c>
      <c r="L7332">
        <f t="shared" si="228"/>
        <v>4.4000000000000004</v>
      </c>
      <c r="M7332">
        <f t="shared" si="229"/>
        <v>1</v>
      </c>
    </row>
    <row r="7333" spans="1:13" x14ac:dyDescent="0.3">
      <c r="A7333">
        <v>7331</v>
      </c>
      <c r="B7333">
        <v>7332</v>
      </c>
      <c r="C7333" t="s">
        <v>7409</v>
      </c>
      <c r="D7333">
        <v>2016</v>
      </c>
      <c r="F7333" t="s">
        <v>2833</v>
      </c>
      <c r="G7333">
        <v>0</v>
      </c>
      <c r="H7333">
        <v>0</v>
      </c>
      <c r="I7333">
        <v>1</v>
      </c>
      <c r="J7333">
        <v>0</v>
      </c>
      <c r="K7333">
        <v>0</v>
      </c>
      <c r="L7333">
        <f t="shared" si="228"/>
        <v>4.4000000000000004</v>
      </c>
      <c r="M7333">
        <f t="shared" si="229"/>
        <v>1</v>
      </c>
    </row>
    <row r="7334" spans="1:13" x14ac:dyDescent="0.3">
      <c r="A7334">
        <v>7332</v>
      </c>
      <c r="B7334">
        <v>7333</v>
      </c>
      <c r="C7334" t="s">
        <v>7410</v>
      </c>
      <c r="D7334">
        <v>2012</v>
      </c>
      <c r="F7334" t="s">
        <v>2833</v>
      </c>
      <c r="G7334">
        <v>0</v>
      </c>
      <c r="H7334">
        <v>0</v>
      </c>
      <c r="I7334">
        <v>1</v>
      </c>
      <c r="J7334">
        <v>0</v>
      </c>
      <c r="K7334">
        <v>0</v>
      </c>
      <c r="L7334">
        <f t="shared" si="228"/>
        <v>4.4000000000000004</v>
      </c>
      <c r="M7334">
        <f t="shared" si="229"/>
        <v>1</v>
      </c>
    </row>
    <row r="7335" spans="1:13" x14ac:dyDescent="0.3">
      <c r="A7335">
        <v>7333</v>
      </c>
      <c r="B7335">
        <v>7334</v>
      </c>
      <c r="C7335" t="s">
        <v>7411</v>
      </c>
      <c r="D7335">
        <v>2002</v>
      </c>
      <c r="E7335" t="s">
        <v>11</v>
      </c>
      <c r="F7335" t="s">
        <v>2833</v>
      </c>
      <c r="G7335">
        <v>0</v>
      </c>
      <c r="H7335">
        <v>0</v>
      </c>
      <c r="I7335">
        <v>1</v>
      </c>
      <c r="J7335">
        <v>0</v>
      </c>
      <c r="K7335">
        <v>0</v>
      </c>
      <c r="L7335">
        <f t="shared" si="228"/>
        <v>4.4000000000000004</v>
      </c>
      <c r="M7335">
        <f t="shared" si="229"/>
        <v>1</v>
      </c>
    </row>
    <row r="7336" spans="1:13" x14ac:dyDescent="0.3">
      <c r="A7336">
        <v>7334</v>
      </c>
      <c r="B7336">
        <v>7335</v>
      </c>
      <c r="C7336" t="s">
        <v>7412</v>
      </c>
      <c r="D7336">
        <v>1953</v>
      </c>
      <c r="F7336" t="s">
        <v>2833</v>
      </c>
      <c r="G7336">
        <v>0</v>
      </c>
      <c r="H7336">
        <v>0</v>
      </c>
      <c r="I7336">
        <v>1</v>
      </c>
      <c r="J7336">
        <v>0</v>
      </c>
      <c r="K7336">
        <v>0</v>
      </c>
      <c r="L7336">
        <f t="shared" si="228"/>
        <v>4.4000000000000004</v>
      </c>
      <c r="M7336">
        <f t="shared" si="229"/>
        <v>1</v>
      </c>
    </row>
    <row r="7337" spans="1:13" x14ac:dyDescent="0.3">
      <c r="A7337">
        <v>7335</v>
      </c>
      <c r="B7337">
        <v>7336</v>
      </c>
      <c r="C7337" t="s">
        <v>7413</v>
      </c>
      <c r="D7337">
        <v>2021</v>
      </c>
      <c r="F7337" t="s">
        <v>2833</v>
      </c>
      <c r="G7337">
        <v>0</v>
      </c>
      <c r="H7337">
        <v>0</v>
      </c>
      <c r="I7337">
        <v>1</v>
      </c>
      <c r="J7337">
        <v>0</v>
      </c>
      <c r="K7337">
        <v>0</v>
      </c>
      <c r="L7337">
        <f t="shared" si="228"/>
        <v>4.4000000000000004</v>
      </c>
      <c r="M7337">
        <f t="shared" si="229"/>
        <v>1</v>
      </c>
    </row>
    <row r="7338" spans="1:13" x14ac:dyDescent="0.3">
      <c r="A7338">
        <v>7336</v>
      </c>
      <c r="B7338">
        <v>7337</v>
      </c>
      <c r="C7338" t="s">
        <v>7414</v>
      </c>
      <c r="D7338">
        <v>2021</v>
      </c>
      <c r="F7338" t="s">
        <v>2833</v>
      </c>
      <c r="G7338">
        <v>0</v>
      </c>
      <c r="H7338">
        <v>0</v>
      </c>
      <c r="I7338">
        <v>1</v>
      </c>
      <c r="J7338">
        <v>0</v>
      </c>
      <c r="K7338">
        <v>0</v>
      </c>
      <c r="L7338">
        <f t="shared" si="228"/>
        <v>4.4000000000000004</v>
      </c>
      <c r="M7338">
        <f t="shared" si="229"/>
        <v>1</v>
      </c>
    </row>
    <row r="7339" spans="1:13" x14ac:dyDescent="0.3">
      <c r="A7339">
        <v>7337</v>
      </c>
      <c r="B7339">
        <v>7338</v>
      </c>
      <c r="C7339" t="s">
        <v>7415</v>
      </c>
      <c r="D7339">
        <v>2021</v>
      </c>
      <c r="F7339" t="s">
        <v>2941</v>
      </c>
      <c r="G7339">
        <v>0</v>
      </c>
      <c r="H7339">
        <v>0</v>
      </c>
      <c r="I7339">
        <v>1</v>
      </c>
      <c r="J7339">
        <v>0</v>
      </c>
      <c r="K7339">
        <v>0</v>
      </c>
      <c r="L7339">
        <f t="shared" si="228"/>
        <v>4.3</v>
      </c>
      <c r="M7339">
        <f t="shared" si="229"/>
        <v>1</v>
      </c>
    </row>
    <row r="7340" spans="1:13" x14ac:dyDescent="0.3">
      <c r="A7340">
        <v>7338</v>
      </c>
      <c r="B7340">
        <v>7339</v>
      </c>
      <c r="C7340" t="s">
        <v>7416</v>
      </c>
      <c r="D7340">
        <v>2016</v>
      </c>
      <c r="F7340" t="s">
        <v>2941</v>
      </c>
      <c r="G7340">
        <v>0</v>
      </c>
      <c r="H7340">
        <v>0</v>
      </c>
      <c r="I7340">
        <v>1</v>
      </c>
      <c r="J7340">
        <v>0</v>
      </c>
      <c r="K7340">
        <v>0</v>
      </c>
      <c r="L7340">
        <f t="shared" si="228"/>
        <v>4.3</v>
      </c>
      <c r="M7340">
        <f t="shared" si="229"/>
        <v>1</v>
      </c>
    </row>
    <row r="7341" spans="1:13" x14ac:dyDescent="0.3">
      <c r="A7341">
        <v>7339</v>
      </c>
      <c r="B7341">
        <v>7340</v>
      </c>
      <c r="C7341" t="s">
        <v>7417</v>
      </c>
      <c r="D7341">
        <v>1936</v>
      </c>
      <c r="F7341" t="s">
        <v>2941</v>
      </c>
      <c r="G7341">
        <v>0</v>
      </c>
      <c r="H7341">
        <v>0</v>
      </c>
      <c r="I7341">
        <v>1</v>
      </c>
      <c r="J7341">
        <v>0</v>
      </c>
      <c r="K7341">
        <v>0</v>
      </c>
      <c r="L7341">
        <f t="shared" si="228"/>
        <v>4.3</v>
      </c>
      <c r="M7341">
        <f t="shared" si="229"/>
        <v>1</v>
      </c>
    </row>
    <row r="7342" spans="1:13" x14ac:dyDescent="0.3">
      <c r="A7342">
        <v>7340</v>
      </c>
      <c r="B7342">
        <v>7341</v>
      </c>
      <c r="C7342" t="s">
        <v>7418</v>
      </c>
      <c r="D7342">
        <v>2019</v>
      </c>
      <c r="F7342" t="s">
        <v>2941</v>
      </c>
      <c r="G7342">
        <v>0</v>
      </c>
      <c r="H7342">
        <v>0</v>
      </c>
      <c r="I7342">
        <v>1</v>
      </c>
      <c r="J7342">
        <v>0</v>
      </c>
      <c r="K7342">
        <v>0</v>
      </c>
      <c r="L7342">
        <f t="shared" si="228"/>
        <v>4.3</v>
      </c>
      <c r="M7342">
        <f t="shared" si="229"/>
        <v>1</v>
      </c>
    </row>
    <row r="7343" spans="1:13" x14ac:dyDescent="0.3">
      <c r="A7343">
        <v>7341</v>
      </c>
      <c r="B7343">
        <v>7342</v>
      </c>
      <c r="C7343" t="s">
        <v>7419</v>
      </c>
      <c r="D7343">
        <v>2019</v>
      </c>
      <c r="F7343" t="s">
        <v>2941</v>
      </c>
      <c r="G7343">
        <v>0</v>
      </c>
      <c r="H7343">
        <v>0</v>
      </c>
      <c r="I7343">
        <v>1</v>
      </c>
      <c r="J7343">
        <v>0</v>
      </c>
      <c r="K7343">
        <v>0</v>
      </c>
      <c r="L7343">
        <f t="shared" si="228"/>
        <v>4.3</v>
      </c>
      <c r="M7343">
        <f t="shared" si="229"/>
        <v>1</v>
      </c>
    </row>
    <row r="7344" spans="1:13" x14ac:dyDescent="0.3">
      <c r="A7344">
        <v>7342</v>
      </c>
      <c r="B7344">
        <v>7343</v>
      </c>
      <c r="C7344" t="s">
        <v>7420</v>
      </c>
      <c r="D7344">
        <v>2015</v>
      </c>
      <c r="F7344" t="s">
        <v>2941</v>
      </c>
      <c r="G7344">
        <v>0</v>
      </c>
      <c r="H7344">
        <v>0</v>
      </c>
      <c r="I7344">
        <v>1</v>
      </c>
      <c r="J7344">
        <v>0</v>
      </c>
      <c r="K7344">
        <v>0</v>
      </c>
      <c r="L7344">
        <f t="shared" si="228"/>
        <v>4.3</v>
      </c>
      <c r="M7344">
        <f t="shared" si="229"/>
        <v>1</v>
      </c>
    </row>
    <row r="7345" spans="1:13" x14ac:dyDescent="0.3">
      <c r="A7345">
        <v>7343</v>
      </c>
      <c r="B7345">
        <v>7344</v>
      </c>
      <c r="C7345" t="s">
        <v>7421</v>
      </c>
      <c r="D7345">
        <v>2003</v>
      </c>
      <c r="E7345" t="s">
        <v>36</v>
      </c>
      <c r="F7345" t="s">
        <v>2941</v>
      </c>
      <c r="G7345">
        <v>0</v>
      </c>
      <c r="H7345">
        <v>0</v>
      </c>
      <c r="I7345">
        <v>1</v>
      </c>
      <c r="J7345">
        <v>0</v>
      </c>
      <c r="K7345">
        <v>0</v>
      </c>
      <c r="L7345">
        <f t="shared" si="228"/>
        <v>4.3</v>
      </c>
      <c r="M7345">
        <f t="shared" si="229"/>
        <v>1</v>
      </c>
    </row>
    <row r="7346" spans="1:13" x14ac:dyDescent="0.3">
      <c r="A7346">
        <v>7344</v>
      </c>
      <c r="B7346">
        <v>7345</v>
      </c>
      <c r="C7346" t="s">
        <v>7422</v>
      </c>
      <c r="D7346">
        <v>1933</v>
      </c>
      <c r="F7346" t="s">
        <v>2941</v>
      </c>
      <c r="G7346">
        <v>0</v>
      </c>
      <c r="H7346">
        <v>0</v>
      </c>
      <c r="I7346">
        <v>1</v>
      </c>
      <c r="J7346">
        <v>0</v>
      </c>
      <c r="K7346">
        <v>0</v>
      </c>
      <c r="L7346">
        <f t="shared" si="228"/>
        <v>4.3</v>
      </c>
      <c r="M7346">
        <f t="shared" si="229"/>
        <v>1</v>
      </c>
    </row>
    <row r="7347" spans="1:13" x14ac:dyDescent="0.3">
      <c r="A7347">
        <v>7345</v>
      </c>
      <c r="B7347">
        <v>7346</v>
      </c>
      <c r="C7347" t="s">
        <v>7423</v>
      </c>
      <c r="D7347">
        <v>2014</v>
      </c>
      <c r="E7347" t="s">
        <v>14</v>
      </c>
      <c r="F7347" t="s">
        <v>2941</v>
      </c>
      <c r="G7347">
        <v>0</v>
      </c>
      <c r="H7347">
        <v>0</v>
      </c>
      <c r="I7347">
        <v>1</v>
      </c>
      <c r="J7347">
        <v>0</v>
      </c>
      <c r="K7347">
        <v>0</v>
      </c>
      <c r="L7347">
        <f t="shared" si="228"/>
        <v>4.3</v>
      </c>
      <c r="M7347">
        <f t="shared" si="229"/>
        <v>1</v>
      </c>
    </row>
    <row r="7348" spans="1:13" x14ac:dyDescent="0.3">
      <c r="A7348">
        <v>7346</v>
      </c>
      <c r="B7348">
        <v>7347</v>
      </c>
      <c r="C7348" t="s">
        <v>7424</v>
      </c>
      <c r="D7348">
        <v>2018</v>
      </c>
      <c r="F7348" t="s">
        <v>2941</v>
      </c>
      <c r="G7348">
        <v>0</v>
      </c>
      <c r="H7348">
        <v>0</v>
      </c>
      <c r="I7348">
        <v>1</v>
      </c>
      <c r="J7348">
        <v>0</v>
      </c>
      <c r="K7348">
        <v>0</v>
      </c>
      <c r="L7348">
        <f t="shared" si="228"/>
        <v>4.3</v>
      </c>
      <c r="M7348">
        <f t="shared" si="229"/>
        <v>1</v>
      </c>
    </row>
    <row r="7349" spans="1:13" x14ac:dyDescent="0.3">
      <c r="A7349">
        <v>7347</v>
      </c>
      <c r="B7349">
        <v>7348</v>
      </c>
      <c r="C7349" t="s">
        <v>7425</v>
      </c>
      <c r="D7349">
        <v>2017</v>
      </c>
      <c r="E7349" t="s">
        <v>22</v>
      </c>
      <c r="F7349" t="s">
        <v>2941</v>
      </c>
      <c r="G7349">
        <v>0</v>
      </c>
      <c r="H7349">
        <v>0</v>
      </c>
      <c r="I7349">
        <v>1</v>
      </c>
      <c r="J7349">
        <v>0</v>
      </c>
      <c r="K7349">
        <v>0</v>
      </c>
      <c r="L7349">
        <f t="shared" si="228"/>
        <v>4.3</v>
      </c>
      <c r="M7349">
        <f t="shared" si="229"/>
        <v>1</v>
      </c>
    </row>
    <row r="7350" spans="1:13" x14ac:dyDescent="0.3">
      <c r="A7350">
        <v>7348</v>
      </c>
      <c r="B7350">
        <v>7349</v>
      </c>
      <c r="C7350" t="s">
        <v>7426</v>
      </c>
      <c r="D7350">
        <v>2020</v>
      </c>
      <c r="E7350" t="s">
        <v>14</v>
      </c>
      <c r="F7350" t="s">
        <v>2941</v>
      </c>
      <c r="G7350">
        <v>0</v>
      </c>
      <c r="H7350">
        <v>0</v>
      </c>
      <c r="I7350">
        <v>1</v>
      </c>
      <c r="J7350">
        <v>0</v>
      </c>
      <c r="K7350">
        <v>0</v>
      </c>
      <c r="L7350">
        <f t="shared" si="228"/>
        <v>4.3</v>
      </c>
      <c r="M7350">
        <f t="shared" si="229"/>
        <v>1</v>
      </c>
    </row>
    <row r="7351" spans="1:13" x14ac:dyDescent="0.3">
      <c r="A7351">
        <v>7349</v>
      </c>
      <c r="B7351">
        <v>7350</v>
      </c>
      <c r="C7351" t="s">
        <v>7427</v>
      </c>
      <c r="D7351">
        <v>2017</v>
      </c>
      <c r="E7351" t="s">
        <v>11</v>
      </c>
      <c r="F7351" t="s">
        <v>2941</v>
      </c>
      <c r="G7351">
        <v>0</v>
      </c>
      <c r="H7351">
        <v>0</v>
      </c>
      <c r="I7351">
        <v>1</v>
      </c>
      <c r="J7351">
        <v>0</v>
      </c>
      <c r="K7351">
        <v>0</v>
      </c>
      <c r="L7351">
        <f t="shared" si="228"/>
        <v>4.3</v>
      </c>
      <c r="M7351">
        <f t="shared" si="229"/>
        <v>1</v>
      </c>
    </row>
    <row r="7352" spans="1:13" x14ac:dyDescent="0.3">
      <c r="A7352">
        <v>7350</v>
      </c>
      <c r="B7352">
        <v>7351</v>
      </c>
      <c r="C7352" t="s">
        <v>7428</v>
      </c>
      <c r="D7352">
        <v>2009</v>
      </c>
      <c r="F7352" t="s">
        <v>2941</v>
      </c>
      <c r="G7352">
        <v>0</v>
      </c>
      <c r="H7352">
        <v>0</v>
      </c>
      <c r="I7352">
        <v>1</v>
      </c>
      <c r="J7352">
        <v>0</v>
      </c>
      <c r="K7352">
        <v>0</v>
      </c>
      <c r="L7352">
        <f t="shared" si="228"/>
        <v>4.3</v>
      </c>
      <c r="M7352">
        <f t="shared" si="229"/>
        <v>1</v>
      </c>
    </row>
    <row r="7353" spans="1:13" x14ac:dyDescent="0.3">
      <c r="A7353">
        <v>7351</v>
      </c>
      <c r="B7353">
        <v>7352</v>
      </c>
      <c r="C7353" t="s">
        <v>7429</v>
      </c>
      <c r="D7353">
        <v>2016</v>
      </c>
      <c r="F7353" t="s">
        <v>2941</v>
      </c>
      <c r="G7353">
        <v>0</v>
      </c>
      <c r="H7353">
        <v>0</v>
      </c>
      <c r="I7353">
        <v>1</v>
      </c>
      <c r="J7353">
        <v>0</v>
      </c>
      <c r="K7353">
        <v>0</v>
      </c>
      <c r="L7353">
        <f t="shared" si="228"/>
        <v>4.3</v>
      </c>
      <c r="M7353">
        <f t="shared" si="229"/>
        <v>1</v>
      </c>
    </row>
    <row r="7354" spans="1:13" x14ac:dyDescent="0.3">
      <c r="A7354">
        <v>7352</v>
      </c>
      <c r="B7354">
        <v>7353</v>
      </c>
      <c r="C7354" t="s">
        <v>7430</v>
      </c>
      <c r="D7354">
        <v>2014</v>
      </c>
      <c r="E7354" t="s">
        <v>36</v>
      </c>
      <c r="F7354" t="s">
        <v>2941</v>
      </c>
      <c r="G7354">
        <v>0</v>
      </c>
      <c r="H7354">
        <v>0</v>
      </c>
      <c r="I7354">
        <v>1</v>
      </c>
      <c r="J7354">
        <v>0</v>
      </c>
      <c r="K7354">
        <v>0</v>
      </c>
      <c r="L7354">
        <f t="shared" si="228"/>
        <v>4.3</v>
      </c>
      <c r="M7354">
        <f t="shared" si="229"/>
        <v>1</v>
      </c>
    </row>
    <row r="7355" spans="1:13" x14ac:dyDescent="0.3">
      <c r="A7355">
        <v>7353</v>
      </c>
      <c r="B7355">
        <v>7354</v>
      </c>
      <c r="C7355" t="s">
        <v>7431</v>
      </c>
      <c r="D7355">
        <v>2015</v>
      </c>
      <c r="E7355" t="s">
        <v>11</v>
      </c>
      <c r="F7355" t="s">
        <v>2941</v>
      </c>
      <c r="G7355">
        <v>0</v>
      </c>
      <c r="H7355">
        <v>0</v>
      </c>
      <c r="I7355">
        <v>1</v>
      </c>
      <c r="J7355">
        <v>0</v>
      </c>
      <c r="K7355">
        <v>0</v>
      </c>
      <c r="L7355">
        <f t="shared" si="228"/>
        <v>4.3</v>
      </c>
      <c r="M7355">
        <f t="shared" si="229"/>
        <v>1</v>
      </c>
    </row>
    <row r="7356" spans="1:13" x14ac:dyDescent="0.3">
      <c r="A7356">
        <v>7354</v>
      </c>
      <c r="B7356">
        <v>7355</v>
      </c>
      <c r="C7356" t="s">
        <v>7432</v>
      </c>
      <c r="D7356">
        <v>2004</v>
      </c>
      <c r="E7356" t="s">
        <v>11</v>
      </c>
      <c r="F7356" t="s">
        <v>2941</v>
      </c>
      <c r="G7356">
        <v>0</v>
      </c>
      <c r="H7356">
        <v>0</v>
      </c>
      <c r="I7356">
        <v>1</v>
      </c>
      <c r="J7356">
        <v>0</v>
      </c>
      <c r="K7356">
        <v>0</v>
      </c>
      <c r="L7356">
        <f t="shared" si="228"/>
        <v>4.3</v>
      </c>
      <c r="M7356">
        <f t="shared" si="229"/>
        <v>1</v>
      </c>
    </row>
    <row r="7357" spans="1:13" x14ac:dyDescent="0.3">
      <c r="A7357">
        <v>7355</v>
      </c>
      <c r="B7357">
        <v>7356</v>
      </c>
      <c r="C7357" t="s">
        <v>7433</v>
      </c>
      <c r="D7357">
        <v>2012</v>
      </c>
      <c r="F7357" t="s">
        <v>2941</v>
      </c>
      <c r="G7357">
        <v>0</v>
      </c>
      <c r="H7357">
        <v>0</v>
      </c>
      <c r="I7357">
        <v>1</v>
      </c>
      <c r="J7357">
        <v>0</v>
      </c>
      <c r="K7357">
        <v>0</v>
      </c>
      <c r="L7357">
        <f t="shared" si="228"/>
        <v>4.3</v>
      </c>
      <c r="M7357">
        <f t="shared" si="229"/>
        <v>1</v>
      </c>
    </row>
    <row r="7358" spans="1:13" x14ac:dyDescent="0.3">
      <c r="A7358">
        <v>7356</v>
      </c>
      <c r="B7358">
        <v>7357</v>
      </c>
      <c r="C7358" t="s">
        <v>7434</v>
      </c>
      <c r="D7358">
        <v>2020</v>
      </c>
      <c r="F7358" t="s">
        <v>2941</v>
      </c>
      <c r="G7358">
        <v>0</v>
      </c>
      <c r="H7358">
        <v>0</v>
      </c>
      <c r="I7358">
        <v>1</v>
      </c>
      <c r="J7358">
        <v>0</v>
      </c>
      <c r="K7358">
        <v>0</v>
      </c>
      <c r="L7358">
        <f t="shared" si="228"/>
        <v>4.3</v>
      </c>
      <c r="M7358">
        <f t="shared" si="229"/>
        <v>1</v>
      </c>
    </row>
    <row r="7359" spans="1:13" x14ac:dyDescent="0.3">
      <c r="A7359">
        <v>7357</v>
      </c>
      <c r="B7359">
        <v>7358</v>
      </c>
      <c r="C7359" t="s">
        <v>7435</v>
      </c>
      <c r="D7359">
        <v>2015</v>
      </c>
      <c r="E7359" t="s">
        <v>14</v>
      </c>
      <c r="F7359" t="s">
        <v>2941</v>
      </c>
      <c r="G7359">
        <v>0</v>
      </c>
      <c r="H7359">
        <v>0</v>
      </c>
      <c r="I7359">
        <v>1</v>
      </c>
      <c r="J7359">
        <v>0</v>
      </c>
      <c r="K7359">
        <v>0</v>
      </c>
      <c r="L7359">
        <f t="shared" si="228"/>
        <v>4.3</v>
      </c>
      <c r="M7359">
        <f t="shared" si="229"/>
        <v>1</v>
      </c>
    </row>
    <row r="7360" spans="1:13" x14ac:dyDescent="0.3">
      <c r="A7360">
        <v>7358</v>
      </c>
      <c r="B7360">
        <v>7359</v>
      </c>
      <c r="C7360" t="s">
        <v>7436</v>
      </c>
      <c r="D7360">
        <v>2015</v>
      </c>
      <c r="F7360" t="s">
        <v>2941</v>
      </c>
      <c r="G7360">
        <v>0</v>
      </c>
      <c r="H7360">
        <v>0</v>
      </c>
      <c r="I7360">
        <v>1</v>
      </c>
      <c r="J7360">
        <v>0</v>
      </c>
      <c r="K7360">
        <v>0</v>
      </c>
      <c r="L7360">
        <f t="shared" si="228"/>
        <v>4.3</v>
      </c>
      <c r="M7360">
        <f t="shared" si="229"/>
        <v>1</v>
      </c>
    </row>
    <row r="7361" spans="1:13" x14ac:dyDescent="0.3">
      <c r="A7361">
        <v>7359</v>
      </c>
      <c r="B7361">
        <v>7360</v>
      </c>
      <c r="C7361" t="s">
        <v>7437</v>
      </c>
      <c r="D7361">
        <v>1947</v>
      </c>
      <c r="F7361" t="s">
        <v>2941</v>
      </c>
      <c r="G7361">
        <v>0</v>
      </c>
      <c r="H7361">
        <v>0</v>
      </c>
      <c r="I7361">
        <v>1</v>
      </c>
      <c r="J7361">
        <v>0</v>
      </c>
      <c r="K7361">
        <v>0</v>
      </c>
      <c r="L7361">
        <f t="shared" si="228"/>
        <v>4.3</v>
      </c>
      <c r="M7361">
        <f t="shared" si="229"/>
        <v>1</v>
      </c>
    </row>
    <row r="7362" spans="1:13" x14ac:dyDescent="0.3">
      <c r="A7362">
        <v>7360</v>
      </c>
      <c r="B7362">
        <v>7361</v>
      </c>
      <c r="C7362" t="s">
        <v>7438</v>
      </c>
      <c r="D7362">
        <v>1971</v>
      </c>
      <c r="F7362" t="s">
        <v>2941</v>
      </c>
      <c r="G7362">
        <v>0</v>
      </c>
      <c r="H7362">
        <v>0</v>
      </c>
      <c r="I7362">
        <v>1</v>
      </c>
      <c r="J7362">
        <v>0</v>
      </c>
      <c r="K7362">
        <v>0</v>
      </c>
      <c r="L7362">
        <f t="shared" si="228"/>
        <v>4.3</v>
      </c>
      <c r="M7362">
        <f t="shared" si="229"/>
        <v>1</v>
      </c>
    </row>
    <row r="7363" spans="1:13" x14ac:dyDescent="0.3">
      <c r="A7363">
        <v>7361</v>
      </c>
      <c r="B7363">
        <v>7362</v>
      </c>
      <c r="C7363" t="s">
        <v>7439</v>
      </c>
      <c r="D7363">
        <v>2016</v>
      </c>
      <c r="E7363" t="s">
        <v>14</v>
      </c>
      <c r="F7363" t="s">
        <v>2941</v>
      </c>
      <c r="G7363">
        <v>0</v>
      </c>
      <c r="H7363">
        <v>0</v>
      </c>
      <c r="I7363">
        <v>1</v>
      </c>
      <c r="J7363">
        <v>0</v>
      </c>
      <c r="K7363">
        <v>0</v>
      </c>
      <c r="L7363">
        <f t="shared" ref="L7363:L7426" si="230">IFERROR(VALUE(LEFT(F7363,FIND("/",F7363)-1))/10,"")</f>
        <v>4.3</v>
      </c>
      <c r="M7363">
        <f t="shared" ref="M7363:M7426" si="231">SUM(G7363:J7363)</f>
        <v>1</v>
      </c>
    </row>
    <row r="7364" spans="1:13" x14ac:dyDescent="0.3">
      <c r="A7364">
        <v>7362</v>
      </c>
      <c r="B7364">
        <v>7363</v>
      </c>
      <c r="C7364" t="s">
        <v>7440</v>
      </c>
      <c r="D7364">
        <v>2009</v>
      </c>
      <c r="F7364" t="s">
        <v>2941</v>
      </c>
      <c r="G7364">
        <v>0</v>
      </c>
      <c r="H7364">
        <v>0</v>
      </c>
      <c r="I7364">
        <v>1</v>
      </c>
      <c r="J7364">
        <v>0</v>
      </c>
      <c r="K7364">
        <v>0</v>
      </c>
      <c r="L7364">
        <f t="shared" si="230"/>
        <v>4.3</v>
      </c>
      <c r="M7364">
        <f t="shared" si="231"/>
        <v>1</v>
      </c>
    </row>
    <row r="7365" spans="1:13" x14ac:dyDescent="0.3">
      <c r="A7365">
        <v>7363</v>
      </c>
      <c r="B7365">
        <v>7364</v>
      </c>
      <c r="C7365" t="s">
        <v>7441</v>
      </c>
      <c r="D7365">
        <v>1980</v>
      </c>
      <c r="F7365" t="s">
        <v>2941</v>
      </c>
      <c r="G7365">
        <v>0</v>
      </c>
      <c r="H7365">
        <v>0</v>
      </c>
      <c r="I7365">
        <v>1</v>
      </c>
      <c r="J7365">
        <v>0</v>
      </c>
      <c r="K7365">
        <v>0</v>
      </c>
      <c r="L7365">
        <f t="shared" si="230"/>
        <v>4.3</v>
      </c>
      <c r="M7365">
        <f t="shared" si="231"/>
        <v>1</v>
      </c>
    </row>
    <row r="7366" spans="1:13" x14ac:dyDescent="0.3">
      <c r="A7366">
        <v>7364</v>
      </c>
      <c r="B7366">
        <v>7365</v>
      </c>
      <c r="C7366" t="s">
        <v>7442</v>
      </c>
      <c r="D7366">
        <v>2016</v>
      </c>
      <c r="F7366" t="s">
        <v>2941</v>
      </c>
      <c r="G7366">
        <v>0</v>
      </c>
      <c r="H7366">
        <v>0</v>
      </c>
      <c r="I7366">
        <v>1</v>
      </c>
      <c r="J7366">
        <v>0</v>
      </c>
      <c r="K7366">
        <v>0</v>
      </c>
      <c r="L7366">
        <f t="shared" si="230"/>
        <v>4.3</v>
      </c>
      <c r="M7366">
        <f t="shared" si="231"/>
        <v>1</v>
      </c>
    </row>
    <row r="7367" spans="1:13" x14ac:dyDescent="0.3">
      <c r="A7367">
        <v>7365</v>
      </c>
      <c r="B7367">
        <v>7366</v>
      </c>
      <c r="C7367" t="s">
        <v>7443</v>
      </c>
      <c r="D7367">
        <v>2012</v>
      </c>
      <c r="F7367" t="s">
        <v>2941</v>
      </c>
      <c r="G7367">
        <v>0</v>
      </c>
      <c r="H7367">
        <v>0</v>
      </c>
      <c r="I7367">
        <v>1</v>
      </c>
      <c r="J7367">
        <v>0</v>
      </c>
      <c r="K7367">
        <v>0</v>
      </c>
      <c r="L7367">
        <f t="shared" si="230"/>
        <v>4.3</v>
      </c>
      <c r="M7367">
        <f t="shared" si="231"/>
        <v>1</v>
      </c>
    </row>
    <row r="7368" spans="1:13" x14ac:dyDescent="0.3">
      <c r="A7368">
        <v>7366</v>
      </c>
      <c r="B7368">
        <v>7367</v>
      </c>
      <c r="C7368" t="s">
        <v>7444</v>
      </c>
      <c r="D7368">
        <v>1979</v>
      </c>
      <c r="F7368" t="s">
        <v>2941</v>
      </c>
      <c r="G7368">
        <v>0</v>
      </c>
      <c r="H7368">
        <v>0</v>
      </c>
      <c r="I7368">
        <v>1</v>
      </c>
      <c r="J7368">
        <v>0</v>
      </c>
      <c r="K7368">
        <v>0</v>
      </c>
      <c r="L7368">
        <f t="shared" si="230"/>
        <v>4.3</v>
      </c>
      <c r="M7368">
        <f t="shared" si="231"/>
        <v>1</v>
      </c>
    </row>
    <row r="7369" spans="1:13" x14ac:dyDescent="0.3">
      <c r="A7369">
        <v>7367</v>
      </c>
      <c r="B7369">
        <v>7368</v>
      </c>
      <c r="C7369" t="s">
        <v>7445</v>
      </c>
      <c r="D7369">
        <v>2010</v>
      </c>
      <c r="E7369" t="s">
        <v>36</v>
      </c>
      <c r="F7369" t="s">
        <v>2941</v>
      </c>
      <c r="G7369">
        <v>0</v>
      </c>
      <c r="H7369">
        <v>0</v>
      </c>
      <c r="I7369">
        <v>1</v>
      </c>
      <c r="J7369">
        <v>0</v>
      </c>
      <c r="K7369">
        <v>0</v>
      </c>
      <c r="L7369">
        <f t="shared" si="230"/>
        <v>4.3</v>
      </c>
      <c r="M7369">
        <f t="shared" si="231"/>
        <v>1</v>
      </c>
    </row>
    <row r="7370" spans="1:13" x14ac:dyDescent="0.3">
      <c r="A7370">
        <v>7368</v>
      </c>
      <c r="B7370">
        <v>7369</v>
      </c>
      <c r="C7370" t="s">
        <v>7446</v>
      </c>
      <c r="D7370">
        <v>2007</v>
      </c>
      <c r="F7370" t="s">
        <v>2941</v>
      </c>
      <c r="G7370">
        <v>0</v>
      </c>
      <c r="H7370">
        <v>0</v>
      </c>
      <c r="I7370">
        <v>1</v>
      </c>
      <c r="J7370">
        <v>0</v>
      </c>
      <c r="K7370">
        <v>0</v>
      </c>
      <c r="L7370">
        <f t="shared" si="230"/>
        <v>4.3</v>
      </c>
      <c r="M7370">
        <f t="shared" si="231"/>
        <v>1</v>
      </c>
    </row>
    <row r="7371" spans="1:13" x14ac:dyDescent="0.3">
      <c r="A7371">
        <v>7369</v>
      </c>
      <c r="B7371">
        <v>7370</v>
      </c>
      <c r="C7371" t="s">
        <v>7447</v>
      </c>
      <c r="D7371">
        <v>1967</v>
      </c>
      <c r="F7371" t="s">
        <v>2941</v>
      </c>
      <c r="G7371">
        <v>0</v>
      </c>
      <c r="H7371">
        <v>0</v>
      </c>
      <c r="I7371">
        <v>1</v>
      </c>
      <c r="J7371">
        <v>0</v>
      </c>
      <c r="K7371">
        <v>0</v>
      </c>
      <c r="L7371">
        <f t="shared" si="230"/>
        <v>4.3</v>
      </c>
      <c r="M7371">
        <f t="shared" si="231"/>
        <v>1</v>
      </c>
    </row>
    <row r="7372" spans="1:13" x14ac:dyDescent="0.3">
      <c r="A7372">
        <v>7370</v>
      </c>
      <c r="B7372">
        <v>7371</v>
      </c>
      <c r="C7372" t="s">
        <v>7448</v>
      </c>
      <c r="D7372">
        <v>2018</v>
      </c>
      <c r="E7372" t="s">
        <v>11</v>
      </c>
      <c r="F7372" t="s">
        <v>2941</v>
      </c>
      <c r="G7372">
        <v>0</v>
      </c>
      <c r="H7372">
        <v>0</v>
      </c>
      <c r="I7372">
        <v>1</v>
      </c>
      <c r="J7372">
        <v>0</v>
      </c>
      <c r="K7372">
        <v>0</v>
      </c>
      <c r="L7372">
        <f t="shared" si="230"/>
        <v>4.3</v>
      </c>
      <c r="M7372">
        <f t="shared" si="231"/>
        <v>1</v>
      </c>
    </row>
    <row r="7373" spans="1:13" x14ac:dyDescent="0.3">
      <c r="A7373">
        <v>7371</v>
      </c>
      <c r="B7373">
        <v>7372</v>
      </c>
      <c r="C7373" t="s">
        <v>7449</v>
      </c>
      <c r="D7373">
        <v>2014</v>
      </c>
      <c r="F7373" t="s">
        <v>2941</v>
      </c>
      <c r="G7373">
        <v>0</v>
      </c>
      <c r="H7373">
        <v>0</v>
      </c>
      <c r="I7373">
        <v>1</v>
      </c>
      <c r="J7373">
        <v>0</v>
      </c>
      <c r="K7373">
        <v>0</v>
      </c>
      <c r="L7373">
        <f t="shared" si="230"/>
        <v>4.3</v>
      </c>
      <c r="M7373">
        <f t="shared" si="231"/>
        <v>1</v>
      </c>
    </row>
    <row r="7374" spans="1:13" x14ac:dyDescent="0.3">
      <c r="A7374">
        <v>7372</v>
      </c>
      <c r="B7374">
        <v>7373</v>
      </c>
      <c r="C7374" t="s">
        <v>7450</v>
      </c>
      <c r="D7374">
        <v>2021</v>
      </c>
      <c r="F7374" t="s">
        <v>2941</v>
      </c>
      <c r="G7374">
        <v>0</v>
      </c>
      <c r="H7374">
        <v>0</v>
      </c>
      <c r="I7374">
        <v>1</v>
      </c>
      <c r="J7374">
        <v>0</v>
      </c>
      <c r="K7374">
        <v>0</v>
      </c>
      <c r="L7374">
        <f t="shared" si="230"/>
        <v>4.3</v>
      </c>
      <c r="M7374">
        <f t="shared" si="231"/>
        <v>1</v>
      </c>
    </row>
    <row r="7375" spans="1:13" x14ac:dyDescent="0.3">
      <c r="A7375">
        <v>7373</v>
      </c>
      <c r="B7375">
        <v>7374</v>
      </c>
      <c r="C7375" t="s">
        <v>7451</v>
      </c>
      <c r="D7375">
        <v>2019</v>
      </c>
      <c r="F7375" t="s">
        <v>2941</v>
      </c>
      <c r="G7375">
        <v>0</v>
      </c>
      <c r="H7375">
        <v>0</v>
      </c>
      <c r="I7375">
        <v>1</v>
      </c>
      <c r="J7375">
        <v>0</v>
      </c>
      <c r="K7375">
        <v>0</v>
      </c>
      <c r="L7375">
        <f t="shared" si="230"/>
        <v>4.3</v>
      </c>
      <c r="M7375">
        <f t="shared" si="231"/>
        <v>1</v>
      </c>
    </row>
    <row r="7376" spans="1:13" x14ac:dyDescent="0.3">
      <c r="A7376">
        <v>7374</v>
      </c>
      <c r="B7376">
        <v>7375</v>
      </c>
      <c r="C7376" t="s">
        <v>7452</v>
      </c>
      <c r="D7376">
        <v>2005</v>
      </c>
      <c r="E7376" t="s">
        <v>11</v>
      </c>
      <c r="F7376" t="s">
        <v>2941</v>
      </c>
      <c r="G7376">
        <v>0</v>
      </c>
      <c r="H7376">
        <v>0</v>
      </c>
      <c r="I7376">
        <v>1</v>
      </c>
      <c r="J7376">
        <v>0</v>
      </c>
      <c r="K7376">
        <v>0</v>
      </c>
      <c r="L7376">
        <f t="shared" si="230"/>
        <v>4.3</v>
      </c>
      <c r="M7376">
        <f t="shared" si="231"/>
        <v>1</v>
      </c>
    </row>
    <row r="7377" spans="1:13" x14ac:dyDescent="0.3">
      <c r="A7377">
        <v>7375</v>
      </c>
      <c r="B7377">
        <v>7376</v>
      </c>
      <c r="C7377" t="s">
        <v>7453</v>
      </c>
      <c r="D7377">
        <v>2012</v>
      </c>
      <c r="E7377" t="s">
        <v>28</v>
      </c>
      <c r="F7377" t="s">
        <v>2941</v>
      </c>
      <c r="G7377">
        <v>0</v>
      </c>
      <c r="H7377">
        <v>0</v>
      </c>
      <c r="I7377">
        <v>1</v>
      </c>
      <c r="J7377">
        <v>0</v>
      </c>
      <c r="K7377">
        <v>0</v>
      </c>
      <c r="L7377">
        <f t="shared" si="230"/>
        <v>4.3</v>
      </c>
      <c r="M7377">
        <f t="shared" si="231"/>
        <v>1</v>
      </c>
    </row>
    <row r="7378" spans="1:13" x14ac:dyDescent="0.3">
      <c r="A7378">
        <v>7376</v>
      </c>
      <c r="B7378">
        <v>7377</v>
      </c>
      <c r="C7378" t="s">
        <v>7454</v>
      </c>
      <c r="D7378">
        <v>2014</v>
      </c>
      <c r="F7378" t="s">
        <v>2941</v>
      </c>
      <c r="G7378">
        <v>0</v>
      </c>
      <c r="H7378">
        <v>0</v>
      </c>
      <c r="I7378">
        <v>1</v>
      </c>
      <c r="J7378">
        <v>0</v>
      </c>
      <c r="K7378">
        <v>0</v>
      </c>
      <c r="L7378">
        <f t="shared" si="230"/>
        <v>4.3</v>
      </c>
      <c r="M7378">
        <f t="shared" si="231"/>
        <v>1</v>
      </c>
    </row>
    <row r="7379" spans="1:13" x14ac:dyDescent="0.3">
      <c r="A7379">
        <v>7377</v>
      </c>
      <c r="B7379">
        <v>7378</v>
      </c>
      <c r="C7379" t="s">
        <v>7455</v>
      </c>
      <c r="D7379">
        <v>2018</v>
      </c>
      <c r="F7379" t="s">
        <v>2941</v>
      </c>
      <c r="G7379">
        <v>0</v>
      </c>
      <c r="H7379">
        <v>0</v>
      </c>
      <c r="I7379">
        <v>1</v>
      </c>
      <c r="J7379">
        <v>0</v>
      </c>
      <c r="K7379">
        <v>0</v>
      </c>
      <c r="L7379">
        <f t="shared" si="230"/>
        <v>4.3</v>
      </c>
      <c r="M7379">
        <f t="shared" si="231"/>
        <v>1</v>
      </c>
    </row>
    <row r="7380" spans="1:13" x14ac:dyDescent="0.3">
      <c r="A7380">
        <v>7378</v>
      </c>
      <c r="B7380">
        <v>7379</v>
      </c>
      <c r="C7380" t="s">
        <v>7456</v>
      </c>
      <c r="D7380">
        <v>2017</v>
      </c>
      <c r="E7380" t="s">
        <v>11</v>
      </c>
      <c r="F7380" t="s">
        <v>2941</v>
      </c>
      <c r="G7380">
        <v>0</v>
      </c>
      <c r="H7380">
        <v>0</v>
      </c>
      <c r="I7380">
        <v>1</v>
      </c>
      <c r="J7380">
        <v>0</v>
      </c>
      <c r="K7380">
        <v>0</v>
      </c>
      <c r="L7380">
        <f t="shared" si="230"/>
        <v>4.3</v>
      </c>
      <c r="M7380">
        <f t="shared" si="231"/>
        <v>1</v>
      </c>
    </row>
    <row r="7381" spans="1:13" x14ac:dyDescent="0.3">
      <c r="A7381">
        <v>7379</v>
      </c>
      <c r="B7381">
        <v>7380</v>
      </c>
      <c r="C7381" t="s">
        <v>7457</v>
      </c>
      <c r="D7381">
        <v>1941</v>
      </c>
      <c r="F7381" t="s">
        <v>2941</v>
      </c>
      <c r="G7381">
        <v>0</v>
      </c>
      <c r="H7381">
        <v>0</v>
      </c>
      <c r="I7381">
        <v>1</v>
      </c>
      <c r="J7381">
        <v>0</v>
      </c>
      <c r="K7381">
        <v>0</v>
      </c>
      <c r="L7381">
        <f t="shared" si="230"/>
        <v>4.3</v>
      </c>
      <c r="M7381">
        <f t="shared" si="231"/>
        <v>1</v>
      </c>
    </row>
    <row r="7382" spans="1:13" x14ac:dyDescent="0.3">
      <c r="A7382">
        <v>7380</v>
      </c>
      <c r="B7382">
        <v>7381</v>
      </c>
      <c r="C7382" t="s">
        <v>7458</v>
      </c>
      <c r="D7382">
        <v>1998</v>
      </c>
      <c r="E7382" t="s">
        <v>11</v>
      </c>
      <c r="F7382" t="s">
        <v>2941</v>
      </c>
      <c r="G7382">
        <v>0</v>
      </c>
      <c r="H7382">
        <v>0</v>
      </c>
      <c r="I7382">
        <v>1</v>
      </c>
      <c r="J7382">
        <v>0</v>
      </c>
      <c r="K7382">
        <v>0</v>
      </c>
      <c r="L7382">
        <f t="shared" si="230"/>
        <v>4.3</v>
      </c>
      <c r="M7382">
        <f t="shared" si="231"/>
        <v>1</v>
      </c>
    </row>
    <row r="7383" spans="1:13" x14ac:dyDescent="0.3">
      <c r="A7383">
        <v>7381</v>
      </c>
      <c r="B7383">
        <v>7382</v>
      </c>
      <c r="C7383" t="s">
        <v>7459</v>
      </c>
      <c r="D7383">
        <v>1957</v>
      </c>
      <c r="F7383" t="s">
        <v>2941</v>
      </c>
      <c r="G7383">
        <v>0</v>
      </c>
      <c r="H7383">
        <v>0</v>
      </c>
      <c r="I7383">
        <v>1</v>
      </c>
      <c r="J7383">
        <v>0</v>
      </c>
      <c r="K7383">
        <v>0</v>
      </c>
      <c r="L7383">
        <f t="shared" si="230"/>
        <v>4.3</v>
      </c>
      <c r="M7383">
        <f t="shared" si="231"/>
        <v>1</v>
      </c>
    </row>
    <row r="7384" spans="1:13" x14ac:dyDescent="0.3">
      <c r="A7384">
        <v>7382</v>
      </c>
      <c r="B7384">
        <v>7383</v>
      </c>
      <c r="C7384" t="s">
        <v>7460</v>
      </c>
      <c r="D7384">
        <v>1954</v>
      </c>
      <c r="F7384" t="s">
        <v>2941</v>
      </c>
      <c r="G7384">
        <v>0</v>
      </c>
      <c r="H7384">
        <v>0</v>
      </c>
      <c r="I7384">
        <v>1</v>
      </c>
      <c r="J7384">
        <v>0</v>
      </c>
      <c r="K7384">
        <v>0</v>
      </c>
      <c r="L7384">
        <f t="shared" si="230"/>
        <v>4.3</v>
      </c>
      <c r="M7384">
        <f t="shared" si="231"/>
        <v>1</v>
      </c>
    </row>
    <row r="7385" spans="1:13" x14ac:dyDescent="0.3">
      <c r="A7385">
        <v>7383</v>
      </c>
      <c r="B7385">
        <v>7384</v>
      </c>
      <c r="C7385" t="s">
        <v>7461</v>
      </c>
      <c r="D7385">
        <v>1984</v>
      </c>
      <c r="F7385" t="s">
        <v>2941</v>
      </c>
      <c r="G7385">
        <v>0</v>
      </c>
      <c r="H7385">
        <v>0</v>
      </c>
      <c r="I7385">
        <v>1</v>
      </c>
      <c r="J7385">
        <v>0</v>
      </c>
      <c r="K7385">
        <v>0</v>
      </c>
      <c r="L7385">
        <f t="shared" si="230"/>
        <v>4.3</v>
      </c>
      <c r="M7385">
        <f t="shared" si="231"/>
        <v>1</v>
      </c>
    </row>
    <row r="7386" spans="1:13" x14ac:dyDescent="0.3">
      <c r="A7386">
        <v>7384</v>
      </c>
      <c r="B7386">
        <v>7385</v>
      </c>
      <c r="C7386" t="s">
        <v>7462</v>
      </c>
      <c r="D7386">
        <v>2015</v>
      </c>
      <c r="F7386" t="s">
        <v>2941</v>
      </c>
      <c r="G7386">
        <v>0</v>
      </c>
      <c r="H7386">
        <v>0</v>
      </c>
      <c r="I7386">
        <v>1</v>
      </c>
      <c r="J7386">
        <v>0</v>
      </c>
      <c r="K7386">
        <v>0</v>
      </c>
      <c r="L7386">
        <f t="shared" si="230"/>
        <v>4.3</v>
      </c>
      <c r="M7386">
        <f t="shared" si="231"/>
        <v>1</v>
      </c>
    </row>
    <row r="7387" spans="1:13" x14ac:dyDescent="0.3">
      <c r="A7387">
        <v>7385</v>
      </c>
      <c r="B7387">
        <v>7386</v>
      </c>
      <c r="C7387" t="s">
        <v>7463</v>
      </c>
      <c r="D7387">
        <v>1946</v>
      </c>
      <c r="E7387" t="s">
        <v>36</v>
      </c>
      <c r="F7387" t="s">
        <v>2941</v>
      </c>
      <c r="G7387">
        <v>0</v>
      </c>
      <c r="H7387">
        <v>0</v>
      </c>
      <c r="I7387">
        <v>1</v>
      </c>
      <c r="J7387">
        <v>0</v>
      </c>
      <c r="K7387">
        <v>0</v>
      </c>
      <c r="L7387">
        <f t="shared" si="230"/>
        <v>4.3</v>
      </c>
      <c r="M7387">
        <f t="shared" si="231"/>
        <v>1</v>
      </c>
    </row>
    <row r="7388" spans="1:13" x14ac:dyDescent="0.3">
      <c r="A7388">
        <v>7386</v>
      </c>
      <c r="B7388">
        <v>7387</v>
      </c>
      <c r="C7388" t="s">
        <v>7464</v>
      </c>
      <c r="D7388">
        <v>2008</v>
      </c>
      <c r="F7388" t="s">
        <v>2941</v>
      </c>
      <c r="G7388">
        <v>0</v>
      </c>
      <c r="H7388">
        <v>0</v>
      </c>
      <c r="I7388">
        <v>1</v>
      </c>
      <c r="J7388">
        <v>0</v>
      </c>
      <c r="K7388">
        <v>0</v>
      </c>
      <c r="L7388">
        <f t="shared" si="230"/>
        <v>4.3</v>
      </c>
      <c r="M7388">
        <f t="shared" si="231"/>
        <v>1</v>
      </c>
    </row>
    <row r="7389" spans="1:13" x14ac:dyDescent="0.3">
      <c r="A7389">
        <v>7387</v>
      </c>
      <c r="B7389">
        <v>7388</v>
      </c>
      <c r="C7389" t="s">
        <v>7465</v>
      </c>
      <c r="D7389">
        <v>2008</v>
      </c>
      <c r="F7389" t="s">
        <v>2941</v>
      </c>
      <c r="G7389">
        <v>0</v>
      </c>
      <c r="H7389">
        <v>0</v>
      </c>
      <c r="I7389">
        <v>1</v>
      </c>
      <c r="J7389">
        <v>0</v>
      </c>
      <c r="K7389">
        <v>0</v>
      </c>
      <c r="L7389">
        <f t="shared" si="230"/>
        <v>4.3</v>
      </c>
      <c r="M7389">
        <f t="shared" si="231"/>
        <v>1</v>
      </c>
    </row>
    <row r="7390" spans="1:13" x14ac:dyDescent="0.3">
      <c r="A7390">
        <v>7388</v>
      </c>
      <c r="B7390">
        <v>7389</v>
      </c>
      <c r="C7390" t="s">
        <v>7466</v>
      </c>
      <c r="D7390">
        <v>2014</v>
      </c>
      <c r="F7390" t="s">
        <v>2941</v>
      </c>
      <c r="G7390">
        <v>0</v>
      </c>
      <c r="H7390">
        <v>0</v>
      </c>
      <c r="I7390">
        <v>1</v>
      </c>
      <c r="J7390">
        <v>0</v>
      </c>
      <c r="K7390">
        <v>0</v>
      </c>
      <c r="L7390">
        <f t="shared" si="230"/>
        <v>4.3</v>
      </c>
      <c r="M7390">
        <f t="shared" si="231"/>
        <v>1</v>
      </c>
    </row>
    <row r="7391" spans="1:13" x14ac:dyDescent="0.3">
      <c r="A7391">
        <v>7389</v>
      </c>
      <c r="B7391">
        <v>7390</v>
      </c>
      <c r="C7391" t="s">
        <v>7467</v>
      </c>
      <c r="D7391">
        <v>2006</v>
      </c>
      <c r="E7391" t="s">
        <v>11</v>
      </c>
      <c r="F7391" t="s">
        <v>2941</v>
      </c>
      <c r="G7391">
        <v>0</v>
      </c>
      <c r="H7391">
        <v>0</v>
      </c>
      <c r="I7391">
        <v>1</v>
      </c>
      <c r="J7391">
        <v>0</v>
      </c>
      <c r="K7391">
        <v>0</v>
      </c>
      <c r="L7391">
        <f t="shared" si="230"/>
        <v>4.3</v>
      </c>
      <c r="M7391">
        <f t="shared" si="231"/>
        <v>1</v>
      </c>
    </row>
    <row r="7392" spans="1:13" x14ac:dyDescent="0.3">
      <c r="A7392">
        <v>7390</v>
      </c>
      <c r="B7392">
        <v>7391</v>
      </c>
      <c r="C7392" t="s">
        <v>7468</v>
      </c>
      <c r="D7392">
        <v>2015</v>
      </c>
      <c r="F7392" t="s">
        <v>2941</v>
      </c>
      <c r="G7392">
        <v>0</v>
      </c>
      <c r="H7392">
        <v>0</v>
      </c>
      <c r="I7392">
        <v>1</v>
      </c>
      <c r="J7392">
        <v>0</v>
      </c>
      <c r="K7392">
        <v>0</v>
      </c>
      <c r="L7392">
        <f t="shared" si="230"/>
        <v>4.3</v>
      </c>
      <c r="M7392">
        <f t="shared" si="231"/>
        <v>1</v>
      </c>
    </row>
    <row r="7393" spans="1:13" x14ac:dyDescent="0.3">
      <c r="A7393">
        <v>7391</v>
      </c>
      <c r="B7393">
        <v>7392</v>
      </c>
      <c r="C7393" t="s">
        <v>7469</v>
      </c>
      <c r="D7393">
        <v>2016</v>
      </c>
      <c r="F7393" t="s">
        <v>2941</v>
      </c>
      <c r="G7393">
        <v>0</v>
      </c>
      <c r="H7393">
        <v>0</v>
      </c>
      <c r="I7393">
        <v>1</v>
      </c>
      <c r="J7393">
        <v>0</v>
      </c>
      <c r="K7393">
        <v>0</v>
      </c>
      <c r="L7393">
        <f t="shared" si="230"/>
        <v>4.3</v>
      </c>
      <c r="M7393">
        <f t="shared" si="231"/>
        <v>1</v>
      </c>
    </row>
    <row r="7394" spans="1:13" x14ac:dyDescent="0.3">
      <c r="A7394">
        <v>7392</v>
      </c>
      <c r="B7394">
        <v>7393</v>
      </c>
      <c r="C7394" t="s">
        <v>7470</v>
      </c>
      <c r="D7394">
        <v>2017</v>
      </c>
      <c r="F7394" t="s">
        <v>2941</v>
      </c>
      <c r="G7394">
        <v>0</v>
      </c>
      <c r="H7394">
        <v>0</v>
      </c>
      <c r="I7394">
        <v>1</v>
      </c>
      <c r="J7394">
        <v>0</v>
      </c>
      <c r="K7394">
        <v>0</v>
      </c>
      <c r="L7394">
        <f t="shared" si="230"/>
        <v>4.3</v>
      </c>
      <c r="M7394">
        <f t="shared" si="231"/>
        <v>1</v>
      </c>
    </row>
    <row r="7395" spans="1:13" x14ac:dyDescent="0.3">
      <c r="A7395">
        <v>7393</v>
      </c>
      <c r="B7395">
        <v>7394</v>
      </c>
      <c r="C7395" t="s">
        <v>7471</v>
      </c>
      <c r="D7395">
        <v>2013</v>
      </c>
      <c r="F7395" t="s">
        <v>2941</v>
      </c>
      <c r="G7395">
        <v>0</v>
      </c>
      <c r="H7395">
        <v>0</v>
      </c>
      <c r="I7395">
        <v>1</v>
      </c>
      <c r="J7395">
        <v>0</v>
      </c>
      <c r="K7395">
        <v>0</v>
      </c>
      <c r="L7395">
        <f t="shared" si="230"/>
        <v>4.3</v>
      </c>
      <c r="M7395">
        <f t="shared" si="231"/>
        <v>1</v>
      </c>
    </row>
    <row r="7396" spans="1:13" x14ac:dyDescent="0.3">
      <c r="A7396">
        <v>7394</v>
      </c>
      <c r="B7396">
        <v>7395</v>
      </c>
      <c r="C7396" t="s">
        <v>7472</v>
      </c>
      <c r="D7396">
        <v>2020</v>
      </c>
      <c r="E7396" t="s">
        <v>14</v>
      </c>
      <c r="F7396" t="s">
        <v>2941</v>
      </c>
      <c r="G7396">
        <v>0</v>
      </c>
      <c r="H7396">
        <v>0</v>
      </c>
      <c r="I7396">
        <v>1</v>
      </c>
      <c r="J7396">
        <v>0</v>
      </c>
      <c r="K7396">
        <v>0</v>
      </c>
      <c r="L7396">
        <f t="shared" si="230"/>
        <v>4.3</v>
      </c>
      <c r="M7396">
        <f t="shared" si="231"/>
        <v>1</v>
      </c>
    </row>
    <row r="7397" spans="1:13" x14ac:dyDescent="0.3">
      <c r="A7397">
        <v>7395</v>
      </c>
      <c r="B7397">
        <v>7396</v>
      </c>
      <c r="C7397" t="s">
        <v>7473</v>
      </c>
      <c r="D7397">
        <v>2001</v>
      </c>
      <c r="E7397" t="s">
        <v>11</v>
      </c>
      <c r="F7397" t="s">
        <v>2941</v>
      </c>
      <c r="G7397">
        <v>0</v>
      </c>
      <c r="H7397">
        <v>0</v>
      </c>
      <c r="I7397">
        <v>1</v>
      </c>
      <c r="J7397">
        <v>0</v>
      </c>
      <c r="K7397">
        <v>0</v>
      </c>
      <c r="L7397">
        <f t="shared" si="230"/>
        <v>4.3</v>
      </c>
      <c r="M7397">
        <f t="shared" si="231"/>
        <v>1</v>
      </c>
    </row>
    <row r="7398" spans="1:13" x14ac:dyDescent="0.3">
      <c r="A7398">
        <v>7396</v>
      </c>
      <c r="B7398">
        <v>7397</v>
      </c>
      <c r="C7398" t="s">
        <v>7474</v>
      </c>
      <c r="D7398">
        <v>2013</v>
      </c>
      <c r="E7398" t="s">
        <v>22</v>
      </c>
      <c r="F7398" t="s">
        <v>2941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f t="shared" si="230"/>
        <v>4.3</v>
      </c>
      <c r="M7398">
        <f t="shared" si="231"/>
        <v>1</v>
      </c>
    </row>
    <row r="7399" spans="1:13" x14ac:dyDescent="0.3">
      <c r="A7399">
        <v>7397</v>
      </c>
      <c r="B7399">
        <v>7398</v>
      </c>
      <c r="C7399" t="s">
        <v>7475</v>
      </c>
      <c r="D7399">
        <v>2019</v>
      </c>
      <c r="F7399" t="s">
        <v>2941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f t="shared" si="230"/>
        <v>4.3</v>
      </c>
      <c r="M7399">
        <f t="shared" si="231"/>
        <v>1</v>
      </c>
    </row>
    <row r="7400" spans="1:13" x14ac:dyDescent="0.3">
      <c r="A7400">
        <v>7398</v>
      </c>
      <c r="B7400">
        <v>7399</v>
      </c>
      <c r="C7400" t="s">
        <v>7476</v>
      </c>
      <c r="D7400">
        <v>2019</v>
      </c>
      <c r="F7400" t="s">
        <v>2941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f t="shared" si="230"/>
        <v>4.3</v>
      </c>
      <c r="M7400">
        <f t="shared" si="231"/>
        <v>1</v>
      </c>
    </row>
    <row r="7401" spans="1:13" x14ac:dyDescent="0.3">
      <c r="A7401">
        <v>7399</v>
      </c>
      <c r="B7401">
        <v>7400</v>
      </c>
      <c r="C7401" t="s">
        <v>7477</v>
      </c>
      <c r="D7401">
        <v>2021</v>
      </c>
      <c r="F7401" t="s">
        <v>2941</v>
      </c>
      <c r="G7401">
        <v>0</v>
      </c>
      <c r="H7401">
        <v>0</v>
      </c>
      <c r="I7401">
        <v>1</v>
      </c>
      <c r="J7401">
        <v>0</v>
      </c>
      <c r="K7401">
        <v>0</v>
      </c>
      <c r="L7401">
        <f t="shared" si="230"/>
        <v>4.3</v>
      </c>
      <c r="M7401">
        <f t="shared" si="231"/>
        <v>1</v>
      </c>
    </row>
    <row r="7402" spans="1:13" x14ac:dyDescent="0.3">
      <c r="A7402">
        <v>7400</v>
      </c>
      <c r="B7402">
        <v>7401</v>
      </c>
      <c r="C7402" t="s">
        <v>7478</v>
      </c>
      <c r="D7402">
        <v>2018</v>
      </c>
      <c r="E7402" t="s">
        <v>28</v>
      </c>
      <c r="F7402" t="s">
        <v>2941</v>
      </c>
      <c r="G7402">
        <v>0</v>
      </c>
      <c r="H7402">
        <v>0</v>
      </c>
      <c r="I7402">
        <v>1</v>
      </c>
      <c r="J7402">
        <v>0</v>
      </c>
      <c r="K7402">
        <v>0</v>
      </c>
      <c r="L7402">
        <f t="shared" si="230"/>
        <v>4.3</v>
      </c>
      <c r="M7402">
        <f t="shared" si="231"/>
        <v>1</v>
      </c>
    </row>
    <row r="7403" spans="1:13" x14ac:dyDescent="0.3">
      <c r="A7403">
        <v>7401</v>
      </c>
      <c r="B7403">
        <v>7402</v>
      </c>
      <c r="C7403" t="s">
        <v>7479</v>
      </c>
      <c r="D7403">
        <v>2007</v>
      </c>
      <c r="E7403" t="s">
        <v>14</v>
      </c>
      <c r="F7403" t="s">
        <v>2941</v>
      </c>
      <c r="G7403">
        <v>0</v>
      </c>
      <c r="H7403">
        <v>0</v>
      </c>
      <c r="I7403">
        <v>1</v>
      </c>
      <c r="J7403">
        <v>0</v>
      </c>
      <c r="K7403">
        <v>0</v>
      </c>
      <c r="L7403">
        <f t="shared" si="230"/>
        <v>4.3</v>
      </c>
      <c r="M7403">
        <f t="shared" si="231"/>
        <v>1</v>
      </c>
    </row>
    <row r="7404" spans="1:13" x14ac:dyDescent="0.3">
      <c r="A7404">
        <v>7402</v>
      </c>
      <c r="B7404">
        <v>7403</v>
      </c>
      <c r="C7404" t="s">
        <v>7480</v>
      </c>
      <c r="D7404">
        <v>2014</v>
      </c>
      <c r="E7404" t="s">
        <v>14</v>
      </c>
      <c r="F7404" t="s">
        <v>2941</v>
      </c>
      <c r="G7404">
        <v>0</v>
      </c>
      <c r="H7404">
        <v>0</v>
      </c>
      <c r="I7404">
        <v>1</v>
      </c>
      <c r="J7404">
        <v>0</v>
      </c>
      <c r="K7404">
        <v>0</v>
      </c>
      <c r="L7404">
        <f t="shared" si="230"/>
        <v>4.3</v>
      </c>
      <c r="M7404">
        <f t="shared" si="231"/>
        <v>1</v>
      </c>
    </row>
    <row r="7405" spans="1:13" x14ac:dyDescent="0.3">
      <c r="A7405">
        <v>7403</v>
      </c>
      <c r="B7405">
        <v>7404</v>
      </c>
      <c r="C7405" t="s">
        <v>7481</v>
      </c>
      <c r="D7405">
        <v>1939</v>
      </c>
      <c r="F7405" t="s">
        <v>2941</v>
      </c>
      <c r="G7405">
        <v>0</v>
      </c>
      <c r="H7405">
        <v>0</v>
      </c>
      <c r="I7405">
        <v>1</v>
      </c>
      <c r="J7405">
        <v>0</v>
      </c>
      <c r="K7405">
        <v>0</v>
      </c>
      <c r="L7405">
        <f t="shared" si="230"/>
        <v>4.3</v>
      </c>
      <c r="M7405">
        <f t="shared" si="231"/>
        <v>1</v>
      </c>
    </row>
    <row r="7406" spans="1:13" x14ac:dyDescent="0.3">
      <c r="A7406">
        <v>7404</v>
      </c>
      <c r="B7406">
        <v>7405</v>
      </c>
      <c r="C7406" t="s">
        <v>7482</v>
      </c>
      <c r="D7406">
        <v>2017</v>
      </c>
      <c r="F7406" t="s">
        <v>2941</v>
      </c>
      <c r="G7406">
        <v>0</v>
      </c>
      <c r="H7406">
        <v>0</v>
      </c>
      <c r="I7406">
        <v>1</v>
      </c>
      <c r="J7406">
        <v>0</v>
      </c>
      <c r="K7406">
        <v>0</v>
      </c>
      <c r="L7406">
        <f t="shared" si="230"/>
        <v>4.3</v>
      </c>
      <c r="M7406">
        <f t="shared" si="231"/>
        <v>1</v>
      </c>
    </row>
    <row r="7407" spans="1:13" x14ac:dyDescent="0.3">
      <c r="A7407">
        <v>7405</v>
      </c>
      <c r="B7407">
        <v>7406</v>
      </c>
      <c r="C7407" t="s">
        <v>7483</v>
      </c>
      <c r="D7407">
        <v>1983</v>
      </c>
      <c r="F7407" t="s">
        <v>2941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f t="shared" si="230"/>
        <v>4.3</v>
      </c>
      <c r="M7407">
        <f t="shared" si="231"/>
        <v>1</v>
      </c>
    </row>
    <row r="7408" spans="1:13" x14ac:dyDescent="0.3">
      <c r="A7408">
        <v>7406</v>
      </c>
      <c r="B7408">
        <v>7407</v>
      </c>
      <c r="C7408" t="s">
        <v>7484</v>
      </c>
      <c r="D7408">
        <v>2013</v>
      </c>
      <c r="F7408" t="s">
        <v>2941</v>
      </c>
      <c r="G7408">
        <v>0</v>
      </c>
      <c r="H7408">
        <v>0</v>
      </c>
      <c r="I7408">
        <v>1</v>
      </c>
      <c r="J7408">
        <v>0</v>
      </c>
      <c r="K7408">
        <v>0</v>
      </c>
      <c r="L7408">
        <f t="shared" si="230"/>
        <v>4.3</v>
      </c>
      <c r="M7408">
        <f t="shared" si="231"/>
        <v>1</v>
      </c>
    </row>
    <row r="7409" spans="1:13" x14ac:dyDescent="0.3">
      <c r="A7409">
        <v>7407</v>
      </c>
      <c r="B7409">
        <v>7408</v>
      </c>
      <c r="C7409" t="s">
        <v>7485</v>
      </c>
      <c r="D7409">
        <v>2013</v>
      </c>
      <c r="E7409" t="s">
        <v>14</v>
      </c>
      <c r="F7409" t="s">
        <v>2941</v>
      </c>
      <c r="G7409">
        <v>0</v>
      </c>
      <c r="H7409">
        <v>0</v>
      </c>
      <c r="I7409">
        <v>1</v>
      </c>
      <c r="J7409">
        <v>0</v>
      </c>
      <c r="K7409">
        <v>0</v>
      </c>
      <c r="L7409">
        <f t="shared" si="230"/>
        <v>4.3</v>
      </c>
      <c r="M7409">
        <f t="shared" si="231"/>
        <v>1</v>
      </c>
    </row>
    <row r="7410" spans="1:13" x14ac:dyDescent="0.3">
      <c r="A7410">
        <v>7408</v>
      </c>
      <c r="B7410">
        <v>7409</v>
      </c>
      <c r="C7410" t="s">
        <v>7486</v>
      </c>
      <c r="D7410">
        <v>2018</v>
      </c>
      <c r="E7410" t="s">
        <v>14</v>
      </c>
      <c r="F7410" t="s">
        <v>2941</v>
      </c>
      <c r="G7410">
        <v>0</v>
      </c>
      <c r="H7410">
        <v>0</v>
      </c>
      <c r="I7410">
        <v>1</v>
      </c>
      <c r="J7410">
        <v>0</v>
      </c>
      <c r="K7410">
        <v>0</v>
      </c>
      <c r="L7410">
        <f t="shared" si="230"/>
        <v>4.3</v>
      </c>
      <c r="M7410">
        <f t="shared" si="231"/>
        <v>1</v>
      </c>
    </row>
    <row r="7411" spans="1:13" x14ac:dyDescent="0.3">
      <c r="A7411">
        <v>7409</v>
      </c>
      <c r="B7411">
        <v>7410</v>
      </c>
      <c r="C7411" t="s">
        <v>7487</v>
      </c>
      <c r="D7411">
        <v>1948</v>
      </c>
      <c r="F7411" t="s">
        <v>2941</v>
      </c>
      <c r="G7411">
        <v>0</v>
      </c>
      <c r="H7411">
        <v>0</v>
      </c>
      <c r="I7411">
        <v>1</v>
      </c>
      <c r="J7411">
        <v>0</v>
      </c>
      <c r="K7411">
        <v>0</v>
      </c>
      <c r="L7411">
        <f t="shared" si="230"/>
        <v>4.3</v>
      </c>
      <c r="M7411">
        <f t="shared" si="231"/>
        <v>1</v>
      </c>
    </row>
    <row r="7412" spans="1:13" x14ac:dyDescent="0.3">
      <c r="A7412">
        <v>7410</v>
      </c>
      <c r="B7412">
        <v>7411</v>
      </c>
      <c r="C7412" t="s">
        <v>7488</v>
      </c>
      <c r="D7412">
        <v>1954</v>
      </c>
      <c r="F7412" t="s">
        <v>2941</v>
      </c>
      <c r="G7412">
        <v>0</v>
      </c>
      <c r="H7412">
        <v>0</v>
      </c>
      <c r="I7412">
        <v>1</v>
      </c>
      <c r="J7412">
        <v>0</v>
      </c>
      <c r="K7412">
        <v>0</v>
      </c>
      <c r="L7412">
        <f t="shared" si="230"/>
        <v>4.3</v>
      </c>
      <c r="M7412">
        <f t="shared" si="231"/>
        <v>1</v>
      </c>
    </row>
    <row r="7413" spans="1:13" x14ac:dyDescent="0.3">
      <c r="A7413">
        <v>7411</v>
      </c>
      <c r="B7413">
        <v>7412</v>
      </c>
      <c r="C7413" t="s">
        <v>7489</v>
      </c>
      <c r="D7413">
        <v>2018</v>
      </c>
      <c r="F7413" t="s">
        <v>2941</v>
      </c>
      <c r="G7413">
        <v>0</v>
      </c>
      <c r="H7413">
        <v>0</v>
      </c>
      <c r="I7413">
        <v>1</v>
      </c>
      <c r="J7413">
        <v>0</v>
      </c>
      <c r="K7413">
        <v>0</v>
      </c>
      <c r="L7413">
        <f t="shared" si="230"/>
        <v>4.3</v>
      </c>
      <c r="M7413">
        <f t="shared" si="231"/>
        <v>1</v>
      </c>
    </row>
    <row r="7414" spans="1:13" x14ac:dyDescent="0.3">
      <c r="A7414">
        <v>7412</v>
      </c>
      <c r="B7414">
        <v>7413</v>
      </c>
      <c r="C7414" t="s">
        <v>7490</v>
      </c>
      <c r="D7414">
        <v>1957</v>
      </c>
      <c r="F7414" t="s">
        <v>2941</v>
      </c>
      <c r="G7414">
        <v>0</v>
      </c>
      <c r="H7414">
        <v>0</v>
      </c>
      <c r="I7414">
        <v>1</v>
      </c>
      <c r="J7414">
        <v>0</v>
      </c>
      <c r="K7414">
        <v>0</v>
      </c>
      <c r="L7414">
        <f t="shared" si="230"/>
        <v>4.3</v>
      </c>
      <c r="M7414">
        <f t="shared" si="231"/>
        <v>1</v>
      </c>
    </row>
    <row r="7415" spans="1:13" x14ac:dyDescent="0.3">
      <c r="A7415">
        <v>7413</v>
      </c>
      <c r="B7415">
        <v>7414</v>
      </c>
      <c r="C7415" t="s">
        <v>7491</v>
      </c>
      <c r="D7415">
        <v>1974</v>
      </c>
      <c r="E7415" t="s">
        <v>36</v>
      </c>
      <c r="F7415" t="s">
        <v>2941</v>
      </c>
      <c r="G7415">
        <v>0</v>
      </c>
      <c r="H7415">
        <v>0</v>
      </c>
      <c r="I7415">
        <v>1</v>
      </c>
      <c r="J7415">
        <v>0</v>
      </c>
      <c r="K7415">
        <v>0</v>
      </c>
      <c r="L7415">
        <f t="shared" si="230"/>
        <v>4.3</v>
      </c>
      <c r="M7415">
        <f t="shared" si="231"/>
        <v>1</v>
      </c>
    </row>
    <row r="7416" spans="1:13" x14ac:dyDescent="0.3">
      <c r="A7416">
        <v>7414</v>
      </c>
      <c r="B7416">
        <v>7415</v>
      </c>
      <c r="C7416" t="s">
        <v>7492</v>
      </c>
      <c r="D7416">
        <v>1954</v>
      </c>
      <c r="F7416" t="s">
        <v>2941</v>
      </c>
      <c r="G7416">
        <v>0</v>
      </c>
      <c r="H7416">
        <v>0</v>
      </c>
      <c r="I7416">
        <v>1</v>
      </c>
      <c r="J7416">
        <v>0</v>
      </c>
      <c r="K7416">
        <v>0</v>
      </c>
      <c r="L7416">
        <f t="shared" si="230"/>
        <v>4.3</v>
      </c>
      <c r="M7416">
        <f t="shared" si="231"/>
        <v>1</v>
      </c>
    </row>
    <row r="7417" spans="1:13" x14ac:dyDescent="0.3">
      <c r="A7417">
        <v>7415</v>
      </c>
      <c r="B7417">
        <v>7416</v>
      </c>
      <c r="C7417" t="s">
        <v>7493</v>
      </c>
      <c r="D7417">
        <v>2017</v>
      </c>
      <c r="E7417" t="s">
        <v>11</v>
      </c>
      <c r="F7417" t="s">
        <v>2941</v>
      </c>
      <c r="G7417">
        <v>0</v>
      </c>
      <c r="H7417">
        <v>0</v>
      </c>
      <c r="I7417">
        <v>1</v>
      </c>
      <c r="J7417">
        <v>0</v>
      </c>
      <c r="K7417">
        <v>0</v>
      </c>
      <c r="L7417">
        <f t="shared" si="230"/>
        <v>4.3</v>
      </c>
      <c r="M7417">
        <f t="shared" si="231"/>
        <v>1</v>
      </c>
    </row>
    <row r="7418" spans="1:13" x14ac:dyDescent="0.3">
      <c r="A7418">
        <v>7416</v>
      </c>
      <c r="B7418">
        <v>7417</v>
      </c>
      <c r="C7418" t="s">
        <v>7494</v>
      </c>
      <c r="D7418">
        <v>1950</v>
      </c>
      <c r="E7418" t="s">
        <v>36</v>
      </c>
      <c r="F7418" t="s">
        <v>2941</v>
      </c>
      <c r="G7418">
        <v>0</v>
      </c>
      <c r="H7418">
        <v>0</v>
      </c>
      <c r="I7418">
        <v>1</v>
      </c>
      <c r="J7418">
        <v>0</v>
      </c>
      <c r="K7418">
        <v>0</v>
      </c>
      <c r="L7418">
        <f t="shared" si="230"/>
        <v>4.3</v>
      </c>
      <c r="M7418">
        <f t="shared" si="231"/>
        <v>1</v>
      </c>
    </row>
    <row r="7419" spans="1:13" x14ac:dyDescent="0.3">
      <c r="A7419">
        <v>7417</v>
      </c>
      <c r="B7419">
        <v>7418</v>
      </c>
      <c r="C7419" t="s">
        <v>7495</v>
      </c>
      <c r="D7419">
        <v>2017</v>
      </c>
      <c r="F7419" t="s">
        <v>2941</v>
      </c>
      <c r="G7419">
        <v>0</v>
      </c>
      <c r="H7419">
        <v>0</v>
      </c>
      <c r="I7419">
        <v>1</v>
      </c>
      <c r="J7419">
        <v>0</v>
      </c>
      <c r="K7419">
        <v>0</v>
      </c>
      <c r="L7419">
        <f t="shared" si="230"/>
        <v>4.3</v>
      </c>
      <c r="M7419">
        <f t="shared" si="231"/>
        <v>1</v>
      </c>
    </row>
    <row r="7420" spans="1:13" x14ac:dyDescent="0.3">
      <c r="A7420">
        <v>7418</v>
      </c>
      <c r="B7420">
        <v>7419</v>
      </c>
      <c r="C7420" t="s">
        <v>7496</v>
      </c>
      <c r="D7420">
        <v>1941</v>
      </c>
      <c r="F7420" t="s">
        <v>2941</v>
      </c>
      <c r="G7420">
        <v>0</v>
      </c>
      <c r="H7420">
        <v>0</v>
      </c>
      <c r="I7420">
        <v>1</v>
      </c>
      <c r="J7420">
        <v>0</v>
      </c>
      <c r="K7420">
        <v>0</v>
      </c>
      <c r="L7420">
        <f t="shared" si="230"/>
        <v>4.3</v>
      </c>
      <c r="M7420">
        <f t="shared" si="231"/>
        <v>1</v>
      </c>
    </row>
    <row r="7421" spans="1:13" x14ac:dyDescent="0.3">
      <c r="A7421">
        <v>7419</v>
      </c>
      <c r="B7421">
        <v>7420</v>
      </c>
      <c r="C7421" t="s">
        <v>7497</v>
      </c>
      <c r="D7421">
        <v>2016</v>
      </c>
      <c r="E7421" t="s">
        <v>28</v>
      </c>
      <c r="F7421" t="s">
        <v>2941</v>
      </c>
      <c r="G7421">
        <v>0</v>
      </c>
      <c r="H7421">
        <v>0</v>
      </c>
      <c r="I7421">
        <v>1</v>
      </c>
      <c r="J7421">
        <v>0</v>
      </c>
      <c r="K7421">
        <v>0</v>
      </c>
      <c r="L7421">
        <f t="shared" si="230"/>
        <v>4.3</v>
      </c>
      <c r="M7421">
        <f t="shared" si="231"/>
        <v>1</v>
      </c>
    </row>
    <row r="7422" spans="1:13" x14ac:dyDescent="0.3">
      <c r="A7422">
        <v>7420</v>
      </c>
      <c r="B7422">
        <v>7421</v>
      </c>
      <c r="C7422" t="s">
        <v>7498</v>
      </c>
      <c r="D7422">
        <v>2018</v>
      </c>
      <c r="F7422" t="s">
        <v>2941</v>
      </c>
      <c r="G7422">
        <v>0</v>
      </c>
      <c r="H7422">
        <v>0</v>
      </c>
      <c r="I7422">
        <v>1</v>
      </c>
      <c r="J7422">
        <v>0</v>
      </c>
      <c r="K7422">
        <v>0</v>
      </c>
      <c r="L7422">
        <f t="shared" si="230"/>
        <v>4.3</v>
      </c>
      <c r="M7422">
        <f t="shared" si="231"/>
        <v>1</v>
      </c>
    </row>
    <row r="7423" spans="1:13" x14ac:dyDescent="0.3">
      <c r="A7423">
        <v>7421</v>
      </c>
      <c r="B7423">
        <v>7422</v>
      </c>
      <c r="C7423" t="s">
        <v>7499</v>
      </c>
      <c r="D7423">
        <v>2008</v>
      </c>
      <c r="F7423" t="s">
        <v>2941</v>
      </c>
      <c r="G7423">
        <v>0</v>
      </c>
      <c r="H7423">
        <v>0</v>
      </c>
      <c r="I7423">
        <v>1</v>
      </c>
      <c r="J7423">
        <v>0</v>
      </c>
      <c r="K7423">
        <v>0</v>
      </c>
      <c r="L7423">
        <f t="shared" si="230"/>
        <v>4.3</v>
      </c>
      <c r="M7423">
        <f t="shared" si="231"/>
        <v>1</v>
      </c>
    </row>
    <row r="7424" spans="1:13" x14ac:dyDescent="0.3">
      <c r="A7424">
        <v>7422</v>
      </c>
      <c r="B7424">
        <v>7423</v>
      </c>
      <c r="C7424" t="s">
        <v>7500</v>
      </c>
      <c r="D7424">
        <v>2013</v>
      </c>
      <c r="F7424" t="s">
        <v>2941</v>
      </c>
      <c r="G7424">
        <v>0</v>
      </c>
      <c r="H7424">
        <v>0</v>
      </c>
      <c r="I7424">
        <v>1</v>
      </c>
      <c r="J7424">
        <v>0</v>
      </c>
      <c r="K7424">
        <v>0</v>
      </c>
      <c r="L7424">
        <f t="shared" si="230"/>
        <v>4.3</v>
      </c>
      <c r="M7424">
        <f t="shared" si="231"/>
        <v>1</v>
      </c>
    </row>
    <row r="7425" spans="1:13" x14ac:dyDescent="0.3">
      <c r="A7425">
        <v>7423</v>
      </c>
      <c r="B7425">
        <v>7424</v>
      </c>
      <c r="C7425" t="s">
        <v>7501</v>
      </c>
      <c r="D7425">
        <v>2015</v>
      </c>
      <c r="E7425" t="s">
        <v>11</v>
      </c>
      <c r="F7425" t="s">
        <v>2941</v>
      </c>
      <c r="G7425">
        <v>0</v>
      </c>
      <c r="H7425">
        <v>0</v>
      </c>
      <c r="I7425">
        <v>1</v>
      </c>
      <c r="J7425">
        <v>0</v>
      </c>
      <c r="K7425">
        <v>0</v>
      </c>
      <c r="L7425">
        <f t="shared" si="230"/>
        <v>4.3</v>
      </c>
      <c r="M7425">
        <f t="shared" si="231"/>
        <v>1</v>
      </c>
    </row>
    <row r="7426" spans="1:13" x14ac:dyDescent="0.3">
      <c r="A7426">
        <v>7424</v>
      </c>
      <c r="B7426">
        <v>7425</v>
      </c>
      <c r="C7426" t="s">
        <v>7502</v>
      </c>
      <c r="D7426">
        <v>2020</v>
      </c>
      <c r="E7426" t="s">
        <v>11</v>
      </c>
      <c r="F7426" t="s">
        <v>2941</v>
      </c>
      <c r="G7426">
        <v>0</v>
      </c>
      <c r="H7426">
        <v>0</v>
      </c>
      <c r="I7426">
        <v>1</v>
      </c>
      <c r="J7426">
        <v>0</v>
      </c>
      <c r="K7426">
        <v>0</v>
      </c>
      <c r="L7426">
        <f t="shared" si="230"/>
        <v>4.3</v>
      </c>
      <c r="M7426">
        <f t="shared" si="231"/>
        <v>1</v>
      </c>
    </row>
    <row r="7427" spans="1:13" x14ac:dyDescent="0.3">
      <c r="A7427">
        <v>7425</v>
      </c>
      <c r="B7427">
        <v>7426</v>
      </c>
      <c r="C7427" t="s">
        <v>7503</v>
      </c>
      <c r="D7427">
        <v>2010</v>
      </c>
      <c r="F7427" t="s">
        <v>2941</v>
      </c>
      <c r="G7427">
        <v>0</v>
      </c>
      <c r="H7427">
        <v>0</v>
      </c>
      <c r="I7427">
        <v>1</v>
      </c>
      <c r="J7427">
        <v>0</v>
      </c>
      <c r="K7427">
        <v>0</v>
      </c>
      <c r="L7427">
        <f t="shared" ref="L7427:L7490" si="232">IFERROR(VALUE(LEFT(F7427,FIND("/",F7427)-1))/10,"")</f>
        <v>4.3</v>
      </c>
      <c r="M7427">
        <f t="shared" ref="M7427:M7490" si="233">SUM(G7427:J7427)</f>
        <v>1</v>
      </c>
    </row>
    <row r="7428" spans="1:13" x14ac:dyDescent="0.3">
      <c r="A7428">
        <v>7426</v>
      </c>
      <c r="B7428">
        <v>7427</v>
      </c>
      <c r="C7428" t="s">
        <v>7504</v>
      </c>
      <c r="D7428">
        <v>2020</v>
      </c>
      <c r="F7428" t="s">
        <v>2941</v>
      </c>
      <c r="G7428">
        <v>0</v>
      </c>
      <c r="H7428">
        <v>0</v>
      </c>
      <c r="I7428">
        <v>1</v>
      </c>
      <c r="J7428">
        <v>0</v>
      </c>
      <c r="K7428">
        <v>0</v>
      </c>
      <c r="L7428">
        <f t="shared" si="232"/>
        <v>4.3</v>
      </c>
      <c r="M7428">
        <f t="shared" si="233"/>
        <v>1</v>
      </c>
    </row>
    <row r="7429" spans="1:13" x14ac:dyDescent="0.3">
      <c r="A7429">
        <v>7427</v>
      </c>
      <c r="B7429">
        <v>7428</v>
      </c>
      <c r="C7429" t="s">
        <v>7505</v>
      </c>
      <c r="D7429">
        <v>1938</v>
      </c>
      <c r="F7429" t="s">
        <v>2941</v>
      </c>
      <c r="G7429">
        <v>0</v>
      </c>
      <c r="H7429">
        <v>0</v>
      </c>
      <c r="I7429">
        <v>1</v>
      </c>
      <c r="J7429">
        <v>0</v>
      </c>
      <c r="K7429">
        <v>0</v>
      </c>
      <c r="L7429">
        <f t="shared" si="232"/>
        <v>4.3</v>
      </c>
      <c r="M7429">
        <f t="shared" si="233"/>
        <v>1</v>
      </c>
    </row>
    <row r="7430" spans="1:13" x14ac:dyDescent="0.3">
      <c r="A7430">
        <v>7428</v>
      </c>
      <c r="B7430">
        <v>7429</v>
      </c>
      <c r="C7430" t="s">
        <v>7506</v>
      </c>
      <c r="D7430">
        <v>1973</v>
      </c>
      <c r="F7430" t="s">
        <v>2941</v>
      </c>
      <c r="G7430">
        <v>0</v>
      </c>
      <c r="H7430">
        <v>0</v>
      </c>
      <c r="I7430">
        <v>1</v>
      </c>
      <c r="J7430">
        <v>0</v>
      </c>
      <c r="K7430">
        <v>0</v>
      </c>
      <c r="L7430">
        <f t="shared" si="232"/>
        <v>4.3</v>
      </c>
      <c r="M7430">
        <f t="shared" si="233"/>
        <v>1</v>
      </c>
    </row>
    <row r="7431" spans="1:13" x14ac:dyDescent="0.3">
      <c r="A7431">
        <v>7429</v>
      </c>
      <c r="B7431">
        <v>7430</v>
      </c>
      <c r="C7431" t="s">
        <v>7507</v>
      </c>
      <c r="D7431">
        <v>1964</v>
      </c>
      <c r="F7431" t="s">
        <v>2941</v>
      </c>
      <c r="G7431">
        <v>0</v>
      </c>
      <c r="H7431">
        <v>0</v>
      </c>
      <c r="I7431">
        <v>1</v>
      </c>
      <c r="J7431">
        <v>0</v>
      </c>
      <c r="K7431">
        <v>0</v>
      </c>
      <c r="L7431">
        <f t="shared" si="232"/>
        <v>4.3</v>
      </c>
      <c r="M7431">
        <f t="shared" si="233"/>
        <v>1</v>
      </c>
    </row>
    <row r="7432" spans="1:13" x14ac:dyDescent="0.3">
      <c r="A7432">
        <v>7430</v>
      </c>
      <c r="B7432">
        <v>7431</v>
      </c>
      <c r="C7432" t="s">
        <v>7508</v>
      </c>
      <c r="D7432">
        <v>2018</v>
      </c>
      <c r="F7432" t="s">
        <v>2941</v>
      </c>
      <c r="G7432">
        <v>0</v>
      </c>
      <c r="H7432">
        <v>0</v>
      </c>
      <c r="I7432">
        <v>1</v>
      </c>
      <c r="J7432">
        <v>0</v>
      </c>
      <c r="K7432">
        <v>0</v>
      </c>
      <c r="L7432">
        <f t="shared" si="232"/>
        <v>4.3</v>
      </c>
      <c r="M7432">
        <f t="shared" si="233"/>
        <v>1</v>
      </c>
    </row>
    <row r="7433" spans="1:13" x14ac:dyDescent="0.3">
      <c r="A7433">
        <v>7431</v>
      </c>
      <c r="B7433">
        <v>7432</v>
      </c>
      <c r="C7433" t="s">
        <v>7509</v>
      </c>
      <c r="D7433">
        <v>2001</v>
      </c>
      <c r="E7433" t="s">
        <v>11</v>
      </c>
      <c r="F7433" t="s">
        <v>2941</v>
      </c>
      <c r="G7433">
        <v>0</v>
      </c>
      <c r="H7433">
        <v>0</v>
      </c>
      <c r="I7433">
        <v>1</v>
      </c>
      <c r="J7433">
        <v>0</v>
      </c>
      <c r="K7433">
        <v>0</v>
      </c>
      <c r="L7433">
        <f t="shared" si="232"/>
        <v>4.3</v>
      </c>
      <c r="M7433">
        <f t="shared" si="233"/>
        <v>1</v>
      </c>
    </row>
    <row r="7434" spans="1:13" x14ac:dyDescent="0.3">
      <c r="A7434">
        <v>7432</v>
      </c>
      <c r="B7434">
        <v>7433</v>
      </c>
      <c r="C7434" t="s">
        <v>7510</v>
      </c>
      <c r="D7434">
        <v>2012</v>
      </c>
      <c r="F7434" t="s">
        <v>2941</v>
      </c>
      <c r="G7434">
        <v>0</v>
      </c>
      <c r="H7434">
        <v>0</v>
      </c>
      <c r="I7434">
        <v>1</v>
      </c>
      <c r="J7434">
        <v>0</v>
      </c>
      <c r="K7434">
        <v>0</v>
      </c>
      <c r="L7434">
        <f t="shared" si="232"/>
        <v>4.3</v>
      </c>
      <c r="M7434">
        <f t="shared" si="233"/>
        <v>1</v>
      </c>
    </row>
    <row r="7435" spans="1:13" x14ac:dyDescent="0.3">
      <c r="A7435">
        <v>7433</v>
      </c>
      <c r="B7435">
        <v>7434</v>
      </c>
      <c r="C7435" t="s">
        <v>7511</v>
      </c>
      <c r="D7435">
        <v>2016</v>
      </c>
      <c r="E7435" t="s">
        <v>36</v>
      </c>
      <c r="F7435" t="s">
        <v>2941</v>
      </c>
      <c r="G7435">
        <v>0</v>
      </c>
      <c r="H7435">
        <v>0</v>
      </c>
      <c r="I7435">
        <v>1</v>
      </c>
      <c r="J7435">
        <v>0</v>
      </c>
      <c r="K7435">
        <v>0</v>
      </c>
      <c r="L7435">
        <f t="shared" si="232"/>
        <v>4.3</v>
      </c>
      <c r="M7435">
        <f t="shared" si="233"/>
        <v>1</v>
      </c>
    </row>
    <row r="7436" spans="1:13" x14ac:dyDescent="0.3">
      <c r="A7436">
        <v>7434</v>
      </c>
      <c r="B7436">
        <v>7435</v>
      </c>
      <c r="C7436" t="s">
        <v>7512</v>
      </c>
      <c r="D7436">
        <v>2015</v>
      </c>
      <c r="F7436" t="s">
        <v>2941</v>
      </c>
      <c r="G7436">
        <v>0</v>
      </c>
      <c r="H7436">
        <v>0</v>
      </c>
      <c r="I7436">
        <v>1</v>
      </c>
      <c r="J7436">
        <v>0</v>
      </c>
      <c r="K7436">
        <v>0</v>
      </c>
      <c r="L7436">
        <f t="shared" si="232"/>
        <v>4.3</v>
      </c>
      <c r="M7436">
        <f t="shared" si="233"/>
        <v>1</v>
      </c>
    </row>
    <row r="7437" spans="1:13" x14ac:dyDescent="0.3">
      <c r="A7437">
        <v>7435</v>
      </c>
      <c r="B7437">
        <v>7436</v>
      </c>
      <c r="C7437" t="s">
        <v>7513</v>
      </c>
      <c r="D7437">
        <v>2013</v>
      </c>
      <c r="E7437" t="s">
        <v>11</v>
      </c>
      <c r="F7437" t="s">
        <v>2941</v>
      </c>
      <c r="G7437">
        <v>0</v>
      </c>
      <c r="H7437">
        <v>0</v>
      </c>
      <c r="I7437">
        <v>1</v>
      </c>
      <c r="J7437">
        <v>0</v>
      </c>
      <c r="K7437">
        <v>0</v>
      </c>
      <c r="L7437">
        <f t="shared" si="232"/>
        <v>4.3</v>
      </c>
      <c r="M7437">
        <f t="shared" si="233"/>
        <v>1</v>
      </c>
    </row>
    <row r="7438" spans="1:13" x14ac:dyDescent="0.3">
      <c r="A7438">
        <v>7436</v>
      </c>
      <c r="B7438">
        <v>7437</v>
      </c>
      <c r="C7438" t="s">
        <v>7514</v>
      </c>
      <c r="D7438">
        <v>1936</v>
      </c>
      <c r="F7438" t="s">
        <v>2941</v>
      </c>
      <c r="G7438">
        <v>0</v>
      </c>
      <c r="H7438">
        <v>0</v>
      </c>
      <c r="I7438">
        <v>1</v>
      </c>
      <c r="J7438">
        <v>0</v>
      </c>
      <c r="K7438">
        <v>0</v>
      </c>
      <c r="L7438">
        <f t="shared" si="232"/>
        <v>4.3</v>
      </c>
      <c r="M7438">
        <f t="shared" si="233"/>
        <v>1</v>
      </c>
    </row>
    <row r="7439" spans="1:13" x14ac:dyDescent="0.3">
      <c r="A7439">
        <v>7437</v>
      </c>
      <c r="B7439">
        <v>7438</v>
      </c>
      <c r="C7439" t="s">
        <v>7515</v>
      </c>
      <c r="D7439">
        <v>1947</v>
      </c>
      <c r="F7439" t="s">
        <v>2941</v>
      </c>
      <c r="G7439">
        <v>0</v>
      </c>
      <c r="H7439">
        <v>0</v>
      </c>
      <c r="I7439">
        <v>1</v>
      </c>
      <c r="J7439">
        <v>0</v>
      </c>
      <c r="K7439">
        <v>0</v>
      </c>
      <c r="L7439">
        <f t="shared" si="232"/>
        <v>4.3</v>
      </c>
      <c r="M7439">
        <f t="shared" si="233"/>
        <v>1</v>
      </c>
    </row>
    <row r="7440" spans="1:13" x14ac:dyDescent="0.3">
      <c r="A7440">
        <v>7438</v>
      </c>
      <c r="B7440">
        <v>7439</v>
      </c>
      <c r="C7440" t="s">
        <v>7516</v>
      </c>
      <c r="D7440">
        <v>2014</v>
      </c>
      <c r="F7440" t="s">
        <v>2941</v>
      </c>
      <c r="G7440">
        <v>0</v>
      </c>
      <c r="H7440">
        <v>0</v>
      </c>
      <c r="I7440">
        <v>1</v>
      </c>
      <c r="J7440">
        <v>0</v>
      </c>
      <c r="K7440">
        <v>0</v>
      </c>
      <c r="L7440">
        <f t="shared" si="232"/>
        <v>4.3</v>
      </c>
      <c r="M7440">
        <f t="shared" si="233"/>
        <v>1</v>
      </c>
    </row>
    <row r="7441" spans="1:13" x14ac:dyDescent="0.3">
      <c r="A7441">
        <v>7439</v>
      </c>
      <c r="B7441">
        <v>7440</v>
      </c>
      <c r="C7441" t="s">
        <v>7517</v>
      </c>
      <c r="D7441">
        <v>2019</v>
      </c>
      <c r="E7441" t="s">
        <v>22</v>
      </c>
      <c r="F7441" t="s">
        <v>2941</v>
      </c>
      <c r="G7441">
        <v>0</v>
      </c>
      <c r="H7441">
        <v>0</v>
      </c>
      <c r="I7441">
        <v>1</v>
      </c>
      <c r="J7441">
        <v>0</v>
      </c>
      <c r="K7441">
        <v>0</v>
      </c>
      <c r="L7441">
        <f t="shared" si="232"/>
        <v>4.3</v>
      </c>
      <c r="M7441">
        <f t="shared" si="233"/>
        <v>1</v>
      </c>
    </row>
    <row r="7442" spans="1:13" x14ac:dyDescent="0.3">
      <c r="A7442">
        <v>7440</v>
      </c>
      <c r="B7442">
        <v>7441</v>
      </c>
      <c r="C7442" t="s">
        <v>7518</v>
      </c>
      <c r="D7442">
        <v>2005</v>
      </c>
      <c r="F7442" t="s">
        <v>2941</v>
      </c>
      <c r="G7442">
        <v>0</v>
      </c>
      <c r="H7442">
        <v>0</v>
      </c>
      <c r="I7442">
        <v>1</v>
      </c>
      <c r="J7442">
        <v>0</v>
      </c>
      <c r="K7442">
        <v>0</v>
      </c>
      <c r="L7442">
        <f t="shared" si="232"/>
        <v>4.3</v>
      </c>
      <c r="M7442">
        <f t="shared" si="233"/>
        <v>1</v>
      </c>
    </row>
    <row r="7443" spans="1:13" x14ac:dyDescent="0.3">
      <c r="A7443">
        <v>7441</v>
      </c>
      <c r="B7443">
        <v>7442</v>
      </c>
      <c r="C7443" t="s">
        <v>7519</v>
      </c>
      <c r="D7443">
        <v>2003</v>
      </c>
      <c r="E7443" t="s">
        <v>28</v>
      </c>
      <c r="F7443" t="s">
        <v>2941</v>
      </c>
      <c r="G7443">
        <v>0</v>
      </c>
      <c r="H7443">
        <v>0</v>
      </c>
      <c r="I7443">
        <v>1</v>
      </c>
      <c r="J7443">
        <v>0</v>
      </c>
      <c r="K7443">
        <v>0</v>
      </c>
      <c r="L7443">
        <f t="shared" si="232"/>
        <v>4.3</v>
      </c>
      <c r="M7443">
        <f t="shared" si="233"/>
        <v>1</v>
      </c>
    </row>
    <row r="7444" spans="1:13" x14ac:dyDescent="0.3">
      <c r="A7444">
        <v>7442</v>
      </c>
      <c r="B7444">
        <v>7443</v>
      </c>
      <c r="C7444" t="s">
        <v>7520</v>
      </c>
      <c r="D7444">
        <v>2020</v>
      </c>
      <c r="F7444" t="s">
        <v>2941</v>
      </c>
      <c r="G7444">
        <v>0</v>
      </c>
      <c r="H7444">
        <v>0</v>
      </c>
      <c r="I7444">
        <v>1</v>
      </c>
      <c r="J7444">
        <v>0</v>
      </c>
      <c r="K7444">
        <v>0</v>
      </c>
      <c r="L7444">
        <f t="shared" si="232"/>
        <v>4.3</v>
      </c>
      <c r="M7444">
        <f t="shared" si="233"/>
        <v>1</v>
      </c>
    </row>
    <row r="7445" spans="1:13" x14ac:dyDescent="0.3">
      <c r="A7445">
        <v>7443</v>
      </c>
      <c r="B7445">
        <v>7444</v>
      </c>
      <c r="C7445" t="s">
        <v>7521</v>
      </c>
      <c r="D7445">
        <v>2015</v>
      </c>
      <c r="E7445" t="s">
        <v>36</v>
      </c>
      <c r="F7445" t="s">
        <v>2941</v>
      </c>
      <c r="G7445">
        <v>0</v>
      </c>
      <c r="H7445">
        <v>0</v>
      </c>
      <c r="I7445">
        <v>1</v>
      </c>
      <c r="J7445">
        <v>0</v>
      </c>
      <c r="K7445">
        <v>0</v>
      </c>
      <c r="L7445">
        <f t="shared" si="232"/>
        <v>4.3</v>
      </c>
      <c r="M7445">
        <f t="shared" si="233"/>
        <v>1</v>
      </c>
    </row>
    <row r="7446" spans="1:13" x14ac:dyDescent="0.3">
      <c r="A7446">
        <v>7444</v>
      </c>
      <c r="B7446">
        <v>7445</v>
      </c>
      <c r="C7446" t="s">
        <v>7522</v>
      </c>
      <c r="D7446">
        <v>2002</v>
      </c>
      <c r="E7446" t="s">
        <v>14</v>
      </c>
      <c r="F7446" t="s">
        <v>2941</v>
      </c>
      <c r="G7446">
        <v>0</v>
      </c>
      <c r="H7446">
        <v>0</v>
      </c>
      <c r="I7446">
        <v>1</v>
      </c>
      <c r="J7446">
        <v>0</v>
      </c>
      <c r="K7446">
        <v>0</v>
      </c>
      <c r="L7446">
        <f t="shared" si="232"/>
        <v>4.3</v>
      </c>
      <c r="M7446">
        <f t="shared" si="233"/>
        <v>1</v>
      </c>
    </row>
    <row r="7447" spans="1:13" x14ac:dyDescent="0.3">
      <c r="A7447">
        <v>7445</v>
      </c>
      <c r="B7447">
        <v>7446</v>
      </c>
      <c r="C7447" t="s">
        <v>7523</v>
      </c>
      <c r="D7447">
        <v>2018</v>
      </c>
      <c r="F7447" t="s">
        <v>2941</v>
      </c>
      <c r="G7447">
        <v>0</v>
      </c>
      <c r="H7447">
        <v>0</v>
      </c>
      <c r="I7447">
        <v>1</v>
      </c>
      <c r="J7447">
        <v>0</v>
      </c>
      <c r="K7447">
        <v>0</v>
      </c>
      <c r="L7447">
        <f t="shared" si="232"/>
        <v>4.3</v>
      </c>
      <c r="M7447">
        <f t="shared" si="233"/>
        <v>1</v>
      </c>
    </row>
    <row r="7448" spans="1:13" x14ac:dyDescent="0.3">
      <c r="A7448">
        <v>7446</v>
      </c>
      <c r="B7448">
        <v>7447</v>
      </c>
      <c r="C7448" t="s">
        <v>7524</v>
      </c>
      <c r="D7448">
        <v>2018</v>
      </c>
      <c r="F7448" t="s">
        <v>2941</v>
      </c>
      <c r="G7448">
        <v>0</v>
      </c>
      <c r="H7448">
        <v>0</v>
      </c>
      <c r="I7448">
        <v>1</v>
      </c>
      <c r="J7448">
        <v>0</v>
      </c>
      <c r="K7448">
        <v>0</v>
      </c>
      <c r="L7448">
        <f t="shared" si="232"/>
        <v>4.3</v>
      </c>
      <c r="M7448">
        <f t="shared" si="233"/>
        <v>1</v>
      </c>
    </row>
    <row r="7449" spans="1:13" x14ac:dyDescent="0.3">
      <c r="A7449">
        <v>7447</v>
      </c>
      <c r="B7449">
        <v>7448</v>
      </c>
      <c r="C7449" t="s">
        <v>7525</v>
      </c>
      <c r="D7449">
        <v>2012</v>
      </c>
      <c r="E7449" t="s">
        <v>28</v>
      </c>
      <c r="F7449" t="s">
        <v>2941</v>
      </c>
      <c r="G7449">
        <v>0</v>
      </c>
      <c r="H7449">
        <v>0</v>
      </c>
      <c r="I7449">
        <v>1</v>
      </c>
      <c r="J7449">
        <v>0</v>
      </c>
      <c r="K7449">
        <v>0</v>
      </c>
      <c r="L7449">
        <f t="shared" si="232"/>
        <v>4.3</v>
      </c>
      <c r="M7449">
        <f t="shared" si="233"/>
        <v>1</v>
      </c>
    </row>
    <row r="7450" spans="1:13" x14ac:dyDescent="0.3">
      <c r="A7450">
        <v>7448</v>
      </c>
      <c r="B7450">
        <v>7449</v>
      </c>
      <c r="C7450" t="s">
        <v>7526</v>
      </c>
      <c r="D7450">
        <v>1977</v>
      </c>
      <c r="E7450" t="s">
        <v>14</v>
      </c>
      <c r="F7450" t="s">
        <v>2941</v>
      </c>
      <c r="G7450">
        <v>0</v>
      </c>
      <c r="H7450">
        <v>0</v>
      </c>
      <c r="I7450">
        <v>1</v>
      </c>
      <c r="J7450">
        <v>0</v>
      </c>
      <c r="K7450">
        <v>0</v>
      </c>
      <c r="L7450">
        <f t="shared" si="232"/>
        <v>4.3</v>
      </c>
      <c r="M7450">
        <f t="shared" si="233"/>
        <v>1</v>
      </c>
    </row>
    <row r="7451" spans="1:13" x14ac:dyDescent="0.3">
      <c r="A7451">
        <v>7449</v>
      </c>
      <c r="B7451">
        <v>7450</v>
      </c>
      <c r="C7451" t="s">
        <v>7527</v>
      </c>
      <c r="D7451">
        <v>2019</v>
      </c>
      <c r="F7451" t="s">
        <v>2941</v>
      </c>
      <c r="G7451">
        <v>0</v>
      </c>
      <c r="H7451">
        <v>0</v>
      </c>
      <c r="I7451">
        <v>1</v>
      </c>
      <c r="J7451">
        <v>0</v>
      </c>
      <c r="K7451">
        <v>0</v>
      </c>
      <c r="L7451">
        <f t="shared" si="232"/>
        <v>4.3</v>
      </c>
      <c r="M7451">
        <f t="shared" si="233"/>
        <v>1</v>
      </c>
    </row>
    <row r="7452" spans="1:13" x14ac:dyDescent="0.3">
      <c r="A7452">
        <v>7450</v>
      </c>
      <c r="B7452">
        <v>7451</v>
      </c>
      <c r="C7452" t="s">
        <v>7528</v>
      </c>
      <c r="D7452">
        <v>2017</v>
      </c>
      <c r="E7452" t="s">
        <v>28</v>
      </c>
      <c r="F7452" t="s">
        <v>2941</v>
      </c>
      <c r="G7452">
        <v>0</v>
      </c>
      <c r="H7452">
        <v>0</v>
      </c>
      <c r="I7452">
        <v>1</v>
      </c>
      <c r="J7452">
        <v>0</v>
      </c>
      <c r="K7452">
        <v>0</v>
      </c>
      <c r="L7452">
        <f t="shared" si="232"/>
        <v>4.3</v>
      </c>
      <c r="M7452">
        <f t="shared" si="233"/>
        <v>1</v>
      </c>
    </row>
    <row r="7453" spans="1:13" x14ac:dyDescent="0.3">
      <c r="A7453">
        <v>7451</v>
      </c>
      <c r="B7453">
        <v>7452</v>
      </c>
      <c r="C7453" t="s">
        <v>7529</v>
      </c>
      <c r="D7453">
        <v>2020</v>
      </c>
      <c r="E7453" t="s">
        <v>14</v>
      </c>
      <c r="F7453" t="s">
        <v>2941</v>
      </c>
      <c r="G7453">
        <v>0</v>
      </c>
      <c r="H7453">
        <v>0</v>
      </c>
      <c r="I7453">
        <v>1</v>
      </c>
      <c r="J7453">
        <v>0</v>
      </c>
      <c r="K7453">
        <v>0</v>
      </c>
      <c r="L7453">
        <f t="shared" si="232"/>
        <v>4.3</v>
      </c>
      <c r="M7453">
        <f t="shared" si="233"/>
        <v>1</v>
      </c>
    </row>
    <row r="7454" spans="1:13" x14ac:dyDescent="0.3">
      <c r="A7454">
        <v>7452</v>
      </c>
      <c r="B7454">
        <v>7453</v>
      </c>
      <c r="C7454" t="s">
        <v>7530</v>
      </c>
      <c r="D7454">
        <v>2020</v>
      </c>
      <c r="F7454" t="s">
        <v>2941</v>
      </c>
      <c r="G7454">
        <v>0</v>
      </c>
      <c r="H7454">
        <v>0</v>
      </c>
      <c r="I7454">
        <v>1</v>
      </c>
      <c r="J7454">
        <v>0</v>
      </c>
      <c r="K7454">
        <v>0</v>
      </c>
      <c r="L7454">
        <f t="shared" si="232"/>
        <v>4.3</v>
      </c>
      <c r="M7454">
        <f t="shared" si="233"/>
        <v>1</v>
      </c>
    </row>
    <row r="7455" spans="1:13" x14ac:dyDescent="0.3">
      <c r="A7455">
        <v>7453</v>
      </c>
      <c r="B7455">
        <v>7454</v>
      </c>
      <c r="C7455" t="s">
        <v>7531</v>
      </c>
      <c r="D7455">
        <v>2017</v>
      </c>
      <c r="E7455" t="s">
        <v>11</v>
      </c>
      <c r="F7455" t="s">
        <v>2941</v>
      </c>
      <c r="G7455">
        <v>0</v>
      </c>
      <c r="H7455">
        <v>0</v>
      </c>
      <c r="I7455">
        <v>1</v>
      </c>
      <c r="J7455">
        <v>0</v>
      </c>
      <c r="K7455">
        <v>0</v>
      </c>
      <c r="L7455">
        <f t="shared" si="232"/>
        <v>4.3</v>
      </c>
      <c r="M7455">
        <f t="shared" si="233"/>
        <v>1</v>
      </c>
    </row>
    <row r="7456" spans="1:13" x14ac:dyDescent="0.3">
      <c r="A7456">
        <v>7454</v>
      </c>
      <c r="B7456">
        <v>7455</v>
      </c>
      <c r="C7456" t="s">
        <v>7532</v>
      </c>
      <c r="D7456">
        <v>2013</v>
      </c>
      <c r="F7456" t="s">
        <v>2941</v>
      </c>
      <c r="G7456">
        <v>0</v>
      </c>
      <c r="H7456">
        <v>0</v>
      </c>
      <c r="I7456">
        <v>1</v>
      </c>
      <c r="J7456">
        <v>0</v>
      </c>
      <c r="K7456">
        <v>0</v>
      </c>
      <c r="L7456">
        <f t="shared" si="232"/>
        <v>4.3</v>
      </c>
      <c r="M7456">
        <f t="shared" si="233"/>
        <v>1</v>
      </c>
    </row>
    <row r="7457" spans="1:13" x14ac:dyDescent="0.3">
      <c r="A7457">
        <v>7455</v>
      </c>
      <c r="B7457">
        <v>7456</v>
      </c>
      <c r="C7457" t="s">
        <v>7533</v>
      </c>
      <c r="D7457">
        <v>2014</v>
      </c>
      <c r="E7457" t="s">
        <v>11</v>
      </c>
      <c r="F7457" t="s">
        <v>2941</v>
      </c>
      <c r="G7457">
        <v>0</v>
      </c>
      <c r="H7457">
        <v>0</v>
      </c>
      <c r="I7457">
        <v>1</v>
      </c>
      <c r="J7457">
        <v>0</v>
      </c>
      <c r="K7457">
        <v>0</v>
      </c>
      <c r="L7457">
        <f t="shared" si="232"/>
        <v>4.3</v>
      </c>
      <c r="M7457">
        <f t="shared" si="233"/>
        <v>1</v>
      </c>
    </row>
    <row r="7458" spans="1:13" x14ac:dyDescent="0.3">
      <c r="A7458">
        <v>7456</v>
      </c>
      <c r="B7458">
        <v>7457</v>
      </c>
      <c r="C7458" t="s">
        <v>7534</v>
      </c>
      <c r="D7458">
        <v>2016</v>
      </c>
      <c r="E7458" t="s">
        <v>14</v>
      </c>
      <c r="F7458" t="s">
        <v>2941</v>
      </c>
      <c r="G7458">
        <v>0</v>
      </c>
      <c r="H7458">
        <v>0</v>
      </c>
      <c r="I7458">
        <v>1</v>
      </c>
      <c r="J7458">
        <v>0</v>
      </c>
      <c r="K7458">
        <v>0</v>
      </c>
      <c r="L7458">
        <f t="shared" si="232"/>
        <v>4.3</v>
      </c>
      <c r="M7458">
        <f t="shared" si="233"/>
        <v>1</v>
      </c>
    </row>
    <row r="7459" spans="1:13" x14ac:dyDescent="0.3">
      <c r="A7459">
        <v>7457</v>
      </c>
      <c r="B7459">
        <v>7458</v>
      </c>
      <c r="C7459" t="s">
        <v>7535</v>
      </c>
      <c r="D7459">
        <v>1943</v>
      </c>
      <c r="F7459" t="s">
        <v>2941</v>
      </c>
      <c r="G7459">
        <v>0</v>
      </c>
      <c r="H7459">
        <v>0</v>
      </c>
      <c r="I7459">
        <v>1</v>
      </c>
      <c r="J7459">
        <v>0</v>
      </c>
      <c r="K7459">
        <v>0</v>
      </c>
      <c r="L7459">
        <f t="shared" si="232"/>
        <v>4.3</v>
      </c>
      <c r="M7459">
        <f t="shared" si="233"/>
        <v>1</v>
      </c>
    </row>
    <row r="7460" spans="1:13" x14ac:dyDescent="0.3">
      <c r="A7460">
        <v>7458</v>
      </c>
      <c r="B7460">
        <v>7459</v>
      </c>
      <c r="C7460" t="s">
        <v>7536</v>
      </c>
      <c r="D7460">
        <v>1969</v>
      </c>
      <c r="F7460" t="s">
        <v>2941</v>
      </c>
      <c r="G7460">
        <v>0</v>
      </c>
      <c r="H7460">
        <v>0</v>
      </c>
      <c r="I7460">
        <v>1</v>
      </c>
      <c r="J7460">
        <v>0</v>
      </c>
      <c r="K7460">
        <v>0</v>
      </c>
      <c r="L7460">
        <f t="shared" si="232"/>
        <v>4.3</v>
      </c>
      <c r="M7460">
        <f t="shared" si="233"/>
        <v>1</v>
      </c>
    </row>
    <row r="7461" spans="1:13" x14ac:dyDescent="0.3">
      <c r="A7461">
        <v>7459</v>
      </c>
      <c r="B7461">
        <v>7460</v>
      </c>
      <c r="C7461" t="s">
        <v>7537</v>
      </c>
      <c r="D7461">
        <v>1958</v>
      </c>
      <c r="E7461" t="s">
        <v>36</v>
      </c>
      <c r="F7461" t="s">
        <v>2941</v>
      </c>
      <c r="G7461">
        <v>0</v>
      </c>
      <c r="H7461">
        <v>0</v>
      </c>
      <c r="I7461">
        <v>1</v>
      </c>
      <c r="J7461">
        <v>0</v>
      </c>
      <c r="K7461">
        <v>0</v>
      </c>
      <c r="L7461">
        <f t="shared" si="232"/>
        <v>4.3</v>
      </c>
      <c r="M7461">
        <f t="shared" si="233"/>
        <v>1</v>
      </c>
    </row>
    <row r="7462" spans="1:13" x14ac:dyDescent="0.3">
      <c r="A7462">
        <v>7460</v>
      </c>
      <c r="B7462">
        <v>7461</v>
      </c>
      <c r="C7462" t="s">
        <v>7538</v>
      </c>
      <c r="D7462">
        <v>2020</v>
      </c>
      <c r="E7462" t="s">
        <v>28</v>
      </c>
      <c r="F7462" t="s">
        <v>2941</v>
      </c>
      <c r="G7462">
        <v>0</v>
      </c>
      <c r="H7462">
        <v>0</v>
      </c>
      <c r="I7462">
        <v>1</v>
      </c>
      <c r="J7462">
        <v>0</v>
      </c>
      <c r="K7462">
        <v>0</v>
      </c>
      <c r="L7462">
        <f t="shared" si="232"/>
        <v>4.3</v>
      </c>
      <c r="M7462">
        <f t="shared" si="233"/>
        <v>1</v>
      </c>
    </row>
    <row r="7463" spans="1:13" x14ac:dyDescent="0.3">
      <c r="A7463">
        <v>7461</v>
      </c>
      <c r="B7463">
        <v>7462</v>
      </c>
      <c r="C7463" t="s">
        <v>7539</v>
      </c>
      <c r="D7463">
        <v>2017</v>
      </c>
      <c r="E7463" t="s">
        <v>11</v>
      </c>
      <c r="F7463" t="s">
        <v>2941</v>
      </c>
      <c r="G7463">
        <v>0</v>
      </c>
      <c r="H7463">
        <v>0</v>
      </c>
      <c r="I7463">
        <v>1</v>
      </c>
      <c r="J7463">
        <v>0</v>
      </c>
      <c r="K7463">
        <v>0</v>
      </c>
      <c r="L7463">
        <f t="shared" si="232"/>
        <v>4.3</v>
      </c>
      <c r="M7463">
        <f t="shared" si="233"/>
        <v>1</v>
      </c>
    </row>
    <row r="7464" spans="1:13" x14ac:dyDescent="0.3">
      <c r="A7464">
        <v>7462</v>
      </c>
      <c r="B7464">
        <v>7463</v>
      </c>
      <c r="C7464" t="s">
        <v>7540</v>
      </c>
      <c r="D7464">
        <v>2017</v>
      </c>
      <c r="F7464" t="s">
        <v>2941</v>
      </c>
      <c r="G7464">
        <v>0</v>
      </c>
      <c r="H7464">
        <v>0</v>
      </c>
      <c r="I7464">
        <v>1</v>
      </c>
      <c r="J7464">
        <v>0</v>
      </c>
      <c r="K7464">
        <v>0</v>
      </c>
      <c r="L7464">
        <f t="shared" si="232"/>
        <v>4.3</v>
      </c>
      <c r="M7464">
        <f t="shared" si="233"/>
        <v>1</v>
      </c>
    </row>
    <row r="7465" spans="1:13" x14ac:dyDescent="0.3">
      <c r="A7465">
        <v>7463</v>
      </c>
      <c r="B7465">
        <v>7464</v>
      </c>
      <c r="C7465" t="s">
        <v>7541</v>
      </c>
      <c r="D7465">
        <v>1951</v>
      </c>
      <c r="E7465" t="s">
        <v>36</v>
      </c>
      <c r="F7465" t="s">
        <v>2941</v>
      </c>
      <c r="G7465">
        <v>0</v>
      </c>
      <c r="H7465">
        <v>0</v>
      </c>
      <c r="I7465">
        <v>1</v>
      </c>
      <c r="J7465">
        <v>0</v>
      </c>
      <c r="K7465">
        <v>0</v>
      </c>
      <c r="L7465">
        <f t="shared" si="232"/>
        <v>4.3</v>
      </c>
      <c r="M7465">
        <f t="shared" si="233"/>
        <v>1</v>
      </c>
    </row>
    <row r="7466" spans="1:13" x14ac:dyDescent="0.3">
      <c r="A7466">
        <v>7464</v>
      </c>
      <c r="B7466">
        <v>7465</v>
      </c>
      <c r="C7466" t="s">
        <v>7542</v>
      </c>
      <c r="D7466">
        <v>2018</v>
      </c>
      <c r="F7466" t="s">
        <v>2941</v>
      </c>
      <c r="G7466">
        <v>0</v>
      </c>
      <c r="H7466">
        <v>0</v>
      </c>
      <c r="I7466">
        <v>1</v>
      </c>
      <c r="J7466">
        <v>0</v>
      </c>
      <c r="K7466">
        <v>0</v>
      </c>
      <c r="L7466">
        <f t="shared" si="232"/>
        <v>4.3</v>
      </c>
      <c r="M7466">
        <f t="shared" si="233"/>
        <v>1</v>
      </c>
    </row>
    <row r="7467" spans="1:13" x14ac:dyDescent="0.3">
      <c r="A7467">
        <v>7465</v>
      </c>
      <c r="B7467">
        <v>7466</v>
      </c>
      <c r="C7467" t="s">
        <v>7543</v>
      </c>
      <c r="D7467">
        <v>2020</v>
      </c>
      <c r="F7467" t="s">
        <v>2941</v>
      </c>
      <c r="G7467">
        <v>0</v>
      </c>
      <c r="H7467">
        <v>0</v>
      </c>
      <c r="I7467">
        <v>1</v>
      </c>
      <c r="J7467">
        <v>0</v>
      </c>
      <c r="K7467">
        <v>0</v>
      </c>
      <c r="L7467">
        <f t="shared" si="232"/>
        <v>4.3</v>
      </c>
      <c r="M7467">
        <f t="shared" si="233"/>
        <v>1</v>
      </c>
    </row>
    <row r="7468" spans="1:13" x14ac:dyDescent="0.3">
      <c r="A7468">
        <v>7466</v>
      </c>
      <c r="B7468">
        <v>7467</v>
      </c>
      <c r="C7468" t="s">
        <v>7544</v>
      </c>
      <c r="D7468">
        <v>1999</v>
      </c>
      <c r="E7468" t="s">
        <v>11</v>
      </c>
      <c r="F7468" t="s">
        <v>2941</v>
      </c>
      <c r="G7468">
        <v>0</v>
      </c>
      <c r="H7468">
        <v>0</v>
      </c>
      <c r="I7468">
        <v>1</v>
      </c>
      <c r="J7468">
        <v>0</v>
      </c>
      <c r="K7468">
        <v>0</v>
      </c>
      <c r="L7468">
        <f t="shared" si="232"/>
        <v>4.3</v>
      </c>
      <c r="M7468">
        <f t="shared" si="233"/>
        <v>1</v>
      </c>
    </row>
    <row r="7469" spans="1:13" x14ac:dyDescent="0.3">
      <c r="A7469">
        <v>7467</v>
      </c>
      <c r="B7469">
        <v>7468</v>
      </c>
      <c r="C7469" t="s">
        <v>7545</v>
      </c>
      <c r="D7469">
        <v>2016</v>
      </c>
      <c r="F7469" t="s">
        <v>2941</v>
      </c>
      <c r="G7469">
        <v>0</v>
      </c>
      <c r="H7469">
        <v>0</v>
      </c>
      <c r="I7469">
        <v>1</v>
      </c>
      <c r="J7469">
        <v>0</v>
      </c>
      <c r="K7469">
        <v>0</v>
      </c>
      <c r="L7469">
        <f t="shared" si="232"/>
        <v>4.3</v>
      </c>
      <c r="M7469">
        <f t="shared" si="233"/>
        <v>1</v>
      </c>
    </row>
    <row r="7470" spans="1:13" x14ac:dyDescent="0.3">
      <c r="A7470">
        <v>7468</v>
      </c>
      <c r="B7470">
        <v>7469</v>
      </c>
      <c r="C7470" t="s">
        <v>7546</v>
      </c>
      <c r="D7470">
        <v>1945</v>
      </c>
      <c r="E7470" t="s">
        <v>22</v>
      </c>
      <c r="F7470" t="s">
        <v>2941</v>
      </c>
      <c r="G7470">
        <v>0</v>
      </c>
      <c r="H7470">
        <v>0</v>
      </c>
      <c r="I7470">
        <v>1</v>
      </c>
      <c r="J7470">
        <v>0</v>
      </c>
      <c r="K7470">
        <v>0</v>
      </c>
      <c r="L7470">
        <f t="shared" si="232"/>
        <v>4.3</v>
      </c>
      <c r="M7470">
        <f t="shared" si="233"/>
        <v>1</v>
      </c>
    </row>
    <row r="7471" spans="1:13" x14ac:dyDescent="0.3">
      <c r="A7471">
        <v>7469</v>
      </c>
      <c r="B7471">
        <v>7470</v>
      </c>
      <c r="C7471" t="s">
        <v>7547</v>
      </c>
      <c r="D7471">
        <v>1984</v>
      </c>
      <c r="E7471" t="s">
        <v>11</v>
      </c>
      <c r="F7471" t="s">
        <v>2941</v>
      </c>
      <c r="G7471">
        <v>0</v>
      </c>
      <c r="H7471">
        <v>0</v>
      </c>
      <c r="I7471">
        <v>1</v>
      </c>
      <c r="J7471">
        <v>0</v>
      </c>
      <c r="K7471">
        <v>0</v>
      </c>
      <c r="L7471">
        <f t="shared" si="232"/>
        <v>4.3</v>
      </c>
      <c r="M7471">
        <f t="shared" si="233"/>
        <v>1</v>
      </c>
    </row>
    <row r="7472" spans="1:13" x14ac:dyDescent="0.3">
      <c r="A7472">
        <v>7470</v>
      </c>
      <c r="B7472">
        <v>7471</v>
      </c>
      <c r="C7472" t="s">
        <v>7548</v>
      </c>
      <c r="D7472">
        <v>1958</v>
      </c>
      <c r="F7472" t="s">
        <v>2941</v>
      </c>
      <c r="G7472">
        <v>0</v>
      </c>
      <c r="H7472">
        <v>0</v>
      </c>
      <c r="I7472">
        <v>1</v>
      </c>
      <c r="J7472">
        <v>0</v>
      </c>
      <c r="K7472">
        <v>0</v>
      </c>
      <c r="L7472">
        <f t="shared" si="232"/>
        <v>4.3</v>
      </c>
      <c r="M7472">
        <f t="shared" si="233"/>
        <v>1</v>
      </c>
    </row>
    <row r="7473" spans="1:13" x14ac:dyDescent="0.3">
      <c r="A7473">
        <v>7471</v>
      </c>
      <c r="B7473">
        <v>7472</v>
      </c>
      <c r="C7473" t="s">
        <v>7549</v>
      </c>
      <c r="D7473">
        <v>2020</v>
      </c>
      <c r="F7473" t="s">
        <v>2941</v>
      </c>
      <c r="G7473">
        <v>0</v>
      </c>
      <c r="H7473">
        <v>0</v>
      </c>
      <c r="I7473">
        <v>1</v>
      </c>
      <c r="J7473">
        <v>0</v>
      </c>
      <c r="K7473">
        <v>0</v>
      </c>
      <c r="L7473">
        <f t="shared" si="232"/>
        <v>4.3</v>
      </c>
      <c r="M7473">
        <f t="shared" si="233"/>
        <v>1</v>
      </c>
    </row>
    <row r="7474" spans="1:13" x14ac:dyDescent="0.3">
      <c r="A7474">
        <v>7472</v>
      </c>
      <c r="B7474">
        <v>7473</v>
      </c>
      <c r="C7474" t="s">
        <v>7550</v>
      </c>
      <c r="D7474">
        <v>2010</v>
      </c>
      <c r="E7474" t="s">
        <v>11</v>
      </c>
      <c r="F7474" t="s">
        <v>2941</v>
      </c>
      <c r="G7474">
        <v>0</v>
      </c>
      <c r="H7474">
        <v>0</v>
      </c>
      <c r="I7474">
        <v>1</v>
      </c>
      <c r="J7474">
        <v>0</v>
      </c>
      <c r="K7474">
        <v>0</v>
      </c>
      <c r="L7474">
        <f t="shared" si="232"/>
        <v>4.3</v>
      </c>
      <c r="M7474">
        <f t="shared" si="233"/>
        <v>1</v>
      </c>
    </row>
    <row r="7475" spans="1:13" x14ac:dyDescent="0.3">
      <c r="A7475">
        <v>7473</v>
      </c>
      <c r="B7475">
        <v>7474</v>
      </c>
      <c r="C7475" t="s">
        <v>7551</v>
      </c>
      <c r="D7475">
        <v>2015</v>
      </c>
      <c r="F7475" t="s">
        <v>2941</v>
      </c>
      <c r="G7475">
        <v>0</v>
      </c>
      <c r="H7475">
        <v>0</v>
      </c>
      <c r="I7475">
        <v>1</v>
      </c>
      <c r="J7475">
        <v>0</v>
      </c>
      <c r="K7475">
        <v>0</v>
      </c>
      <c r="L7475">
        <f t="shared" si="232"/>
        <v>4.3</v>
      </c>
      <c r="M7475">
        <f t="shared" si="233"/>
        <v>1</v>
      </c>
    </row>
    <row r="7476" spans="1:13" x14ac:dyDescent="0.3">
      <c r="A7476">
        <v>7474</v>
      </c>
      <c r="B7476">
        <v>7475</v>
      </c>
      <c r="C7476" t="s">
        <v>7552</v>
      </c>
      <c r="D7476">
        <v>1978</v>
      </c>
      <c r="F7476" t="s">
        <v>2941</v>
      </c>
      <c r="G7476">
        <v>0</v>
      </c>
      <c r="H7476">
        <v>0</v>
      </c>
      <c r="I7476">
        <v>1</v>
      </c>
      <c r="J7476">
        <v>0</v>
      </c>
      <c r="K7476">
        <v>0</v>
      </c>
      <c r="L7476">
        <f t="shared" si="232"/>
        <v>4.3</v>
      </c>
      <c r="M7476">
        <f t="shared" si="233"/>
        <v>1</v>
      </c>
    </row>
    <row r="7477" spans="1:13" x14ac:dyDescent="0.3">
      <c r="A7477">
        <v>7475</v>
      </c>
      <c r="B7477">
        <v>7476</v>
      </c>
      <c r="C7477" t="s">
        <v>7553</v>
      </c>
      <c r="D7477">
        <v>2017</v>
      </c>
      <c r="F7477" t="s">
        <v>2941</v>
      </c>
      <c r="G7477">
        <v>0</v>
      </c>
      <c r="H7477">
        <v>0</v>
      </c>
      <c r="I7477">
        <v>1</v>
      </c>
      <c r="J7477">
        <v>0</v>
      </c>
      <c r="K7477">
        <v>0</v>
      </c>
      <c r="L7477">
        <f t="shared" si="232"/>
        <v>4.3</v>
      </c>
      <c r="M7477">
        <f t="shared" si="233"/>
        <v>1</v>
      </c>
    </row>
    <row r="7478" spans="1:13" x14ac:dyDescent="0.3">
      <c r="A7478">
        <v>7476</v>
      </c>
      <c r="B7478">
        <v>7477</v>
      </c>
      <c r="C7478" t="s">
        <v>7554</v>
      </c>
      <c r="D7478">
        <v>1950</v>
      </c>
      <c r="F7478" t="s">
        <v>2941</v>
      </c>
      <c r="G7478">
        <v>0</v>
      </c>
      <c r="H7478">
        <v>0</v>
      </c>
      <c r="I7478">
        <v>1</v>
      </c>
      <c r="J7478">
        <v>0</v>
      </c>
      <c r="K7478">
        <v>0</v>
      </c>
      <c r="L7478">
        <f t="shared" si="232"/>
        <v>4.3</v>
      </c>
      <c r="M7478">
        <f t="shared" si="233"/>
        <v>1</v>
      </c>
    </row>
    <row r="7479" spans="1:13" x14ac:dyDescent="0.3">
      <c r="A7479">
        <v>7477</v>
      </c>
      <c r="B7479">
        <v>7478</v>
      </c>
      <c r="C7479" t="s">
        <v>7555</v>
      </c>
      <c r="D7479">
        <v>2011</v>
      </c>
      <c r="F7479" t="s">
        <v>2941</v>
      </c>
      <c r="G7479">
        <v>0</v>
      </c>
      <c r="H7479">
        <v>0</v>
      </c>
      <c r="I7479">
        <v>1</v>
      </c>
      <c r="J7479">
        <v>0</v>
      </c>
      <c r="K7479">
        <v>0</v>
      </c>
      <c r="L7479">
        <f t="shared" si="232"/>
        <v>4.3</v>
      </c>
      <c r="M7479">
        <f t="shared" si="233"/>
        <v>1</v>
      </c>
    </row>
    <row r="7480" spans="1:13" x14ac:dyDescent="0.3">
      <c r="A7480">
        <v>7478</v>
      </c>
      <c r="B7480">
        <v>7479</v>
      </c>
      <c r="C7480" t="s">
        <v>7556</v>
      </c>
      <c r="D7480">
        <v>1982</v>
      </c>
      <c r="E7480" t="s">
        <v>11</v>
      </c>
      <c r="F7480" t="s">
        <v>2941</v>
      </c>
      <c r="G7480">
        <v>0</v>
      </c>
      <c r="H7480">
        <v>0</v>
      </c>
      <c r="I7480">
        <v>1</v>
      </c>
      <c r="J7480">
        <v>0</v>
      </c>
      <c r="K7480">
        <v>0</v>
      </c>
      <c r="L7480">
        <f t="shared" si="232"/>
        <v>4.3</v>
      </c>
      <c r="M7480">
        <f t="shared" si="233"/>
        <v>1</v>
      </c>
    </row>
    <row r="7481" spans="1:13" x14ac:dyDescent="0.3">
      <c r="A7481">
        <v>7479</v>
      </c>
      <c r="B7481">
        <v>7480</v>
      </c>
      <c r="C7481" t="s">
        <v>7557</v>
      </c>
      <c r="D7481">
        <v>1961</v>
      </c>
      <c r="F7481" t="s">
        <v>2941</v>
      </c>
      <c r="G7481">
        <v>0</v>
      </c>
      <c r="H7481">
        <v>0</v>
      </c>
      <c r="I7481">
        <v>1</v>
      </c>
      <c r="J7481">
        <v>0</v>
      </c>
      <c r="K7481">
        <v>0</v>
      </c>
      <c r="L7481">
        <f t="shared" si="232"/>
        <v>4.3</v>
      </c>
      <c r="M7481">
        <f t="shared" si="233"/>
        <v>1</v>
      </c>
    </row>
    <row r="7482" spans="1:13" x14ac:dyDescent="0.3">
      <c r="A7482">
        <v>7480</v>
      </c>
      <c r="B7482">
        <v>7481</v>
      </c>
      <c r="C7482" t="s">
        <v>7558</v>
      </c>
      <c r="D7482">
        <v>2017</v>
      </c>
      <c r="F7482" t="s">
        <v>2941</v>
      </c>
      <c r="G7482">
        <v>0</v>
      </c>
      <c r="H7482">
        <v>0</v>
      </c>
      <c r="I7482">
        <v>1</v>
      </c>
      <c r="J7482">
        <v>0</v>
      </c>
      <c r="K7482">
        <v>0</v>
      </c>
      <c r="L7482">
        <f t="shared" si="232"/>
        <v>4.3</v>
      </c>
      <c r="M7482">
        <f t="shared" si="233"/>
        <v>1</v>
      </c>
    </row>
    <row r="7483" spans="1:13" x14ac:dyDescent="0.3">
      <c r="A7483">
        <v>7481</v>
      </c>
      <c r="B7483">
        <v>7482</v>
      </c>
      <c r="C7483" t="s">
        <v>7559</v>
      </c>
      <c r="D7483">
        <v>2015</v>
      </c>
      <c r="F7483" t="s">
        <v>2941</v>
      </c>
      <c r="G7483">
        <v>0</v>
      </c>
      <c r="H7483">
        <v>0</v>
      </c>
      <c r="I7483">
        <v>1</v>
      </c>
      <c r="J7483">
        <v>0</v>
      </c>
      <c r="K7483">
        <v>0</v>
      </c>
      <c r="L7483">
        <f t="shared" si="232"/>
        <v>4.3</v>
      </c>
      <c r="M7483">
        <f t="shared" si="233"/>
        <v>1</v>
      </c>
    </row>
    <row r="7484" spans="1:13" x14ac:dyDescent="0.3">
      <c r="A7484">
        <v>7482</v>
      </c>
      <c r="B7484">
        <v>7483</v>
      </c>
      <c r="C7484" t="s">
        <v>7560</v>
      </c>
      <c r="D7484">
        <v>1996</v>
      </c>
      <c r="F7484" t="s">
        <v>2941</v>
      </c>
      <c r="G7484">
        <v>0</v>
      </c>
      <c r="H7484">
        <v>0</v>
      </c>
      <c r="I7484">
        <v>1</v>
      </c>
      <c r="J7484">
        <v>0</v>
      </c>
      <c r="K7484">
        <v>0</v>
      </c>
      <c r="L7484">
        <f t="shared" si="232"/>
        <v>4.3</v>
      </c>
      <c r="M7484">
        <f t="shared" si="233"/>
        <v>1</v>
      </c>
    </row>
    <row r="7485" spans="1:13" x14ac:dyDescent="0.3">
      <c r="A7485">
        <v>7483</v>
      </c>
      <c r="B7485">
        <v>7484</v>
      </c>
      <c r="C7485" t="s">
        <v>7561</v>
      </c>
      <c r="D7485">
        <v>2020</v>
      </c>
      <c r="F7485" t="s">
        <v>2941</v>
      </c>
      <c r="G7485">
        <v>0</v>
      </c>
      <c r="H7485">
        <v>0</v>
      </c>
      <c r="I7485">
        <v>1</v>
      </c>
      <c r="J7485">
        <v>0</v>
      </c>
      <c r="K7485">
        <v>0</v>
      </c>
      <c r="L7485">
        <f t="shared" si="232"/>
        <v>4.3</v>
      </c>
      <c r="M7485">
        <f t="shared" si="233"/>
        <v>1</v>
      </c>
    </row>
    <row r="7486" spans="1:13" x14ac:dyDescent="0.3">
      <c r="A7486">
        <v>7484</v>
      </c>
      <c r="B7486">
        <v>7485</v>
      </c>
      <c r="C7486" t="s">
        <v>7562</v>
      </c>
      <c r="D7486">
        <v>2019</v>
      </c>
      <c r="F7486" t="s">
        <v>2941</v>
      </c>
      <c r="G7486">
        <v>0</v>
      </c>
      <c r="H7486">
        <v>0</v>
      </c>
      <c r="I7486">
        <v>1</v>
      </c>
      <c r="J7486">
        <v>0</v>
      </c>
      <c r="K7486">
        <v>0</v>
      </c>
      <c r="L7486">
        <f t="shared" si="232"/>
        <v>4.3</v>
      </c>
      <c r="M7486">
        <f t="shared" si="233"/>
        <v>1</v>
      </c>
    </row>
    <row r="7487" spans="1:13" x14ac:dyDescent="0.3">
      <c r="A7487">
        <v>7485</v>
      </c>
      <c r="B7487">
        <v>7486</v>
      </c>
      <c r="C7487" t="s">
        <v>7563</v>
      </c>
      <c r="D7487">
        <v>2006</v>
      </c>
      <c r="F7487" t="s">
        <v>2941</v>
      </c>
      <c r="G7487">
        <v>0</v>
      </c>
      <c r="H7487">
        <v>0</v>
      </c>
      <c r="I7487">
        <v>1</v>
      </c>
      <c r="J7487">
        <v>0</v>
      </c>
      <c r="K7487">
        <v>0</v>
      </c>
      <c r="L7487">
        <f t="shared" si="232"/>
        <v>4.3</v>
      </c>
      <c r="M7487">
        <f t="shared" si="233"/>
        <v>1</v>
      </c>
    </row>
    <row r="7488" spans="1:13" x14ac:dyDescent="0.3">
      <c r="A7488">
        <v>7486</v>
      </c>
      <c r="B7488">
        <v>7487</v>
      </c>
      <c r="C7488" t="s">
        <v>7564</v>
      </c>
      <c r="D7488">
        <v>2017</v>
      </c>
      <c r="F7488" t="s">
        <v>2941</v>
      </c>
      <c r="G7488">
        <v>0</v>
      </c>
      <c r="H7488">
        <v>0</v>
      </c>
      <c r="I7488">
        <v>1</v>
      </c>
      <c r="J7488">
        <v>0</v>
      </c>
      <c r="K7488">
        <v>0</v>
      </c>
      <c r="L7488">
        <f t="shared" si="232"/>
        <v>4.3</v>
      </c>
      <c r="M7488">
        <f t="shared" si="233"/>
        <v>1</v>
      </c>
    </row>
    <row r="7489" spans="1:13" x14ac:dyDescent="0.3">
      <c r="A7489">
        <v>7487</v>
      </c>
      <c r="B7489">
        <v>7488</v>
      </c>
      <c r="C7489" t="s">
        <v>7565</v>
      </c>
      <c r="D7489">
        <v>2015</v>
      </c>
      <c r="F7489" t="s">
        <v>2941</v>
      </c>
      <c r="G7489">
        <v>0</v>
      </c>
      <c r="H7489">
        <v>0</v>
      </c>
      <c r="I7489">
        <v>1</v>
      </c>
      <c r="J7489">
        <v>0</v>
      </c>
      <c r="K7489">
        <v>0</v>
      </c>
      <c r="L7489">
        <f t="shared" si="232"/>
        <v>4.3</v>
      </c>
      <c r="M7489">
        <f t="shared" si="233"/>
        <v>1</v>
      </c>
    </row>
    <row r="7490" spans="1:13" x14ac:dyDescent="0.3">
      <c r="A7490">
        <v>7488</v>
      </c>
      <c r="B7490">
        <v>7489</v>
      </c>
      <c r="C7490" t="s">
        <v>7566</v>
      </c>
      <c r="D7490">
        <v>2020</v>
      </c>
      <c r="E7490" t="s">
        <v>11</v>
      </c>
      <c r="F7490" t="s">
        <v>2941</v>
      </c>
      <c r="G7490">
        <v>0</v>
      </c>
      <c r="H7490">
        <v>0</v>
      </c>
      <c r="I7490">
        <v>1</v>
      </c>
      <c r="J7490">
        <v>0</v>
      </c>
      <c r="K7490">
        <v>0</v>
      </c>
      <c r="L7490">
        <f t="shared" si="232"/>
        <v>4.3</v>
      </c>
      <c r="M7490">
        <f t="shared" si="233"/>
        <v>1</v>
      </c>
    </row>
    <row r="7491" spans="1:13" x14ac:dyDescent="0.3">
      <c r="A7491">
        <v>7489</v>
      </c>
      <c r="B7491">
        <v>7490</v>
      </c>
      <c r="C7491" t="s">
        <v>7567</v>
      </c>
      <c r="D7491">
        <v>2015</v>
      </c>
      <c r="F7491" t="s">
        <v>2941</v>
      </c>
      <c r="G7491">
        <v>0</v>
      </c>
      <c r="H7491">
        <v>0</v>
      </c>
      <c r="I7491">
        <v>1</v>
      </c>
      <c r="J7491">
        <v>0</v>
      </c>
      <c r="K7491">
        <v>0</v>
      </c>
      <c r="L7491">
        <f t="shared" ref="L7491:L7554" si="234">IFERROR(VALUE(LEFT(F7491,FIND("/",F7491)-1))/10,"")</f>
        <v>4.3</v>
      </c>
      <c r="M7491">
        <f t="shared" ref="M7491:M7554" si="235">SUM(G7491:J7491)</f>
        <v>1</v>
      </c>
    </row>
    <row r="7492" spans="1:13" x14ac:dyDescent="0.3">
      <c r="A7492">
        <v>7490</v>
      </c>
      <c r="B7492">
        <v>7491</v>
      </c>
      <c r="C7492" t="s">
        <v>7568</v>
      </c>
      <c r="D7492">
        <v>2018</v>
      </c>
      <c r="F7492" t="s">
        <v>2941</v>
      </c>
      <c r="G7492">
        <v>0</v>
      </c>
      <c r="H7492">
        <v>0</v>
      </c>
      <c r="I7492">
        <v>1</v>
      </c>
      <c r="J7492">
        <v>0</v>
      </c>
      <c r="K7492">
        <v>0</v>
      </c>
      <c r="L7492">
        <f t="shared" si="234"/>
        <v>4.3</v>
      </c>
      <c r="M7492">
        <f t="shared" si="235"/>
        <v>1</v>
      </c>
    </row>
    <row r="7493" spans="1:13" x14ac:dyDescent="0.3">
      <c r="A7493">
        <v>7491</v>
      </c>
      <c r="B7493">
        <v>7492</v>
      </c>
      <c r="C7493" t="s">
        <v>7569</v>
      </c>
      <c r="D7493">
        <v>2013</v>
      </c>
      <c r="E7493" t="s">
        <v>14</v>
      </c>
      <c r="F7493" t="s">
        <v>2941</v>
      </c>
      <c r="G7493">
        <v>0</v>
      </c>
      <c r="H7493">
        <v>0</v>
      </c>
      <c r="I7493">
        <v>1</v>
      </c>
      <c r="J7493">
        <v>0</v>
      </c>
      <c r="K7493">
        <v>0</v>
      </c>
      <c r="L7493">
        <f t="shared" si="234"/>
        <v>4.3</v>
      </c>
      <c r="M7493">
        <f t="shared" si="235"/>
        <v>1</v>
      </c>
    </row>
    <row r="7494" spans="1:13" x14ac:dyDescent="0.3">
      <c r="A7494">
        <v>7492</v>
      </c>
      <c r="B7494">
        <v>7493</v>
      </c>
      <c r="C7494" t="s">
        <v>7570</v>
      </c>
      <c r="D7494">
        <v>2014</v>
      </c>
      <c r="E7494" t="s">
        <v>14</v>
      </c>
      <c r="F7494" t="s">
        <v>2941</v>
      </c>
      <c r="G7494">
        <v>0</v>
      </c>
      <c r="H7494">
        <v>0</v>
      </c>
      <c r="I7494">
        <v>1</v>
      </c>
      <c r="J7494">
        <v>0</v>
      </c>
      <c r="K7494">
        <v>0</v>
      </c>
      <c r="L7494">
        <f t="shared" si="234"/>
        <v>4.3</v>
      </c>
      <c r="M7494">
        <f t="shared" si="235"/>
        <v>1</v>
      </c>
    </row>
    <row r="7495" spans="1:13" x14ac:dyDescent="0.3">
      <c r="A7495">
        <v>7493</v>
      </c>
      <c r="B7495">
        <v>7494</v>
      </c>
      <c r="C7495" t="s">
        <v>7571</v>
      </c>
      <c r="D7495">
        <v>2020</v>
      </c>
      <c r="E7495" t="s">
        <v>11</v>
      </c>
      <c r="F7495" t="s">
        <v>2941</v>
      </c>
      <c r="G7495">
        <v>0</v>
      </c>
      <c r="H7495">
        <v>0</v>
      </c>
      <c r="I7495">
        <v>1</v>
      </c>
      <c r="J7495">
        <v>0</v>
      </c>
      <c r="K7495">
        <v>0</v>
      </c>
      <c r="L7495">
        <f t="shared" si="234"/>
        <v>4.3</v>
      </c>
      <c r="M7495">
        <f t="shared" si="235"/>
        <v>1</v>
      </c>
    </row>
    <row r="7496" spans="1:13" x14ac:dyDescent="0.3">
      <c r="A7496">
        <v>7494</v>
      </c>
      <c r="B7496">
        <v>7495</v>
      </c>
      <c r="C7496" t="s">
        <v>7572</v>
      </c>
      <c r="D7496">
        <v>2011</v>
      </c>
      <c r="F7496" t="s">
        <v>2941</v>
      </c>
      <c r="G7496">
        <v>0</v>
      </c>
      <c r="H7496">
        <v>0</v>
      </c>
      <c r="I7496">
        <v>1</v>
      </c>
      <c r="J7496">
        <v>0</v>
      </c>
      <c r="K7496">
        <v>0</v>
      </c>
      <c r="L7496">
        <f t="shared" si="234"/>
        <v>4.3</v>
      </c>
      <c r="M7496">
        <f t="shared" si="235"/>
        <v>1</v>
      </c>
    </row>
    <row r="7497" spans="1:13" x14ac:dyDescent="0.3">
      <c r="A7497">
        <v>7495</v>
      </c>
      <c r="B7497">
        <v>7496</v>
      </c>
      <c r="C7497" t="s">
        <v>7573</v>
      </c>
      <c r="D7497">
        <v>1950</v>
      </c>
      <c r="F7497" t="s">
        <v>2941</v>
      </c>
      <c r="G7497">
        <v>0</v>
      </c>
      <c r="H7497">
        <v>0</v>
      </c>
      <c r="I7497">
        <v>1</v>
      </c>
      <c r="J7497">
        <v>0</v>
      </c>
      <c r="K7497">
        <v>0</v>
      </c>
      <c r="L7497">
        <f t="shared" si="234"/>
        <v>4.3</v>
      </c>
      <c r="M7497">
        <f t="shared" si="235"/>
        <v>1</v>
      </c>
    </row>
    <row r="7498" spans="1:13" x14ac:dyDescent="0.3">
      <c r="A7498">
        <v>7496</v>
      </c>
      <c r="B7498">
        <v>7497</v>
      </c>
      <c r="C7498" t="s">
        <v>7574</v>
      </c>
      <c r="D7498">
        <v>2020</v>
      </c>
      <c r="F7498" t="s">
        <v>2941</v>
      </c>
      <c r="G7498">
        <v>0</v>
      </c>
      <c r="H7498">
        <v>0</v>
      </c>
      <c r="I7498">
        <v>1</v>
      </c>
      <c r="J7498">
        <v>0</v>
      </c>
      <c r="K7498">
        <v>0</v>
      </c>
      <c r="L7498">
        <f t="shared" si="234"/>
        <v>4.3</v>
      </c>
      <c r="M7498">
        <f t="shared" si="235"/>
        <v>1</v>
      </c>
    </row>
    <row r="7499" spans="1:13" x14ac:dyDescent="0.3">
      <c r="A7499">
        <v>7497</v>
      </c>
      <c r="B7499">
        <v>7498</v>
      </c>
      <c r="C7499" t="s">
        <v>7575</v>
      </c>
      <c r="D7499">
        <v>2012</v>
      </c>
      <c r="F7499" t="s">
        <v>2941</v>
      </c>
      <c r="G7499">
        <v>0</v>
      </c>
      <c r="H7499">
        <v>0</v>
      </c>
      <c r="I7499">
        <v>1</v>
      </c>
      <c r="J7499">
        <v>0</v>
      </c>
      <c r="K7499">
        <v>0</v>
      </c>
      <c r="L7499">
        <f t="shared" si="234"/>
        <v>4.3</v>
      </c>
      <c r="M7499">
        <f t="shared" si="235"/>
        <v>1</v>
      </c>
    </row>
    <row r="7500" spans="1:13" x14ac:dyDescent="0.3">
      <c r="A7500">
        <v>7498</v>
      </c>
      <c r="B7500">
        <v>7499</v>
      </c>
      <c r="C7500" t="s">
        <v>7576</v>
      </c>
      <c r="D7500">
        <v>2003</v>
      </c>
      <c r="F7500" t="s">
        <v>2941</v>
      </c>
      <c r="G7500">
        <v>0</v>
      </c>
      <c r="H7500">
        <v>0</v>
      </c>
      <c r="I7500">
        <v>1</v>
      </c>
      <c r="J7500">
        <v>0</v>
      </c>
      <c r="K7500">
        <v>0</v>
      </c>
      <c r="L7500">
        <f t="shared" si="234"/>
        <v>4.3</v>
      </c>
      <c r="M7500">
        <f t="shared" si="235"/>
        <v>1</v>
      </c>
    </row>
    <row r="7501" spans="1:13" x14ac:dyDescent="0.3">
      <c r="A7501">
        <v>7499</v>
      </c>
      <c r="B7501">
        <v>7500</v>
      </c>
      <c r="C7501" t="s">
        <v>7577</v>
      </c>
      <c r="D7501">
        <v>2015</v>
      </c>
      <c r="E7501" t="s">
        <v>14</v>
      </c>
      <c r="F7501" t="s">
        <v>2941</v>
      </c>
      <c r="G7501">
        <v>0</v>
      </c>
      <c r="H7501">
        <v>0</v>
      </c>
      <c r="I7501">
        <v>1</v>
      </c>
      <c r="J7501">
        <v>0</v>
      </c>
      <c r="K7501">
        <v>0</v>
      </c>
      <c r="L7501">
        <f t="shared" si="234"/>
        <v>4.3</v>
      </c>
      <c r="M7501">
        <f t="shared" si="235"/>
        <v>1</v>
      </c>
    </row>
    <row r="7502" spans="1:13" x14ac:dyDescent="0.3">
      <c r="A7502">
        <v>7500</v>
      </c>
      <c r="B7502">
        <v>7501</v>
      </c>
      <c r="C7502" t="s">
        <v>7578</v>
      </c>
      <c r="D7502">
        <v>2006</v>
      </c>
      <c r="F7502" t="s">
        <v>3038</v>
      </c>
      <c r="G7502">
        <v>0</v>
      </c>
      <c r="H7502">
        <v>0</v>
      </c>
      <c r="I7502">
        <v>1</v>
      </c>
      <c r="J7502">
        <v>0</v>
      </c>
      <c r="K7502">
        <v>0</v>
      </c>
      <c r="L7502">
        <f t="shared" si="234"/>
        <v>4.2</v>
      </c>
      <c r="M7502">
        <f t="shared" si="235"/>
        <v>1</v>
      </c>
    </row>
    <row r="7503" spans="1:13" x14ac:dyDescent="0.3">
      <c r="A7503">
        <v>7501</v>
      </c>
      <c r="B7503">
        <v>7502</v>
      </c>
      <c r="C7503" t="s">
        <v>7579</v>
      </c>
      <c r="D7503">
        <v>2001</v>
      </c>
      <c r="E7503" t="s">
        <v>11</v>
      </c>
      <c r="F7503" t="s">
        <v>3038</v>
      </c>
      <c r="G7503">
        <v>0</v>
      </c>
      <c r="H7503">
        <v>0</v>
      </c>
      <c r="I7503">
        <v>1</v>
      </c>
      <c r="J7503">
        <v>0</v>
      </c>
      <c r="K7503">
        <v>0</v>
      </c>
      <c r="L7503">
        <f t="shared" si="234"/>
        <v>4.2</v>
      </c>
      <c r="M7503">
        <f t="shared" si="235"/>
        <v>1</v>
      </c>
    </row>
    <row r="7504" spans="1:13" x14ac:dyDescent="0.3">
      <c r="A7504">
        <v>7502</v>
      </c>
      <c r="B7504">
        <v>7503</v>
      </c>
      <c r="C7504" t="s">
        <v>7580</v>
      </c>
      <c r="D7504">
        <v>2018</v>
      </c>
      <c r="F7504" t="s">
        <v>3038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f t="shared" si="234"/>
        <v>4.2</v>
      </c>
      <c r="M7504">
        <f t="shared" si="235"/>
        <v>1</v>
      </c>
    </row>
    <row r="7505" spans="1:13" x14ac:dyDescent="0.3">
      <c r="A7505">
        <v>7503</v>
      </c>
      <c r="B7505">
        <v>7504</v>
      </c>
      <c r="C7505" t="s">
        <v>7581</v>
      </c>
      <c r="D7505">
        <v>2015</v>
      </c>
      <c r="E7505" t="s">
        <v>11</v>
      </c>
      <c r="F7505" t="s">
        <v>3038</v>
      </c>
      <c r="G7505">
        <v>0</v>
      </c>
      <c r="H7505">
        <v>0</v>
      </c>
      <c r="I7505">
        <v>1</v>
      </c>
      <c r="J7505">
        <v>0</v>
      </c>
      <c r="K7505">
        <v>0</v>
      </c>
      <c r="L7505">
        <f t="shared" si="234"/>
        <v>4.2</v>
      </c>
      <c r="M7505">
        <f t="shared" si="235"/>
        <v>1</v>
      </c>
    </row>
    <row r="7506" spans="1:13" x14ac:dyDescent="0.3">
      <c r="A7506">
        <v>7504</v>
      </c>
      <c r="B7506">
        <v>7505</v>
      </c>
      <c r="C7506" t="s">
        <v>7582</v>
      </c>
      <c r="D7506">
        <v>1931</v>
      </c>
      <c r="F7506" t="s">
        <v>3038</v>
      </c>
      <c r="G7506">
        <v>0</v>
      </c>
      <c r="H7506">
        <v>0</v>
      </c>
      <c r="I7506">
        <v>1</v>
      </c>
      <c r="J7506">
        <v>0</v>
      </c>
      <c r="K7506">
        <v>0</v>
      </c>
      <c r="L7506">
        <f t="shared" si="234"/>
        <v>4.2</v>
      </c>
      <c r="M7506">
        <f t="shared" si="235"/>
        <v>1</v>
      </c>
    </row>
    <row r="7507" spans="1:13" x14ac:dyDescent="0.3">
      <c r="A7507">
        <v>7505</v>
      </c>
      <c r="B7507">
        <v>7506</v>
      </c>
      <c r="C7507" t="s">
        <v>7583</v>
      </c>
      <c r="D7507">
        <v>1938</v>
      </c>
      <c r="F7507" t="s">
        <v>3038</v>
      </c>
      <c r="G7507">
        <v>0</v>
      </c>
      <c r="H7507">
        <v>0</v>
      </c>
      <c r="I7507">
        <v>1</v>
      </c>
      <c r="J7507">
        <v>0</v>
      </c>
      <c r="K7507">
        <v>0</v>
      </c>
      <c r="L7507">
        <f t="shared" si="234"/>
        <v>4.2</v>
      </c>
      <c r="M7507">
        <f t="shared" si="235"/>
        <v>1</v>
      </c>
    </row>
    <row r="7508" spans="1:13" x14ac:dyDescent="0.3">
      <c r="A7508">
        <v>7506</v>
      </c>
      <c r="B7508">
        <v>7507</v>
      </c>
      <c r="C7508" t="s">
        <v>7584</v>
      </c>
      <c r="D7508">
        <v>2014</v>
      </c>
      <c r="E7508" t="s">
        <v>11</v>
      </c>
      <c r="F7508" t="s">
        <v>3038</v>
      </c>
      <c r="G7508">
        <v>0</v>
      </c>
      <c r="H7508">
        <v>0</v>
      </c>
      <c r="I7508">
        <v>1</v>
      </c>
      <c r="J7508">
        <v>0</v>
      </c>
      <c r="K7508">
        <v>0</v>
      </c>
      <c r="L7508">
        <f t="shared" si="234"/>
        <v>4.2</v>
      </c>
      <c r="M7508">
        <f t="shared" si="235"/>
        <v>1</v>
      </c>
    </row>
    <row r="7509" spans="1:13" x14ac:dyDescent="0.3">
      <c r="A7509">
        <v>7507</v>
      </c>
      <c r="B7509">
        <v>7508</v>
      </c>
      <c r="C7509" t="s">
        <v>7585</v>
      </c>
      <c r="D7509">
        <v>2019</v>
      </c>
      <c r="F7509" t="s">
        <v>3038</v>
      </c>
      <c r="G7509">
        <v>0</v>
      </c>
      <c r="H7509">
        <v>0</v>
      </c>
      <c r="I7509">
        <v>1</v>
      </c>
      <c r="J7509">
        <v>0</v>
      </c>
      <c r="K7509">
        <v>0</v>
      </c>
      <c r="L7509">
        <f t="shared" si="234"/>
        <v>4.2</v>
      </c>
      <c r="M7509">
        <f t="shared" si="235"/>
        <v>1</v>
      </c>
    </row>
    <row r="7510" spans="1:13" x14ac:dyDescent="0.3">
      <c r="A7510">
        <v>7508</v>
      </c>
      <c r="B7510">
        <v>7509</v>
      </c>
      <c r="C7510" t="s">
        <v>7586</v>
      </c>
      <c r="D7510">
        <v>1984</v>
      </c>
      <c r="F7510" t="s">
        <v>3038</v>
      </c>
      <c r="G7510">
        <v>0</v>
      </c>
      <c r="H7510">
        <v>0</v>
      </c>
      <c r="I7510">
        <v>1</v>
      </c>
      <c r="J7510">
        <v>0</v>
      </c>
      <c r="K7510">
        <v>0</v>
      </c>
      <c r="L7510">
        <f t="shared" si="234"/>
        <v>4.2</v>
      </c>
      <c r="M7510">
        <f t="shared" si="235"/>
        <v>1</v>
      </c>
    </row>
    <row r="7511" spans="1:13" x14ac:dyDescent="0.3">
      <c r="A7511">
        <v>7509</v>
      </c>
      <c r="B7511">
        <v>7510</v>
      </c>
      <c r="C7511" t="s">
        <v>7587</v>
      </c>
      <c r="D7511">
        <v>2019</v>
      </c>
      <c r="F7511" t="s">
        <v>3038</v>
      </c>
      <c r="G7511">
        <v>0</v>
      </c>
      <c r="H7511">
        <v>0</v>
      </c>
      <c r="I7511">
        <v>1</v>
      </c>
      <c r="J7511">
        <v>0</v>
      </c>
      <c r="K7511">
        <v>0</v>
      </c>
      <c r="L7511">
        <f t="shared" si="234"/>
        <v>4.2</v>
      </c>
      <c r="M7511">
        <f t="shared" si="235"/>
        <v>1</v>
      </c>
    </row>
    <row r="7512" spans="1:13" x14ac:dyDescent="0.3">
      <c r="A7512">
        <v>7510</v>
      </c>
      <c r="B7512">
        <v>7511</v>
      </c>
      <c r="C7512" t="s">
        <v>7588</v>
      </c>
      <c r="D7512">
        <v>1990</v>
      </c>
      <c r="E7512" t="s">
        <v>11</v>
      </c>
      <c r="F7512" t="s">
        <v>3038</v>
      </c>
      <c r="G7512">
        <v>0</v>
      </c>
      <c r="H7512">
        <v>0</v>
      </c>
      <c r="I7512">
        <v>1</v>
      </c>
      <c r="J7512">
        <v>0</v>
      </c>
      <c r="K7512">
        <v>0</v>
      </c>
      <c r="L7512">
        <f t="shared" si="234"/>
        <v>4.2</v>
      </c>
      <c r="M7512">
        <f t="shared" si="235"/>
        <v>1</v>
      </c>
    </row>
    <row r="7513" spans="1:13" x14ac:dyDescent="0.3">
      <c r="A7513">
        <v>7511</v>
      </c>
      <c r="B7513">
        <v>7512</v>
      </c>
      <c r="C7513" t="s">
        <v>7589</v>
      </c>
      <c r="D7513">
        <v>2015</v>
      </c>
      <c r="F7513" t="s">
        <v>3038</v>
      </c>
      <c r="G7513">
        <v>0</v>
      </c>
      <c r="H7513">
        <v>0</v>
      </c>
      <c r="I7513">
        <v>1</v>
      </c>
      <c r="J7513">
        <v>0</v>
      </c>
      <c r="K7513">
        <v>0</v>
      </c>
      <c r="L7513">
        <f t="shared" si="234"/>
        <v>4.2</v>
      </c>
      <c r="M7513">
        <f t="shared" si="235"/>
        <v>1</v>
      </c>
    </row>
    <row r="7514" spans="1:13" x14ac:dyDescent="0.3">
      <c r="A7514">
        <v>7512</v>
      </c>
      <c r="B7514">
        <v>7513</v>
      </c>
      <c r="C7514" t="s">
        <v>7590</v>
      </c>
      <c r="D7514">
        <v>2018</v>
      </c>
      <c r="F7514" t="s">
        <v>3038</v>
      </c>
      <c r="G7514">
        <v>0</v>
      </c>
      <c r="H7514">
        <v>0</v>
      </c>
      <c r="I7514">
        <v>1</v>
      </c>
      <c r="J7514">
        <v>0</v>
      </c>
      <c r="K7514">
        <v>0</v>
      </c>
      <c r="L7514">
        <f t="shared" si="234"/>
        <v>4.2</v>
      </c>
      <c r="M7514">
        <f t="shared" si="235"/>
        <v>1</v>
      </c>
    </row>
    <row r="7515" spans="1:13" x14ac:dyDescent="0.3">
      <c r="A7515">
        <v>7513</v>
      </c>
      <c r="B7515">
        <v>7514</v>
      </c>
      <c r="C7515" t="s">
        <v>7591</v>
      </c>
      <c r="D7515">
        <v>2018</v>
      </c>
      <c r="E7515" t="s">
        <v>28</v>
      </c>
      <c r="F7515" t="s">
        <v>3038</v>
      </c>
      <c r="G7515">
        <v>0</v>
      </c>
      <c r="H7515">
        <v>0</v>
      </c>
      <c r="I7515">
        <v>1</v>
      </c>
      <c r="J7515">
        <v>0</v>
      </c>
      <c r="K7515">
        <v>0</v>
      </c>
      <c r="L7515">
        <f t="shared" si="234"/>
        <v>4.2</v>
      </c>
      <c r="M7515">
        <f t="shared" si="235"/>
        <v>1</v>
      </c>
    </row>
    <row r="7516" spans="1:13" x14ac:dyDescent="0.3">
      <c r="A7516">
        <v>7514</v>
      </c>
      <c r="B7516">
        <v>7515</v>
      </c>
      <c r="C7516" t="s">
        <v>7592</v>
      </c>
      <c r="D7516">
        <v>2007</v>
      </c>
      <c r="E7516" t="s">
        <v>11</v>
      </c>
      <c r="F7516" t="s">
        <v>3038</v>
      </c>
      <c r="G7516">
        <v>0</v>
      </c>
      <c r="H7516">
        <v>0</v>
      </c>
      <c r="I7516">
        <v>1</v>
      </c>
      <c r="J7516">
        <v>0</v>
      </c>
      <c r="K7516">
        <v>0</v>
      </c>
      <c r="L7516">
        <f t="shared" si="234"/>
        <v>4.2</v>
      </c>
      <c r="M7516">
        <f t="shared" si="235"/>
        <v>1</v>
      </c>
    </row>
    <row r="7517" spans="1:13" x14ac:dyDescent="0.3">
      <c r="A7517">
        <v>7515</v>
      </c>
      <c r="B7517">
        <v>7516</v>
      </c>
      <c r="C7517" t="s">
        <v>7593</v>
      </c>
      <c r="D7517">
        <v>1969</v>
      </c>
      <c r="E7517" t="s">
        <v>36</v>
      </c>
      <c r="F7517" t="s">
        <v>3038</v>
      </c>
      <c r="G7517">
        <v>0</v>
      </c>
      <c r="H7517">
        <v>0</v>
      </c>
      <c r="I7517">
        <v>1</v>
      </c>
      <c r="J7517">
        <v>0</v>
      </c>
      <c r="K7517">
        <v>0</v>
      </c>
      <c r="L7517">
        <f t="shared" si="234"/>
        <v>4.2</v>
      </c>
      <c r="M7517">
        <f t="shared" si="235"/>
        <v>1</v>
      </c>
    </row>
    <row r="7518" spans="1:13" x14ac:dyDescent="0.3">
      <c r="A7518">
        <v>7516</v>
      </c>
      <c r="B7518">
        <v>7517</v>
      </c>
      <c r="C7518" t="s">
        <v>7594</v>
      </c>
      <c r="D7518">
        <v>2013</v>
      </c>
      <c r="E7518" t="s">
        <v>11</v>
      </c>
      <c r="F7518" t="s">
        <v>3038</v>
      </c>
      <c r="G7518">
        <v>0</v>
      </c>
      <c r="H7518">
        <v>0</v>
      </c>
      <c r="I7518">
        <v>1</v>
      </c>
      <c r="J7518">
        <v>0</v>
      </c>
      <c r="K7518">
        <v>0</v>
      </c>
      <c r="L7518">
        <f t="shared" si="234"/>
        <v>4.2</v>
      </c>
      <c r="M7518">
        <f t="shared" si="235"/>
        <v>1</v>
      </c>
    </row>
    <row r="7519" spans="1:13" x14ac:dyDescent="0.3">
      <c r="A7519">
        <v>7517</v>
      </c>
      <c r="B7519">
        <v>7518</v>
      </c>
      <c r="C7519" t="s">
        <v>7595</v>
      </c>
      <c r="D7519">
        <v>2012</v>
      </c>
      <c r="E7519" t="s">
        <v>11</v>
      </c>
      <c r="F7519" t="s">
        <v>3038</v>
      </c>
      <c r="G7519">
        <v>0</v>
      </c>
      <c r="H7519">
        <v>0</v>
      </c>
      <c r="I7519">
        <v>1</v>
      </c>
      <c r="J7519">
        <v>0</v>
      </c>
      <c r="K7519">
        <v>0</v>
      </c>
      <c r="L7519">
        <f t="shared" si="234"/>
        <v>4.2</v>
      </c>
      <c r="M7519">
        <f t="shared" si="235"/>
        <v>1</v>
      </c>
    </row>
    <row r="7520" spans="1:13" x14ac:dyDescent="0.3">
      <c r="A7520">
        <v>7518</v>
      </c>
      <c r="B7520">
        <v>7519</v>
      </c>
      <c r="C7520" t="s">
        <v>7596</v>
      </c>
      <c r="D7520">
        <v>2000</v>
      </c>
      <c r="E7520" t="s">
        <v>22</v>
      </c>
      <c r="F7520" t="s">
        <v>3038</v>
      </c>
      <c r="G7520">
        <v>0</v>
      </c>
      <c r="H7520">
        <v>0</v>
      </c>
      <c r="I7520">
        <v>1</v>
      </c>
      <c r="J7520">
        <v>0</v>
      </c>
      <c r="K7520">
        <v>0</v>
      </c>
      <c r="L7520">
        <f t="shared" si="234"/>
        <v>4.2</v>
      </c>
      <c r="M7520">
        <f t="shared" si="235"/>
        <v>1</v>
      </c>
    </row>
    <row r="7521" spans="1:13" x14ac:dyDescent="0.3">
      <c r="A7521">
        <v>7519</v>
      </c>
      <c r="B7521">
        <v>7520</v>
      </c>
      <c r="C7521" t="s">
        <v>7597</v>
      </c>
      <c r="D7521">
        <v>2014</v>
      </c>
      <c r="E7521" t="s">
        <v>14</v>
      </c>
      <c r="F7521" t="s">
        <v>3038</v>
      </c>
      <c r="G7521">
        <v>0</v>
      </c>
      <c r="H7521">
        <v>0</v>
      </c>
      <c r="I7521">
        <v>1</v>
      </c>
      <c r="J7521">
        <v>0</v>
      </c>
      <c r="K7521">
        <v>0</v>
      </c>
      <c r="L7521">
        <f t="shared" si="234"/>
        <v>4.2</v>
      </c>
      <c r="M7521">
        <f t="shared" si="235"/>
        <v>1</v>
      </c>
    </row>
    <row r="7522" spans="1:13" x14ac:dyDescent="0.3">
      <c r="A7522">
        <v>7520</v>
      </c>
      <c r="B7522">
        <v>7521</v>
      </c>
      <c r="C7522" t="s">
        <v>7598</v>
      </c>
      <c r="D7522">
        <v>1985</v>
      </c>
      <c r="E7522" t="s">
        <v>14</v>
      </c>
      <c r="F7522" t="s">
        <v>3038</v>
      </c>
      <c r="G7522">
        <v>0</v>
      </c>
      <c r="H7522">
        <v>0</v>
      </c>
      <c r="I7522">
        <v>1</v>
      </c>
      <c r="J7522">
        <v>0</v>
      </c>
      <c r="K7522">
        <v>0</v>
      </c>
      <c r="L7522">
        <f t="shared" si="234"/>
        <v>4.2</v>
      </c>
      <c r="M7522">
        <f t="shared" si="235"/>
        <v>1</v>
      </c>
    </row>
    <row r="7523" spans="1:13" x14ac:dyDescent="0.3">
      <c r="A7523">
        <v>7521</v>
      </c>
      <c r="B7523">
        <v>7522</v>
      </c>
      <c r="C7523" t="s">
        <v>7599</v>
      </c>
      <c r="D7523">
        <v>2018</v>
      </c>
      <c r="F7523" t="s">
        <v>3038</v>
      </c>
      <c r="G7523">
        <v>0</v>
      </c>
      <c r="H7523">
        <v>0</v>
      </c>
      <c r="I7523">
        <v>1</v>
      </c>
      <c r="J7523">
        <v>0</v>
      </c>
      <c r="K7523">
        <v>0</v>
      </c>
      <c r="L7523">
        <f t="shared" si="234"/>
        <v>4.2</v>
      </c>
      <c r="M7523">
        <f t="shared" si="235"/>
        <v>1</v>
      </c>
    </row>
    <row r="7524" spans="1:13" x14ac:dyDescent="0.3">
      <c r="A7524">
        <v>7522</v>
      </c>
      <c r="B7524">
        <v>7523</v>
      </c>
      <c r="C7524" t="s">
        <v>7600</v>
      </c>
      <c r="D7524">
        <v>2018</v>
      </c>
      <c r="F7524" t="s">
        <v>3038</v>
      </c>
      <c r="G7524">
        <v>0</v>
      </c>
      <c r="H7524">
        <v>0</v>
      </c>
      <c r="I7524">
        <v>1</v>
      </c>
      <c r="J7524">
        <v>0</v>
      </c>
      <c r="K7524">
        <v>0</v>
      </c>
      <c r="L7524">
        <f t="shared" si="234"/>
        <v>4.2</v>
      </c>
      <c r="M7524">
        <f t="shared" si="235"/>
        <v>1</v>
      </c>
    </row>
    <row r="7525" spans="1:13" x14ac:dyDescent="0.3">
      <c r="A7525">
        <v>7523</v>
      </c>
      <c r="B7525">
        <v>7524</v>
      </c>
      <c r="C7525" t="s">
        <v>7601</v>
      </c>
      <c r="D7525">
        <v>2019</v>
      </c>
      <c r="F7525" t="s">
        <v>3038</v>
      </c>
      <c r="G7525">
        <v>0</v>
      </c>
      <c r="H7525">
        <v>0</v>
      </c>
      <c r="I7525">
        <v>1</v>
      </c>
      <c r="J7525">
        <v>0</v>
      </c>
      <c r="K7525">
        <v>0</v>
      </c>
      <c r="L7525">
        <f t="shared" si="234"/>
        <v>4.2</v>
      </c>
      <c r="M7525">
        <f t="shared" si="235"/>
        <v>1</v>
      </c>
    </row>
    <row r="7526" spans="1:13" x14ac:dyDescent="0.3">
      <c r="A7526">
        <v>7524</v>
      </c>
      <c r="B7526">
        <v>7525</v>
      </c>
      <c r="C7526" t="s">
        <v>7602</v>
      </c>
      <c r="D7526">
        <v>2015</v>
      </c>
      <c r="F7526" t="s">
        <v>3038</v>
      </c>
      <c r="G7526">
        <v>0</v>
      </c>
      <c r="H7526">
        <v>0</v>
      </c>
      <c r="I7526">
        <v>1</v>
      </c>
      <c r="J7526">
        <v>0</v>
      </c>
      <c r="K7526">
        <v>0</v>
      </c>
      <c r="L7526">
        <f t="shared" si="234"/>
        <v>4.2</v>
      </c>
      <c r="M7526">
        <f t="shared" si="235"/>
        <v>1</v>
      </c>
    </row>
    <row r="7527" spans="1:13" x14ac:dyDescent="0.3">
      <c r="A7527">
        <v>7525</v>
      </c>
      <c r="B7527">
        <v>7526</v>
      </c>
      <c r="C7527" t="s">
        <v>7603</v>
      </c>
      <c r="D7527">
        <v>1940</v>
      </c>
      <c r="F7527" t="s">
        <v>3038</v>
      </c>
      <c r="G7527">
        <v>0</v>
      </c>
      <c r="H7527">
        <v>0</v>
      </c>
      <c r="I7527">
        <v>1</v>
      </c>
      <c r="J7527">
        <v>0</v>
      </c>
      <c r="K7527">
        <v>0</v>
      </c>
      <c r="L7527">
        <f t="shared" si="234"/>
        <v>4.2</v>
      </c>
      <c r="M7527">
        <f t="shared" si="235"/>
        <v>1</v>
      </c>
    </row>
    <row r="7528" spans="1:13" x14ac:dyDescent="0.3">
      <c r="A7528">
        <v>7526</v>
      </c>
      <c r="B7528">
        <v>7527</v>
      </c>
      <c r="C7528" t="s">
        <v>7604</v>
      </c>
      <c r="D7528">
        <v>2011</v>
      </c>
      <c r="F7528" t="s">
        <v>3038</v>
      </c>
      <c r="G7528">
        <v>0</v>
      </c>
      <c r="H7528">
        <v>0</v>
      </c>
      <c r="I7528">
        <v>1</v>
      </c>
      <c r="J7528">
        <v>0</v>
      </c>
      <c r="K7528">
        <v>0</v>
      </c>
      <c r="L7528">
        <f t="shared" si="234"/>
        <v>4.2</v>
      </c>
      <c r="M7528">
        <f t="shared" si="235"/>
        <v>1</v>
      </c>
    </row>
    <row r="7529" spans="1:13" x14ac:dyDescent="0.3">
      <c r="A7529">
        <v>7527</v>
      </c>
      <c r="B7529">
        <v>7528</v>
      </c>
      <c r="C7529" t="s">
        <v>7605</v>
      </c>
      <c r="D7529">
        <v>1938</v>
      </c>
      <c r="F7529" t="s">
        <v>3038</v>
      </c>
      <c r="G7529">
        <v>0</v>
      </c>
      <c r="H7529">
        <v>0</v>
      </c>
      <c r="I7529">
        <v>1</v>
      </c>
      <c r="J7529">
        <v>0</v>
      </c>
      <c r="K7529">
        <v>0</v>
      </c>
      <c r="L7529">
        <f t="shared" si="234"/>
        <v>4.2</v>
      </c>
      <c r="M7529">
        <f t="shared" si="235"/>
        <v>1</v>
      </c>
    </row>
    <row r="7530" spans="1:13" x14ac:dyDescent="0.3">
      <c r="A7530">
        <v>7528</v>
      </c>
      <c r="B7530">
        <v>7529</v>
      </c>
      <c r="C7530" t="s">
        <v>7606</v>
      </c>
      <c r="D7530">
        <v>2020</v>
      </c>
      <c r="E7530" t="s">
        <v>14</v>
      </c>
      <c r="F7530" t="s">
        <v>3038</v>
      </c>
      <c r="G7530">
        <v>0</v>
      </c>
      <c r="H7530">
        <v>0</v>
      </c>
      <c r="I7530">
        <v>1</v>
      </c>
      <c r="J7530">
        <v>0</v>
      </c>
      <c r="K7530">
        <v>0</v>
      </c>
      <c r="L7530">
        <f t="shared" si="234"/>
        <v>4.2</v>
      </c>
      <c r="M7530">
        <f t="shared" si="235"/>
        <v>1</v>
      </c>
    </row>
    <row r="7531" spans="1:13" x14ac:dyDescent="0.3">
      <c r="A7531">
        <v>7529</v>
      </c>
      <c r="B7531">
        <v>7530</v>
      </c>
      <c r="C7531" t="s">
        <v>7607</v>
      </c>
      <c r="D7531">
        <v>1934</v>
      </c>
      <c r="F7531" t="s">
        <v>3038</v>
      </c>
      <c r="G7531">
        <v>0</v>
      </c>
      <c r="H7531">
        <v>0</v>
      </c>
      <c r="I7531">
        <v>1</v>
      </c>
      <c r="J7531">
        <v>0</v>
      </c>
      <c r="K7531">
        <v>0</v>
      </c>
      <c r="L7531">
        <f t="shared" si="234"/>
        <v>4.2</v>
      </c>
      <c r="M7531">
        <f t="shared" si="235"/>
        <v>1</v>
      </c>
    </row>
    <row r="7532" spans="1:13" x14ac:dyDescent="0.3">
      <c r="A7532">
        <v>7530</v>
      </c>
      <c r="B7532">
        <v>7531</v>
      </c>
      <c r="C7532" t="s">
        <v>7608</v>
      </c>
      <c r="D7532">
        <v>2006</v>
      </c>
      <c r="F7532" t="s">
        <v>3038</v>
      </c>
      <c r="G7532">
        <v>0</v>
      </c>
      <c r="H7532">
        <v>0</v>
      </c>
      <c r="I7532">
        <v>1</v>
      </c>
      <c r="J7532">
        <v>0</v>
      </c>
      <c r="K7532">
        <v>0</v>
      </c>
      <c r="L7532">
        <f t="shared" si="234"/>
        <v>4.2</v>
      </c>
      <c r="M7532">
        <f t="shared" si="235"/>
        <v>1</v>
      </c>
    </row>
    <row r="7533" spans="1:13" x14ac:dyDescent="0.3">
      <c r="A7533">
        <v>7531</v>
      </c>
      <c r="B7533">
        <v>7532</v>
      </c>
      <c r="C7533" t="s">
        <v>7609</v>
      </c>
      <c r="D7533">
        <v>2017</v>
      </c>
      <c r="E7533" t="s">
        <v>22</v>
      </c>
      <c r="F7533" t="s">
        <v>3038</v>
      </c>
      <c r="G7533">
        <v>0</v>
      </c>
      <c r="H7533">
        <v>0</v>
      </c>
      <c r="I7533">
        <v>1</v>
      </c>
      <c r="J7533">
        <v>0</v>
      </c>
      <c r="K7533">
        <v>0</v>
      </c>
      <c r="L7533">
        <f t="shared" si="234"/>
        <v>4.2</v>
      </c>
      <c r="M7533">
        <f t="shared" si="235"/>
        <v>1</v>
      </c>
    </row>
    <row r="7534" spans="1:13" x14ac:dyDescent="0.3">
      <c r="A7534">
        <v>7532</v>
      </c>
      <c r="B7534">
        <v>7533</v>
      </c>
      <c r="C7534" t="s">
        <v>7610</v>
      </c>
      <c r="D7534">
        <v>2018</v>
      </c>
      <c r="F7534" t="s">
        <v>3038</v>
      </c>
      <c r="G7534">
        <v>0</v>
      </c>
      <c r="H7534">
        <v>0</v>
      </c>
      <c r="I7534">
        <v>1</v>
      </c>
      <c r="J7534">
        <v>0</v>
      </c>
      <c r="K7534">
        <v>0</v>
      </c>
      <c r="L7534">
        <f t="shared" si="234"/>
        <v>4.2</v>
      </c>
      <c r="M7534">
        <f t="shared" si="235"/>
        <v>1</v>
      </c>
    </row>
    <row r="7535" spans="1:13" x14ac:dyDescent="0.3">
      <c r="A7535">
        <v>7533</v>
      </c>
      <c r="B7535">
        <v>7534</v>
      </c>
      <c r="C7535" t="s">
        <v>7611</v>
      </c>
      <c r="D7535">
        <v>2018</v>
      </c>
      <c r="E7535" t="s">
        <v>11</v>
      </c>
      <c r="F7535" t="s">
        <v>3038</v>
      </c>
      <c r="G7535">
        <v>0</v>
      </c>
      <c r="H7535">
        <v>0</v>
      </c>
      <c r="I7535">
        <v>1</v>
      </c>
      <c r="J7535">
        <v>0</v>
      </c>
      <c r="K7535">
        <v>0</v>
      </c>
      <c r="L7535">
        <f t="shared" si="234"/>
        <v>4.2</v>
      </c>
      <c r="M7535">
        <f t="shared" si="235"/>
        <v>1</v>
      </c>
    </row>
    <row r="7536" spans="1:13" x14ac:dyDescent="0.3">
      <c r="A7536">
        <v>7534</v>
      </c>
      <c r="B7536">
        <v>7535</v>
      </c>
      <c r="C7536" t="s">
        <v>7612</v>
      </c>
      <c r="D7536">
        <v>2019</v>
      </c>
      <c r="E7536" t="s">
        <v>28</v>
      </c>
      <c r="F7536" t="s">
        <v>3038</v>
      </c>
      <c r="G7536">
        <v>0</v>
      </c>
      <c r="H7536">
        <v>0</v>
      </c>
      <c r="I7536">
        <v>1</v>
      </c>
      <c r="J7536">
        <v>0</v>
      </c>
      <c r="K7536">
        <v>0</v>
      </c>
      <c r="L7536">
        <f t="shared" si="234"/>
        <v>4.2</v>
      </c>
      <c r="M7536">
        <f t="shared" si="235"/>
        <v>1</v>
      </c>
    </row>
    <row r="7537" spans="1:13" x14ac:dyDescent="0.3">
      <c r="A7537">
        <v>7535</v>
      </c>
      <c r="B7537">
        <v>7536</v>
      </c>
      <c r="C7537" t="s">
        <v>7613</v>
      </c>
      <c r="D7537">
        <v>2017</v>
      </c>
      <c r="F7537" t="s">
        <v>3038</v>
      </c>
      <c r="G7537">
        <v>0</v>
      </c>
      <c r="H7537">
        <v>0</v>
      </c>
      <c r="I7537">
        <v>1</v>
      </c>
      <c r="J7537">
        <v>0</v>
      </c>
      <c r="K7537">
        <v>0</v>
      </c>
      <c r="L7537">
        <f t="shared" si="234"/>
        <v>4.2</v>
      </c>
      <c r="M7537">
        <f t="shared" si="235"/>
        <v>1</v>
      </c>
    </row>
    <row r="7538" spans="1:13" x14ac:dyDescent="0.3">
      <c r="A7538">
        <v>7536</v>
      </c>
      <c r="B7538">
        <v>7537</v>
      </c>
      <c r="C7538" t="s">
        <v>7614</v>
      </c>
      <c r="D7538">
        <v>2011</v>
      </c>
      <c r="F7538" t="s">
        <v>3038</v>
      </c>
      <c r="G7538">
        <v>0</v>
      </c>
      <c r="H7538">
        <v>0</v>
      </c>
      <c r="I7538">
        <v>1</v>
      </c>
      <c r="J7538">
        <v>0</v>
      </c>
      <c r="K7538">
        <v>0</v>
      </c>
      <c r="L7538">
        <f t="shared" si="234"/>
        <v>4.2</v>
      </c>
      <c r="M7538">
        <f t="shared" si="235"/>
        <v>1</v>
      </c>
    </row>
    <row r="7539" spans="1:13" x14ac:dyDescent="0.3">
      <c r="A7539">
        <v>7537</v>
      </c>
      <c r="B7539">
        <v>7538</v>
      </c>
      <c r="C7539" t="s">
        <v>7615</v>
      </c>
      <c r="D7539">
        <v>2009</v>
      </c>
      <c r="F7539" t="s">
        <v>3038</v>
      </c>
      <c r="G7539">
        <v>0</v>
      </c>
      <c r="H7539">
        <v>0</v>
      </c>
      <c r="I7539">
        <v>1</v>
      </c>
      <c r="J7539">
        <v>0</v>
      </c>
      <c r="K7539">
        <v>0</v>
      </c>
      <c r="L7539">
        <f t="shared" si="234"/>
        <v>4.2</v>
      </c>
      <c r="M7539">
        <f t="shared" si="235"/>
        <v>1</v>
      </c>
    </row>
    <row r="7540" spans="1:13" x14ac:dyDescent="0.3">
      <c r="A7540">
        <v>7538</v>
      </c>
      <c r="B7540">
        <v>7539</v>
      </c>
      <c r="C7540" t="s">
        <v>7616</v>
      </c>
      <c r="D7540">
        <v>2014</v>
      </c>
      <c r="E7540" t="s">
        <v>11</v>
      </c>
      <c r="F7540" t="s">
        <v>3038</v>
      </c>
      <c r="G7540">
        <v>0</v>
      </c>
      <c r="H7540">
        <v>0</v>
      </c>
      <c r="I7540">
        <v>1</v>
      </c>
      <c r="J7540">
        <v>0</v>
      </c>
      <c r="K7540">
        <v>0</v>
      </c>
      <c r="L7540">
        <f t="shared" si="234"/>
        <v>4.2</v>
      </c>
      <c r="M7540">
        <f t="shared" si="235"/>
        <v>1</v>
      </c>
    </row>
    <row r="7541" spans="1:13" x14ac:dyDescent="0.3">
      <c r="A7541">
        <v>7539</v>
      </c>
      <c r="B7541">
        <v>7540</v>
      </c>
      <c r="C7541" t="s">
        <v>7617</v>
      </c>
      <c r="D7541">
        <v>2012</v>
      </c>
      <c r="E7541" t="s">
        <v>36</v>
      </c>
      <c r="F7541" t="s">
        <v>3038</v>
      </c>
      <c r="G7541">
        <v>0</v>
      </c>
      <c r="H7541">
        <v>0</v>
      </c>
      <c r="I7541">
        <v>1</v>
      </c>
      <c r="J7541">
        <v>0</v>
      </c>
      <c r="K7541">
        <v>0</v>
      </c>
      <c r="L7541">
        <f t="shared" si="234"/>
        <v>4.2</v>
      </c>
      <c r="M7541">
        <f t="shared" si="235"/>
        <v>1</v>
      </c>
    </row>
    <row r="7542" spans="1:13" x14ac:dyDescent="0.3">
      <c r="A7542">
        <v>7540</v>
      </c>
      <c r="B7542">
        <v>7541</v>
      </c>
      <c r="C7542" t="s">
        <v>7618</v>
      </c>
      <c r="D7542">
        <v>2021</v>
      </c>
      <c r="F7542" t="s">
        <v>3038</v>
      </c>
      <c r="G7542">
        <v>0</v>
      </c>
      <c r="H7542">
        <v>0</v>
      </c>
      <c r="I7542">
        <v>1</v>
      </c>
      <c r="J7542">
        <v>0</v>
      </c>
      <c r="K7542">
        <v>0</v>
      </c>
      <c r="L7542">
        <f t="shared" si="234"/>
        <v>4.2</v>
      </c>
      <c r="M7542">
        <f t="shared" si="235"/>
        <v>1</v>
      </c>
    </row>
    <row r="7543" spans="1:13" x14ac:dyDescent="0.3">
      <c r="A7543">
        <v>7541</v>
      </c>
      <c r="B7543">
        <v>7542</v>
      </c>
      <c r="C7543" t="s">
        <v>7619</v>
      </c>
      <c r="D7543">
        <v>1947</v>
      </c>
      <c r="E7543" t="s">
        <v>14</v>
      </c>
      <c r="F7543" t="s">
        <v>3038</v>
      </c>
      <c r="G7543">
        <v>0</v>
      </c>
      <c r="H7543">
        <v>0</v>
      </c>
      <c r="I7543">
        <v>1</v>
      </c>
      <c r="J7543">
        <v>0</v>
      </c>
      <c r="K7543">
        <v>0</v>
      </c>
      <c r="L7543">
        <f t="shared" si="234"/>
        <v>4.2</v>
      </c>
      <c r="M7543">
        <f t="shared" si="235"/>
        <v>1</v>
      </c>
    </row>
    <row r="7544" spans="1:13" x14ac:dyDescent="0.3">
      <c r="A7544">
        <v>7542</v>
      </c>
      <c r="B7544">
        <v>7543</v>
      </c>
      <c r="C7544" t="s">
        <v>7620</v>
      </c>
      <c r="D7544">
        <v>1953</v>
      </c>
      <c r="F7544" t="s">
        <v>3038</v>
      </c>
      <c r="G7544">
        <v>0</v>
      </c>
      <c r="H7544">
        <v>0</v>
      </c>
      <c r="I7544">
        <v>1</v>
      </c>
      <c r="J7544">
        <v>0</v>
      </c>
      <c r="K7544">
        <v>0</v>
      </c>
      <c r="L7544">
        <f t="shared" si="234"/>
        <v>4.2</v>
      </c>
      <c r="M7544">
        <f t="shared" si="235"/>
        <v>1</v>
      </c>
    </row>
    <row r="7545" spans="1:13" x14ac:dyDescent="0.3">
      <c r="A7545">
        <v>7543</v>
      </c>
      <c r="B7545">
        <v>7544</v>
      </c>
      <c r="C7545" t="s">
        <v>7621</v>
      </c>
      <c r="D7545">
        <v>1953</v>
      </c>
      <c r="F7545" t="s">
        <v>3038</v>
      </c>
      <c r="G7545">
        <v>0</v>
      </c>
      <c r="H7545">
        <v>0</v>
      </c>
      <c r="I7545">
        <v>1</v>
      </c>
      <c r="J7545">
        <v>0</v>
      </c>
      <c r="K7545">
        <v>0</v>
      </c>
      <c r="L7545">
        <f t="shared" si="234"/>
        <v>4.2</v>
      </c>
      <c r="M7545">
        <f t="shared" si="235"/>
        <v>1</v>
      </c>
    </row>
    <row r="7546" spans="1:13" x14ac:dyDescent="0.3">
      <c r="A7546">
        <v>7544</v>
      </c>
      <c r="B7546">
        <v>7545</v>
      </c>
      <c r="C7546" t="s">
        <v>7622</v>
      </c>
      <c r="D7546">
        <v>1956</v>
      </c>
      <c r="F7546" t="s">
        <v>3038</v>
      </c>
      <c r="G7546">
        <v>0</v>
      </c>
      <c r="H7546">
        <v>0</v>
      </c>
      <c r="I7546">
        <v>1</v>
      </c>
      <c r="J7546">
        <v>0</v>
      </c>
      <c r="K7546">
        <v>0</v>
      </c>
      <c r="L7546">
        <f t="shared" si="234"/>
        <v>4.2</v>
      </c>
      <c r="M7546">
        <f t="shared" si="235"/>
        <v>1</v>
      </c>
    </row>
    <row r="7547" spans="1:13" x14ac:dyDescent="0.3">
      <c r="A7547">
        <v>7545</v>
      </c>
      <c r="B7547">
        <v>7546</v>
      </c>
      <c r="C7547" t="s">
        <v>7623</v>
      </c>
      <c r="D7547">
        <v>2000</v>
      </c>
      <c r="E7547" t="s">
        <v>22</v>
      </c>
      <c r="F7547" t="s">
        <v>3038</v>
      </c>
      <c r="G7547">
        <v>0</v>
      </c>
      <c r="H7547">
        <v>0</v>
      </c>
      <c r="I7547">
        <v>1</v>
      </c>
      <c r="J7547">
        <v>0</v>
      </c>
      <c r="K7547">
        <v>0</v>
      </c>
      <c r="L7547">
        <f t="shared" si="234"/>
        <v>4.2</v>
      </c>
      <c r="M7547">
        <f t="shared" si="235"/>
        <v>1</v>
      </c>
    </row>
    <row r="7548" spans="1:13" x14ac:dyDescent="0.3">
      <c r="A7548">
        <v>7546</v>
      </c>
      <c r="B7548">
        <v>7547</v>
      </c>
      <c r="C7548" t="s">
        <v>7624</v>
      </c>
      <c r="D7548">
        <v>1998</v>
      </c>
      <c r="E7548" t="s">
        <v>11</v>
      </c>
      <c r="F7548" t="s">
        <v>3038</v>
      </c>
      <c r="G7548">
        <v>0</v>
      </c>
      <c r="H7548">
        <v>0</v>
      </c>
      <c r="I7548">
        <v>1</v>
      </c>
      <c r="J7548">
        <v>0</v>
      </c>
      <c r="K7548">
        <v>0</v>
      </c>
      <c r="L7548">
        <f t="shared" si="234"/>
        <v>4.2</v>
      </c>
      <c r="M7548">
        <f t="shared" si="235"/>
        <v>1</v>
      </c>
    </row>
    <row r="7549" spans="1:13" x14ac:dyDescent="0.3">
      <c r="A7549">
        <v>7547</v>
      </c>
      <c r="B7549">
        <v>7548</v>
      </c>
      <c r="C7549" t="s">
        <v>7625</v>
      </c>
      <c r="D7549">
        <v>1953</v>
      </c>
      <c r="F7549" t="s">
        <v>3038</v>
      </c>
      <c r="G7549">
        <v>0</v>
      </c>
      <c r="H7549">
        <v>0</v>
      </c>
      <c r="I7549">
        <v>1</v>
      </c>
      <c r="J7549">
        <v>0</v>
      </c>
      <c r="K7549">
        <v>0</v>
      </c>
      <c r="L7549">
        <f t="shared" si="234"/>
        <v>4.2</v>
      </c>
      <c r="M7549">
        <f t="shared" si="235"/>
        <v>1</v>
      </c>
    </row>
    <row r="7550" spans="1:13" x14ac:dyDescent="0.3">
      <c r="A7550">
        <v>7548</v>
      </c>
      <c r="B7550">
        <v>7549</v>
      </c>
      <c r="C7550" t="s">
        <v>7626</v>
      </c>
      <c r="D7550">
        <v>1976</v>
      </c>
      <c r="F7550" t="s">
        <v>3038</v>
      </c>
      <c r="G7550">
        <v>0</v>
      </c>
      <c r="H7550">
        <v>0</v>
      </c>
      <c r="I7550">
        <v>1</v>
      </c>
      <c r="J7550">
        <v>0</v>
      </c>
      <c r="K7550">
        <v>0</v>
      </c>
      <c r="L7550">
        <f t="shared" si="234"/>
        <v>4.2</v>
      </c>
      <c r="M7550">
        <f t="shared" si="235"/>
        <v>1</v>
      </c>
    </row>
    <row r="7551" spans="1:13" x14ac:dyDescent="0.3">
      <c r="A7551">
        <v>7549</v>
      </c>
      <c r="B7551">
        <v>7550</v>
      </c>
      <c r="C7551" t="s">
        <v>7627</v>
      </c>
      <c r="D7551">
        <v>2019</v>
      </c>
      <c r="E7551" t="s">
        <v>11</v>
      </c>
      <c r="F7551" t="s">
        <v>3038</v>
      </c>
      <c r="G7551">
        <v>0</v>
      </c>
      <c r="H7551">
        <v>0</v>
      </c>
      <c r="I7551">
        <v>1</v>
      </c>
      <c r="J7551">
        <v>0</v>
      </c>
      <c r="K7551">
        <v>0</v>
      </c>
      <c r="L7551">
        <f t="shared" si="234"/>
        <v>4.2</v>
      </c>
      <c r="M7551">
        <f t="shared" si="235"/>
        <v>1</v>
      </c>
    </row>
    <row r="7552" spans="1:13" x14ac:dyDescent="0.3">
      <c r="A7552">
        <v>7550</v>
      </c>
      <c r="B7552">
        <v>7551</v>
      </c>
      <c r="C7552" t="s">
        <v>7628</v>
      </c>
      <c r="D7552">
        <v>2018</v>
      </c>
      <c r="F7552" t="s">
        <v>3038</v>
      </c>
      <c r="G7552">
        <v>0</v>
      </c>
      <c r="H7552">
        <v>0</v>
      </c>
      <c r="I7552">
        <v>1</v>
      </c>
      <c r="J7552">
        <v>0</v>
      </c>
      <c r="K7552">
        <v>0</v>
      </c>
      <c r="L7552">
        <f t="shared" si="234"/>
        <v>4.2</v>
      </c>
      <c r="M7552">
        <f t="shared" si="235"/>
        <v>1</v>
      </c>
    </row>
    <row r="7553" spans="1:13" x14ac:dyDescent="0.3">
      <c r="A7553">
        <v>7551</v>
      </c>
      <c r="B7553">
        <v>7552</v>
      </c>
      <c r="C7553" t="s">
        <v>7629</v>
      </c>
      <c r="D7553">
        <v>2021</v>
      </c>
      <c r="F7553" t="s">
        <v>3038</v>
      </c>
      <c r="G7553">
        <v>0</v>
      </c>
      <c r="H7553">
        <v>0</v>
      </c>
      <c r="I7553">
        <v>1</v>
      </c>
      <c r="J7553">
        <v>0</v>
      </c>
      <c r="K7553">
        <v>0</v>
      </c>
      <c r="L7553">
        <f t="shared" si="234"/>
        <v>4.2</v>
      </c>
      <c r="M7553">
        <f t="shared" si="235"/>
        <v>1</v>
      </c>
    </row>
    <row r="7554" spans="1:13" x14ac:dyDescent="0.3">
      <c r="A7554">
        <v>7552</v>
      </c>
      <c r="B7554">
        <v>7553</v>
      </c>
      <c r="C7554" t="s">
        <v>7630</v>
      </c>
      <c r="D7554">
        <v>2012</v>
      </c>
      <c r="E7554" t="s">
        <v>22</v>
      </c>
      <c r="F7554" t="s">
        <v>3038</v>
      </c>
      <c r="G7554">
        <v>0</v>
      </c>
      <c r="H7554">
        <v>0</v>
      </c>
      <c r="I7554">
        <v>1</v>
      </c>
      <c r="J7554">
        <v>0</v>
      </c>
      <c r="K7554">
        <v>0</v>
      </c>
      <c r="L7554">
        <f t="shared" si="234"/>
        <v>4.2</v>
      </c>
      <c r="M7554">
        <f t="shared" si="235"/>
        <v>1</v>
      </c>
    </row>
    <row r="7555" spans="1:13" x14ac:dyDescent="0.3">
      <c r="A7555">
        <v>7553</v>
      </c>
      <c r="B7555">
        <v>7554</v>
      </c>
      <c r="C7555" t="s">
        <v>7631</v>
      </c>
      <c r="D7555">
        <v>1953</v>
      </c>
      <c r="F7555" t="s">
        <v>3038</v>
      </c>
      <c r="G7555">
        <v>0</v>
      </c>
      <c r="H7555">
        <v>0</v>
      </c>
      <c r="I7555">
        <v>1</v>
      </c>
      <c r="J7555">
        <v>0</v>
      </c>
      <c r="K7555">
        <v>0</v>
      </c>
      <c r="L7555">
        <f t="shared" ref="L7555:L7618" si="236">IFERROR(VALUE(LEFT(F7555,FIND("/",F7555)-1))/10,"")</f>
        <v>4.2</v>
      </c>
      <c r="M7555">
        <f t="shared" ref="M7555:M7618" si="237">SUM(G7555:J7555)</f>
        <v>1</v>
      </c>
    </row>
    <row r="7556" spans="1:13" x14ac:dyDescent="0.3">
      <c r="A7556">
        <v>7554</v>
      </c>
      <c r="B7556">
        <v>7555</v>
      </c>
      <c r="C7556" t="s">
        <v>7632</v>
      </c>
      <c r="D7556">
        <v>2013</v>
      </c>
      <c r="F7556" t="s">
        <v>3038</v>
      </c>
      <c r="G7556">
        <v>0</v>
      </c>
      <c r="H7556">
        <v>0</v>
      </c>
      <c r="I7556">
        <v>1</v>
      </c>
      <c r="J7556">
        <v>0</v>
      </c>
      <c r="K7556">
        <v>0</v>
      </c>
      <c r="L7556">
        <f t="shared" si="236"/>
        <v>4.2</v>
      </c>
      <c r="M7556">
        <f t="shared" si="237"/>
        <v>1</v>
      </c>
    </row>
    <row r="7557" spans="1:13" x14ac:dyDescent="0.3">
      <c r="A7557">
        <v>7555</v>
      </c>
      <c r="B7557">
        <v>7556</v>
      </c>
      <c r="C7557" t="s">
        <v>7633</v>
      </c>
      <c r="D7557">
        <v>2017</v>
      </c>
      <c r="E7557" t="s">
        <v>14</v>
      </c>
      <c r="F7557" t="s">
        <v>3038</v>
      </c>
      <c r="G7557">
        <v>0</v>
      </c>
      <c r="H7557">
        <v>0</v>
      </c>
      <c r="I7557">
        <v>1</v>
      </c>
      <c r="J7557">
        <v>0</v>
      </c>
      <c r="K7557">
        <v>0</v>
      </c>
      <c r="L7557">
        <f t="shared" si="236"/>
        <v>4.2</v>
      </c>
      <c r="M7557">
        <f t="shared" si="237"/>
        <v>1</v>
      </c>
    </row>
    <row r="7558" spans="1:13" x14ac:dyDescent="0.3">
      <c r="A7558">
        <v>7556</v>
      </c>
      <c r="B7558">
        <v>7557</v>
      </c>
      <c r="C7558" t="s">
        <v>7634</v>
      </c>
      <c r="D7558">
        <v>2017</v>
      </c>
      <c r="E7558" t="s">
        <v>22</v>
      </c>
      <c r="F7558" t="s">
        <v>3038</v>
      </c>
      <c r="G7558">
        <v>0</v>
      </c>
      <c r="H7558">
        <v>0</v>
      </c>
      <c r="I7558">
        <v>1</v>
      </c>
      <c r="J7558">
        <v>0</v>
      </c>
      <c r="K7558">
        <v>0</v>
      </c>
      <c r="L7558">
        <f t="shared" si="236"/>
        <v>4.2</v>
      </c>
      <c r="M7558">
        <f t="shared" si="237"/>
        <v>1</v>
      </c>
    </row>
    <row r="7559" spans="1:13" x14ac:dyDescent="0.3">
      <c r="A7559">
        <v>7557</v>
      </c>
      <c r="B7559">
        <v>7558</v>
      </c>
      <c r="C7559" t="s">
        <v>7635</v>
      </c>
      <c r="D7559">
        <v>2017</v>
      </c>
      <c r="F7559" t="s">
        <v>3038</v>
      </c>
      <c r="G7559">
        <v>0</v>
      </c>
      <c r="H7559">
        <v>0</v>
      </c>
      <c r="I7559">
        <v>1</v>
      </c>
      <c r="J7559">
        <v>0</v>
      </c>
      <c r="K7559">
        <v>0</v>
      </c>
      <c r="L7559">
        <f t="shared" si="236"/>
        <v>4.2</v>
      </c>
      <c r="M7559">
        <f t="shared" si="237"/>
        <v>1</v>
      </c>
    </row>
    <row r="7560" spans="1:13" x14ac:dyDescent="0.3">
      <c r="A7560">
        <v>7558</v>
      </c>
      <c r="B7560">
        <v>7559</v>
      </c>
      <c r="C7560" t="s">
        <v>7636</v>
      </c>
      <c r="D7560">
        <v>2011</v>
      </c>
      <c r="F7560" t="s">
        <v>3038</v>
      </c>
      <c r="G7560">
        <v>0</v>
      </c>
      <c r="H7560">
        <v>0</v>
      </c>
      <c r="I7560">
        <v>1</v>
      </c>
      <c r="J7560">
        <v>0</v>
      </c>
      <c r="K7560">
        <v>0</v>
      </c>
      <c r="L7560">
        <f t="shared" si="236"/>
        <v>4.2</v>
      </c>
      <c r="M7560">
        <f t="shared" si="237"/>
        <v>1</v>
      </c>
    </row>
    <row r="7561" spans="1:13" x14ac:dyDescent="0.3">
      <c r="A7561">
        <v>7559</v>
      </c>
      <c r="B7561">
        <v>7560</v>
      </c>
      <c r="C7561" t="s">
        <v>7637</v>
      </c>
      <c r="D7561">
        <v>2021</v>
      </c>
      <c r="F7561" t="s">
        <v>3038</v>
      </c>
      <c r="G7561">
        <v>0</v>
      </c>
      <c r="H7561">
        <v>0</v>
      </c>
      <c r="I7561">
        <v>1</v>
      </c>
      <c r="J7561">
        <v>0</v>
      </c>
      <c r="K7561">
        <v>0</v>
      </c>
      <c r="L7561">
        <f t="shared" si="236"/>
        <v>4.2</v>
      </c>
      <c r="M7561">
        <f t="shared" si="237"/>
        <v>1</v>
      </c>
    </row>
    <row r="7562" spans="1:13" x14ac:dyDescent="0.3">
      <c r="A7562">
        <v>7560</v>
      </c>
      <c r="B7562">
        <v>7561</v>
      </c>
      <c r="C7562" t="s">
        <v>7638</v>
      </c>
      <c r="D7562">
        <v>1951</v>
      </c>
      <c r="F7562" t="s">
        <v>3038</v>
      </c>
      <c r="G7562">
        <v>0</v>
      </c>
      <c r="H7562">
        <v>0</v>
      </c>
      <c r="I7562">
        <v>1</v>
      </c>
      <c r="J7562">
        <v>0</v>
      </c>
      <c r="K7562">
        <v>0</v>
      </c>
      <c r="L7562">
        <f t="shared" si="236"/>
        <v>4.2</v>
      </c>
      <c r="M7562">
        <f t="shared" si="237"/>
        <v>1</v>
      </c>
    </row>
    <row r="7563" spans="1:13" x14ac:dyDescent="0.3">
      <c r="A7563">
        <v>7561</v>
      </c>
      <c r="B7563">
        <v>7562</v>
      </c>
      <c r="C7563" t="s">
        <v>7639</v>
      </c>
      <c r="D7563">
        <v>2006</v>
      </c>
      <c r="E7563" t="s">
        <v>14</v>
      </c>
      <c r="F7563" t="s">
        <v>3038</v>
      </c>
      <c r="G7563">
        <v>0</v>
      </c>
      <c r="H7563">
        <v>0</v>
      </c>
      <c r="I7563">
        <v>1</v>
      </c>
      <c r="J7563">
        <v>0</v>
      </c>
      <c r="K7563">
        <v>0</v>
      </c>
      <c r="L7563">
        <f t="shared" si="236"/>
        <v>4.2</v>
      </c>
      <c r="M7563">
        <f t="shared" si="237"/>
        <v>1</v>
      </c>
    </row>
    <row r="7564" spans="1:13" x14ac:dyDescent="0.3">
      <c r="A7564">
        <v>7562</v>
      </c>
      <c r="B7564">
        <v>7563</v>
      </c>
      <c r="C7564" t="s">
        <v>7640</v>
      </c>
      <c r="D7564">
        <v>1998</v>
      </c>
      <c r="E7564" t="s">
        <v>36</v>
      </c>
      <c r="F7564" t="s">
        <v>3038</v>
      </c>
      <c r="G7564">
        <v>0</v>
      </c>
      <c r="H7564">
        <v>0</v>
      </c>
      <c r="I7564">
        <v>1</v>
      </c>
      <c r="J7564">
        <v>0</v>
      </c>
      <c r="K7564">
        <v>0</v>
      </c>
      <c r="L7564">
        <f t="shared" si="236"/>
        <v>4.2</v>
      </c>
      <c r="M7564">
        <f t="shared" si="237"/>
        <v>1</v>
      </c>
    </row>
    <row r="7565" spans="1:13" x14ac:dyDescent="0.3">
      <c r="A7565">
        <v>7563</v>
      </c>
      <c r="B7565">
        <v>7564</v>
      </c>
      <c r="C7565" t="s">
        <v>7641</v>
      </c>
      <c r="D7565">
        <v>1995</v>
      </c>
      <c r="F7565" t="s">
        <v>3038</v>
      </c>
      <c r="G7565">
        <v>0</v>
      </c>
      <c r="H7565">
        <v>0</v>
      </c>
      <c r="I7565">
        <v>1</v>
      </c>
      <c r="J7565">
        <v>0</v>
      </c>
      <c r="K7565">
        <v>0</v>
      </c>
      <c r="L7565">
        <f t="shared" si="236"/>
        <v>4.2</v>
      </c>
      <c r="M7565">
        <f t="shared" si="237"/>
        <v>1</v>
      </c>
    </row>
    <row r="7566" spans="1:13" x14ac:dyDescent="0.3">
      <c r="A7566">
        <v>7564</v>
      </c>
      <c r="B7566">
        <v>7565</v>
      </c>
      <c r="C7566" t="s">
        <v>7642</v>
      </c>
      <c r="D7566">
        <v>2005</v>
      </c>
      <c r="F7566" t="s">
        <v>3038</v>
      </c>
      <c r="G7566">
        <v>0</v>
      </c>
      <c r="H7566">
        <v>0</v>
      </c>
      <c r="I7566">
        <v>1</v>
      </c>
      <c r="J7566">
        <v>0</v>
      </c>
      <c r="K7566">
        <v>0</v>
      </c>
      <c r="L7566">
        <f t="shared" si="236"/>
        <v>4.2</v>
      </c>
      <c r="M7566">
        <f t="shared" si="237"/>
        <v>1</v>
      </c>
    </row>
    <row r="7567" spans="1:13" x14ac:dyDescent="0.3">
      <c r="A7567">
        <v>7565</v>
      </c>
      <c r="B7567">
        <v>7566</v>
      </c>
      <c r="C7567" t="s">
        <v>7643</v>
      </c>
      <c r="D7567">
        <v>2013</v>
      </c>
      <c r="E7567" t="s">
        <v>22</v>
      </c>
      <c r="F7567" t="s">
        <v>3038</v>
      </c>
      <c r="G7567">
        <v>0</v>
      </c>
      <c r="H7567">
        <v>0</v>
      </c>
      <c r="I7567">
        <v>1</v>
      </c>
      <c r="J7567">
        <v>0</v>
      </c>
      <c r="K7567">
        <v>0</v>
      </c>
      <c r="L7567">
        <f t="shared" si="236"/>
        <v>4.2</v>
      </c>
      <c r="M7567">
        <f t="shared" si="237"/>
        <v>1</v>
      </c>
    </row>
    <row r="7568" spans="1:13" x14ac:dyDescent="0.3">
      <c r="A7568">
        <v>7566</v>
      </c>
      <c r="B7568">
        <v>7567</v>
      </c>
      <c r="C7568" t="s">
        <v>7644</v>
      </c>
      <c r="D7568">
        <v>2005</v>
      </c>
      <c r="F7568" t="s">
        <v>3038</v>
      </c>
      <c r="G7568">
        <v>0</v>
      </c>
      <c r="H7568">
        <v>0</v>
      </c>
      <c r="I7568">
        <v>1</v>
      </c>
      <c r="J7568">
        <v>0</v>
      </c>
      <c r="K7568">
        <v>0</v>
      </c>
      <c r="L7568">
        <f t="shared" si="236"/>
        <v>4.2</v>
      </c>
      <c r="M7568">
        <f t="shared" si="237"/>
        <v>1</v>
      </c>
    </row>
    <row r="7569" spans="1:13" x14ac:dyDescent="0.3">
      <c r="A7569">
        <v>7567</v>
      </c>
      <c r="B7569">
        <v>7568</v>
      </c>
      <c r="C7569" t="s">
        <v>7645</v>
      </c>
      <c r="D7569">
        <v>2012</v>
      </c>
      <c r="F7569" t="s">
        <v>3038</v>
      </c>
      <c r="G7569">
        <v>0</v>
      </c>
      <c r="H7569">
        <v>0</v>
      </c>
      <c r="I7569">
        <v>1</v>
      </c>
      <c r="J7569">
        <v>0</v>
      </c>
      <c r="K7569">
        <v>0</v>
      </c>
      <c r="L7569">
        <f t="shared" si="236"/>
        <v>4.2</v>
      </c>
      <c r="M7569">
        <f t="shared" si="237"/>
        <v>1</v>
      </c>
    </row>
    <row r="7570" spans="1:13" x14ac:dyDescent="0.3">
      <c r="A7570">
        <v>7568</v>
      </c>
      <c r="B7570">
        <v>7569</v>
      </c>
      <c r="C7570" t="s">
        <v>7646</v>
      </c>
      <c r="D7570">
        <v>2017</v>
      </c>
      <c r="F7570" t="s">
        <v>3038</v>
      </c>
      <c r="G7570">
        <v>0</v>
      </c>
      <c r="H7570">
        <v>0</v>
      </c>
      <c r="I7570">
        <v>1</v>
      </c>
      <c r="J7570">
        <v>0</v>
      </c>
      <c r="K7570">
        <v>0</v>
      </c>
      <c r="L7570">
        <f t="shared" si="236"/>
        <v>4.2</v>
      </c>
      <c r="M7570">
        <f t="shared" si="237"/>
        <v>1</v>
      </c>
    </row>
    <row r="7571" spans="1:13" x14ac:dyDescent="0.3">
      <c r="A7571">
        <v>7569</v>
      </c>
      <c r="B7571">
        <v>7570</v>
      </c>
      <c r="C7571" t="s">
        <v>7647</v>
      </c>
      <c r="D7571">
        <v>2017</v>
      </c>
      <c r="F7571" t="s">
        <v>3038</v>
      </c>
      <c r="G7571">
        <v>0</v>
      </c>
      <c r="H7571">
        <v>0</v>
      </c>
      <c r="I7571">
        <v>1</v>
      </c>
      <c r="J7571">
        <v>0</v>
      </c>
      <c r="K7571">
        <v>0</v>
      </c>
      <c r="L7571">
        <f t="shared" si="236"/>
        <v>4.2</v>
      </c>
      <c r="M7571">
        <f t="shared" si="237"/>
        <v>1</v>
      </c>
    </row>
    <row r="7572" spans="1:13" x14ac:dyDescent="0.3">
      <c r="A7572">
        <v>7570</v>
      </c>
      <c r="B7572">
        <v>7571</v>
      </c>
      <c r="C7572" t="s">
        <v>7648</v>
      </c>
      <c r="D7572">
        <v>2017</v>
      </c>
      <c r="F7572" t="s">
        <v>3038</v>
      </c>
      <c r="G7572">
        <v>0</v>
      </c>
      <c r="H7572">
        <v>0</v>
      </c>
      <c r="I7572">
        <v>1</v>
      </c>
      <c r="J7572">
        <v>0</v>
      </c>
      <c r="K7572">
        <v>0</v>
      </c>
      <c r="L7572">
        <f t="shared" si="236"/>
        <v>4.2</v>
      </c>
      <c r="M7572">
        <f t="shared" si="237"/>
        <v>1</v>
      </c>
    </row>
    <row r="7573" spans="1:13" x14ac:dyDescent="0.3">
      <c r="A7573">
        <v>7571</v>
      </c>
      <c r="B7573">
        <v>7572</v>
      </c>
      <c r="C7573" t="s">
        <v>7649</v>
      </c>
      <c r="D7573">
        <v>2019</v>
      </c>
      <c r="F7573" t="s">
        <v>3038</v>
      </c>
      <c r="G7573">
        <v>0</v>
      </c>
      <c r="H7573">
        <v>0</v>
      </c>
      <c r="I7573">
        <v>1</v>
      </c>
      <c r="J7573">
        <v>0</v>
      </c>
      <c r="K7573">
        <v>0</v>
      </c>
      <c r="L7573">
        <f t="shared" si="236"/>
        <v>4.2</v>
      </c>
      <c r="M7573">
        <f t="shared" si="237"/>
        <v>1</v>
      </c>
    </row>
    <row r="7574" spans="1:13" x14ac:dyDescent="0.3">
      <c r="A7574">
        <v>7572</v>
      </c>
      <c r="B7574">
        <v>7573</v>
      </c>
      <c r="C7574" t="s">
        <v>7650</v>
      </c>
      <c r="D7574">
        <v>2014</v>
      </c>
      <c r="E7574" t="s">
        <v>11</v>
      </c>
      <c r="F7574" t="s">
        <v>3038</v>
      </c>
      <c r="G7574">
        <v>0</v>
      </c>
      <c r="H7574">
        <v>0</v>
      </c>
      <c r="I7574">
        <v>1</v>
      </c>
      <c r="J7574">
        <v>0</v>
      </c>
      <c r="K7574">
        <v>0</v>
      </c>
      <c r="L7574">
        <f t="shared" si="236"/>
        <v>4.2</v>
      </c>
      <c r="M7574">
        <f t="shared" si="237"/>
        <v>1</v>
      </c>
    </row>
    <row r="7575" spans="1:13" x14ac:dyDescent="0.3">
      <c r="A7575">
        <v>7573</v>
      </c>
      <c r="B7575">
        <v>7574</v>
      </c>
      <c r="C7575" t="s">
        <v>7651</v>
      </c>
      <c r="D7575">
        <v>2017</v>
      </c>
      <c r="F7575" t="s">
        <v>3038</v>
      </c>
      <c r="G7575">
        <v>0</v>
      </c>
      <c r="H7575">
        <v>0</v>
      </c>
      <c r="I7575">
        <v>1</v>
      </c>
      <c r="J7575">
        <v>0</v>
      </c>
      <c r="K7575">
        <v>0</v>
      </c>
      <c r="L7575">
        <f t="shared" si="236"/>
        <v>4.2</v>
      </c>
      <c r="M7575">
        <f t="shared" si="237"/>
        <v>1</v>
      </c>
    </row>
    <row r="7576" spans="1:13" x14ac:dyDescent="0.3">
      <c r="A7576">
        <v>7574</v>
      </c>
      <c r="B7576">
        <v>7575</v>
      </c>
      <c r="C7576" t="s">
        <v>7652</v>
      </c>
      <c r="D7576">
        <v>1983</v>
      </c>
      <c r="F7576" t="s">
        <v>3038</v>
      </c>
      <c r="G7576">
        <v>0</v>
      </c>
      <c r="H7576">
        <v>0</v>
      </c>
      <c r="I7576">
        <v>1</v>
      </c>
      <c r="J7576">
        <v>0</v>
      </c>
      <c r="K7576">
        <v>0</v>
      </c>
      <c r="L7576">
        <f t="shared" si="236"/>
        <v>4.2</v>
      </c>
      <c r="M7576">
        <f t="shared" si="237"/>
        <v>1</v>
      </c>
    </row>
    <row r="7577" spans="1:13" x14ac:dyDescent="0.3">
      <c r="A7577">
        <v>7575</v>
      </c>
      <c r="B7577">
        <v>7576</v>
      </c>
      <c r="C7577" t="s">
        <v>7653</v>
      </c>
      <c r="D7577">
        <v>1979</v>
      </c>
      <c r="F7577" t="s">
        <v>3038</v>
      </c>
      <c r="G7577">
        <v>0</v>
      </c>
      <c r="H7577">
        <v>0</v>
      </c>
      <c r="I7577">
        <v>1</v>
      </c>
      <c r="J7577">
        <v>0</v>
      </c>
      <c r="K7577">
        <v>0</v>
      </c>
      <c r="L7577">
        <f t="shared" si="236"/>
        <v>4.2</v>
      </c>
      <c r="M7577">
        <f t="shared" si="237"/>
        <v>1</v>
      </c>
    </row>
    <row r="7578" spans="1:13" x14ac:dyDescent="0.3">
      <c r="A7578">
        <v>7576</v>
      </c>
      <c r="B7578">
        <v>7577</v>
      </c>
      <c r="C7578" t="s">
        <v>7654</v>
      </c>
      <c r="D7578">
        <v>2013</v>
      </c>
      <c r="F7578" t="s">
        <v>3038</v>
      </c>
      <c r="G7578">
        <v>0</v>
      </c>
      <c r="H7578">
        <v>0</v>
      </c>
      <c r="I7578">
        <v>1</v>
      </c>
      <c r="J7578">
        <v>0</v>
      </c>
      <c r="K7578">
        <v>0</v>
      </c>
      <c r="L7578">
        <f t="shared" si="236"/>
        <v>4.2</v>
      </c>
      <c r="M7578">
        <f t="shared" si="237"/>
        <v>1</v>
      </c>
    </row>
    <row r="7579" spans="1:13" x14ac:dyDescent="0.3">
      <c r="A7579">
        <v>7577</v>
      </c>
      <c r="B7579">
        <v>7578</v>
      </c>
      <c r="C7579" t="s">
        <v>7655</v>
      </c>
      <c r="D7579">
        <v>2017</v>
      </c>
      <c r="F7579" t="s">
        <v>3038</v>
      </c>
      <c r="G7579">
        <v>0</v>
      </c>
      <c r="H7579">
        <v>0</v>
      </c>
      <c r="I7579">
        <v>1</v>
      </c>
      <c r="J7579">
        <v>0</v>
      </c>
      <c r="K7579">
        <v>0</v>
      </c>
      <c r="L7579">
        <f t="shared" si="236"/>
        <v>4.2</v>
      </c>
      <c r="M7579">
        <f t="shared" si="237"/>
        <v>1</v>
      </c>
    </row>
    <row r="7580" spans="1:13" x14ac:dyDescent="0.3">
      <c r="A7580">
        <v>7578</v>
      </c>
      <c r="B7580">
        <v>7579</v>
      </c>
      <c r="C7580" t="s">
        <v>7656</v>
      </c>
      <c r="D7580">
        <v>2019</v>
      </c>
      <c r="F7580" t="s">
        <v>3038</v>
      </c>
      <c r="G7580">
        <v>0</v>
      </c>
      <c r="H7580">
        <v>0</v>
      </c>
      <c r="I7580">
        <v>1</v>
      </c>
      <c r="J7580">
        <v>0</v>
      </c>
      <c r="K7580">
        <v>0</v>
      </c>
      <c r="L7580">
        <f t="shared" si="236"/>
        <v>4.2</v>
      </c>
      <c r="M7580">
        <f t="shared" si="237"/>
        <v>1</v>
      </c>
    </row>
    <row r="7581" spans="1:13" x14ac:dyDescent="0.3">
      <c r="A7581">
        <v>7579</v>
      </c>
      <c r="B7581">
        <v>7580</v>
      </c>
      <c r="C7581" t="s">
        <v>7657</v>
      </c>
      <c r="D7581">
        <v>2016</v>
      </c>
      <c r="F7581" t="s">
        <v>3038</v>
      </c>
      <c r="G7581">
        <v>0</v>
      </c>
      <c r="H7581">
        <v>0</v>
      </c>
      <c r="I7581">
        <v>1</v>
      </c>
      <c r="J7581">
        <v>0</v>
      </c>
      <c r="K7581">
        <v>0</v>
      </c>
      <c r="L7581">
        <f t="shared" si="236"/>
        <v>4.2</v>
      </c>
      <c r="M7581">
        <f t="shared" si="237"/>
        <v>1</v>
      </c>
    </row>
    <row r="7582" spans="1:13" x14ac:dyDescent="0.3">
      <c r="A7582">
        <v>7580</v>
      </c>
      <c r="B7582">
        <v>7581</v>
      </c>
      <c r="C7582" t="s">
        <v>7658</v>
      </c>
      <c r="D7582">
        <v>1993</v>
      </c>
      <c r="E7582" t="s">
        <v>11</v>
      </c>
      <c r="F7582" t="s">
        <v>3038</v>
      </c>
      <c r="G7582">
        <v>0</v>
      </c>
      <c r="H7582">
        <v>0</v>
      </c>
      <c r="I7582">
        <v>1</v>
      </c>
      <c r="J7582">
        <v>0</v>
      </c>
      <c r="K7582">
        <v>0</v>
      </c>
      <c r="L7582">
        <f t="shared" si="236"/>
        <v>4.2</v>
      </c>
      <c r="M7582">
        <f t="shared" si="237"/>
        <v>1</v>
      </c>
    </row>
    <row r="7583" spans="1:13" x14ac:dyDescent="0.3">
      <c r="A7583">
        <v>7581</v>
      </c>
      <c r="B7583">
        <v>7582</v>
      </c>
      <c r="C7583" t="s">
        <v>7659</v>
      </c>
      <c r="D7583">
        <v>2018</v>
      </c>
      <c r="F7583" t="s">
        <v>3038</v>
      </c>
      <c r="G7583">
        <v>0</v>
      </c>
      <c r="H7583">
        <v>0</v>
      </c>
      <c r="I7583">
        <v>1</v>
      </c>
      <c r="J7583">
        <v>0</v>
      </c>
      <c r="K7583">
        <v>0</v>
      </c>
      <c r="L7583">
        <f t="shared" si="236"/>
        <v>4.2</v>
      </c>
      <c r="M7583">
        <f t="shared" si="237"/>
        <v>1</v>
      </c>
    </row>
    <row r="7584" spans="1:13" x14ac:dyDescent="0.3">
      <c r="A7584">
        <v>7582</v>
      </c>
      <c r="B7584">
        <v>7583</v>
      </c>
      <c r="C7584" t="s">
        <v>7660</v>
      </c>
      <c r="D7584">
        <v>2006</v>
      </c>
      <c r="E7584" t="s">
        <v>22</v>
      </c>
      <c r="F7584" t="s">
        <v>3038</v>
      </c>
      <c r="G7584">
        <v>0</v>
      </c>
      <c r="H7584">
        <v>0</v>
      </c>
      <c r="I7584">
        <v>1</v>
      </c>
      <c r="J7584">
        <v>0</v>
      </c>
      <c r="K7584">
        <v>0</v>
      </c>
      <c r="L7584">
        <f t="shared" si="236"/>
        <v>4.2</v>
      </c>
      <c r="M7584">
        <f t="shared" si="237"/>
        <v>1</v>
      </c>
    </row>
    <row r="7585" spans="1:13" x14ac:dyDescent="0.3">
      <c r="A7585">
        <v>7583</v>
      </c>
      <c r="B7585">
        <v>7584</v>
      </c>
      <c r="C7585" t="s">
        <v>7661</v>
      </c>
      <c r="D7585">
        <v>1971</v>
      </c>
      <c r="E7585" t="s">
        <v>11</v>
      </c>
      <c r="F7585" t="s">
        <v>3038</v>
      </c>
      <c r="G7585">
        <v>0</v>
      </c>
      <c r="H7585">
        <v>0</v>
      </c>
      <c r="I7585">
        <v>1</v>
      </c>
      <c r="J7585">
        <v>0</v>
      </c>
      <c r="K7585">
        <v>0</v>
      </c>
      <c r="L7585">
        <f t="shared" si="236"/>
        <v>4.2</v>
      </c>
      <c r="M7585">
        <f t="shared" si="237"/>
        <v>1</v>
      </c>
    </row>
    <row r="7586" spans="1:13" x14ac:dyDescent="0.3">
      <c r="A7586">
        <v>7584</v>
      </c>
      <c r="B7586">
        <v>7585</v>
      </c>
      <c r="C7586" t="s">
        <v>7662</v>
      </c>
      <c r="D7586">
        <v>2018</v>
      </c>
      <c r="F7586" t="s">
        <v>3038</v>
      </c>
      <c r="G7586">
        <v>0</v>
      </c>
      <c r="H7586">
        <v>0</v>
      </c>
      <c r="I7586">
        <v>1</v>
      </c>
      <c r="J7586">
        <v>0</v>
      </c>
      <c r="K7586">
        <v>0</v>
      </c>
      <c r="L7586">
        <f t="shared" si="236"/>
        <v>4.2</v>
      </c>
      <c r="M7586">
        <f t="shared" si="237"/>
        <v>1</v>
      </c>
    </row>
    <row r="7587" spans="1:13" x14ac:dyDescent="0.3">
      <c r="A7587">
        <v>7585</v>
      </c>
      <c r="B7587">
        <v>7586</v>
      </c>
      <c r="C7587" t="s">
        <v>7663</v>
      </c>
      <c r="D7587">
        <v>2006</v>
      </c>
      <c r="E7587" t="s">
        <v>11</v>
      </c>
      <c r="F7587" t="s">
        <v>3038</v>
      </c>
      <c r="G7587">
        <v>0</v>
      </c>
      <c r="H7587">
        <v>0</v>
      </c>
      <c r="I7587">
        <v>1</v>
      </c>
      <c r="J7587">
        <v>0</v>
      </c>
      <c r="K7587">
        <v>0</v>
      </c>
      <c r="L7587">
        <f t="shared" si="236"/>
        <v>4.2</v>
      </c>
      <c r="M7587">
        <f t="shared" si="237"/>
        <v>1</v>
      </c>
    </row>
    <row r="7588" spans="1:13" x14ac:dyDescent="0.3">
      <c r="A7588">
        <v>7586</v>
      </c>
      <c r="B7588">
        <v>7587</v>
      </c>
      <c r="C7588" t="s">
        <v>7664</v>
      </c>
      <c r="D7588">
        <v>2019</v>
      </c>
      <c r="E7588" t="s">
        <v>11</v>
      </c>
      <c r="F7588" t="s">
        <v>3038</v>
      </c>
      <c r="G7588">
        <v>0</v>
      </c>
      <c r="H7588">
        <v>0</v>
      </c>
      <c r="I7588">
        <v>1</v>
      </c>
      <c r="J7588">
        <v>0</v>
      </c>
      <c r="K7588">
        <v>0</v>
      </c>
      <c r="L7588">
        <f t="shared" si="236"/>
        <v>4.2</v>
      </c>
      <c r="M7588">
        <f t="shared" si="237"/>
        <v>1</v>
      </c>
    </row>
    <row r="7589" spans="1:13" x14ac:dyDescent="0.3">
      <c r="A7589">
        <v>7587</v>
      </c>
      <c r="B7589">
        <v>7588</v>
      </c>
      <c r="C7589" t="s">
        <v>7665</v>
      </c>
      <c r="D7589">
        <v>1997</v>
      </c>
      <c r="E7589" t="s">
        <v>22</v>
      </c>
      <c r="F7589" t="s">
        <v>3038</v>
      </c>
      <c r="G7589">
        <v>0</v>
      </c>
      <c r="H7589">
        <v>0</v>
      </c>
      <c r="I7589">
        <v>1</v>
      </c>
      <c r="J7589">
        <v>0</v>
      </c>
      <c r="K7589">
        <v>0</v>
      </c>
      <c r="L7589">
        <f t="shared" si="236"/>
        <v>4.2</v>
      </c>
      <c r="M7589">
        <f t="shared" si="237"/>
        <v>1</v>
      </c>
    </row>
    <row r="7590" spans="1:13" x14ac:dyDescent="0.3">
      <c r="A7590">
        <v>7588</v>
      </c>
      <c r="B7590">
        <v>7589</v>
      </c>
      <c r="C7590" t="s">
        <v>7666</v>
      </c>
      <c r="D7590">
        <v>2020</v>
      </c>
      <c r="E7590" t="s">
        <v>14</v>
      </c>
      <c r="F7590" t="s">
        <v>3038</v>
      </c>
      <c r="G7590">
        <v>0</v>
      </c>
      <c r="H7590">
        <v>0</v>
      </c>
      <c r="I7590">
        <v>1</v>
      </c>
      <c r="J7590">
        <v>0</v>
      </c>
      <c r="K7590">
        <v>0</v>
      </c>
      <c r="L7590">
        <f t="shared" si="236"/>
        <v>4.2</v>
      </c>
      <c r="M7590">
        <f t="shared" si="237"/>
        <v>1</v>
      </c>
    </row>
    <row r="7591" spans="1:13" x14ac:dyDescent="0.3">
      <c r="A7591">
        <v>7589</v>
      </c>
      <c r="B7591">
        <v>7590</v>
      </c>
      <c r="C7591" t="s">
        <v>7667</v>
      </c>
      <c r="D7591">
        <v>2008</v>
      </c>
      <c r="E7591" t="s">
        <v>36</v>
      </c>
      <c r="F7591" t="s">
        <v>3038</v>
      </c>
      <c r="G7591">
        <v>0</v>
      </c>
      <c r="H7591">
        <v>0</v>
      </c>
      <c r="I7591">
        <v>1</v>
      </c>
      <c r="J7591">
        <v>0</v>
      </c>
      <c r="K7591">
        <v>0</v>
      </c>
      <c r="L7591">
        <f t="shared" si="236"/>
        <v>4.2</v>
      </c>
      <c r="M7591">
        <f t="shared" si="237"/>
        <v>1</v>
      </c>
    </row>
    <row r="7592" spans="1:13" x14ac:dyDescent="0.3">
      <c r="A7592">
        <v>7590</v>
      </c>
      <c r="B7592">
        <v>7591</v>
      </c>
      <c r="C7592" t="s">
        <v>7668</v>
      </c>
      <c r="D7592">
        <v>2013</v>
      </c>
      <c r="F7592" t="s">
        <v>3038</v>
      </c>
      <c r="G7592">
        <v>0</v>
      </c>
      <c r="H7592">
        <v>0</v>
      </c>
      <c r="I7592">
        <v>1</v>
      </c>
      <c r="J7592">
        <v>0</v>
      </c>
      <c r="K7592">
        <v>0</v>
      </c>
      <c r="L7592">
        <f t="shared" si="236"/>
        <v>4.2</v>
      </c>
      <c r="M7592">
        <f t="shared" si="237"/>
        <v>1</v>
      </c>
    </row>
    <row r="7593" spans="1:13" x14ac:dyDescent="0.3">
      <c r="A7593">
        <v>7591</v>
      </c>
      <c r="B7593">
        <v>7592</v>
      </c>
      <c r="C7593" t="s">
        <v>7669</v>
      </c>
      <c r="D7593">
        <v>1939</v>
      </c>
      <c r="F7593" t="s">
        <v>3038</v>
      </c>
      <c r="G7593">
        <v>0</v>
      </c>
      <c r="H7593">
        <v>0</v>
      </c>
      <c r="I7593">
        <v>1</v>
      </c>
      <c r="J7593">
        <v>0</v>
      </c>
      <c r="K7593">
        <v>0</v>
      </c>
      <c r="L7593">
        <f t="shared" si="236"/>
        <v>4.2</v>
      </c>
      <c r="M7593">
        <f t="shared" si="237"/>
        <v>1</v>
      </c>
    </row>
    <row r="7594" spans="1:13" x14ac:dyDescent="0.3">
      <c r="A7594">
        <v>7592</v>
      </c>
      <c r="B7594">
        <v>7593</v>
      </c>
      <c r="C7594" t="s">
        <v>7670</v>
      </c>
      <c r="D7594">
        <v>2017</v>
      </c>
      <c r="E7594" t="s">
        <v>28</v>
      </c>
      <c r="F7594" t="s">
        <v>3038</v>
      </c>
      <c r="G7594">
        <v>0</v>
      </c>
      <c r="H7594">
        <v>0</v>
      </c>
      <c r="I7594">
        <v>1</v>
      </c>
      <c r="J7594">
        <v>0</v>
      </c>
      <c r="K7594">
        <v>0</v>
      </c>
      <c r="L7594">
        <f t="shared" si="236"/>
        <v>4.2</v>
      </c>
      <c r="M7594">
        <f t="shared" si="237"/>
        <v>1</v>
      </c>
    </row>
    <row r="7595" spans="1:13" x14ac:dyDescent="0.3">
      <c r="A7595">
        <v>7593</v>
      </c>
      <c r="B7595">
        <v>7594</v>
      </c>
      <c r="C7595" t="s">
        <v>7671</v>
      </c>
      <c r="D7595">
        <v>2009</v>
      </c>
      <c r="E7595" t="s">
        <v>14</v>
      </c>
      <c r="F7595" t="s">
        <v>3038</v>
      </c>
      <c r="G7595">
        <v>0</v>
      </c>
      <c r="H7595">
        <v>0</v>
      </c>
      <c r="I7595">
        <v>1</v>
      </c>
      <c r="J7595">
        <v>0</v>
      </c>
      <c r="K7595">
        <v>0</v>
      </c>
      <c r="L7595">
        <f t="shared" si="236"/>
        <v>4.2</v>
      </c>
      <c r="M7595">
        <f t="shared" si="237"/>
        <v>1</v>
      </c>
    </row>
    <row r="7596" spans="1:13" x14ac:dyDescent="0.3">
      <c r="A7596">
        <v>7594</v>
      </c>
      <c r="B7596">
        <v>7595</v>
      </c>
      <c r="C7596" t="s">
        <v>7672</v>
      </c>
      <c r="D7596">
        <v>1945</v>
      </c>
      <c r="F7596" t="s">
        <v>3038</v>
      </c>
      <c r="G7596">
        <v>0</v>
      </c>
      <c r="H7596">
        <v>0</v>
      </c>
      <c r="I7596">
        <v>1</v>
      </c>
      <c r="J7596">
        <v>0</v>
      </c>
      <c r="K7596">
        <v>0</v>
      </c>
      <c r="L7596">
        <f t="shared" si="236"/>
        <v>4.2</v>
      </c>
      <c r="M7596">
        <f t="shared" si="237"/>
        <v>1</v>
      </c>
    </row>
    <row r="7597" spans="1:13" x14ac:dyDescent="0.3">
      <c r="A7597">
        <v>7595</v>
      </c>
      <c r="B7597">
        <v>7596</v>
      </c>
      <c r="C7597" t="s">
        <v>7673</v>
      </c>
      <c r="D7597">
        <v>2016</v>
      </c>
      <c r="F7597" t="s">
        <v>3038</v>
      </c>
      <c r="G7597">
        <v>0</v>
      </c>
      <c r="H7597">
        <v>0</v>
      </c>
      <c r="I7597">
        <v>1</v>
      </c>
      <c r="J7597">
        <v>0</v>
      </c>
      <c r="K7597">
        <v>0</v>
      </c>
      <c r="L7597">
        <f t="shared" si="236"/>
        <v>4.2</v>
      </c>
      <c r="M7597">
        <f t="shared" si="237"/>
        <v>1</v>
      </c>
    </row>
    <row r="7598" spans="1:13" x14ac:dyDescent="0.3">
      <c r="A7598">
        <v>7596</v>
      </c>
      <c r="B7598">
        <v>7597</v>
      </c>
      <c r="C7598" t="s">
        <v>7674</v>
      </c>
      <c r="D7598">
        <v>2002</v>
      </c>
      <c r="E7598" t="s">
        <v>11</v>
      </c>
      <c r="F7598" t="s">
        <v>3038</v>
      </c>
      <c r="G7598">
        <v>0</v>
      </c>
      <c r="H7598">
        <v>0</v>
      </c>
      <c r="I7598">
        <v>1</v>
      </c>
      <c r="J7598">
        <v>0</v>
      </c>
      <c r="K7598">
        <v>0</v>
      </c>
      <c r="L7598">
        <f t="shared" si="236"/>
        <v>4.2</v>
      </c>
      <c r="M7598">
        <f t="shared" si="237"/>
        <v>1</v>
      </c>
    </row>
    <row r="7599" spans="1:13" x14ac:dyDescent="0.3">
      <c r="A7599">
        <v>7597</v>
      </c>
      <c r="B7599">
        <v>7598</v>
      </c>
      <c r="C7599" t="s">
        <v>7675</v>
      </c>
      <c r="D7599">
        <v>2018</v>
      </c>
      <c r="F7599" t="s">
        <v>3038</v>
      </c>
      <c r="G7599">
        <v>0</v>
      </c>
      <c r="H7599">
        <v>0</v>
      </c>
      <c r="I7599">
        <v>1</v>
      </c>
      <c r="J7599">
        <v>0</v>
      </c>
      <c r="K7599">
        <v>0</v>
      </c>
      <c r="L7599">
        <f t="shared" si="236"/>
        <v>4.2</v>
      </c>
      <c r="M7599">
        <f t="shared" si="237"/>
        <v>1</v>
      </c>
    </row>
    <row r="7600" spans="1:13" x14ac:dyDescent="0.3">
      <c r="A7600">
        <v>7598</v>
      </c>
      <c r="B7600">
        <v>7599</v>
      </c>
      <c r="C7600" t="s">
        <v>7676</v>
      </c>
      <c r="D7600">
        <v>1947</v>
      </c>
      <c r="F7600" t="s">
        <v>3038</v>
      </c>
      <c r="G7600">
        <v>0</v>
      </c>
      <c r="H7600">
        <v>0</v>
      </c>
      <c r="I7600">
        <v>1</v>
      </c>
      <c r="J7600">
        <v>0</v>
      </c>
      <c r="K7600">
        <v>0</v>
      </c>
      <c r="L7600">
        <f t="shared" si="236"/>
        <v>4.2</v>
      </c>
      <c r="M7600">
        <f t="shared" si="237"/>
        <v>1</v>
      </c>
    </row>
    <row r="7601" spans="1:13" x14ac:dyDescent="0.3">
      <c r="A7601">
        <v>7599</v>
      </c>
      <c r="B7601">
        <v>7600</v>
      </c>
      <c r="C7601" t="s">
        <v>7677</v>
      </c>
      <c r="D7601">
        <v>2019</v>
      </c>
      <c r="F7601" t="s">
        <v>3038</v>
      </c>
      <c r="G7601">
        <v>0</v>
      </c>
      <c r="H7601">
        <v>0</v>
      </c>
      <c r="I7601">
        <v>1</v>
      </c>
      <c r="J7601">
        <v>0</v>
      </c>
      <c r="K7601">
        <v>0</v>
      </c>
      <c r="L7601">
        <f t="shared" si="236"/>
        <v>4.2</v>
      </c>
      <c r="M7601">
        <f t="shared" si="237"/>
        <v>1</v>
      </c>
    </row>
    <row r="7602" spans="1:13" x14ac:dyDescent="0.3">
      <c r="A7602">
        <v>7600</v>
      </c>
      <c r="B7602">
        <v>7601</v>
      </c>
      <c r="C7602" t="s">
        <v>7678</v>
      </c>
      <c r="D7602">
        <v>2013</v>
      </c>
      <c r="E7602" t="s">
        <v>11</v>
      </c>
      <c r="F7602" t="s">
        <v>3038</v>
      </c>
      <c r="G7602">
        <v>0</v>
      </c>
      <c r="H7602">
        <v>0</v>
      </c>
      <c r="I7602">
        <v>1</v>
      </c>
      <c r="J7602">
        <v>0</v>
      </c>
      <c r="K7602">
        <v>0</v>
      </c>
      <c r="L7602">
        <f t="shared" si="236"/>
        <v>4.2</v>
      </c>
      <c r="M7602">
        <f t="shared" si="237"/>
        <v>1</v>
      </c>
    </row>
    <row r="7603" spans="1:13" x14ac:dyDescent="0.3">
      <c r="A7603">
        <v>7601</v>
      </c>
      <c r="B7603">
        <v>7602</v>
      </c>
      <c r="C7603" t="s">
        <v>7679</v>
      </c>
      <c r="D7603">
        <v>1994</v>
      </c>
      <c r="E7603" t="s">
        <v>11</v>
      </c>
      <c r="F7603" t="s">
        <v>3038</v>
      </c>
      <c r="G7603">
        <v>0</v>
      </c>
      <c r="H7603">
        <v>0</v>
      </c>
      <c r="I7603">
        <v>1</v>
      </c>
      <c r="J7603">
        <v>0</v>
      </c>
      <c r="K7603">
        <v>0</v>
      </c>
      <c r="L7603">
        <f t="shared" si="236"/>
        <v>4.2</v>
      </c>
      <c r="M7603">
        <f t="shared" si="237"/>
        <v>1</v>
      </c>
    </row>
    <row r="7604" spans="1:13" x14ac:dyDescent="0.3">
      <c r="A7604">
        <v>7602</v>
      </c>
      <c r="B7604">
        <v>7603</v>
      </c>
      <c r="C7604" t="s">
        <v>7680</v>
      </c>
      <c r="D7604">
        <v>1950</v>
      </c>
      <c r="F7604" t="s">
        <v>3038</v>
      </c>
      <c r="G7604">
        <v>0</v>
      </c>
      <c r="H7604">
        <v>0</v>
      </c>
      <c r="I7604">
        <v>1</v>
      </c>
      <c r="J7604">
        <v>0</v>
      </c>
      <c r="K7604">
        <v>0</v>
      </c>
      <c r="L7604">
        <f t="shared" si="236"/>
        <v>4.2</v>
      </c>
      <c r="M7604">
        <f t="shared" si="237"/>
        <v>1</v>
      </c>
    </row>
    <row r="7605" spans="1:13" x14ac:dyDescent="0.3">
      <c r="A7605">
        <v>7603</v>
      </c>
      <c r="B7605">
        <v>7604</v>
      </c>
      <c r="C7605" t="s">
        <v>7681</v>
      </c>
      <c r="D7605">
        <v>2017</v>
      </c>
      <c r="E7605" t="s">
        <v>36</v>
      </c>
      <c r="F7605" t="s">
        <v>3038</v>
      </c>
      <c r="G7605">
        <v>0</v>
      </c>
      <c r="H7605">
        <v>0</v>
      </c>
      <c r="I7605">
        <v>1</v>
      </c>
      <c r="J7605">
        <v>0</v>
      </c>
      <c r="K7605">
        <v>0</v>
      </c>
      <c r="L7605">
        <f t="shared" si="236"/>
        <v>4.2</v>
      </c>
      <c r="M7605">
        <f t="shared" si="237"/>
        <v>1</v>
      </c>
    </row>
    <row r="7606" spans="1:13" x14ac:dyDescent="0.3">
      <c r="A7606">
        <v>7604</v>
      </c>
      <c r="B7606">
        <v>7605</v>
      </c>
      <c r="C7606" t="s">
        <v>7682</v>
      </c>
      <c r="D7606">
        <v>2018</v>
      </c>
      <c r="E7606" t="s">
        <v>36</v>
      </c>
      <c r="F7606" t="s">
        <v>3038</v>
      </c>
      <c r="G7606">
        <v>0</v>
      </c>
      <c r="H7606">
        <v>0</v>
      </c>
      <c r="I7606">
        <v>1</v>
      </c>
      <c r="J7606">
        <v>0</v>
      </c>
      <c r="K7606">
        <v>0</v>
      </c>
      <c r="L7606">
        <f t="shared" si="236"/>
        <v>4.2</v>
      </c>
      <c r="M7606">
        <f t="shared" si="237"/>
        <v>1</v>
      </c>
    </row>
    <row r="7607" spans="1:13" x14ac:dyDescent="0.3">
      <c r="A7607">
        <v>7605</v>
      </c>
      <c r="B7607">
        <v>7606</v>
      </c>
      <c r="C7607" t="s">
        <v>7683</v>
      </c>
      <c r="D7607">
        <v>2019</v>
      </c>
      <c r="F7607" t="s">
        <v>3038</v>
      </c>
      <c r="G7607">
        <v>0</v>
      </c>
      <c r="H7607">
        <v>0</v>
      </c>
      <c r="I7607">
        <v>1</v>
      </c>
      <c r="J7607">
        <v>0</v>
      </c>
      <c r="K7607">
        <v>0</v>
      </c>
      <c r="L7607">
        <f t="shared" si="236"/>
        <v>4.2</v>
      </c>
      <c r="M7607">
        <f t="shared" si="237"/>
        <v>1</v>
      </c>
    </row>
    <row r="7608" spans="1:13" x14ac:dyDescent="0.3">
      <c r="A7608">
        <v>7606</v>
      </c>
      <c r="B7608">
        <v>7607</v>
      </c>
      <c r="C7608" t="s">
        <v>7684</v>
      </c>
      <c r="D7608">
        <v>1938</v>
      </c>
      <c r="F7608" t="s">
        <v>3038</v>
      </c>
      <c r="G7608">
        <v>0</v>
      </c>
      <c r="H7608">
        <v>0</v>
      </c>
      <c r="I7608">
        <v>1</v>
      </c>
      <c r="J7608">
        <v>0</v>
      </c>
      <c r="K7608">
        <v>0</v>
      </c>
      <c r="L7608">
        <f t="shared" si="236"/>
        <v>4.2</v>
      </c>
      <c r="M7608">
        <f t="shared" si="237"/>
        <v>1</v>
      </c>
    </row>
    <row r="7609" spans="1:13" x14ac:dyDescent="0.3">
      <c r="A7609">
        <v>7607</v>
      </c>
      <c r="B7609">
        <v>7608</v>
      </c>
      <c r="C7609" t="s">
        <v>7685</v>
      </c>
      <c r="D7609">
        <v>1997</v>
      </c>
      <c r="E7609" t="s">
        <v>14</v>
      </c>
      <c r="F7609" t="s">
        <v>3038</v>
      </c>
      <c r="G7609">
        <v>0</v>
      </c>
      <c r="H7609">
        <v>0</v>
      </c>
      <c r="I7609">
        <v>1</v>
      </c>
      <c r="J7609">
        <v>0</v>
      </c>
      <c r="K7609">
        <v>0</v>
      </c>
      <c r="L7609">
        <f t="shared" si="236"/>
        <v>4.2</v>
      </c>
      <c r="M7609">
        <f t="shared" si="237"/>
        <v>1</v>
      </c>
    </row>
    <row r="7610" spans="1:13" x14ac:dyDescent="0.3">
      <c r="A7610">
        <v>7608</v>
      </c>
      <c r="B7610">
        <v>7609</v>
      </c>
      <c r="C7610" t="s">
        <v>7686</v>
      </c>
      <c r="D7610">
        <v>2011</v>
      </c>
      <c r="F7610" t="s">
        <v>3038</v>
      </c>
      <c r="G7610">
        <v>0</v>
      </c>
      <c r="H7610">
        <v>0</v>
      </c>
      <c r="I7610">
        <v>1</v>
      </c>
      <c r="J7610">
        <v>0</v>
      </c>
      <c r="K7610">
        <v>0</v>
      </c>
      <c r="L7610">
        <f t="shared" si="236"/>
        <v>4.2</v>
      </c>
      <c r="M7610">
        <f t="shared" si="237"/>
        <v>1</v>
      </c>
    </row>
    <row r="7611" spans="1:13" x14ac:dyDescent="0.3">
      <c r="A7611">
        <v>7609</v>
      </c>
      <c r="B7611">
        <v>7610</v>
      </c>
      <c r="C7611" t="s">
        <v>7687</v>
      </c>
      <c r="D7611">
        <v>1931</v>
      </c>
      <c r="F7611" t="s">
        <v>3038</v>
      </c>
      <c r="G7611">
        <v>0</v>
      </c>
      <c r="H7611">
        <v>0</v>
      </c>
      <c r="I7611">
        <v>1</v>
      </c>
      <c r="J7611">
        <v>0</v>
      </c>
      <c r="K7611">
        <v>0</v>
      </c>
      <c r="L7611">
        <f t="shared" si="236"/>
        <v>4.2</v>
      </c>
      <c r="M7611">
        <f t="shared" si="237"/>
        <v>1</v>
      </c>
    </row>
    <row r="7612" spans="1:13" x14ac:dyDescent="0.3">
      <c r="A7612">
        <v>7610</v>
      </c>
      <c r="B7612">
        <v>7611</v>
      </c>
      <c r="C7612" t="s">
        <v>7688</v>
      </c>
      <c r="D7612">
        <v>1978</v>
      </c>
      <c r="F7612" t="s">
        <v>3038</v>
      </c>
      <c r="G7612">
        <v>0</v>
      </c>
      <c r="H7612">
        <v>0</v>
      </c>
      <c r="I7612">
        <v>1</v>
      </c>
      <c r="J7612">
        <v>0</v>
      </c>
      <c r="K7612">
        <v>0</v>
      </c>
      <c r="L7612">
        <f t="shared" si="236"/>
        <v>4.2</v>
      </c>
      <c r="M7612">
        <f t="shared" si="237"/>
        <v>1</v>
      </c>
    </row>
    <row r="7613" spans="1:13" x14ac:dyDescent="0.3">
      <c r="A7613">
        <v>7611</v>
      </c>
      <c r="B7613">
        <v>7612</v>
      </c>
      <c r="C7613" t="s">
        <v>7689</v>
      </c>
      <c r="D7613">
        <v>2020</v>
      </c>
      <c r="E7613" t="s">
        <v>22</v>
      </c>
      <c r="F7613" t="s">
        <v>3038</v>
      </c>
      <c r="G7613">
        <v>0</v>
      </c>
      <c r="H7613">
        <v>0</v>
      </c>
      <c r="I7613">
        <v>1</v>
      </c>
      <c r="J7613">
        <v>0</v>
      </c>
      <c r="K7613">
        <v>0</v>
      </c>
      <c r="L7613">
        <f t="shared" si="236"/>
        <v>4.2</v>
      </c>
      <c r="M7613">
        <f t="shared" si="237"/>
        <v>1</v>
      </c>
    </row>
    <row r="7614" spans="1:13" x14ac:dyDescent="0.3">
      <c r="A7614">
        <v>7612</v>
      </c>
      <c r="B7614">
        <v>7613</v>
      </c>
      <c r="C7614" t="s">
        <v>7690</v>
      </c>
      <c r="D7614">
        <v>1946</v>
      </c>
      <c r="F7614" t="s">
        <v>3038</v>
      </c>
      <c r="G7614">
        <v>0</v>
      </c>
      <c r="H7614">
        <v>0</v>
      </c>
      <c r="I7614">
        <v>1</v>
      </c>
      <c r="J7614">
        <v>0</v>
      </c>
      <c r="K7614">
        <v>0</v>
      </c>
      <c r="L7614">
        <f t="shared" si="236"/>
        <v>4.2</v>
      </c>
      <c r="M7614">
        <f t="shared" si="237"/>
        <v>1</v>
      </c>
    </row>
    <row r="7615" spans="1:13" x14ac:dyDescent="0.3">
      <c r="A7615">
        <v>7613</v>
      </c>
      <c r="B7615">
        <v>7614</v>
      </c>
      <c r="C7615" t="s">
        <v>7691</v>
      </c>
      <c r="D7615">
        <v>2020</v>
      </c>
      <c r="F7615" t="s">
        <v>3038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f t="shared" si="236"/>
        <v>4.2</v>
      </c>
      <c r="M7615">
        <f t="shared" si="237"/>
        <v>1</v>
      </c>
    </row>
    <row r="7616" spans="1:13" x14ac:dyDescent="0.3">
      <c r="A7616">
        <v>7614</v>
      </c>
      <c r="B7616">
        <v>7615</v>
      </c>
      <c r="C7616" t="s">
        <v>7692</v>
      </c>
      <c r="D7616">
        <v>1981</v>
      </c>
      <c r="E7616" t="s">
        <v>11</v>
      </c>
      <c r="F7616" t="s">
        <v>3038</v>
      </c>
      <c r="G7616">
        <v>0</v>
      </c>
      <c r="H7616">
        <v>0</v>
      </c>
      <c r="I7616">
        <v>1</v>
      </c>
      <c r="J7616">
        <v>0</v>
      </c>
      <c r="K7616">
        <v>0</v>
      </c>
      <c r="L7616">
        <f t="shared" si="236"/>
        <v>4.2</v>
      </c>
      <c r="M7616">
        <f t="shared" si="237"/>
        <v>1</v>
      </c>
    </row>
    <row r="7617" spans="1:13" x14ac:dyDescent="0.3">
      <c r="A7617">
        <v>7615</v>
      </c>
      <c r="B7617">
        <v>7616</v>
      </c>
      <c r="C7617" t="s">
        <v>7693</v>
      </c>
      <c r="D7617">
        <v>2018</v>
      </c>
      <c r="F7617" t="s">
        <v>3038</v>
      </c>
      <c r="G7617">
        <v>0</v>
      </c>
      <c r="H7617">
        <v>0</v>
      </c>
      <c r="I7617">
        <v>1</v>
      </c>
      <c r="J7617">
        <v>0</v>
      </c>
      <c r="K7617">
        <v>0</v>
      </c>
      <c r="L7617">
        <f t="shared" si="236"/>
        <v>4.2</v>
      </c>
      <c r="M7617">
        <f t="shared" si="237"/>
        <v>1</v>
      </c>
    </row>
    <row r="7618" spans="1:13" x14ac:dyDescent="0.3">
      <c r="A7618">
        <v>7616</v>
      </c>
      <c r="B7618">
        <v>7617</v>
      </c>
      <c r="C7618" t="s">
        <v>7694</v>
      </c>
      <c r="D7618">
        <v>2018</v>
      </c>
      <c r="F7618" t="s">
        <v>3038</v>
      </c>
      <c r="G7618">
        <v>0</v>
      </c>
      <c r="H7618">
        <v>0</v>
      </c>
      <c r="I7618">
        <v>1</v>
      </c>
      <c r="J7618">
        <v>0</v>
      </c>
      <c r="K7618">
        <v>0</v>
      </c>
      <c r="L7618">
        <f t="shared" si="236"/>
        <v>4.2</v>
      </c>
      <c r="M7618">
        <f t="shared" si="237"/>
        <v>1</v>
      </c>
    </row>
    <row r="7619" spans="1:13" x14ac:dyDescent="0.3">
      <c r="A7619">
        <v>7617</v>
      </c>
      <c r="B7619">
        <v>7618</v>
      </c>
      <c r="C7619" t="s">
        <v>7695</v>
      </c>
      <c r="D7619">
        <v>2014</v>
      </c>
      <c r="F7619" t="s">
        <v>3038</v>
      </c>
      <c r="G7619">
        <v>0</v>
      </c>
      <c r="H7619">
        <v>0</v>
      </c>
      <c r="I7619">
        <v>1</v>
      </c>
      <c r="J7619">
        <v>0</v>
      </c>
      <c r="K7619">
        <v>0</v>
      </c>
      <c r="L7619">
        <f t="shared" ref="L7619:L7682" si="238">IFERROR(VALUE(LEFT(F7619,FIND("/",F7619)-1))/10,"")</f>
        <v>4.2</v>
      </c>
      <c r="M7619">
        <f t="shared" ref="M7619:M7682" si="239">SUM(G7619:J7619)</f>
        <v>1</v>
      </c>
    </row>
    <row r="7620" spans="1:13" x14ac:dyDescent="0.3">
      <c r="A7620">
        <v>7618</v>
      </c>
      <c r="B7620">
        <v>7619</v>
      </c>
      <c r="C7620" t="s">
        <v>7696</v>
      </c>
      <c r="D7620">
        <v>1956</v>
      </c>
      <c r="F7620" t="s">
        <v>3038</v>
      </c>
      <c r="G7620">
        <v>0</v>
      </c>
      <c r="H7620">
        <v>0</v>
      </c>
      <c r="I7620">
        <v>1</v>
      </c>
      <c r="J7620">
        <v>0</v>
      </c>
      <c r="K7620">
        <v>0</v>
      </c>
      <c r="L7620">
        <f t="shared" si="238"/>
        <v>4.2</v>
      </c>
      <c r="M7620">
        <f t="shared" si="239"/>
        <v>1</v>
      </c>
    </row>
    <row r="7621" spans="1:13" x14ac:dyDescent="0.3">
      <c r="A7621">
        <v>7619</v>
      </c>
      <c r="B7621">
        <v>7620</v>
      </c>
      <c r="C7621" t="s">
        <v>7697</v>
      </c>
      <c r="D7621">
        <v>2020</v>
      </c>
      <c r="E7621" t="s">
        <v>14</v>
      </c>
      <c r="F7621" t="s">
        <v>3038</v>
      </c>
      <c r="G7621">
        <v>0</v>
      </c>
      <c r="H7621">
        <v>0</v>
      </c>
      <c r="I7621">
        <v>1</v>
      </c>
      <c r="J7621">
        <v>0</v>
      </c>
      <c r="K7621">
        <v>0</v>
      </c>
      <c r="L7621">
        <f t="shared" si="238"/>
        <v>4.2</v>
      </c>
      <c r="M7621">
        <f t="shared" si="239"/>
        <v>1</v>
      </c>
    </row>
    <row r="7622" spans="1:13" x14ac:dyDescent="0.3">
      <c r="A7622">
        <v>7620</v>
      </c>
      <c r="B7622">
        <v>7621</v>
      </c>
      <c r="C7622" t="s">
        <v>7698</v>
      </c>
      <c r="D7622">
        <v>2012</v>
      </c>
      <c r="F7622" t="s">
        <v>3038</v>
      </c>
      <c r="G7622">
        <v>0</v>
      </c>
      <c r="H7622">
        <v>0</v>
      </c>
      <c r="I7622">
        <v>1</v>
      </c>
      <c r="J7622">
        <v>0</v>
      </c>
      <c r="K7622">
        <v>0</v>
      </c>
      <c r="L7622">
        <f t="shared" si="238"/>
        <v>4.2</v>
      </c>
      <c r="M7622">
        <f t="shared" si="239"/>
        <v>1</v>
      </c>
    </row>
    <row r="7623" spans="1:13" x14ac:dyDescent="0.3">
      <c r="A7623">
        <v>7621</v>
      </c>
      <c r="B7623">
        <v>7622</v>
      </c>
      <c r="C7623" t="s">
        <v>7699</v>
      </c>
      <c r="D7623">
        <v>2019</v>
      </c>
      <c r="F7623" t="s">
        <v>3038</v>
      </c>
      <c r="G7623">
        <v>0</v>
      </c>
      <c r="H7623">
        <v>0</v>
      </c>
      <c r="I7623">
        <v>1</v>
      </c>
      <c r="J7623">
        <v>0</v>
      </c>
      <c r="K7623">
        <v>0</v>
      </c>
      <c r="L7623">
        <f t="shared" si="238"/>
        <v>4.2</v>
      </c>
      <c r="M7623">
        <f t="shared" si="239"/>
        <v>1</v>
      </c>
    </row>
    <row r="7624" spans="1:13" x14ac:dyDescent="0.3">
      <c r="A7624">
        <v>7622</v>
      </c>
      <c r="B7624">
        <v>7623</v>
      </c>
      <c r="C7624" t="s">
        <v>7700</v>
      </c>
      <c r="D7624">
        <v>2008</v>
      </c>
      <c r="F7624" t="s">
        <v>3038</v>
      </c>
      <c r="G7624">
        <v>0</v>
      </c>
      <c r="H7624">
        <v>0</v>
      </c>
      <c r="I7624">
        <v>1</v>
      </c>
      <c r="J7624">
        <v>0</v>
      </c>
      <c r="K7624">
        <v>0</v>
      </c>
      <c r="L7624">
        <f t="shared" si="238"/>
        <v>4.2</v>
      </c>
      <c r="M7624">
        <f t="shared" si="239"/>
        <v>1</v>
      </c>
    </row>
    <row r="7625" spans="1:13" x14ac:dyDescent="0.3">
      <c r="A7625">
        <v>7623</v>
      </c>
      <c r="B7625">
        <v>7624</v>
      </c>
      <c r="C7625" t="s">
        <v>7701</v>
      </c>
      <c r="D7625">
        <v>2006</v>
      </c>
      <c r="E7625" t="s">
        <v>11</v>
      </c>
      <c r="F7625" t="s">
        <v>3038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f t="shared" si="238"/>
        <v>4.2</v>
      </c>
      <c r="M7625">
        <f t="shared" si="239"/>
        <v>1</v>
      </c>
    </row>
    <row r="7626" spans="1:13" x14ac:dyDescent="0.3">
      <c r="A7626">
        <v>7624</v>
      </c>
      <c r="B7626">
        <v>7625</v>
      </c>
      <c r="C7626" t="s">
        <v>7702</v>
      </c>
      <c r="D7626">
        <v>2020</v>
      </c>
      <c r="F7626" t="s">
        <v>3038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f t="shared" si="238"/>
        <v>4.2</v>
      </c>
      <c r="M7626">
        <f t="shared" si="239"/>
        <v>1</v>
      </c>
    </row>
    <row r="7627" spans="1:13" x14ac:dyDescent="0.3">
      <c r="A7627">
        <v>7625</v>
      </c>
      <c r="B7627">
        <v>7626</v>
      </c>
      <c r="C7627" t="s">
        <v>7703</v>
      </c>
      <c r="D7627">
        <v>1950</v>
      </c>
      <c r="F7627" t="s">
        <v>3038</v>
      </c>
      <c r="G7627">
        <v>0</v>
      </c>
      <c r="H7627">
        <v>0</v>
      </c>
      <c r="I7627">
        <v>1</v>
      </c>
      <c r="J7627">
        <v>0</v>
      </c>
      <c r="K7627">
        <v>0</v>
      </c>
      <c r="L7627">
        <f t="shared" si="238"/>
        <v>4.2</v>
      </c>
      <c r="M7627">
        <f t="shared" si="239"/>
        <v>1</v>
      </c>
    </row>
    <row r="7628" spans="1:13" x14ac:dyDescent="0.3">
      <c r="A7628">
        <v>7626</v>
      </c>
      <c r="B7628">
        <v>7627</v>
      </c>
      <c r="C7628" t="s">
        <v>7704</v>
      </c>
      <c r="D7628">
        <v>2018</v>
      </c>
      <c r="F7628" t="s">
        <v>3038</v>
      </c>
      <c r="G7628">
        <v>0</v>
      </c>
      <c r="H7628">
        <v>0</v>
      </c>
      <c r="I7628">
        <v>1</v>
      </c>
      <c r="J7628">
        <v>0</v>
      </c>
      <c r="K7628">
        <v>0</v>
      </c>
      <c r="L7628">
        <f t="shared" si="238"/>
        <v>4.2</v>
      </c>
      <c r="M7628">
        <f t="shared" si="239"/>
        <v>1</v>
      </c>
    </row>
    <row r="7629" spans="1:13" x14ac:dyDescent="0.3">
      <c r="A7629">
        <v>7627</v>
      </c>
      <c r="B7629">
        <v>7628</v>
      </c>
      <c r="C7629" t="s">
        <v>7705</v>
      </c>
      <c r="D7629">
        <v>2008</v>
      </c>
      <c r="E7629" t="s">
        <v>11</v>
      </c>
      <c r="F7629" t="s">
        <v>3038</v>
      </c>
      <c r="G7629">
        <v>0</v>
      </c>
      <c r="H7629">
        <v>0</v>
      </c>
      <c r="I7629">
        <v>1</v>
      </c>
      <c r="J7629">
        <v>0</v>
      </c>
      <c r="K7629">
        <v>0</v>
      </c>
      <c r="L7629">
        <f t="shared" si="238"/>
        <v>4.2</v>
      </c>
      <c r="M7629">
        <f t="shared" si="239"/>
        <v>1</v>
      </c>
    </row>
    <row r="7630" spans="1:13" x14ac:dyDescent="0.3">
      <c r="A7630">
        <v>7628</v>
      </c>
      <c r="B7630">
        <v>7629</v>
      </c>
      <c r="C7630" t="s">
        <v>7706</v>
      </c>
      <c r="D7630">
        <v>2017</v>
      </c>
      <c r="E7630" t="s">
        <v>14</v>
      </c>
      <c r="F7630" t="s">
        <v>3038</v>
      </c>
      <c r="G7630">
        <v>0</v>
      </c>
      <c r="H7630">
        <v>0</v>
      </c>
      <c r="I7630">
        <v>1</v>
      </c>
      <c r="J7630">
        <v>0</v>
      </c>
      <c r="K7630">
        <v>0</v>
      </c>
      <c r="L7630">
        <f t="shared" si="238"/>
        <v>4.2</v>
      </c>
      <c r="M7630">
        <f t="shared" si="239"/>
        <v>1</v>
      </c>
    </row>
    <row r="7631" spans="1:13" x14ac:dyDescent="0.3">
      <c r="A7631">
        <v>7629</v>
      </c>
      <c r="B7631">
        <v>7630</v>
      </c>
      <c r="C7631" t="s">
        <v>7707</v>
      </c>
      <c r="D7631">
        <v>2020</v>
      </c>
      <c r="E7631" t="s">
        <v>14</v>
      </c>
      <c r="F7631" t="s">
        <v>3038</v>
      </c>
      <c r="G7631">
        <v>0</v>
      </c>
      <c r="H7631">
        <v>0</v>
      </c>
      <c r="I7631">
        <v>1</v>
      </c>
      <c r="J7631">
        <v>0</v>
      </c>
      <c r="K7631">
        <v>0</v>
      </c>
      <c r="L7631">
        <f t="shared" si="238"/>
        <v>4.2</v>
      </c>
      <c r="M7631">
        <f t="shared" si="239"/>
        <v>1</v>
      </c>
    </row>
    <row r="7632" spans="1:13" x14ac:dyDescent="0.3">
      <c r="A7632">
        <v>7630</v>
      </c>
      <c r="B7632">
        <v>7631</v>
      </c>
      <c r="C7632" t="s">
        <v>7708</v>
      </c>
      <c r="D7632">
        <v>1987</v>
      </c>
      <c r="E7632" t="s">
        <v>11</v>
      </c>
      <c r="F7632" t="s">
        <v>3038</v>
      </c>
      <c r="G7632">
        <v>0</v>
      </c>
      <c r="H7632">
        <v>0</v>
      </c>
      <c r="I7632">
        <v>1</v>
      </c>
      <c r="J7632">
        <v>0</v>
      </c>
      <c r="K7632">
        <v>0</v>
      </c>
      <c r="L7632">
        <f t="shared" si="238"/>
        <v>4.2</v>
      </c>
      <c r="M7632">
        <f t="shared" si="239"/>
        <v>1</v>
      </c>
    </row>
    <row r="7633" spans="1:13" x14ac:dyDescent="0.3">
      <c r="A7633">
        <v>7631</v>
      </c>
      <c r="B7633">
        <v>7632</v>
      </c>
      <c r="C7633" t="s">
        <v>7709</v>
      </c>
      <c r="D7633">
        <v>2017</v>
      </c>
      <c r="F7633" t="s">
        <v>3038</v>
      </c>
      <c r="G7633">
        <v>0</v>
      </c>
      <c r="H7633">
        <v>0</v>
      </c>
      <c r="I7633">
        <v>1</v>
      </c>
      <c r="J7633">
        <v>0</v>
      </c>
      <c r="K7633">
        <v>0</v>
      </c>
      <c r="L7633">
        <f t="shared" si="238"/>
        <v>4.2</v>
      </c>
      <c r="M7633">
        <f t="shared" si="239"/>
        <v>1</v>
      </c>
    </row>
    <row r="7634" spans="1:13" x14ac:dyDescent="0.3">
      <c r="A7634">
        <v>7632</v>
      </c>
      <c r="B7634">
        <v>7633</v>
      </c>
      <c r="C7634" t="s">
        <v>7710</v>
      </c>
      <c r="D7634">
        <v>2004</v>
      </c>
      <c r="E7634" t="s">
        <v>11</v>
      </c>
      <c r="F7634" t="s">
        <v>3038</v>
      </c>
      <c r="G7634">
        <v>0</v>
      </c>
      <c r="H7634">
        <v>0</v>
      </c>
      <c r="I7634">
        <v>1</v>
      </c>
      <c r="J7634">
        <v>0</v>
      </c>
      <c r="K7634">
        <v>0</v>
      </c>
      <c r="L7634">
        <f t="shared" si="238"/>
        <v>4.2</v>
      </c>
      <c r="M7634">
        <f t="shared" si="239"/>
        <v>1</v>
      </c>
    </row>
    <row r="7635" spans="1:13" x14ac:dyDescent="0.3">
      <c r="A7635">
        <v>7633</v>
      </c>
      <c r="B7635">
        <v>7634</v>
      </c>
      <c r="C7635" t="s">
        <v>7711</v>
      </c>
      <c r="D7635">
        <v>2003</v>
      </c>
      <c r="F7635" t="s">
        <v>3038</v>
      </c>
      <c r="G7635">
        <v>0</v>
      </c>
      <c r="H7635">
        <v>0</v>
      </c>
      <c r="I7635">
        <v>1</v>
      </c>
      <c r="J7635">
        <v>0</v>
      </c>
      <c r="K7635">
        <v>0</v>
      </c>
      <c r="L7635">
        <f t="shared" si="238"/>
        <v>4.2</v>
      </c>
      <c r="M7635">
        <f t="shared" si="239"/>
        <v>1</v>
      </c>
    </row>
    <row r="7636" spans="1:13" x14ac:dyDescent="0.3">
      <c r="A7636">
        <v>7634</v>
      </c>
      <c r="B7636">
        <v>7635</v>
      </c>
      <c r="C7636" t="s">
        <v>7712</v>
      </c>
      <c r="D7636">
        <v>2019</v>
      </c>
      <c r="E7636" t="s">
        <v>14</v>
      </c>
      <c r="F7636" t="s">
        <v>3038</v>
      </c>
      <c r="G7636">
        <v>0</v>
      </c>
      <c r="H7636">
        <v>0</v>
      </c>
      <c r="I7636">
        <v>1</v>
      </c>
      <c r="J7636">
        <v>0</v>
      </c>
      <c r="K7636">
        <v>0</v>
      </c>
      <c r="L7636">
        <f t="shared" si="238"/>
        <v>4.2</v>
      </c>
      <c r="M7636">
        <f t="shared" si="239"/>
        <v>1</v>
      </c>
    </row>
    <row r="7637" spans="1:13" x14ac:dyDescent="0.3">
      <c r="A7637">
        <v>7635</v>
      </c>
      <c r="B7637">
        <v>7636</v>
      </c>
      <c r="C7637" t="s">
        <v>7713</v>
      </c>
      <c r="D7637">
        <v>2019</v>
      </c>
      <c r="F7637" t="s">
        <v>3038</v>
      </c>
      <c r="G7637">
        <v>0</v>
      </c>
      <c r="H7637">
        <v>0</v>
      </c>
      <c r="I7637">
        <v>1</v>
      </c>
      <c r="J7637">
        <v>0</v>
      </c>
      <c r="K7637">
        <v>0</v>
      </c>
      <c r="L7637">
        <f t="shared" si="238"/>
        <v>4.2</v>
      </c>
      <c r="M7637">
        <f t="shared" si="239"/>
        <v>1</v>
      </c>
    </row>
    <row r="7638" spans="1:13" x14ac:dyDescent="0.3">
      <c r="A7638">
        <v>7636</v>
      </c>
      <c r="B7638">
        <v>7637</v>
      </c>
      <c r="C7638" t="s">
        <v>7714</v>
      </c>
      <c r="D7638">
        <v>2008</v>
      </c>
      <c r="E7638" t="s">
        <v>14</v>
      </c>
      <c r="F7638" t="s">
        <v>3038</v>
      </c>
      <c r="G7638">
        <v>0</v>
      </c>
      <c r="H7638">
        <v>0</v>
      </c>
      <c r="I7638">
        <v>1</v>
      </c>
      <c r="J7638">
        <v>0</v>
      </c>
      <c r="K7638">
        <v>0</v>
      </c>
      <c r="L7638">
        <f t="shared" si="238"/>
        <v>4.2</v>
      </c>
      <c r="M7638">
        <f t="shared" si="239"/>
        <v>1</v>
      </c>
    </row>
    <row r="7639" spans="1:13" x14ac:dyDescent="0.3">
      <c r="A7639">
        <v>7637</v>
      </c>
      <c r="B7639">
        <v>7638</v>
      </c>
      <c r="C7639" t="s">
        <v>7715</v>
      </c>
      <c r="D7639">
        <v>2004</v>
      </c>
      <c r="E7639" t="s">
        <v>11</v>
      </c>
      <c r="F7639" t="s">
        <v>3038</v>
      </c>
      <c r="G7639">
        <v>0</v>
      </c>
      <c r="H7639">
        <v>0</v>
      </c>
      <c r="I7639">
        <v>1</v>
      </c>
      <c r="J7639">
        <v>0</v>
      </c>
      <c r="K7639">
        <v>0</v>
      </c>
      <c r="L7639">
        <f t="shared" si="238"/>
        <v>4.2</v>
      </c>
      <c r="M7639">
        <f t="shared" si="239"/>
        <v>1</v>
      </c>
    </row>
    <row r="7640" spans="1:13" x14ac:dyDescent="0.3">
      <c r="A7640">
        <v>7638</v>
      </c>
      <c r="B7640">
        <v>7639</v>
      </c>
      <c r="C7640" t="s">
        <v>7716</v>
      </c>
      <c r="D7640">
        <v>2015</v>
      </c>
      <c r="F7640" t="s">
        <v>3038</v>
      </c>
      <c r="G7640">
        <v>0</v>
      </c>
      <c r="H7640">
        <v>0</v>
      </c>
      <c r="I7640">
        <v>1</v>
      </c>
      <c r="J7640">
        <v>0</v>
      </c>
      <c r="K7640">
        <v>0</v>
      </c>
      <c r="L7640">
        <f t="shared" si="238"/>
        <v>4.2</v>
      </c>
      <c r="M7640">
        <f t="shared" si="239"/>
        <v>1</v>
      </c>
    </row>
    <row r="7641" spans="1:13" x14ac:dyDescent="0.3">
      <c r="A7641">
        <v>7639</v>
      </c>
      <c r="B7641">
        <v>7640</v>
      </c>
      <c r="C7641" t="s">
        <v>7717</v>
      </c>
      <c r="D7641">
        <v>2020</v>
      </c>
      <c r="F7641" t="s">
        <v>3038</v>
      </c>
      <c r="G7641">
        <v>0</v>
      </c>
      <c r="H7641">
        <v>0</v>
      </c>
      <c r="I7641">
        <v>1</v>
      </c>
      <c r="J7641">
        <v>0</v>
      </c>
      <c r="K7641">
        <v>0</v>
      </c>
      <c r="L7641">
        <f t="shared" si="238"/>
        <v>4.2</v>
      </c>
      <c r="M7641">
        <f t="shared" si="239"/>
        <v>1</v>
      </c>
    </row>
    <row r="7642" spans="1:13" x14ac:dyDescent="0.3">
      <c r="A7642">
        <v>7640</v>
      </c>
      <c r="B7642">
        <v>7641</v>
      </c>
      <c r="C7642" t="s">
        <v>7718</v>
      </c>
      <c r="D7642">
        <v>1948</v>
      </c>
      <c r="F7642" t="s">
        <v>3038</v>
      </c>
      <c r="G7642">
        <v>0</v>
      </c>
      <c r="H7642">
        <v>0</v>
      </c>
      <c r="I7642">
        <v>1</v>
      </c>
      <c r="J7642">
        <v>0</v>
      </c>
      <c r="K7642">
        <v>0</v>
      </c>
      <c r="L7642">
        <f t="shared" si="238"/>
        <v>4.2</v>
      </c>
      <c r="M7642">
        <f t="shared" si="239"/>
        <v>1</v>
      </c>
    </row>
    <row r="7643" spans="1:13" x14ac:dyDescent="0.3">
      <c r="A7643">
        <v>7641</v>
      </c>
      <c r="B7643">
        <v>7642</v>
      </c>
      <c r="C7643">
        <v>99</v>
      </c>
      <c r="D7643">
        <v>2019</v>
      </c>
      <c r="F7643" t="s">
        <v>3038</v>
      </c>
      <c r="G7643">
        <v>0</v>
      </c>
      <c r="H7643">
        <v>0</v>
      </c>
      <c r="I7643">
        <v>1</v>
      </c>
      <c r="J7643">
        <v>0</v>
      </c>
      <c r="K7643">
        <v>0</v>
      </c>
      <c r="L7643">
        <f t="shared" si="238"/>
        <v>4.2</v>
      </c>
      <c r="M7643">
        <f t="shared" si="239"/>
        <v>1</v>
      </c>
    </row>
    <row r="7644" spans="1:13" x14ac:dyDescent="0.3">
      <c r="A7644">
        <v>7642</v>
      </c>
      <c r="B7644">
        <v>7643</v>
      </c>
      <c r="C7644" t="s">
        <v>7719</v>
      </c>
      <c r="D7644">
        <v>1946</v>
      </c>
      <c r="F7644" t="s">
        <v>3038</v>
      </c>
      <c r="G7644">
        <v>0</v>
      </c>
      <c r="H7644">
        <v>0</v>
      </c>
      <c r="I7644">
        <v>1</v>
      </c>
      <c r="J7644">
        <v>0</v>
      </c>
      <c r="K7644">
        <v>0</v>
      </c>
      <c r="L7644">
        <f t="shared" si="238"/>
        <v>4.2</v>
      </c>
      <c r="M7644">
        <f t="shared" si="239"/>
        <v>1</v>
      </c>
    </row>
    <row r="7645" spans="1:13" x14ac:dyDescent="0.3">
      <c r="A7645">
        <v>7643</v>
      </c>
      <c r="B7645">
        <v>7644</v>
      </c>
      <c r="C7645" t="s">
        <v>7720</v>
      </c>
      <c r="D7645">
        <v>1999</v>
      </c>
      <c r="F7645" t="s">
        <v>3038</v>
      </c>
      <c r="G7645">
        <v>0</v>
      </c>
      <c r="H7645">
        <v>0</v>
      </c>
      <c r="I7645">
        <v>1</v>
      </c>
      <c r="J7645">
        <v>0</v>
      </c>
      <c r="K7645">
        <v>0</v>
      </c>
      <c r="L7645">
        <f t="shared" si="238"/>
        <v>4.2</v>
      </c>
      <c r="M7645">
        <f t="shared" si="239"/>
        <v>1</v>
      </c>
    </row>
    <row r="7646" spans="1:13" x14ac:dyDescent="0.3">
      <c r="A7646">
        <v>7644</v>
      </c>
      <c r="B7646">
        <v>7645</v>
      </c>
      <c r="C7646" t="s">
        <v>7721</v>
      </c>
      <c r="D7646">
        <v>1989</v>
      </c>
      <c r="E7646" t="s">
        <v>11</v>
      </c>
      <c r="F7646" t="s">
        <v>3038</v>
      </c>
      <c r="G7646">
        <v>0</v>
      </c>
      <c r="H7646">
        <v>0</v>
      </c>
      <c r="I7646">
        <v>1</v>
      </c>
      <c r="J7646">
        <v>0</v>
      </c>
      <c r="K7646">
        <v>0</v>
      </c>
      <c r="L7646">
        <f t="shared" si="238"/>
        <v>4.2</v>
      </c>
      <c r="M7646">
        <f t="shared" si="239"/>
        <v>1</v>
      </c>
    </row>
    <row r="7647" spans="1:13" x14ac:dyDescent="0.3">
      <c r="A7647">
        <v>7645</v>
      </c>
      <c r="B7647">
        <v>7646</v>
      </c>
      <c r="C7647" t="s">
        <v>7722</v>
      </c>
      <c r="D7647">
        <v>2000</v>
      </c>
      <c r="F7647" t="s">
        <v>3038</v>
      </c>
      <c r="G7647">
        <v>0</v>
      </c>
      <c r="H7647">
        <v>0</v>
      </c>
      <c r="I7647">
        <v>1</v>
      </c>
      <c r="J7647">
        <v>0</v>
      </c>
      <c r="K7647">
        <v>0</v>
      </c>
      <c r="L7647">
        <f t="shared" si="238"/>
        <v>4.2</v>
      </c>
      <c r="M7647">
        <f t="shared" si="239"/>
        <v>1</v>
      </c>
    </row>
    <row r="7648" spans="1:13" x14ac:dyDescent="0.3">
      <c r="A7648">
        <v>7646</v>
      </c>
      <c r="B7648">
        <v>7647</v>
      </c>
      <c r="C7648" t="s">
        <v>7723</v>
      </c>
      <c r="D7648">
        <v>2020</v>
      </c>
      <c r="E7648" t="s">
        <v>11</v>
      </c>
      <c r="F7648" t="s">
        <v>3038</v>
      </c>
      <c r="G7648">
        <v>0</v>
      </c>
      <c r="H7648">
        <v>0</v>
      </c>
      <c r="I7648">
        <v>1</v>
      </c>
      <c r="J7648">
        <v>0</v>
      </c>
      <c r="K7648">
        <v>0</v>
      </c>
      <c r="L7648">
        <f t="shared" si="238"/>
        <v>4.2</v>
      </c>
      <c r="M7648">
        <f t="shared" si="239"/>
        <v>1</v>
      </c>
    </row>
    <row r="7649" spans="1:13" x14ac:dyDescent="0.3">
      <c r="A7649">
        <v>7647</v>
      </c>
      <c r="B7649">
        <v>7648</v>
      </c>
      <c r="C7649" t="s">
        <v>7724</v>
      </c>
      <c r="D7649">
        <v>1952</v>
      </c>
      <c r="F7649" t="s">
        <v>3038</v>
      </c>
      <c r="G7649">
        <v>0</v>
      </c>
      <c r="H7649">
        <v>0</v>
      </c>
      <c r="I7649">
        <v>1</v>
      </c>
      <c r="J7649">
        <v>0</v>
      </c>
      <c r="K7649">
        <v>0</v>
      </c>
      <c r="L7649">
        <f t="shared" si="238"/>
        <v>4.2</v>
      </c>
      <c r="M7649">
        <f t="shared" si="239"/>
        <v>1</v>
      </c>
    </row>
    <row r="7650" spans="1:13" x14ac:dyDescent="0.3">
      <c r="A7650">
        <v>7648</v>
      </c>
      <c r="B7650">
        <v>7649</v>
      </c>
      <c r="C7650" t="s">
        <v>7725</v>
      </c>
      <c r="D7650">
        <v>1968</v>
      </c>
      <c r="F7650" t="s">
        <v>3038</v>
      </c>
      <c r="G7650">
        <v>0</v>
      </c>
      <c r="H7650">
        <v>0</v>
      </c>
      <c r="I7650">
        <v>1</v>
      </c>
      <c r="J7650">
        <v>0</v>
      </c>
      <c r="K7650">
        <v>0</v>
      </c>
      <c r="L7650">
        <f t="shared" si="238"/>
        <v>4.2</v>
      </c>
      <c r="M7650">
        <f t="shared" si="239"/>
        <v>1</v>
      </c>
    </row>
    <row r="7651" spans="1:13" x14ac:dyDescent="0.3">
      <c r="A7651">
        <v>7649</v>
      </c>
      <c r="B7651">
        <v>7650</v>
      </c>
      <c r="C7651" t="s">
        <v>7726</v>
      </c>
      <c r="D7651">
        <v>2008</v>
      </c>
      <c r="F7651" t="s">
        <v>3038</v>
      </c>
      <c r="G7651">
        <v>0</v>
      </c>
      <c r="H7651">
        <v>0</v>
      </c>
      <c r="I7651">
        <v>1</v>
      </c>
      <c r="J7651">
        <v>0</v>
      </c>
      <c r="K7651">
        <v>0</v>
      </c>
      <c r="L7651">
        <f t="shared" si="238"/>
        <v>4.2</v>
      </c>
      <c r="M7651">
        <f t="shared" si="239"/>
        <v>1</v>
      </c>
    </row>
    <row r="7652" spans="1:13" x14ac:dyDescent="0.3">
      <c r="A7652">
        <v>7650</v>
      </c>
      <c r="B7652">
        <v>7651</v>
      </c>
      <c r="C7652" t="s">
        <v>7727</v>
      </c>
      <c r="D7652">
        <v>1933</v>
      </c>
      <c r="E7652" t="s">
        <v>14</v>
      </c>
      <c r="F7652" t="s">
        <v>3038</v>
      </c>
      <c r="G7652">
        <v>0</v>
      </c>
      <c r="H7652">
        <v>0</v>
      </c>
      <c r="I7652">
        <v>1</v>
      </c>
      <c r="J7652">
        <v>0</v>
      </c>
      <c r="K7652">
        <v>0</v>
      </c>
      <c r="L7652">
        <f t="shared" si="238"/>
        <v>4.2</v>
      </c>
      <c r="M7652">
        <f t="shared" si="239"/>
        <v>1</v>
      </c>
    </row>
    <row r="7653" spans="1:13" x14ac:dyDescent="0.3">
      <c r="A7653">
        <v>7651</v>
      </c>
      <c r="B7653">
        <v>7652</v>
      </c>
      <c r="C7653" t="s">
        <v>7728</v>
      </c>
      <c r="D7653">
        <v>2014</v>
      </c>
      <c r="E7653" t="s">
        <v>11</v>
      </c>
      <c r="F7653" t="s">
        <v>3038</v>
      </c>
      <c r="G7653">
        <v>0</v>
      </c>
      <c r="H7653">
        <v>0</v>
      </c>
      <c r="I7653">
        <v>1</v>
      </c>
      <c r="J7653">
        <v>0</v>
      </c>
      <c r="K7653">
        <v>0</v>
      </c>
      <c r="L7653">
        <f t="shared" si="238"/>
        <v>4.2</v>
      </c>
      <c r="M7653">
        <f t="shared" si="239"/>
        <v>1</v>
      </c>
    </row>
    <row r="7654" spans="1:13" x14ac:dyDescent="0.3">
      <c r="A7654">
        <v>7652</v>
      </c>
      <c r="B7654">
        <v>7653</v>
      </c>
      <c r="C7654" t="s">
        <v>7729</v>
      </c>
      <c r="D7654">
        <v>1949</v>
      </c>
      <c r="F7654" t="s">
        <v>3038</v>
      </c>
      <c r="G7654">
        <v>0</v>
      </c>
      <c r="H7654">
        <v>0</v>
      </c>
      <c r="I7654">
        <v>1</v>
      </c>
      <c r="J7654">
        <v>0</v>
      </c>
      <c r="K7654">
        <v>0</v>
      </c>
      <c r="L7654">
        <f t="shared" si="238"/>
        <v>4.2</v>
      </c>
      <c r="M7654">
        <f t="shared" si="239"/>
        <v>1</v>
      </c>
    </row>
    <row r="7655" spans="1:13" x14ac:dyDescent="0.3">
      <c r="A7655">
        <v>7653</v>
      </c>
      <c r="B7655">
        <v>7654</v>
      </c>
      <c r="C7655" t="s">
        <v>7730</v>
      </c>
      <c r="D7655">
        <v>1979</v>
      </c>
      <c r="E7655" t="s">
        <v>11</v>
      </c>
      <c r="F7655" t="s">
        <v>3038</v>
      </c>
      <c r="G7655">
        <v>0</v>
      </c>
      <c r="H7655">
        <v>0</v>
      </c>
      <c r="I7655">
        <v>1</v>
      </c>
      <c r="J7655">
        <v>1</v>
      </c>
      <c r="K7655">
        <v>0</v>
      </c>
      <c r="L7655">
        <f t="shared" si="238"/>
        <v>4.2</v>
      </c>
      <c r="M7655">
        <f t="shared" si="239"/>
        <v>2</v>
      </c>
    </row>
    <row r="7656" spans="1:13" x14ac:dyDescent="0.3">
      <c r="A7656">
        <v>7654</v>
      </c>
      <c r="B7656">
        <v>7655</v>
      </c>
      <c r="C7656" t="s">
        <v>7731</v>
      </c>
      <c r="D7656">
        <v>2020</v>
      </c>
      <c r="F7656" t="s">
        <v>3038</v>
      </c>
      <c r="G7656">
        <v>0</v>
      </c>
      <c r="H7656">
        <v>0</v>
      </c>
      <c r="I7656">
        <v>1</v>
      </c>
      <c r="J7656">
        <v>0</v>
      </c>
      <c r="K7656">
        <v>0</v>
      </c>
      <c r="L7656">
        <f t="shared" si="238"/>
        <v>4.2</v>
      </c>
      <c r="M7656">
        <f t="shared" si="239"/>
        <v>1</v>
      </c>
    </row>
    <row r="7657" spans="1:13" x14ac:dyDescent="0.3">
      <c r="A7657">
        <v>7655</v>
      </c>
      <c r="B7657">
        <v>7656</v>
      </c>
      <c r="C7657" t="s">
        <v>7732</v>
      </c>
      <c r="D7657">
        <v>2000</v>
      </c>
      <c r="F7657" t="s">
        <v>3038</v>
      </c>
      <c r="G7657">
        <v>0</v>
      </c>
      <c r="H7657">
        <v>0</v>
      </c>
      <c r="I7657">
        <v>1</v>
      </c>
      <c r="J7657">
        <v>0</v>
      </c>
      <c r="K7657">
        <v>0</v>
      </c>
      <c r="L7657">
        <f t="shared" si="238"/>
        <v>4.2</v>
      </c>
      <c r="M7657">
        <f t="shared" si="239"/>
        <v>1</v>
      </c>
    </row>
    <row r="7658" spans="1:13" x14ac:dyDescent="0.3">
      <c r="A7658">
        <v>7656</v>
      </c>
      <c r="B7658">
        <v>7657</v>
      </c>
      <c r="C7658" t="s">
        <v>7733</v>
      </c>
      <c r="D7658">
        <v>2014</v>
      </c>
      <c r="F7658" t="s">
        <v>3038</v>
      </c>
      <c r="G7658">
        <v>0</v>
      </c>
      <c r="H7658">
        <v>0</v>
      </c>
      <c r="I7658">
        <v>1</v>
      </c>
      <c r="J7658">
        <v>0</v>
      </c>
      <c r="K7658">
        <v>0</v>
      </c>
      <c r="L7658">
        <f t="shared" si="238"/>
        <v>4.2</v>
      </c>
      <c r="M7658">
        <f t="shared" si="239"/>
        <v>1</v>
      </c>
    </row>
    <row r="7659" spans="1:13" x14ac:dyDescent="0.3">
      <c r="A7659">
        <v>7657</v>
      </c>
      <c r="B7659">
        <v>7658</v>
      </c>
      <c r="C7659" t="s">
        <v>7734</v>
      </c>
      <c r="D7659">
        <v>2012</v>
      </c>
      <c r="F7659" t="s">
        <v>3038</v>
      </c>
      <c r="G7659">
        <v>0</v>
      </c>
      <c r="H7659">
        <v>0</v>
      </c>
      <c r="I7659">
        <v>1</v>
      </c>
      <c r="J7659">
        <v>0</v>
      </c>
      <c r="K7659">
        <v>0</v>
      </c>
      <c r="L7659">
        <f t="shared" si="238"/>
        <v>4.2</v>
      </c>
      <c r="M7659">
        <f t="shared" si="239"/>
        <v>1</v>
      </c>
    </row>
    <row r="7660" spans="1:13" x14ac:dyDescent="0.3">
      <c r="A7660">
        <v>7658</v>
      </c>
      <c r="B7660">
        <v>7659</v>
      </c>
      <c r="C7660" t="s">
        <v>7735</v>
      </c>
      <c r="D7660">
        <v>2000</v>
      </c>
      <c r="E7660" t="s">
        <v>11</v>
      </c>
      <c r="F7660" t="s">
        <v>3038</v>
      </c>
      <c r="G7660">
        <v>0</v>
      </c>
      <c r="H7660">
        <v>0</v>
      </c>
      <c r="I7660">
        <v>1</v>
      </c>
      <c r="J7660">
        <v>0</v>
      </c>
      <c r="K7660">
        <v>0</v>
      </c>
      <c r="L7660">
        <f t="shared" si="238"/>
        <v>4.2</v>
      </c>
      <c r="M7660">
        <f t="shared" si="239"/>
        <v>1</v>
      </c>
    </row>
    <row r="7661" spans="1:13" x14ac:dyDescent="0.3">
      <c r="A7661">
        <v>7659</v>
      </c>
      <c r="B7661">
        <v>7660</v>
      </c>
      <c r="C7661" t="s">
        <v>7736</v>
      </c>
      <c r="D7661">
        <v>2018</v>
      </c>
      <c r="E7661" t="s">
        <v>14</v>
      </c>
      <c r="F7661" t="s">
        <v>3038</v>
      </c>
      <c r="G7661">
        <v>0</v>
      </c>
      <c r="H7661">
        <v>0</v>
      </c>
      <c r="I7661">
        <v>1</v>
      </c>
      <c r="J7661">
        <v>0</v>
      </c>
      <c r="K7661">
        <v>0</v>
      </c>
      <c r="L7661">
        <f t="shared" si="238"/>
        <v>4.2</v>
      </c>
      <c r="M7661">
        <f t="shared" si="239"/>
        <v>1</v>
      </c>
    </row>
    <row r="7662" spans="1:13" x14ac:dyDescent="0.3">
      <c r="A7662">
        <v>7660</v>
      </c>
      <c r="B7662">
        <v>7661</v>
      </c>
      <c r="C7662" t="s">
        <v>7737</v>
      </c>
      <c r="D7662">
        <v>1944</v>
      </c>
      <c r="F7662" t="s">
        <v>3038</v>
      </c>
      <c r="G7662">
        <v>0</v>
      </c>
      <c r="H7662">
        <v>0</v>
      </c>
      <c r="I7662">
        <v>1</v>
      </c>
      <c r="J7662">
        <v>0</v>
      </c>
      <c r="K7662">
        <v>0</v>
      </c>
      <c r="L7662">
        <f t="shared" si="238"/>
        <v>4.2</v>
      </c>
      <c r="M7662">
        <f t="shared" si="239"/>
        <v>1</v>
      </c>
    </row>
    <row r="7663" spans="1:13" x14ac:dyDescent="0.3">
      <c r="A7663">
        <v>7661</v>
      </c>
      <c r="B7663">
        <v>7662</v>
      </c>
      <c r="C7663" t="s">
        <v>7738</v>
      </c>
      <c r="D7663">
        <v>2014</v>
      </c>
      <c r="F7663" t="s">
        <v>3038</v>
      </c>
      <c r="G7663">
        <v>0</v>
      </c>
      <c r="H7663">
        <v>0</v>
      </c>
      <c r="I7663">
        <v>1</v>
      </c>
      <c r="J7663">
        <v>0</v>
      </c>
      <c r="K7663">
        <v>0</v>
      </c>
      <c r="L7663">
        <f t="shared" si="238"/>
        <v>4.2</v>
      </c>
      <c r="M7663">
        <f t="shared" si="239"/>
        <v>1</v>
      </c>
    </row>
    <row r="7664" spans="1:13" x14ac:dyDescent="0.3">
      <c r="A7664">
        <v>7662</v>
      </c>
      <c r="B7664">
        <v>7663</v>
      </c>
      <c r="C7664" t="s">
        <v>7739</v>
      </c>
      <c r="D7664">
        <v>2003</v>
      </c>
      <c r="E7664" t="s">
        <v>22</v>
      </c>
      <c r="F7664" t="s">
        <v>3038</v>
      </c>
      <c r="G7664">
        <v>0</v>
      </c>
      <c r="H7664">
        <v>0</v>
      </c>
      <c r="I7664">
        <v>1</v>
      </c>
      <c r="J7664">
        <v>0</v>
      </c>
      <c r="K7664">
        <v>0</v>
      </c>
      <c r="L7664">
        <f t="shared" si="238"/>
        <v>4.2</v>
      </c>
      <c r="M7664">
        <f t="shared" si="239"/>
        <v>1</v>
      </c>
    </row>
    <row r="7665" spans="1:13" x14ac:dyDescent="0.3">
      <c r="A7665">
        <v>7663</v>
      </c>
      <c r="B7665">
        <v>7664</v>
      </c>
      <c r="C7665" t="s">
        <v>7740</v>
      </c>
      <c r="D7665">
        <v>2013</v>
      </c>
      <c r="F7665" t="s">
        <v>3038</v>
      </c>
      <c r="G7665">
        <v>0</v>
      </c>
      <c r="H7665">
        <v>0</v>
      </c>
      <c r="I7665">
        <v>1</v>
      </c>
      <c r="J7665">
        <v>0</v>
      </c>
      <c r="K7665">
        <v>0</v>
      </c>
      <c r="L7665">
        <f t="shared" si="238"/>
        <v>4.2</v>
      </c>
      <c r="M7665">
        <f t="shared" si="239"/>
        <v>1</v>
      </c>
    </row>
    <row r="7666" spans="1:13" x14ac:dyDescent="0.3">
      <c r="A7666">
        <v>7664</v>
      </c>
      <c r="B7666">
        <v>7665</v>
      </c>
      <c r="C7666" t="s">
        <v>7741</v>
      </c>
      <c r="D7666">
        <v>2016</v>
      </c>
      <c r="E7666" t="s">
        <v>14</v>
      </c>
      <c r="F7666" t="s">
        <v>3038</v>
      </c>
      <c r="G7666">
        <v>0</v>
      </c>
      <c r="H7666">
        <v>0</v>
      </c>
      <c r="I7666">
        <v>1</v>
      </c>
      <c r="J7666">
        <v>0</v>
      </c>
      <c r="K7666">
        <v>0</v>
      </c>
      <c r="L7666">
        <f t="shared" si="238"/>
        <v>4.2</v>
      </c>
      <c r="M7666">
        <f t="shared" si="239"/>
        <v>1</v>
      </c>
    </row>
    <row r="7667" spans="1:13" x14ac:dyDescent="0.3">
      <c r="A7667">
        <v>7665</v>
      </c>
      <c r="B7667">
        <v>7666</v>
      </c>
      <c r="C7667" t="s">
        <v>7742</v>
      </c>
      <c r="D7667">
        <v>2020</v>
      </c>
      <c r="E7667" t="s">
        <v>28</v>
      </c>
      <c r="F7667" t="s">
        <v>3038</v>
      </c>
      <c r="G7667">
        <v>0</v>
      </c>
      <c r="H7667">
        <v>0</v>
      </c>
      <c r="I7667">
        <v>1</v>
      </c>
      <c r="J7667">
        <v>0</v>
      </c>
      <c r="K7667">
        <v>0</v>
      </c>
      <c r="L7667">
        <f t="shared" si="238"/>
        <v>4.2</v>
      </c>
      <c r="M7667">
        <f t="shared" si="239"/>
        <v>1</v>
      </c>
    </row>
    <row r="7668" spans="1:13" x14ac:dyDescent="0.3">
      <c r="A7668">
        <v>7666</v>
      </c>
      <c r="B7668">
        <v>7667</v>
      </c>
      <c r="C7668" t="s">
        <v>7743</v>
      </c>
      <c r="D7668">
        <v>1949</v>
      </c>
      <c r="F7668" t="s">
        <v>3038</v>
      </c>
      <c r="G7668">
        <v>0</v>
      </c>
      <c r="H7668">
        <v>0</v>
      </c>
      <c r="I7668">
        <v>1</v>
      </c>
      <c r="J7668">
        <v>0</v>
      </c>
      <c r="K7668">
        <v>0</v>
      </c>
      <c r="L7668">
        <f t="shared" si="238"/>
        <v>4.2</v>
      </c>
      <c r="M7668">
        <f t="shared" si="239"/>
        <v>1</v>
      </c>
    </row>
    <row r="7669" spans="1:13" x14ac:dyDescent="0.3">
      <c r="A7669">
        <v>7667</v>
      </c>
      <c r="B7669">
        <v>7668</v>
      </c>
      <c r="C7669" t="s">
        <v>7744</v>
      </c>
      <c r="D7669">
        <v>2019</v>
      </c>
      <c r="F7669" t="s">
        <v>3038</v>
      </c>
      <c r="G7669">
        <v>0</v>
      </c>
      <c r="H7669">
        <v>0</v>
      </c>
      <c r="I7669">
        <v>1</v>
      </c>
      <c r="J7669">
        <v>0</v>
      </c>
      <c r="K7669">
        <v>0</v>
      </c>
      <c r="L7669">
        <f t="shared" si="238"/>
        <v>4.2</v>
      </c>
      <c r="M7669">
        <f t="shared" si="239"/>
        <v>1</v>
      </c>
    </row>
    <row r="7670" spans="1:13" x14ac:dyDescent="0.3">
      <c r="A7670">
        <v>7668</v>
      </c>
      <c r="B7670">
        <v>7669</v>
      </c>
      <c r="C7670" t="s">
        <v>7745</v>
      </c>
      <c r="D7670">
        <v>1937</v>
      </c>
      <c r="F7670" t="s">
        <v>3038</v>
      </c>
      <c r="G7670">
        <v>0</v>
      </c>
      <c r="H7670">
        <v>0</v>
      </c>
      <c r="I7670">
        <v>1</v>
      </c>
      <c r="J7670">
        <v>0</v>
      </c>
      <c r="K7670">
        <v>0</v>
      </c>
      <c r="L7670">
        <f t="shared" si="238"/>
        <v>4.2</v>
      </c>
      <c r="M7670">
        <f t="shared" si="239"/>
        <v>1</v>
      </c>
    </row>
    <row r="7671" spans="1:13" x14ac:dyDescent="0.3">
      <c r="A7671">
        <v>7669</v>
      </c>
      <c r="B7671">
        <v>7670</v>
      </c>
      <c r="C7671" t="s">
        <v>7746</v>
      </c>
      <c r="D7671">
        <v>1938</v>
      </c>
      <c r="F7671" t="s">
        <v>3038</v>
      </c>
      <c r="G7671">
        <v>0</v>
      </c>
      <c r="H7671">
        <v>0</v>
      </c>
      <c r="I7671">
        <v>1</v>
      </c>
      <c r="J7671">
        <v>0</v>
      </c>
      <c r="K7671">
        <v>0</v>
      </c>
      <c r="L7671">
        <f t="shared" si="238"/>
        <v>4.2</v>
      </c>
      <c r="M7671">
        <f t="shared" si="239"/>
        <v>1</v>
      </c>
    </row>
    <row r="7672" spans="1:13" x14ac:dyDescent="0.3">
      <c r="A7672">
        <v>7670</v>
      </c>
      <c r="B7672">
        <v>7671</v>
      </c>
      <c r="C7672" t="s">
        <v>7747</v>
      </c>
      <c r="D7672">
        <v>1942</v>
      </c>
      <c r="F7672" t="s">
        <v>3038</v>
      </c>
      <c r="G7672">
        <v>0</v>
      </c>
      <c r="H7672">
        <v>0</v>
      </c>
      <c r="I7672">
        <v>1</v>
      </c>
      <c r="J7672">
        <v>0</v>
      </c>
      <c r="K7672">
        <v>0</v>
      </c>
      <c r="L7672">
        <f t="shared" si="238"/>
        <v>4.2</v>
      </c>
      <c r="M7672">
        <f t="shared" si="239"/>
        <v>1</v>
      </c>
    </row>
    <row r="7673" spans="1:13" x14ac:dyDescent="0.3">
      <c r="A7673">
        <v>7671</v>
      </c>
      <c r="B7673">
        <v>7672</v>
      </c>
      <c r="C7673" t="s">
        <v>7748</v>
      </c>
      <c r="D7673">
        <v>1947</v>
      </c>
      <c r="F7673" t="s">
        <v>3038</v>
      </c>
      <c r="G7673">
        <v>0</v>
      </c>
      <c r="H7673">
        <v>0</v>
      </c>
      <c r="I7673">
        <v>1</v>
      </c>
      <c r="J7673">
        <v>0</v>
      </c>
      <c r="K7673">
        <v>0</v>
      </c>
      <c r="L7673">
        <f t="shared" si="238"/>
        <v>4.2</v>
      </c>
      <c r="M7673">
        <f t="shared" si="239"/>
        <v>1</v>
      </c>
    </row>
    <row r="7674" spans="1:13" x14ac:dyDescent="0.3">
      <c r="A7674">
        <v>7672</v>
      </c>
      <c r="B7674">
        <v>7673</v>
      </c>
      <c r="C7674" t="s">
        <v>7749</v>
      </c>
      <c r="D7674">
        <v>1943</v>
      </c>
      <c r="F7674" t="s">
        <v>3129</v>
      </c>
      <c r="G7674">
        <v>0</v>
      </c>
      <c r="H7674">
        <v>0</v>
      </c>
      <c r="I7674">
        <v>1</v>
      </c>
      <c r="J7674">
        <v>0</v>
      </c>
      <c r="K7674">
        <v>0</v>
      </c>
      <c r="L7674">
        <f t="shared" si="238"/>
        <v>4.0999999999999996</v>
      </c>
      <c r="M7674">
        <f t="shared" si="239"/>
        <v>1</v>
      </c>
    </row>
    <row r="7675" spans="1:13" x14ac:dyDescent="0.3">
      <c r="A7675">
        <v>7673</v>
      </c>
      <c r="B7675">
        <v>7674</v>
      </c>
      <c r="C7675" t="s">
        <v>7750</v>
      </c>
      <c r="D7675">
        <v>1935</v>
      </c>
      <c r="F7675" t="s">
        <v>3129</v>
      </c>
      <c r="G7675">
        <v>0</v>
      </c>
      <c r="H7675">
        <v>0</v>
      </c>
      <c r="I7675">
        <v>1</v>
      </c>
      <c r="J7675">
        <v>0</v>
      </c>
      <c r="K7675">
        <v>0</v>
      </c>
      <c r="L7675">
        <f t="shared" si="238"/>
        <v>4.0999999999999996</v>
      </c>
      <c r="M7675">
        <f t="shared" si="239"/>
        <v>1</v>
      </c>
    </row>
    <row r="7676" spans="1:13" x14ac:dyDescent="0.3">
      <c r="A7676">
        <v>7674</v>
      </c>
      <c r="B7676">
        <v>7675</v>
      </c>
      <c r="C7676" t="s">
        <v>7751</v>
      </c>
      <c r="D7676">
        <v>2017</v>
      </c>
      <c r="F7676" t="s">
        <v>3129</v>
      </c>
      <c r="G7676">
        <v>0</v>
      </c>
      <c r="H7676">
        <v>0</v>
      </c>
      <c r="I7676">
        <v>1</v>
      </c>
      <c r="J7676">
        <v>0</v>
      </c>
      <c r="K7676">
        <v>0</v>
      </c>
      <c r="L7676">
        <f t="shared" si="238"/>
        <v>4.0999999999999996</v>
      </c>
      <c r="M7676">
        <f t="shared" si="239"/>
        <v>1</v>
      </c>
    </row>
    <row r="7677" spans="1:13" x14ac:dyDescent="0.3">
      <c r="A7677">
        <v>7675</v>
      </c>
      <c r="B7677">
        <v>7676</v>
      </c>
      <c r="C7677" t="s">
        <v>7752</v>
      </c>
      <c r="D7677">
        <v>1956</v>
      </c>
      <c r="F7677" t="s">
        <v>3129</v>
      </c>
      <c r="G7677">
        <v>0</v>
      </c>
      <c r="H7677">
        <v>0</v>
      </c>
      <c r="I7677">
        <v>1</v>
      </c>
      <c r="J7677">
        <v>0</v>
      </c>
      <c r="K7677">
        <v>0</v>
      </c>
      <c r="L7677">
        <f t="shared" si="238"/>
        <v>4.0999999999999996</v>
      </c>
      <c r="M7677">
        <f t="shared" si="239"/>
        <v>1</v>
      </c>
    </row>
    <row r="7678" spans="1:13" x14ac:dyDescent="0.3">
      <c r="A7678">
        <v>7676</v>
      </c>
      <c r="B7678">
        <v>7677</v>
      </c>
      <c r="C7678" t="s">
        <v>7753</v>
      </c>
      <c r="D7678">
        <v>2010</v>
      </c>
      <c r="E7678" t="s">
        <v>11</v>
      </c>
      <c r="F7678" t="s">
        <v>3129</v>
      </c>
      <c r="G7678">
        <v>0</v>
      </c>
      <c r="H7678">
        <v>0</v>
      </c>
      <c r="I7678">
        <v>1</v>
      </c>
      <c r="J7678">
        <v>0</v>
      </c>
      <c r="K7678">
        <v>0</v>
      </c>
      <c r="L7678">
        <f t="shared" si="238"/>
        <v>4.0999999999999996</v>
      </c>
      <c r="M7678">
        <f t="shared" si="239"/>
        <v>1</v>
      </c>
    </row>
    <row r="7679" spans="1:13" x14ac:dyDescent="0.3">
      <c r="A7679">
        <v>7677</v>
      </c>
      <c r="B7679">
        <v>7678</v>
      </c>
      <c r="C7679" t="s">
        <v>7754</v>
      </c>
      <c r="D7679">
        <v>2020</v>
      </c>
      <c r="F7679" t="s">
        <v>3129</v>
      </c>
      <c r="G7679">
        <v>0</v>
      </c>
      <c r="H7679">
        <v>0</v>
      </c>
      <c r="I7679">
        <v>1</v>
      </c>
      <c r="J7679">
        <v>0</v>
      </c>
      <c r="K7679">
        <v>0</v>
      </c>
      <c r="L7679">
        <f t="shared" si="238"/>
        <v>4.0999999999999996</v>
      </c>
      <c r="M7679">
        <f t="shared" si="239"/>
        <v>1</v>
      </c>
    </row>
    <row r="7680" spans="1:13" x14ac:dyDescent="0.3">
      <c r="A7680">
        <v>7678</v>
      </c>
      <c r="B7680">
        <v>7679</v>
      </c>
      <c r="C7680" t="s">
        <v>7755</v>
      </c>
      <c r="D7680">
        <v>2019</v>
      </c>
      <c r="F7680" t="s">
        <v>3129</v>
      </c>
      <c r="G7680">
        <v>0</v>
      </c>
      <c r="H7680">
        <v>0</v>
      </c>
      <c r="I7680">
        <v>1</v>
      </c>
      <c r="J7680">
        <v>0</v>
      </c>
      <c r="K7680">
        <v>0</v>
      </c>
      <c r="L7680">
        <f t="shared" si="238"/>
        <v>4.0999999999999996</v>
      </c>
      <c r="M7680">
        <f t="shared" si="239"/>
        <v>1</v>
      </c>
    </row>
    <row r="7681" spans="1:13" x14ac:dyDescent="0.3">
      <c r="A7681">
        <v>7679</v>
      </c>
      <c r="B7681">
        <v>7680</v>
      </c>
      <c r="C7681" t="s">
        <v>7756</v>
      </c>
      <c r="D7681">
        <v>1980</v>
      </c>
      <c r="E7681" t="s">
        <v>11</v>
      </c>
      <c r="F7681" t="s">
        <v>3129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f t="shared" si="238"/>
        <v>4.0999999999999996</v>
      </c>
      <c r="M7681">
        <f t="shared" si="239"/>
        <v>1</v>
      </c>
    </row>
    <row r="7682" spans="1:13" x14ac:dyDescent="0.3">
      <c r="A7682">
        <v>7680</v>
      </c>
      <c r="B7682">
        <v>7681</v>
      </c>
      <c r="C7682" t="s">
        <v>7757</v>
      </c>
      <c r="D7682">
        <v>2017</v>
      </c>
      <c r="F7682" t="s">
        <v>3129</v>
      </c>
      <c r="G7682">
        <v>0</v>
      </c>
      <c r="H7682">
        <v>0</v>
      </c>
      <c r="I7682">
        <v>1</v>
      </c>
      <c r="J7682">
        <v>0</v>
      </c>
      <c r="K7682">
        <v>0</v>
      </c>
      <c r="L7682">
        <f t="shared" si="238"/>
        <v>4.0999999999999996</v>
      </c>
      <c r="M7682">
        <f t="shared" si="239"/>
        <v>1</v>
      </c>
    </row>
    <row r="7683" spans="1:13" x14ac:dyDescent="0.3">
      <c r="A7683">
        <v>7681</v>
      </c>
      <c r="B7683">
        <v>7682</v>
      </c>
      <c r="C7683" t="s">
        <v>7758</v>
      </c>
      <c r="D7683">
        <v>2010</v>
      </c>
      <c r="F7683" t="s">
        <v>3129</v>
      </c>
      <c r="G7683">
        <v>0</v>
      </c>
      <c r="H7683">
        <v>0</v>
      </c>
      <c r="I7683">
        <v>1</v>
      </c>
      <c r="J7683">
        <v>0</v>
      </c>
      <c r="K7683">
        <v>0</v>
      </c>
      <c r="L7683">
        <f t="shared" ref="L7683:L7746" si="240">IFERROR(VALUE(LEFT(F7683,FIND("/",F7683)-1))/10,"")</f>
        <v>4.0999999999999996</v>
      </c>
      <c r="M7683">
        <f t="shared" ref="M7683:M7746" si="241">SUM(G7683:J7683)</f>
        <v>1</v>
      </c>
    </row>
    <row r="7684" spans="1:13" x14ac:dyDescent="0.3">
      <c r="A7684">
        <v>7682</v>
      </c>
      <c r="B7684">
        <v>7683</v>
      </c>
      <c r="C7684" t="s">
        <v>7759</v>
      </c>
      <c r="D7684">
        <v>2020</v>
      </c>
      <c r="F7684" t="s">
        <v>3129</v>
      </c>
      <c r="G7684">
        <v>0</v>
      </c>
      <c r="H7684">
        <v>0</v>
      </c>
      <c r="I7684">
        <v>1</v>
      </c>
      <c r="J7684">
        <v>0</v>
      </c>
      <c r="K7684">
        <v>0</v>
      </c>
      <c r="L7684">
        <f t="shared" si="240"/>
        <v>4.0999999999999996</v>
      </c>
      <c r="M7684">
        <f t="shared" si="241"/>
        <v>1</v>
      </c>
    </row>
    <row r="7685" spans="1:13" x14ac:dyDescent="0.3">
      <c r="A7685">
        <v>7683</v>
      </c>
      <c r="B7685">
        <v>7684</v>
      </c>
      <c r="C7685" t="s">
        <v>7760</v>
      </c>
      <c r="D7685">
        <v>2001</v>
      </c>
      <c r="E7685" t="s">
        <v>11</v>
      </c>
      <c r="F7685" t="s">
        <v>3129</v>
      </c>
      <c r="G7685">
        <v>0</v>
      </c>
      <c r="H7685">
        <v>0</v>
      </c>
      <c r="I7685">
        <v>1</v>
      </c>
      <c r="J7685">
        <v>0</v>
      </c>
      <c r="K7685">
        <v>0</v>
      </c>
      <c r="L7685">
        <f t="shared" si="240"/>
        <v>4.0999999999999996</v>
      </c>
      <c r="M7685">
        <f t="shared" si="241"/>
        <v>1</v>
      </c>
    </row>
    <row r="7686" spans="1:13" x14ac:dyDescent="0.3">
      <c r="A7686">
        <v>7684</v>
      </c>
      <c r="B7686">
        <v>7685</v>
      </c>
      <c r="C7686" t="s">
        <v>7761</v>
      </c>
      <c r="D7686">
        <v>2013</v>
      </c>
      <c r="F7686" t="s">
        <v>3129</v>
      </c>
      <c r="G7686">
        <v>0</v>
      </c>
      <c r="H7686">
        <v>0</v>
      </c>
      <c r="I7686">
        <v>1</v>
      </c>
      <c r="J7686">
        <v>0</v>
      </c>
      <c r="K7686">
        <v>0</v>
      </c>
      <c r="L7686">
        <f t="shared" si="240"/>
        <v>4.0999999999999996</v>
      </c>
      <c r="M7686">
        <f t="shared" si="241"/>
        <v>1</v>
      </c>
    </row>
    <row r="7687" spans="1:13" x14ac:dyDescent="0.3">
      <c r="A7687">
        <v>7685</v>
      </c>
      <c r="B7687">
        <v>7686</v>
      </c>
      <c r="C7687" t="s">
        <v>7762</v>
      </c>
      <c r="D7687">
        <v>2011</v>
      </c>
      <c r="E7687" t="s">
        <v>11</v>
      </c>
      <c r="F7687" t="s">
        <v>3129</v>
      </c>
      <c r="G7687">
        <v>0</v>
      </c>
      <c r="H7687">
        <v>0</v>
      </c>
      <c r="I7687">
        <v>1</v>
      </c>
      <c r="J7687">
        <v>0</v>
      </c>
      <c r="K7687">
        <v>0</v>
      </c>
      <c r="L7687">
        <f t="shared" si="240"/>
        <v>4.0999999999999996</v>
      </c>
      <c r="M7687">
        <f t="shared" si="241"/>
        <v>1</v>
      </c>
    </row>
    <row r="7688" spans="1:13" x14ac:dyDescent="0.3">
      <c r="A7688">
        <v>7686</v>
      </c>
      <c r="B7688">
        <v>7687</v>
      </c>
      <c r="C7688" t="s">
        <v>7763</v>
      </c>
      <c r="D7688">
        <v>2011</v>
      </c>
      <c r="E7688" t="s">
        <v>14</v>
      </c>
      <c r="F7688" t="s">
        <v>3129</v>
      </c>
      <c r="G7688">
        <v>0</v>
      </c>
      <c r="H7688">
        <v>0</v>
      </c>
      <c r="I7688">
        <v>1</v>
      </c>
      <c r="J7688">
        <v>0</v>
      </c>
      <c r="K7688">
        <v>0</v>
      </c>
      <c r="L7688">
        <f t="shared" si="240"/>
        <v>4.0999999999999996</v>
      </c>
      <c r="M7688">
        <f t="shared" si="241"/>
        <v>1</v>
      </c>
    </row>
    <row r="7689" spans="1:13" x14ac:dyDescent="0.3">
      <c r="A7689">
        <v>7687</v>
      </c>
      <c r="B7689">
        <v>7688</v>
      </c>
      <c r="C7689" t="s">
        <v>7764</v>
      </c>
      <c r="D7689">
        <v>2008</v>
      </c>
      <c r="E7689" t="s">
        <v>11</v>
      </c>
      <c r="F7689" t="s">
        <v>3129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f t="shared" si="240"/>
        <v>4.0999999999999996</v>
      </c>
      <c r="M7689">
        <f t="shared" si="241"/>
        <v>1</v>
      </c>
    </row>
    <row r="7690" spans="1:13" x14ac:dyDescent="0.3">
      <c r="A7690">
        <v>7688</v>
      </c>
      <c r="B7690">
        <v>7689</v>
      </c>
      <c r="C7690" t="s">
        <v>7765</v>
      </c>
      <c r="D7690">
        <v>2008</v>
      </c>
      <c r="F7690" t="s">
        <v>3129</v>
      </c>
      <c r="G7690">
        <v>0</v>
      </c>
      <c r="H7690">
        <v>0</v>
      </c>
      <c r="I7690">
        <v>1</v>
      </c>
      <c r="J7690">
        <v>0</v>
      </c>
      <c r="K7690">
        <v>0</v>
      </c>
      <c r="L7690">
        <f t="shared" si="240"/>
        <v>4.0999999999999996</v>
      </c>
      <c r="M7690">
        <f t="shared" si="241"/>
        <v>1</v>
      </c>
    </row>
    <row r="7691" spans="1:13" x14ac:dyDescent="0.3">
      <c r="A7691">
        <v>7689</v>
      </c>
      <c r="B7691">
        <v>7690</v>
      </c>
      <c r="C7691" t="s">
        <v>7766</v>
      </c>
      <c r="D7691">
        <v>2017</v>
      </c>
      <c r="F7691" t="s">
        <v>3129</v>
      </c>
      <c r="G7691">
        <v>0</v>
      </c>
      <c r="H7691">
        <v>0</v>
      </c>
      <c r="I7691">
        <v>1</v>
      </c>
      <c r="J7691">
        <v>0</v>
      </c>
      <c r="K7691">
        <v>0</v>
      </c>
      <c r="L7691">
        <f t="shared" si="240"/>
        <v>4.0999999999999996</v>
      </c>
      <c r="M7691">
        <f t="shared" si="241"/>
        <v>1</v>
      </c>
    </row>
    <row r="7692" spans="1:13" x14ac:dyDescent="0.3">
      <c r="A7692">
        <v>7690</v>
      </c>
      <c r="B7692">
        <v>7691</v>
      </c>
      <c r="C7692" t="s">
        <v>7767</v>
      </c>
      <c r="D7692">
        <v>2012</v>
      </c>
      <c r="E7692" t="s">
        <v>28</v>
      </c>
      <c r="F7692" t="s">
        <v>3129</v>
      </c>
      <c r="G7692">
        <v>0</v>
      </c>
      <c r="H7692">
        <v>0</v>
      </c>
      <c r="I7692">
        <v>1</v>
      </c>
      <c r="J7692">
        <v>0</v>
      </c>
      <c r="K7692">
        <v>0</v>
      </c>
      <c r="L7692">
        <f t="shared" si="240"/>
        <v>4.0999999999999996</v>
      </c>
      <c r="M7692">
        <f t="shared" si="241"/>
        <v>1</v>
      </c>
    </row>
    <row r="7693" spans="1:13" x14ac:dyDescent="0.3">
      <c r="A7693">
        <v>7691</v>
      </c>
      <c r="B7693">
        <v>7692</v>
      </c>
      <c r="C7693" t="s">
        <v>7768</v>
      </c>
      <c r="D7693">
        <v>2015</v>
      </c>
      <c r="F7693" t="s">
        <v>3129</v>
      </c>
      <c r="G7693">
        <v>0</v>
      </c>
      <c r="H7693">
        <v>0</v>
      </c>
      <c r="I7693">
        <v>1</v>
      </c>
      <c r="J7693">
        <v>0</v>
      </c>
      <c r="K7693">
        <v>0</v>
      </c>
      <c r="L7693">
        <f t="shared" si="240"/>
        <v>4.0999999999999996</v>
      </c>
      <c r="M7693">
        <f t="shared" si="241"/>
        <v>1</v>
      </c>
    </row>
    <row r="7694" spans="1:13" x14ac:dyDescent="0.3">
      <c r="A7694">
        <v>7692</v>
      </c>
      <c r="B7694">
        <v>7693</v>
      </c>
      <c r="C7694" t="s">
        <v>7769</v>
      </c>
      <c r="D7694">
        <v>1970</v>
      </c>
      <c r="F7694" t="s">
        <v>3129</v>
      </c>
      <c r="G7694">
        <v>0</v>
      </c>
      <c r="H7694">
        <v>0</v>
      </c>
      <c r="I7694">
        <v>1</v>
      </c>
      <c r="J7694">
        <v>0</v>
      </c>
      <c r="K7694">
        <v>0</v>
      </c>
      <c r="L7694">
        <f t="shared" si="240"/>
        <v>4.0999999999999996</v>
      </c>
      <c r="M7694">
        <f t="shared" si="241"/>
        <v>1</v>
      </c>
    </row>
    <row r="7695" spans="1:13" x14ac:dyDescent="0.3">
      <c r="A7695">
        <v>7693</v>
      </c>
      <c r="B7695">
        <v>7694</v>
      </c>
      <c r="C7695" t="s">
        <v>7770</v>
      </c>
      <c r="D7695">
        <v>1946</v>
      </c>
      <c r="E7695" t="s">
        <v>36</v>
      </c>
      <c r="F7695" t="s">
        <v>3129</v>
      </c>
      <c r="G7695">
        <v>0</v>
      </c>
      <c r="H7695">
        <v>0</v>
      </c>
      <c r="I7695">
        <v>1</v>
      </c>
      <c r="J7695">
        <v>0</v>
      </c>
      <c r="K7695">
        <v>0</v>
      </c>
      <c r="L7695">
        <f t="shared" si="240"/>
        <v>4.0999999999999996</v>
      </c>
      <c r="M7695">
        <f t="shared" si="241"/>
        <v>1</v>
      </c>
    </row>
    <row r="7696" spans="1:13" x14ac:dyDescent="0.3">
      <c r="A7696">
        <v>7694</v>
      </c>
      <c r="B7696">
        <v>7695</v>
      </c>
      <c r="C7696" t="s">
        <v>7771</v>
      </c>
      <c r="D7696">
        <v>2011</v>
      </c>
      <c r="E7696" t="s">
        <v>11</v>
      </c>
      <c r="F7696" t="s">
        <v>3129</v>
      </c>
      <c r="G7696">
        <v>0</v>
      </c>
      <c r="H7696">
        <v>0</v>
      </c>
      <c r="I7696">
        <v>1</v>
      </c>
      <c r="J7696">
        <v>0</v>
      </c>
      <c r="K7696">
        <v>0</v>
      </c>
      <c r="L7696">
        <f t="shared" si="240"/>
        <v>4.0999999999999996</v>
      </c>
      <c r="M7696">
        <f t="shared" si="241"/>
        <v>1</v>
      </c>
    </row>
    <row r="7697" spans="1:13" x14ac:dyDescent="0.3">
      <c r="A7697">
        <v>7695</v>
      </c>
      <c r="B7697">
        <v>7696</v>
      </c>
      <c r="C7697" t="s">
        <v>7772</v>
      </c>
      <c r="D7697">
        <v>2008</v>
      </c>
      <c r="F7697" t="s">
        <v>3129</v>
      </c>
      <c r="G7697">
        <v>0</v>
      </c>
      <c r="H7697">
        <v>0</v>
      </c>
      <c r="I7697">
        <v>1</v>
      </c>
      <c r="J7697">
        <v>0</v>
      </c>
      <c r="K7697">
        <v>0</v>
      </c>
      <c r="L7697">
        <f t="shared" si="240"/>
        <v>4.0999999999999996</v>
      </c>
      <c r="M7697">
        <f t="shared" si="241"/>
        <v>1</v>
      </c>
    </row>
    <row r="7698" spans="1:13" x14ac:dyDescent="0.3">
      <c r="A7698">
        <v>7696</v>
      </c>
      <c r="B7698">
        <v>7697</v>
      </c>
      <c r="C7698" t="s">
        <v>7773</v>
      </c>
      <c r="D7698">
        <v>2006</v>
      </c>
      <c r="E7698" t="s">
        <v>22</v>
      </c>
      <c r="F7698" t="s">
        <v>3129</v>
      </c>
      <c r="G7698">
        <v>0</v>
      </c>
      <c r="H7698">
        <v>0</v>
      </c>
      <c r="I7698">
        <v>1</v>
      </c>
      <c r="J7698">
        <v>0</v>
      </c>
      <c r="K7698">
        <v>0</v>
      </c>
      <c r="L7698">
        <f t="shared" si="240"/>
        <v>4.0999999999999996</v>
      </c>
      <c r="M7698">
        <f t="shared" si="241"/>
        <v>1</v>
      </c>
    </row>
    <row r="7699" spans="1:13" x14ac:dyDescent="0.3">
      <c r="A7699">
        <v>7697</v>
      </c>
      <c r="B7699">
        <v>7698</v>
      </c>
      <c r="C7699" t="s">
        <v>7774</v>
      </c>
      <c r="D7699">
        <v>1936</v>
      </c>
      <c r="F7699" t="s">
        <v>3129</v>
      </c>
      <c r="G7699">
        <v>0</v>
      </c>
      <c r="H7699">
        <v>0</v>
      </c>
      <c r="I7699">
        <v>1</v>
      </c>
      <c r="J7699">
        <v>0</v>
      </c>
      <c r="K7699">
        <v>0</v>
      </c>
      <c r="L7699">
        <f t="shared" si="240"/>
        <v>4.0999999999999996</v>
      </c>
      <c r="M7699">
        <f t="shared" si="241"/>
        <v>1</v>
      </c>
    </row>
    <row r="7700" spans="1:13" x14ac:dyDescent="0.3">
      <c r="A7700">
        <v>7698</v>
      </c>
      <c r="B7700">
        <v>7699</v>
      </c>
      <c r="C7700" t="s">
        <v>7775</v>
      </c>
      <c r="D7700">
        <v>2017</v>
      </c>
      <c r="F7700" t="s">
        <v>3129</v>
      </c>
      <c r="G7700">
        <v>0</v>
      </c>
      <c r="H7700">
        <v>0</v>
      </c>
      <c r="I7700">
        <v>1</v>
      </c>
      <c r="J7700">
        <v>0</v>
      </c>
      <c r="K7700">
        <v>0</v>
      </c>
      <c r="L7700">
        <f t="shared" si="240"/>
        <v>4.0999999999999996</v>
      </c>
      <c r="M7700">
        <f t="shared" si="241"/>
        <v>1</v>
      </c>
    </row>
    <row r="7701" spans="1:13" x14ac:dyDescent="0.3">
      <c r="A7701">
        <v>7699</v>
      </c>
      <c r="B7701">
        <v>7700</v>
      </c>
      <c r="C7701" t="s">
        <v>7776</v>
      </c>
      <c r="D7701">
        <v>2017</v>
      </c>
      <c r="F7701" t="s">
        <v>3129</v>
      </c>
      <c r="G7701">
        <v>0</v>
      </c>
      <c r="H7701">
        <v>0</v>
      </c>
      <c r="I7701">
        <v>1</v>
      </c>
      <c r="J7701">
        <v>0</v>
      </c>
      <c r="K7701">
        <v>0</v>
      </c>
      <c r="L7701">
        <f t="shared" si="240"/>
        <v>4.0999999999999996</v>
      </c>
      <c r="M7701">
        <f t="shared" si="241"/>
        <v>1</v>
      </c>
    </row>
    <row r="7702" spans="1:13" x14ac:dyDescent="0.3">
      <c r="A7702">
        <v>7700</v>
      </c>
      <c r="B7702">
        <v>7701</v>
      </c>
      <c r="C7702" t="s">
        <v>7777</v>
      </c>
      <c r="D7702">
        <v>2019</v>
      </c>
      <c r="F7702" t="s">
        <v>3129</v>
      </c>
      <c r="G7702">
        <v>0</v>
      </c>
      <c r="H7702">
        <v>0</v>
      </c>
      <c r="I7702">
        <v>1</v>
      </c>
      <c r="J7702">
        <v>0</v>
      </c>
      <c r="K7702">
        <v>0</v>
      </c>
      <c r="L7702">
        <f t="shared" si="240"/>
        <v>4.0999999999999996</v>
      </c>
      <c r="M7702">
        <f t="shared" si="241"/>
        <v>1</v>
      </c>
    </row>
    <row r="7703" spans="1:13" x14ac:dyDescent="0.3">
      <c r="A7703">
        <v>7701</v>
      </c>
      <c r="B7703">
        <v>7702</v>
      </c>
      <c r="C7703" t="s">
        <v>7778</v>
      </c>
      <c r="D7703">
        <v>2016</v>
      </c>
      <c r="F7703" t="s">
        <v>3129</v>
      </c>
      <c r="G7703">
        <v>0</v>
      </c>
      <c r="H7703">
        <v>0</v>
      </c>
      <c r="I7703">
        <v>1</v>
      </c>
      <c r="J7703">
        <v>0</v>
      </c>
      <c r="K7703">
        <v>0</v>
      </c>
      <c r="L7703">
        <f t="shared" si="240"/>
        <v>4.0999999999999996</v>
      </c>
      <c r="M7703">
        <f t="shared" si="241"/>
        <v>1</v>
      </c>
    </row>
    <row r="7704" spans="1:13" x14ac:dyDescent="0.3">
      <c r="A7704">
        <v>7702</v>
      </c>
      <c r="B7704">
        <v>7703</v>
      </c>
      <c r="C7704" t="s">
        <v>7779</v>
      </c>
      <c r="D7704">
        <v>1968</v>
      </c>
      <c r="E7704" t="s">
        <v>14</v>
      </c>
      <c r="F7704" t="s">
        <v>3129</v>
      </c>
      <c r="G7704">
        <v>0</v>
      </c>
      <c r="H7704">
        <v>0</v>
      </c>
      <c r="I7704">
        <v>1</v>
      </c>
      <c r="J7704">
        <v>0</v>
      </c>
      <c r="K7704">
        <v>0</v>
      </c>
      <c r="L7704">
        <f t="shared" si="240"/>
        <v>4.0999999999999996</v>
      </c>
      <c r="M7704">
        <f t="shared" si="241"/>
        <v>1</v>
      </c>
    </row>
    <row r="7705" spans="1:13" x14ac:dyDescent="0.3">
      <c r="A7705">
        <v>7703</v>
      </c>
      <c r="B7705">
        <v>7704</v>
      </c>
      <c r="C7705" t="s">
        <v>7780</v>
      </c>
      <c r="D7705">
        <v>2012</v>
      </c>
      <c r="E7705" t="s">
        <v>28</v>
      </c>
      <c r="F7705" t="s">
        <v>3129</v>
      </c>
      <c r="G7705">
        <v>0</v>
      </c>
      <c r="H7705">
        <v>0</v>
      </c>
      <c r="I7705">
        <v>1</v>
      </c>
      <c r="J7705">
        <v>0</v>
      </c>
      <c r="K7705">
        <v>0</v>
      </c>
      <c r="L7705">
        <f t="shared" si="240"/>
        <v>4.0999999999999996</v>
      </c>
      <c r="M7705">
        <f t="shared" si="241"/>
        <v>1</v>
      </c>
    </row>
    <row r="7706" spans="1:13" x14ac:dyDescent="0.3">
      <c r="A7706">
        <v>7704</v>
      </c>
      <c r="B7706">
        <v>7705</v>
      </c>
      <c r="C7706" t="s">
        <v>7781</v>
      </c>
      <c r="D7706">
        <v>2010</v>
      </c>
      <c r="F7706" t="s">
        <v>3129</v>
      </c>
      <c r="G7706">
        <v>0</v>
      </c>
      <c r="H7706">
        <v>0</v>
      </c>
      <c r="I7706">
        <v>1</v>
      </c>
      <c r="J7706">
        <v>0</v>
      </c>
      <c r="K7706">
        <v>0</v>
      </c>
      <c r="L7706">
        <f t="shared" si="240"/>
        <v>4.0999999999999996</v>
      </c>
      <c r="M7706">
        <f t="shared" si="241"/>
        <v>1</v>
      </c>
    </row>
    <row r="7707" spans="1:13" x14ac:dyDescent="0.3">
      <c r="A7707">
        <v>7705</v>
      </c>
      <c r="B7707">
        <v>7706</v>
      </c>
      <c r="C7707" t="s">
        <v>7782</v>
      </c>
      <c r="D7707">
        <v>1987</v>
      </c>
      <c r="F7707" t="s">
        <v>3129</v>
      </c>
      <c r="G7707">
        <v>0</v>
      </c>
      <c r="H7707">
        <v>0</v>
      </c>
      <c r="I7707">
        <v>1</v>
      </c>
      <c r="J7707">
        <v>0</v>
      </c>
      <c r="K7707">
        <v>0</v>
      </c>
      <c r="L7707">
        <f t="shared" si="240"/>
        <v>4.0999999999999996</v>
      </c>
      <c r="M7707">
        <f t="shared" si="241"/>
        <v>1</v>
      </c>
    </row>
    <row r="7708" spans="1:13" x14ac:dyDescent="0.3">
      <c r="A7708">
        <v>7706</v>
      </c>
      <c r="B7708">
        <v>7707</v>
      </c>
      <c r="C7708" t="s">
        <v>7783</v>
      </c>
      <c r="D7708">
        <v>2020</v>
      </c>
      <c r="E7708" t="s">
        <v>22</v>
      </c>
      <c r="F7708" t="s">
        <v>3129</v>
      </c>
      <c r="G7708">
        <v>0</v>
      </c>
      <c r="H7708">
        <v>0</v>
      </c>
      <c r="I7708">
        <v>1</v>
      </c>
      <c r="J7708">
        <v>0</v>
      </c>
      <c r="K7708">
        <v>0</v>
      </c>
      <c r="L7708">
        <f t="shared" si="240"/>
        <v>4.0999999999999996</v>
      </c>
      <c r="M7708">
        <f t="shared" si="241"/>
        <v>1</v>
      </c>
    </row>
    <row r="7709" spans="1:13" x14ac:dyDescent="0.3">
      <c r="A7709">
        <v>7707</v>
      </c>
      <c r="B7709">
        <v>7708</v>
      </c>
      <c r="C7709" t="s">
        <v>7784</v>
      </c>
      <c r="D7709">
        <v>1944</v>
      </c>
      <c r="F7709" t="s">
        <v>3129</v>
      </c>
      <c r="G7709">
        <v>0</v>
      </c>
      <c r="H7709">
        <v>0</v>
      </c>
      <c r="I7709">
        <v>1</v>
      </c>
      <c r="J7709">
        <v>0</v>
      </c>
      <c r="K7709">
        <v>0</v>
      </c>
      <c r="L7709">
        <f t="shared" si="240"/>
        <v>4.0999999999999996</v>
      </c>
      <c r="M7709">
        <f t="shared" si="241"/>
        <v>1</v>
      </c>
    </row>
    <row r="7710" spans="1:13" x14ac:dyDescent="0.3">
      <c r="A7710">
        <v>7708</v>
      </c>
      <c r="B7710">
        <v>7709</v>
      </c>
      <c r="C7710" t="s">
        <v>7785</v>
      </c>
      <c r="D7710">
        <v>2015</v>
      </c>
      <c r="F7710" t="s">
        <v>3129</v>
      </c>
      <c r="G7710">
        <v>0</v>
      </c>
      <c r="H7710">
        <v>0</v>
      </c>
      <c r="I7710">
        <v>1</v>
      </c>
      <c r="J7710">
        <v>0</v>
      </c>
      <c r="K7710">
        <v>0</v>
      </c>
      <c r="L7710">
        <f t="shared" si="240"/>
        <v>4.0999999999999996</v>
      </c>
      <c r="M7710">
        <f t="shared" si="241"/>
        <v>1</v>
      </c>
    </row>
    <row r="7711" spans="1:13" x14ac:dyDescent="0.3">
      <c r="A7711">
        <v>7709</v>
      </c>
      <c r="B7711">
        <v>7710</v>
      </c>
      <c r="C7711" t="s">
        <v>7786</v>
      </c>
      <c r="D7711">
        <v>2016</v>
      </c>
      <c r="F7711" t="s">
        <v>3129</v>
      </c>
      <c r="G7711">
        <v>0</v>
      </c>
      <c r="H7711">
        <v>0</v>
      </c>
      <c r="I7711">
        <v>1</v>
      </c>
      <c r="J7711">
        <v>0</v>
      </c>
      <c r="K7711">
        <v>0</v>
      </c>
      <c r="L7711">
        <f t="shared" si="240"/>
        <v>4.0999999999999996</v>
      </c>
      <c r="M7711">
        <f t="shared" si="241"/>
        <v>1</v>
      </c>
    </row>
    <row r="7712" spans="1:13" x14ac:dyDescent="0.3">
      <c r="A7712">
        <v>7710</v>
      </c>
      <c r="B7712">
        <v>7711</v>
      </c>
      <c r="C7712" t="s">
        <v>7787</v>
      </c>
      <c r="D7712">
        <v>2005</v>
      </c>
      <c r="E7712" t="s">
        <v>11</v>
      </c>
      <c r="F7712" t="s">
        <v>3129</v>
      </c>
      <c r="G7712">
        <v>0</v>
      </c>
      <c r="H7712">
        <v>0</v>
      </c>
      <c r="I7712">
        <v>1</v>
      </c>
      <c r="J7712">
        <v>0</v>
      </c>
      <c r="K7712">
        <v>0</v>
      </c>
      <c r="L7712">
        <f t="shared" si="240"/>
        <v>4.0999999999999996</v>
      </c>
      <c r="M7712">
        <f t="shared" si="241"/>
        <v>1</v>
      </c>
    </row>
    <row r="7713" spans="1:13" x14ac:dyDescent="0.3">
      <c r="A7713">
        <v>7711</v>
      </c>
      <c r="B7713">
        <v>7712</v>
      </c>
      <c r="C7713" t="s">
        <v>7788</v>
      </c>
      <c r="D7713">
        <v>2013</v>
      </c>
      <c r="F7713" t="s">
        <v>3129</v>
      </c>
      <c r="G7713">
        <v>0</v>
      </c>
      <c r="H7713">
        <v>0</v>
      </c>
      <c r="I7713">
        <v>1</v>
      </c>
      <c r="J7713">
        <v>0</v>
      </c>
      <c r="K7713">
        <v>0</v>
      </c>
      <c r="L7713">
        <f t="shared" si="240"/>
        <v>4.0999999999999996</v>
      </c>
      <c r="M7713">
        <f t="shared" si="241"/>
        <v>1</v>
      </c>
    </row>
    <row r="7714" spans="1:13" x14ac:dyDescent="0.3">
      <c r="A7714">
        <v>7712</v>
      </c>
      <c r="B7714">
        <v>7713</v>
      </c>
      <c r="C7714" t="s">
        <v>7789</v>
      </c>
      <c r="D7714">
        <v>2021</v>
      </c>
      <c r="E7714" t="s">
        <v>11</v>
      </c>
      <c r="F7714" t="s">
        <v>3129</v>
      </c>
      <c r="G7714">
        <v>0</v>
      </c>
      <c r="H7714">
        <v>0</v>
      </c>
      <c r="I7714">
        <v>1</v>
      </c>
      <c r="J7714">
        <v>0</v>
      </c>
      <c r="K7714">
        <v>0</v>
      </c>
      <c r="L7714">
        <f t="shared" si="240"/>
        <v>4.0999999999999996</v>
      </c>
      <c r="M7714">
        <f t="shared" si="241"/>
        <v>1</v>
      </c>
    </row>
    <row r="7715" spans="1:13" x14ac:dyDescent="0.3">
      <c r="A7715">
        <v>7713</v>
      </c>
      <c r="B7715">
        <v>7714</v>
      </c>
      <c r="C7715" t="s">
        <v>7790</v>
      </c>
      <c r="D7715">
        <v>2017</v>
      </c>
      <c r="E7715" t="s">
        <v>11</v>
      </c>
      <c r="F7715" t="s">
        <v>3129</v>
      </c>
      <c r="G7715">
        <v>0</v>
      </c>
      <c r="H7715">
        <v>0</v>
      </c>
      <c r="I7715">
        <v>1</v>
      </c>
      <c r="J7715">
        <v>0</v>
      </c>
      <c r="K7715">
        <v>0</v>
      </c>
      <c r="L7715">
        <f t="shared" si="240"/>
        <v>4.0999999999999996</v>
      </c>
      <c r="M7715">
        <f t="shared" si="241"/>
        <v>1</v>
      </c>
    </row>
    <row r="7716" spans="1:13" x14ac:dyDescent="0.3">
      <c r="A7716">
        <v>7714</v>
      </c>
      <c r="B7716">
        <v>7715</v>
      </c>
      <c r="C7716" t="s">
        <v>7791</v>
      </c>
      <c r="D7716">
        <v>2009</v>
      </c>
      <c r="E7716" t="s">
        <v>22</v>
      </c>
      <c r="F7716" t="s">
        <v>3129</v>
      </c>
      <c r="G7716">
        <v>0</v>
      </c>
      <c r="H7716">
        <v>0</v>
      </c>
      <c r="I7716">
        <v>1</v>
      </c>
      <c r="J7716">
        <v>0</v>
      </c>
      <c r="K7716">
        <v>0</v>
      </c>
      <c r="L7716">
        <f t="shared" si="240"/>
        <v>4.0999999999999996</v>
      </c>
      <c r="M7716">
        <f t="shared" si="241"/>
        <v>1</v>
      </c>
    </row>
    <row r="7717" spans="1:13" x14ac:dyDescent="0.3">
      <c r="A7717">
        <v>7715</v>
      </c>
      <c r="B7717">
        <v>7716</v>
      </c>
      <c r="C7717" t="s">
        <v>7792</v>
      </c>
      <c r="D7717">
        <v>2013</v>
      </c>
      <c r="F7717" t="s">
        <v>3129</v>
      </c>
      <c r="G7717">
        <v>0</v>
      </c>
      <c r="H7717">
        <v>0</v>
      </c>
      <c r="I7717">
        <v>1</v>
      </c>
      <c r="J7717">
        <v>0</v>
      </c>
      <c r="K7717">
        <v>0</v>
      </c>
      <c r="L7717">
        <f t="shared" si="240"/>
        <v>4.0999999999999996</v>
      </c>
      <c r="M7717">
        <f t="shared" si="241"/>
        <v>1</v>
      </c>
    </row>
    <row r="7718" spans="1:13" x14ac:dyDescent="0.3">
      <c r="A7718">
        <v>7716</v>
      </c>
      <c r="B7718">
        <v>7717</v>
      </c>
      <c r="C7718" t="s">
        <v>7793</v>
      </c>
      <c r="D7718">
        <v>2017</v>
      </c>
      <c r="F7718" t="s">
        <v>3129</v>
      </c>
      <c r="G7718">
        <v>0</v>
      </c>
      <c r="H7718">
        <v>0</v>
      </c>
      <c r="I7718">
        <v>1</v>
      </c>
      <c r="J7718">
        <v>0</v>
      </c>
      <c r="K7718">
        <v>0</v>
      </c>
      <c r="L7718">
        <f t="shared" si="240"/>
        <v>4.0999999999999996</v>
      </c>
      <c r="M7718">
        <f t="shared" si="241"/>
        <v>1</v>
      </c>
    </row>
    <row r="7719" spans="1:13" x14ac:dyDescent="0.3">
      <c r="A7719">
        <v>7717</v>
      </c>
      <c r="B7719">
        <v>7718</v>
      </c>
      <c r="C7719" t="s">
        <v>7794</v>
      </c>
      <c r="D7719">
        <v>2015</v>
      </c>
      <c r="E7719" t="s">
        <v>36</v>
      </c>
      <c r="F7719" t="s">
        <v>3129</v>
      </c>
      <c r="G7719">
        <v>0</v>
      </c>
      <c r="H7719">
        <v>0</v>
      </c>
      <c r="I7719">
        <v>1</v>
      </c>
      <c r="J7719">
        <v>0</v>
      </c>
      <c r="K7719">
        <v>0</v>
      </c>
      <c r="L7719">
        <f t="shared" si="240"/>
        <v>4.0999999999999996</v>
      </c>
      <c r="M7719">
        <f t="shared" si="241"/>
        <v>1</v>
      </c>
    </row>
    <row r="7720" spans="1:13" x14ac:dyDescent="0.3">
      <c r="A7720">
        <v>7718</v>
      </c>
      <c r="B7720">
        <v>7719</v>
      </c>
      <c r="C7720" t="s">
        <v>7795</v>
      </c>
      <c r="D7720">
        <v>2009</v>
      </c>
      <c r="E7720" t="s">
        <v>28</v>
      </c>
      <c r="F7720" t="s">
        <v>3129</v>
      </c>
      <c r="G7720">
        <v>0</v>
      </c>
      <c r="H7720">
        <v>0</v>
      </c>
      <c r="I7720">
        <v>1</v>
      </c>
      <c r="J7720">
        <v>0</v>
      </c>
      <c r="K7720">
        <v>0</v>
      </c>
      <c r="L7720">
        <f t="shared" si="240"/>
        <v>4.0999999999999996</v>
      </c>
      <c r="M7720">
        <f t="shared" si="241"/>
        <v>1</v>
      </c>
    </row>
    <row r="7721" spans="1:13" x14ac:dyDescent="0.3">
      <c r="A7721">
        <v>7719</v>
      </c>
      <c r="B7721">
        <v>7720</v>
      </c>
      <c r="C7721" t="s">
        <v>7796</v>
      </c>
      <c r="D7721">
        <v>2016</v>
      </c>
      <c r="E7721" t="s">
        <v>36</v>
      </c>
      <c r="F7721" t="s">
        <v>3129</v>
      </c>
      <c r="G7721">
        <v>0</v>
      </c>
      <c r="H7721">
        <v>0</v>
      </c>
      <c r="I7721">
        <v>1</v>
      </c>
      <c r="J7721">
        <v>0</v>
      </c>
      <c r="K7721">
        <v>0</v>
      </c>
      <c r="L7721">
        <f t="shared" si="240"/>
        <v>4.0999999999999996</v>
      </c>
      <c r="M7721">
        <f t="shared" si="241"/>
        <v>1</v>
      </c>
    </row>
    <row r="7722" spans="1:13" x14ac:dyDescent="0.3">
      <c r="A7722">
        <v>7720</v>
      </c>
      <c r="B7722">
        <v>7721</v>
      </c>
      <c r="C7722" t="s">
        <v>7797</v>
      </c>
      <c r="D7722">
        <v>2020</v>
      </c>
      <c r="E7722" t="s">
        <v>11</v>
      </c>
      <c r="F7722" t="s">
        <v>3129</v>
      </c>
      <c r="G7722">
        <v>0</v>
      </c>
      <c r="H7722">
        <v>0</v>
      </c>
      <c r="I7722">
        <v>1</v>
      </c>
      <c r="J7722">
        <v>0</v>
      </c>
      <c r="K7722">
        <v>0</v>
      </c>
      <c r="L7722">
        <f t="shared" si="240"/>
        <v>4.0999999999999996</v>
      </c>
      <c r="M7722">
        <f t="shared" si="241"/>
        <v>1</v>
      </c>
    </row>
    <row r="7723" spans="1:13" x14ac:dyDescent="0.3">
      <c r="A7723">
        <v>7721</v>
      </c>
      <c r="B7723">
        <v>7722</v>
      </c>
      <c r="C7723" t="s">
        <v>7798</v>
      </c>
      <c r="D7723">
        <v>2015</v>
      </c>
      <c r="F7723" t="s">
        <v>3129</v>
      </c>
      <c r="G7723">
        <v>0</v>
      </c>
      <c r="H7723">
        <v>0</v>
      </c>
      <c r="I7723">
        <v>1</v>
      </c>
      <c r="J7723">
        <v>0</v>
      </c>
      <c r="K7723">
        <v>0</v>
      </c>
      <c r="L7723">
        <f t="shared" si="240"/>
        <v>4.0999999999999996</v>
      </c>
      <c r="M7723">
        <f t="shared" si="241"/>
        <v>1</v>
      </c>
    </row>
    <row r="7724" spans="1:13" x14ac:dyDescent="0.3">
      <c r="A7724">
        <v>7722</v>
      </c>
      <c r="B7724">
        <v>7723</v>
      </c>
      <c r="C7724" t="s">
        <v>7799</v>
      </c>
      <c r="D7724">
        <v>1949</v>
      </c>
      <c r="F7724" t="s">
        <v>3129</v>
      </c>
      <c r="G7724">
        <v>0</v>
      </c>
      <c r="H7724">
        <v>0</v>
      </c>
      <c r="I7724">
        <v>1</v>
      </c>
      <c r="J7724">
        <v>0</v>
      </c>
      <c r="K7724">
        <v>0</v>
      </c>
      <c r="L7724">
        <f t="shared" si="240"/>
        <v>4.0999999999999996</v>
      </c>
      <c r="M7724">
        <f t="shared" si="241"/>
        <v>1</v>
      </c>
    </row>
    <row r="7725" spans="1:13" x14ac:dyDescent="0.3">
      <c r="A7725">
        <v>7723</v>
      </c>
      <c r="B7725">
        <v>7724</v>
      </c>
      <c r="C7725" t="s">
        <v>7800</v>
      </c>
      <c r="D7725">
        <v>1996</v>
      </c>
      <c r="F7725" t="s">
        <v>3129</v>
      </c>
      <c r="G7725">
        <v>0</v>
      </c>
      <c r="H7725">
        <v>0</v>
      </c>
      <c r="I7725">
        <v>1</v>
      </c>
      <c r="J7725">
        <v>0</v>
      </c>
      <c r="K7725">
        <v>0</v>
      </c>
      <c r="L7725">
        <f t="shared" si="240"/>
        <v>4.0999999999999996</v>
      </c>
      <c r="M7725">
        <f t="shared" si="241"/>
        <v>1</v>
      </c>
    </row>
    <row r="7726" spans="1:13" x14ac:dyDescent="0.3">
      <c r="A7726">
        <v>7724</v>
      </c>
      <c r="B7726">
        <v>7725</v>
      </c>
      <c r="C7726" t="s">
        <v>7801</v>
      </c>
      <c r="D7726">
        <v>1934</v>
      </c>
      <c r="F7726" t="s">
        <v>3129</v>
      </c>
      <c r="G7726">
        <v>0</v>
      </c>
      <c r="H7726">
        <v>0</v>
      </c>
      <c r="I7726">
        <v>1</v>
      </c>
      <c r="J7726">
        <v>0</v>
      </c>
      <c r="K7726">
        <v>0</v>
      </c>
      <c r="L7726">
        <f t="shared" si="240"/>
        <v>4.0999999999999996</v>
      </c>
      <c r="M7726">
        <f t="shared" si="241"/>
        <v>1</v>
      </c>
    </row>
    <row r="7727" spans="1:13" x14ac:dyDescent="0.3">
      <c r="A7727">
        <v>7725</v>
      </c>
      <c r="B7727">
        <v>7726</v>
      </c>
      <c r="C7727" t="s">
        <v>7802</v>
      </c>
      <c r="D7727">
        <v>2018</v>
      </c>
      <c r="F7727" t="s">
        <v>3129</v>
      </c>
      <c r="G7727">
        <v>0</v>
      </c>
      <c r="H7727">
        <v>0</v>
      </c>
      <c r="I7727">
        <v>1</v>
      </c>
      <c r="J7727">
        <v>0</v>
      </c>
      <c r="K7727">
        <v>0</v>
      </c>
      <c r="L7727">
        <f t="shared" si="240"/>
        <v>4.0999999999999996</v>
      </c>
      <c r="M7727">
        <f t="shared" si="241"/>
        <v>1</v>
      </c>
    </row>
    <row r="7728" spans="1:13" x14ac:dyDescent="0.3">
      <c r="A7728">
        <v>7726</v>
      </c>
      <c r="B7728">
        <v>7727</v>
      </c>
      <c r="C7728" t="s">
        <v>7803</v>
      </c>
      <c r="D7728">
        <v>2018</v>
      </c>
      <c r="F7728" t="s">
        <v>3129</v>
      </c>
      <c r="G7728">
        <v>0</v>
      </c>
      <c r="H7728">
        <v>0</v>
      </c>
      <c r="I7728">
        <v>1</v>
      </c>
      <c r="J7728">
        <v>0</v>
      </c>
      <c r="K7728">
        <v>0</v>
      </c>
      <c r="L7728">
        <f t="shared" si="240"/>
        <v>4.0999999999999996</v>
      </c>
      <c r="M7728">
        <f t="shared" si="241"/>
        <v>1</v>
      </c>
    </row>
    <row r="7729" spans="1:13" x14ac:dyDescent="0.3">
      <c r="A7729">
        <v>7727</v>
      </c>
      <c r="B7729">
        <v>7728</v>
      </c>
      <c r="C7729" t="s">
        <v>7804</v>
      </c>
      <c r="D7729">
        <v>1996</v>
      </c>
      <c r="F7729" t="s">
        <v>3129</v>
      </c>
      <c r="G7729">
        <v>0</v>
      </c>
      <c r="H7729">
        <v>0</v>
      </c>
      <c r="I7729">
        <v>1</v>
      </c>
      <c r="J7729">
        <v>0</v>
      </c>
      <c r="K7729">
        <v>0</v>
      </c>
      <c r="L7729">
        <f t="shared" si="240"/>
        <v>4.0999999999999996</v>
      </c>
      <c r="M7729">
        <f t="shared" si="241"/>
        <v>1</v>
      </c>
    </row>
    <row r="7730" spans="1:13" x14ac:dyDescent="0.3">
      <c r="A7730">
        <v>7728</v>
      </c>
      <c r="B7730">
        <v>7729</v>
      </c>
      <c r="C7730" t="s">
        <v>7805</v>
      </c>
      <c r="D7730">
        <v>2011</v>
      </c>
      <c r="F7730" t="s">
        <v>3129</v>
      </c>
      <c r="G7730">
        <v>0</v>
      </c>
      <c r="H7730">
        <v>0</v>
      </c>
      <c r="I7730">
        <v>1</v>
      </c>
      <c r="J7730">
        <v>0</v>
      </c>
      <c r="K7730">
        <v>0</v>
      </c>
      <c r="L7730">
        <f t="shared" si="240"/>
        <v>4.0999999999999996</v>
      </c>
      <c r="M7730">
        <f t="shared" si="241"/>
        <v>1</v>
      </c>
    </row>
    <row r="7731" spans="1:13" x14ac:dyDescent="0.3">
      <c r="A7731">
        <v>7729</v>
      </c>
      <c r="B7731">
        <v>7730</v>
      </c>
      <c r="C7731" t="s">
        <v>7806</v>
      </c>
      <c r="D7731">
        <v>1944</v>
      </c>
      <c r="F7731" t="s">
        <v>3129</v>
      </c>
      <c r="G7731">
        <v>0</v>
      </c>
      <c r="H7731">
        <v>0</v>
      </c>
      <c r="I7731">
        <v>1</v>
      </c>
      <c r="J7731">
        <v>0</v>
      </c>
      <c r="K7731">
        <v>0</v>
      </c>
      <c r="L7731">
        <f t="shared" si="240"/>
        <v>4.0999999999999996</v>
      </c>
      <c r="M7731">
        <f t="shared" si="241"/>
        <v>1</v>
      </c>
    </row>
    <row r="7732" spans="1:13" x14ac:dyDescent="0.3">
      <c r="A7732">
        <v>7730</v>
      </c>
      <c r="B7732">
        <v>7731</v>
      </c>
      <c r="C7732" t="s">
        <v>7807</v>
      </c>
      <c r="D7732">
        <v>2002</v>
      </c>
      <c r="E7732" t="s">
        <v>22</v>
      </c>
      <c r="F7732" t="s">
        <v>3129</v>
      </c>
      <c r="G7732">
        <v>0</v>
      </c>
      <c r="H7732">
        <v>0</v>
      </c>
      <c r="I7732">
        <v>1</v>
      </c>
      <c r="J7732">
        <v>0</v>
      </c>
      <c r="K7732">
        <v>0</v>
      </c>
      <c r="L7732">
        <f t="shared" si="240"/>
        <v>4.0999999999999996</v>
      </c>
      <c r="M7732">
        <f t="shared" si="241"/>
        <v>1</v>
      </c>
    </row>
    <row r="7733" spans="1:13" x14ac:dyDescent="0.3">
      <c r="A7733">
        <v>7731</v>
      </c>
      <c r="B7733">
        <v>7732</v>
      </c>
      <c r="C7733" t="s">
        <v>7808</v>
      </c>
      <c r="D7733">
        <v>1999</v>
      </c>
      <c r="F7733" t="s">
        <v>3129</v>
      </c>
      <c r="G7733">
        <v>0</v>
      </c>
      <c r="H7733">
        <v>0</v>
      </c>
      <c r="I7733">
        <v>1</v>
      </c>
      <c r="J7733">
        <v>0</v>
      </c>
      <c r="K7733">
        <v>0</v>
      </c>
      <c r="L7733">
        <f t="shared" si="240"/>
        <v>4.0999999999999996</v>
      </c>
      <c r="M7733">
        <f t="shared" si="241"/>
        <v>1</v>
      </c>
    </row>
    <row r="7734" spans="1:13" x14ac:dyDescent="0.3">
      <c r="A7734">
        <v>7732</v>
      </c>
      <c r="B7734">
        <v>7733</v>
      </c>
      <c r="C7734" t="s">
        <v>7809</v>
      </c>
      <c r="D7734">
        <v>2004</v>
      </c>
      <c r="E7734" t="s">
        <v>11</v>
      </c>
      <c r="F7734" t="s">
        <v>3129</v>
      </c>
      <c r="G7734">
        <v>0</v>
      </c>
      <c r="H7734">
        <v>0</v>
      </c>
      <c r="I7734">
        <v>1</v>
      </c>
      <c r="J7734">
        <v>0</v>
      </c>
      <c r="K7734">
        <v>0</v>
      </c>
      <c r="L7734">
        <f t="shared" si="240"/>
        <v>4.0999999999999996</v>
      </c>
      <c r="M7734">
        <f t="shared" si="241"/>
        <v>1</v>
      </c>
    </row>
    <row r="7735" spans="1:13" x14ac:dyDescent="0.3">
      <c r="A7735">
        <v>7733</v>
      </c>
      <c r="B7735">
        <v>7734</v>
      </c>
      <c r="C7735" t="s">
        <v>7810</v>
      </c>
      <c r="D7735">
        <v>1951</v>
      </c>
      <c r="F7735" t="s">
        <v>3129</v>
      </c>
      <c r="G7735">
        <v>0</v>
      </c>
      <c r="H7735">
        <v>0</v>
      </c>
      <c r="I7735">
        <v>1</v>
      </c>
      <c r="J7735">
        <v>0</v>
      </c>
      <c r="K7735">
        <v>0</v>
      </c>
      <c r="L7735">
        <f t="shared" si="240"/>
        <v>4.0999999999999996</v>
      </c>
      <c r="M7735">
        <f t="shared" si="241"/>
        <v>1</v>
      </c>
    </row>
    <row r="7736" spans="1:13" x14ac:dyDescent="0.3">
      <c r="A7736">
        <v>7734</v>
      </c>
      <c r="B7736">
        <v>7735</v>
      </c>
      <c r="C7736" t="s">
        <v>7811</v>
      </c>
      <c r="D7736">
        <v>1949</v>
      </c>
      <c r="F7736" t="s">
        <v>3129</v>
      </c>
      <c r="G7736">
        <v>0</v>
      </c>
      <c r="H7736">
        <v>0</v>
      </c>
      <c r="I7736">
        <v>1</v>
      </c>
      <c r="J7736">
        <v>0</v>
      </c>
      <c r="K7736">
        <v>0</v>
      </c>
      <c r="L7736">
        <f t="shared" si="240"/>
        <v>4.0999999999999996</v>
      </c>
      <c r="M7736">
        <f t="shared" si="241"/>
        <v>1</v>
      </c>
    </row>
    <row r="7737" spans="1:13" x14ac:dyDescent="0.3">
      <c r="A7737">
        <v>7735</v>
      </c>
      <c r="B7737">
        <v>7736</v>
      </c>
      <c r="C7737" t="s">
        <v>7812</v>
      </c>
      <c r="D7737">
        <v>2009</v>
      </c>
      <c r="E7737" t="s">
        <v>36</v>
      </c>
      <c r="F7737" t="s">
        <v>3129</v>
      </c>
      <c r="G7737">
        <v>0</v>
      </c>
      <c r="H7737">
        <v>0</v>
      </c>
      <c r="I7737">
        <v>1</v>
      </c>
      <c r="J7737">
        <v>0</v>
      </c>
      <c r="K7737">
        <v>0</v>
      </c>
      <c r="L7737">
        <f t="shared" si="240"/>
        <v>4.0999999999999996</v>
      </c>
      <c r="M7737">
        <f t="shared" si="241"/>
        <v>1</v>
      </c>
    </row>
    <row r="7738" spans="1:13" x14ac:dyDescent="0.3">
      <c r="A7738">
        <v>7736</v>
      </c>
      <c r="B7738">
        <v>7737</v>
      </c>
      <c r="C7738" t="s">
        <v>7813</v>
      </c>
      <c r="D7738">
        <v>2015</v>
      </c>
      <c r="F7738" t="s">
        <v>3129</v>
      </c>
      <c r="G7738">
        <v>0</v>
      </c>
      <c r="H7738">
        <v>0</v>
      </c>
      <c r="I7738">
        <v>1</v>
      </c>
      <c r="J7738">
        <v>0</v>
      </c>
      <c r="K7738">
        <v>0</v>
      </c>
      <c r="L7738">
        <f t="shared" si="240"/>
        <v>4.0999999999999996</v>
      </c>
      <c r="M7738">
        <f t="shared" si="241"/>
        <v>1</v>
      </c>
    </row>
    <row r="7739" spans="1:13" x14ac:dyDescent="0.3">
      <c r="A7739">
        <v>7737</v>
      </c>
      <c r="B7739">
        <v>7738</v>
      </c>
      <c r="C7739" t="s">
        <v>7814</v>
      </c>
      <c r="D7739">
        <v>2017</v>
      </c>
      <c r="F7739" t="s">
        <v>3129</v>
      </c>
      <c r="G7739">
        <v>0</v>
      </c>
      <c r="H7739">
        <v>0</v>
      </c>
      <c r="I7739">
        <v>1</v>
      </c>
      <c r="J7739">
        <v>0</v>
      </c>
      <c r="K7739">
        <v>0</v>
      </c>
      <c r="L7739">
        <f t="shared" si="240"/>
        <v>4.0999999999999996</v>
      </c>
      <c r="M7739">
        <f t="shared" si="241"/>
        <v>1</v>
      </c>
    </row>
    <row r="7740" spans="1:13" x14ac:dyDescent="0.3">
      <c r="A7740">
        <v>7738</v>
      </c>
      <c r="B7740">
        <v>7739</v>
      </c>
      <c r="C7740" t="s">
        <v>7815</v>
      </c>
      <c r="D7740">
        <v>1976</v>
      </c>
      <c r="E7740" t="s">
        <v>14</v>
      </c>
      <c r="F7740" t="s">
        <v>3129</v>
      </c>
      <c r="G7740">
        <v>0</v>
      </c>
      <c r="H7740">
        <v>0</v>
      </c>
      <c r="I7740">
        <v>1</v>
      </c>
      <c r="J7740">
        <v>0</v>
      </c>
      <c r="K7740">
        <v>0</v>
      </c>
      <c r="L7740">
        <f t="shared" si="240"/>
        <v>4.0999999999999996</v>
      </c>
      <c r="M7740">
        <f t="shared" si="241"/>
        <v>1</v>
      </c>
    </row>
    <row r="7741" spans="1:13" x14ac:dyDescent="0.3">
      <c r="A7741">
        <v>7739</v>
      </c>
      <c r="B7741">
        <v>7740</v>
      </c>
      <c r="C7741" t="s">
        <v>7816</v>
      </c>
      <c r="D7741">
        <v>2003</v>
      </c>
      <c r="F7741" t="s">
        <v>3129</v>
      </c>
      <c r="G7741">
        <v>0</v>
      </c>
      <c r="H7741">
        <v>0</v>
      </c>
      <c r="I7741">
        <v>1</v>
      </c>
      <c r="J7741">
        <v>0</v>
      </c>
      <c r="K7741">
        <v>0</v>
      </c>
      <c r="L7741">
        <f t="shared" si="240"/>
        <v>4.0999999999999996</v>
      </c>
      <c r="M7741">
        <f t="shared" si="241"/>
        <v>1</v>
      </c>
    </row>
    <row r="7742" spans="1:13" x14ac:dyDescent="0.3">
      <c r="A7742">
        <v>7740</v>
      </c>
      <c r="B7742">
        <v>7741</v>
      </c>
      <c r="C7742" t="s">
        <v>7817</v>
      </c>
      <c r="D7742">
        <v>1950</v>
      </c>
      <c r="F7742" t="s">
        <v>3129</v>
      </c>
      <c r="G7742">
        <v>0</v>
      </c>
      <c r="H7742">
        <v>0</v>
      </c>
      <c r="I7742">
        <v>1</v>
      </c>
      <c r="J7742">
        <v>0</v>
      </c>
      <c r="K7742">
        <v>0</v>
      </c>
      <c r="L7742">
        <f t="shared" si="240"/>
        <v>4.0999999999999996</v>
      </c>
      <c r="M7742">
        <f t="shared" si="241"/>
        <v>1</v>
      </c>
    </row>
    <row r="7743" spans="1:13" x14ac:dyDescent="0.3">
      <c r="A7743">
        <v>7741</v>
      </c>
      <c r="B7743">
        <v>7742</v>
      </c>
      <c r="C7743" t="s">
        <v>7818</v>
      </c>
      <c r="D7743">
        <v>2012</v>
      </c>
      <c r="E7743" t="s">
        <v>22</v>
      </c>
      <c r="F7743" t="s">
        <v>3129</v>
      </c>
      <c r="G7743">
        <v>0</v>
      </c>
      <c r="H7743">
        <v>0</v>
      </c>
      <c r="I7743">
        <v>1</v>
      </c>
      <c r="J7743">
        <v>0</v>
      </c>
      <c r="K7743">
        <v>0</v>
      </c>
      <c r="L7743">
        <f t="shared" si="240"/>
        <v>4.0999999999999996</v>
      </c>
      <c r="M7743">
        <f t="shared" si="241"/>
        <v>1</v>
      </c>
    </row>
    <row r="7744" spans="1:13" x14ac:dyDescent="0.3">
      <c r="A7744">
        <v>7742</v>
      </c>
      <c r="B7744">
        <v>7743</v>
      </c>
      <c r="C7744" t="s">
        <v>7819</v>
      </c>
      <c r="D7744">
        <v>1984</v>
      </c>
      <c r="F7744" t="s">
        <v>3129</v>
      </c>
      <c r="G7744">
        <v>0</v>
      </c>
      <c r="H7744">
        <v>0</v>
      </c>
      <c r="I7744">
        <v>1</v>
      </c>
      <c r="J7744">
        <v>0</v>
      </c>
      <c r="K7744">
        <v>0</v>
      </c>
      <c r="L7744">
        <f t="shared" si="240"/>
        <v>4.0999999999999996</v>
      </c>
      <c r="M7744">
        <f t="shared" si="241"/>
        <v>1</v>
      </c>
    </row>
    <row r="7745" spans="1:13" x14ac:dyDescent="0.3">
      <c r="A7745">
        <v>7743</v>
      </c>
      <c r="B7745">
        <v>7744</v>
      </c>
      <c r="C7745" t="s">
        <v>7820</v>
      </c>
      <c r="D7745">
        <v>1995</v>
      </c>
      <c r="F7745" t="s">
        <v>3129</v>
      </c>
      <c r="G7745">
        <v>0</v>
      </c>
      <c r="H7745">
        <v>0</v>
      </c>
      <c r="I7745">
        <v>1</v>
      </c>
      <c r="J7745">
        <v>0</v>
      </c>
      <c r="K7745">
        <v>0</v>
      </c>
      <c r="L7745">
        <f t="shared" si="240"/>
        <v>4.0999999999999996</v>
      </c>
      <c r="M7745">
        <f t="shared" si="241"/>
        <v>1</v>
      </c>
    </row>
    <row r="7746" spans="1:13" x14ac:dyDescent="0.3">
      <c r="A7746">
        <v>7744</v>
      </c>
      <c r="B7746">
        <v>7745</v>
      </c>
      <c r="C7746" t="s">
        <v>7821</v>
      </c>
      <c r="D7746">
        <v>2014</v>
      </c>
      <c r="F7746" t="s">
        <v>3129</v>
      </c>
      <c r="G7746">
        <v>0</v>
      </c>
      <c r="H7746">
        <v>0</v>
      </c>
      <c r="I7746">
        <v>1</v>
      </c>
      <c r="J7746">
        <v>0</v>
      </c>
      <c r="K7746">
        <v>0</v>
      </c>
      <c r="L7746">
        <f t="shared" si="240"/>
        <v>4.0999999999999996</v>
      </c>
      <c r="M7746">
        <f t="shared" si="241"/>
        <v>1</v>
      </c>
    </row>
    <row r="7747" spans="1:13" x14ac:dyDescent="0.3">
      <c r="A7747">
        <v>7745</v>
      </c>
      <c r="B7747">
        <v>7746</v>
      </c>
      <c r="C7747" t="s">
        <v>7822</v>
      </c>
      <c r="D7747">
        <v>2012</v>
      </c>
      <c r="E7747" t="s">
        <v>11</v>
      </c>
      <c r="F7747" t="s">
        <v>3129</v>
      </c>
      <c r="G7747">
        <v>0</v>
      </c>
      <c r="H7747">
        <v>0</v>
      </c>
      <c r="I7747">
        <v>1</v>
      </c>
      <c r="J7747">
        <v>0</v>
      </c>
      <c r="K7747">
        <v>0</v>
      </c>
      <c r="L7747">
        <f t="shared" ref="L7747:L7810" si="242">IFERROR(VALUE(LEFT(F7747,FIND("/",F7747)-1))/10,"")</f>
        <v>4.0999999999999996</v>
      </c>
      <c r="M7747">
        <f t="shared" ref="M7747:M7810" si="243">SUM(G7747:J7747)</f>
        <v>1</v>
      </c>
    </row>
    <row r="7748" spans="1:13" x14ac:dyDescent="0.3">
      <c r="A7748">
        <v>7746</v>
      </c>
      <c r="B7748">
        <v>7747</v>
      </c>
      <c r="C7748" t="s">
        <v>7823</v>
      </c>
      <c r="D7748">
        <v>2019</v>
      </c>
      <c r="F7748" t="s">
        <v>3129</v>
      </c>
      <c r="G7748">
        <v>0</v>
      </c>
      <c r="H7748">
        <v>0</v>
      </c>
      <c r="I7748">
        <v>1</v>
      </c>
      <c r="J7748">
        <v>0</v>
      </c>
      <c r="K7748">
        <v>0</v>
      </c>
      <c r="L7748">
        <f t="shared" si="242"/>
        <v>4.0999999999999996</v>
      </c>
      <c r="M7748">
        <f t="shared" si="243"/>
        <v>1</v>
      </c>
    </row>
    <row r="7749" spans="1:13" x14ac:dyDescent="0.3">
      <c r="A7749">
        <v>7747</v>
      </c>
      <c r="B7749">
        <v>7748</v>
      </c>
      <c r="C7749" t="s">
        <v>7824</v>
      </c>
      <c r="D7749">
        <v>2019</v>
      </c>
      <c r="F7749" t="s">
        <v>3129</v>
      </c>
      <c r="G7749">
        <v>0</v>
      </c>
      <c r="H7749">
        <v>0</v>
      </c>
      <c r="I7749">
        <v>1</v>
      </c>
      <c r="J7749">
        <v>0</v>
      </c>
      <c r="K7749">
        <v>0</v>
      </c>
      <c r="L7749">
        <f t="shared" si="242"/>
        <v>4.0999999999999996</v>
      </c>
      <c r="M7749">
        <f t="shared" si="243"/>
        <v>1</v>
      </c>
    </row>
    <row r="7750" spans="1:13" x14ac:dyDescent="0.3">
      <c r="A7750">
        <v>7748</v>
      </c>
      <c r="B7750">
        <v>7749</v>
      </c>
      <c r="C7750" t="s">
        <v>7825</v>
      </c>
      <c r="D7750">
        <v>2013</v>
      </c>
      <c r="F7750" t="s">
        <v>3129</v>
      </c>
      <c r="G7750">
        <v>0</v>
      </c>
      <c r="H7750">
        <v>0</v>
      </c>
      <c r="I7750">
        <v>1</v>
      </c>
      <c r="J7750">
        <v>0</v>
      </c>
      <c r="K7750">
        <v>0</v>
      </c>
      <c r="L7750">
        <f t="shared" si="242"/>
        <v>4.0999999999999996</v>
      </c>
      <c r="M7750">
        <f t="shared" si="243"/>
        <v>1</v>
      </c>
    </row>
    <row r="7751" spans="1:13" x14ac:dyDescent="0.3">
      <c r="A7751">
        <v>7749</v>
      </c>
      <c r="B7751">
        <v>7750</v>
      </c>
      <c r="C7751" t="s">
        <v>7826</v>
      </c>
      <c r="D7751">
        <v>2011</v>
      </c>
      <c r="E7751" t="s">
        <v>14</v>
      </c>
      <c r="F7751" t="s">
        <v>3129</v>
      </c>
      <c r="G7751">
        <v>0</v>
      </c>
      <c r="H7751">
        <v>0</v>
      </c>
      <c r="I7751">
        <v>1</v>
      </c>
      <c r="J7751">
        <v>0</v>
      </c>
      <c r="K7751">
        <v>0</v>
      </c>
      <c r="L7751">
        <f t="shared" si="242"/>
        <v>4.0999999999999996</v>
      </c>
      <c r="M7751">
        <f t="shared" si="243"/>
        <v>1</v>
      </c>
    </row>
    <row r="7752" spans="1:13" x14ac:dyDescent="0.3">
      <c r="A7752">
        <v>7750</v>
      </c>
      <c r="B7752">
        <v>7751</v>
      </c>
      <c r="C7752" t="s">
        <v>7827</v>
      </c>
      <c r="D7752">
        <v>1944</v>
      </c>
      <c r="F7752" t="s">
        <v>3129</v>
      </c>
      <c r="G7752">
        <v>0</v>
      </c>
      <c r="H7752">
        <v>0</v>
      </c>
      <c r="I7752">
        <v>1</v>
      </c>
      <c r="J7752">
        <v>0</v>
      </c>
      <c r="K7752">
        <v>0</v>
      </c>
      <c r="L7752">
        <f t="shared" si="242"/>
        <v>4.0999999999999996</v>
      </c>
      <c r="M7752">
        <f t="shared" si="243"/>
        <v>1</v>
      </c>
    </row>
    <row r="7753" spans="1:13" x14ac:dyDescent="0.3">
      <c r="A7753">
        <v>7751</v>
      </c>
      <c r="B7753">
        <v>7752</v>
      </c>
      <c r="C7753" t="s">
        <v>7828</v>
      </c>
      <c r="D7753">
        <v>2016</v>
      </c>
      <c r="F7753" t="s">
        <v>3129</v>
      </c>
      <c r="G7753">
        <v>0</v>
      </c>
      <c r="H7753">
        <v>0</v>
      </c>
      <c r="I7753">
        <v>1</v>
      </c>
      <c r="J7753">
        <v>0</v>
      </c>
      <c r="K7753">
        <v>0</v>
      </c>
      <c r="L7753">
        <f t="shared" si="242"/>
        <v>4.0999999999999996</v>
      </c>
      <c r="M7753">
        <f t="shared" si="243"/>
        <v>1</v>
      </c>
    </row>
    <row r="7754" spans="1:13" x14ac:dyDescent="0.3">
      <c r="A7754">
        <v>7752</v>
      </c>
      <c r="B7754">
        <v>7753</v>
      </c>
      <c r="C7754" t="s">
        <v>7829</v>
      </c>
      <c r="D7754">
        <v>2006</v>
      </c>
      <c r="E7754" t="s">
        <v>22</v>
      </c>
      <c r="F7754" t="s">
        <v>3129</v>
      </c>
      <c r="G7754">
        <v>0</v>
      </c>
      <c r="H7754">
        <v>0</v>
      </c>
      <c r="I7754">
        <v>1</v>
      </c>
      <c r="J7754">
        <v>0</v>
      </c>
      <c r="K7754">
        <v>0</v>
      </c>
      <c r="L7754">
        <f t="shared" si="242"/>
        <v>4.0999999999999996</v>
      </c>
      <c r="M7754">
        <f t="shared" si="243"/>
        <v>1</v>
      </c>
    </row>
    <row r="7755" spans="1:13" x14ac:dyDescent="0.3">
      <c r="A7755">
        <v>7753</v>
      </c>
      <c r="B7755">
        <v>7754</v>
      </c>
      <c r="C7755" t="s">
        <v>7830</v>
      </c>
      <c r="D7755">
        <v>2002</v>
      </c>
      <c r="E7755" t="s">
        <v>14</v>
      </c>
      <c r="F7755" t="s">
        <v>3129</v>
      </c>
      <c r="G7755">
        <v>0</v>
      </c>
      <c r="H7755">
        <v>0</v>
      </c>
      <c r="I7755">
        <v>1</v>
      </c>
      <c r="J7755">
        <v>0</v>
      </c>
      <c r="K7755">
        <v>0</v>
      </c>
      <c r="L7755">
        <f t="shared" si="242"/>
        <v>4.0999999999999996</v>
      </c>
      <c r="M7755">
        <f t="shared" si="243"/>
        <v>1</v>
      </c>
    </row>
    <row r="7756" spans="1:13" x14ac:dyDescent="0.3">
      <c r="A7756">
        <v>7754</v>
      </c>
      <c r="B7756">
        <v>7755</v>
      </c>
      <c r="C7756" t="s">
        <v>7831</v>
      </c>
      <c r="D7756">
        <v>2006</v>
      </c>
      <c r="E7756" t="s">
        <v>11</v>
      </c>
      <c r="F7756" t="s">
        <v>3129</v>
      </c>
      <c r="G7756">
        <v>0</v>
      </c>
      <c r="H7756">
        <v>0</v>
      </c>
      <c r="I7756">
        <v>1</v>
      </c>
      <c r="J7756">
        <v>0</v>
      </c>
      <c r="K7756">
        <v>0</v>
      </c>
      <c r="L7756">
        <f t="shared" si="242"/>
        <v>4.0999999999999996</v>
      </c>
      <c r="M7756">
        <f t="shared" si="243"/>
        <v>1</v>
      </c>
    </row>
    <row r="7757" spans="1:13" x14ac:dyDescent="0.3">
      <c r="A7757">
        <v>7755</v>
      </c>
      <c r="B7757">
        <v>7756</v>
      </c>
      <c r="C7757" t="s">
        <v>7832</v>
      </c>
      <c r="D7757">
        <v>2018</v>
      </c>
      <c r="F7757" t="s">
        <v>3129</v>
      </c>
      <c r="G7757">
        <v>0</v>
      </c>
      <c r="H7757">
        <v>0</v>
      </c>
      <c r="I7757">
        <v>1</v>
      </c>
      <c r="J7757">
        <v>0</v>
      </c>
      <c r="K7757">
        <v>0</v>
      </c>
      <c r="L7757">
        <f t="shared" si="242"/>
        <v>4.0999999999999996</v>
      </c>
      <c r="M7757">
        <f t="shared" si="243"/>
        <v>1</v>
      </c>
    </row>
    <row r="7758" spans="1:13" x14ac:dyDescent="0.3">
      <c r="A7758">
        <v>7756</v>
      </c>
      <c r="B7758">
        <v>7757</v>
      </c>
      <c r="C7758" t="s">
        <v>7833</v>
      </c>
      <c r="D7758">
        <v>2013</v>
      </c>
      <c r="F7758" t="s">
        <v>3129</v>
      </c>
      <c r="G7758">
        <v>0</v>
      </c>
      <c r="H7758">
        <v>0</v>
      </c>
      <c r="I7758">
        <v>1</v>
      </c>
      <c r="J7758">
        <v>0</v>
      </c>
      <c r="K7758">
        <v>0</v>
      </c>
      <c r="L7758">
        <f t="shared" si="242"/>
        <v>4.0999999999999996</v>
      </c>
      <c r="M7758">
        <f t="shared" si="243"/>
        <v>1</v>
      </c>
    </row>
    <row r="7759" spans="1:13" x14ac:dyDescent="0.3">
      <c r="A7759">
        <v>7757</v>
      </c>
      <c r="B7759">
        <v>7758</v>
      </c>
      <c r="C7759" t="s">
        <v>7834</v>
      </c>
      <c r="D7759">
        <v>2010</v>
      </c>
      <c r="E7759" t="s">
        <v>28</v>
      </c>
      <c r="F7759" t="s">
        <v>3129</v>
      </c>
      <c r="G7759">
        <v>0</v>
      </c>
      <c r="H7759">
        <v>0</v>
      </c>
      <c r="I7759">
        <v>1</v>
      </c>
      <c r="J7759">
        <v>0</v>
      </c>
      <c r="K7759">
        <v>0</v>
      </c>
      <c r="L7759">
        <f t="shared" si="242"/>
        <v>4.0999999999999996</v>
      </c>
      <c r="M7759">
        <f t="shared" si="243"/>
        <v>1</v>
      </c>
    </row>
    <row r="7760" spans="1:13" x14ac:dyDescent="0.3">
      <c r="A7760">
        <v>7758</v>
      </c>
      <c r="B7760">
        <v>7759</v>
      </c>
      <c r="C7760" t="s">
        <v>7835</v>
      </c>
      <c r="D7760">
        <v>2018</v>
      </c>
      <c r="F7760" t="s">
        <v>3129</v>
      </c>
      <c r="G7760">
        <v>0</v>
      </c>
      <c r="H7760">
        <v>0</v>
      </c>
      <c r="I7760">
        <v>1</v>
      </c>
      <c r="J7760">
        <v>0</v>
      </c>
      <c r="K7760">
        <v>0</v>
      </c>
      <c r="L7760">
        <f t="shared" si="242"/>
        <v>4.0999999999999996</v>
      </c>
      <c r="M7760">
        <f t="shared" si="243"/>
        <v>1</v>
      </c>
    </row>
    <row r="7761" spans="1:13" x14ac:dyDescent="0.3">
      <c r="A7761">
        <v>7759</v>
      </c>
      <c r="B7761">
        <v>7760</v>
      </c>
      <c r="C7761" t="s">
        <v>7836</v>
      </c>
      <c r="D7761">
        <v>1980</v>
      </c>
      <c r="E7761" t="s">
        <v>36</v>
      </c>
      <c r="F7761" t="s">
        <v>3129</v>
      </c>
      <c r="G7761">
        <v>0</v>
      </c>
      <c r="H7761">
        <v>0</v>
      </c>
      <c r="I7761">
        <v>1</v>
      </c>
      <c r="J7761">
        <v>0</v>
      </c>
      <c r="K7761">
        <v>0</v>
      </c>
      <c r="L7761">
        <f t="shared" si="242"/>
        <v>4.0999999999999996</v>
      </c>
      <c r="M7761">
        <f t="shared" si="243"/>
        <v>1</v>
      </c>
    </row>
    <row r="7762" spans="1:13" x14ac:dyDescent="0.3">
      <c r="A7762">
        <v>7760</v>
      </c>
      <c r="B7762">
        <v>7761</v>
      </c>
      <c r="C7762" t="s">
        <v>7837</v>
      </c>
      <c r="D7762">
        <v>1996</v>
      </c>
      <c r="E7762" t="s">
        <v>11</v>
      </c>
      <c r="F7762" t="s">
        <v>3129</v>
      </c>
      <c r="G7762">
        <v>0</v>
      </c>
      <c r="H7762">
        <v>0</v>
      </c>
      <c r="I7762">
        <v>1</v>
      </c>
      <c r="J7762">
        <v>0</v>
      </c>
      <c r="K7762">
        <v>0</v>
      </c>
      <c r="L7762">
        <f t="shared" si="242"/>
        <v>4.0999999999999996</v>
      </c>
      <c r="M7762">
        <f t="shared" si="243"/>
        <v>1</v>
      </c>
    </row>
    <row r="7763" spans="1:13" x14ac:dyDescent="0.3">
      <c r="A7763">
        <v>7761</v>
      </c>
      <c r="B7763">
        <v>7762</v>
      </c>
      <c r="C7763" t="s">
        <v>7838</v>
      </c>
      <c r="D7763">
        <v>1940</v>
      </c>
      <c r="E7763" t="s">
        <v>14</v>
      </c>
      <c r="F7763" t="s">
        <v>3129</v>
      </c>
      <c r="G7763">
        <v>0</v>
      </c>
      <c r="H7763">
        <v>0</v>
      </c>
      <c r="I7763">
        <v>1</v>
      </c>
      <c r="J7763">
        <v>0</v>
      </c>
      <c r="K7763">
        <v>0</v>
      </c>
      <c r="L7763">
        <f t="shared" si="242"/>
        <v>4.0999999999999996</v>
      </c>
      <c r="M7763">
        <f t="shared" si="243"/>
        <v>1</v>
      </c>
    </row>
    <row r="7764" spans="1:13" x14ac:dyDescent="0.3">
      <c r="A7764">
        <v>7762</v>
      </c>
      <c r="B7764">
        <v>7763</v>
      </c>
      <c r="C7764" t="s">
        <v>7839</v>
      </c>
      <c r="D7764">
        <v>2009</v>
      </c>
      <c r="F7764" t="s">
        <v>3129</v>
      </c>
      <c r="G7764">
        <v>0</v>
      </c>
      <c r="H7764">
        <v>0</v>
      </c>
      <c r="I7764">
        <v>1</v>
      </c>
      <c r="J7764">
        <v>0</v>
      </c>
      <c r="K7764">
        <v>0</v>
      </c>
      <c r="L7764">
        <f t="shared" si="242"/>
        <v>4.0999999999999996</v>
      </c>
      <c r="M7764">
        <f t="shared" si="243"/>
        <v>1</v>
      </c>
    </row>
    <row r="7765" spans="1:13" x14ac:dyDescent="0.3">
      <c r="A7765">
        <v>7763</v>
      </c>
      <c r="B7765">
        <v>7764</v>
      </c>
      <c r="C7765" t="s">
        <v>7840</v>
      </c>
      <c r="D7765">
        <v>1936</v>
      </c>
      <c r="F7765" t="s">
        <v>3129</v>
      </c>
      <c r="G7765">
        <v>0</v>
      </c>
      <c r="H7765">
        <v>0</v>
      </c>
      <c r="I7765">
        <v>1</v>
      </c>
      <c r="J7765">
        <v>0</v>
      </c>
      <c r="K7765">
        <v>0</v>
      </c>
      <c r="L7765">
        <f t="shared" si="242"/>
        <v>4.0999999999999996</v>
      </c>
      <c r="M7765">
        <f t="shared" si="243"/>
        <v>1</v>
      </c>
    </row>
    <row r="7766" spans="1:13" x14ac:dyDescent="0.3">
      <c r="A7766">
        <v>7764</v>
      </c>
      <c r="B7766">
        <v>7765</v>
      </c>
      <c r="C7766" t="s">
        <v>7841</v>
      </c>
      <c r="D7766">
        <v>2013</v>
      </c>
      <c r="F7766" t="s">
        <v>3129</v>
      </c>
      <c r="G7766">
        <v>0</v>
      </c>
      <c r="H7766">
        <v>0</v>
      </c>
      <c r="I7766">
        <v>1</v>
      </c>
      <c r="J7766">
        <v>0</v>
      </c>
      <c r="K7766">
        <v>0</v>
      </c>
      <c r="L7766">
        <f t="shared" si="242"/>
        <v>4.0999999999999996</v>
      </c>
      <c r="M7766">
        <f t="shared" si="243"/>
        <v>1</v>
      </c>
    </row>
    <row r="7767" spans="1:13" x14ac:dyDescent="0.3">
      <c r="A7767">
        <v>7765</v>
      </c>
      <c r="B7767">
        <v>7766</v>
      </c>
      <c r="C7767" t="s">
        <v>7842</v>
      </c>
      <c r="D7767">
        <v>2007</v>
      </c>
      <c r="E7767" t="s">
        <v>11</v>
      </c>
      <c r="F7767" t="s">
        <v>3129</v>
      </c>
      <c r="G7767">
        <v>0</v>
      </c>
      <c r="H7767">
        <v>0</v>
      </c>
      <c r="I7767">
        <v>1</v>
      </c>
      <c r="J7767">
        <v>0</v>
      </c>
      <c r="K7767">
        <v>0</v>
      </c>
      <c r="L7767">
        <f t="shared" si="242"/>
        <v>4.0999999999999996</v>
      </c>
      <c r="M7767">
        <f t="shared" si="243"/>
        <v>1</v>
      </c>
    </row>
    <row r="7768" spans="1:13" x14ac:dyDescent="0.3">
      <c r="A7768">
        <v>7766</v>
      </c>
      <c r="B7768">
        <v>7767</v>
      </c>
      <c r="C7768" t="s">
        <v>7843</v>
      </c>
      <c r="D7768">
        <v>2015</v>
      </c>
      <c r="F7768" t="s">
        <v>3129</v>
      </c>
      <c r="G7768">
        <v>0</v>
      </c>
      <c r="H7768">
        <v>0</v>
      </c>
      <c r="I7768">
        <v>1</v>
      </c>
      <c r="J7768">
        <v>0</v>
      </c>
      <c r="K7768">
        <v>0</v>
      </c>
      <c r="L7768">
        <f t="shared" si="242"/>
        <v>4.0999999999999996</v>
      </c>
      <c r="M7768">
        <f t="shared" si="243"/>
        <v>1</v>
      </c>
    </row>
    <row r="7769" spans="1:13" x14ac:dyDescent="0.3">
      <c r="A7769">
        <v>7767</v>
      </c>
      <c r="B7769">
        <v>7768</v>
      </c>
      <c r="C7769" t="s">
        <v>7844</v>
      </c>
      <c r="D7769">
        <v>2019</v>
      </c>
      <c r="E7769" t="s">
        <v>14</v>
      </c>
      <c r="F7769" t="s">
        <v>3129</v>
      </c>
      <c r="G7769">
        <v>0</v>
      </c>
      <c r="H7769">
        <v>0</v>
      </c>
      <c r="I7769">
        <v>1</v>
      </c>
      <c r="J7769">
        <v>0</v>
      </c>
      <c r="K7769">
        <v>0</v>
      </c>
      <c r="L7769">
        <f t="shared" si="242"/>
        <v>4.0999999999999996</v>
      </c>
      <c r="M7769">
        <f t="shared" si="243"/>
        <v>1</v>
      </c>
    </row>
    <row r="7770" spans="1:13" x14ac:dyDescent="0.3">
      <c r="A7770">
        <v>7768</v>
      </c>
      <c r="B7770">
        <v>7769</v>
      </c>
      <c r="C7770" t="s">
        <v>7845</v>
      </c>
      <c r="D7770">
        <v>2012</v>
      </c>
      <c r="E7770" t="s">
        <v>28</v>
      </c>
      <c r="F7770" t="s">
        <v>3129</v>
      </c>
      <c r="G7770">
        <v>0</v>
      </c>
      <c r="H7770">
        <v>0</v>
      </c>
      <c r="I7770">
        <v>1</v>
      </c>
      <c r="J7770">
        <v>0</v>
      </c>
      <c r="K7770">
        <v>0</v>
      </c>
      <c r="L7770">
        <f t="shared" si="242"/>
        <v>4.0999999999999996</v>
      </c>
      <c r="M7770">
        <f t="shared" si="243"/>
        <v>1</v>
      </c>
    </row>
    <row r="7771" spans="1:13" x14ac:dyDescent="0.3">
      <c r="A7771">
        <v>7769</v>
      </c>
      <c r="B7771">
        <v>7770</v>
      </c>
      <c r="C7771" t="s">
        <v>7846</v>
      </c>
      <c r="D7771">
        <v>2014</v>
      </c>
      <c r="F7771" t="s">
        <v>3129</v>
      </c>
      <c r="G7771">
        <v>0</v>
      </c>
      <c r="H7771">
        <v>0</v>
      </c>
      <c r="I7771">
        <v>1</v>
      </c>
      <c r="J7771">
        <v>0</v>
      </c>
      <c r="K7771">
        <v>0</v>
      </c>
      <c r="L7771">
        <f t="shared" si="242"/>
        <v>4.0999999999999996</v>
      </c>
      <c r="M7771">
        <f t="shared" si="243"/>
        <v>1</v>
      </c>
    </row>
    <row r="7772" spans="1:13" x14ac:dyDescent="0.3">
      <c r="A7772">
        <v>7770</v>
      </c>
      <c r="B7772">
        <v>7771</v>
      </c>
      <c r="C7772" t="s">
        <v>7847</v>
      </c>
      <c r="D7772">
        <v>1929</v>
      </c>
      <c r="F7772" t="s">
        <v>3129</v>
      </c>
      <c r="G7772">
        <v>0</v>
      </c>
      <c r="H7772">
        <v>0</v>
      </c>
      <c r="I7772">
        <v>1</v>
      </c>
      <c r="J7772">
        <v>0</v>
      </c>
      <c r="K7772">
        <v>0</v>
      </c>
      <c r="L7772">
        <f t="shared" si="242"/>
        <v>4.0999999999999996</v>
      </c>
      <c r="M7772">
        <f t="shared" si="243"/>
        <v>1</v>
      </c>
    </row>
    <row r="7773" spans="1:13" x14ac:dyDescent="0.3">
      <c r="A7773">
        <v>7771</v>
      </c>
      <c r="B7773">
        <v>7772</v>
      </c>
      <c r="C7773" t="s">
        <v>7848</v>
      </c>
      <c r="D7773">
        <v>2003</v>
      </c>
      <c r="E7773" t="s">
        <v>11</v>
      </c>
      <c r="F7773" t="s">
        <v>3129</v>
      </c>
      <c r="G7773">
        <v>0</v>
      </c>
      <c r="H7773">
        <v>0</v>
      </c>
      <c r="I7773">
        <v>1</v>
      </c>
      <c r="J7773">
        <v>0</v>
      </c>
      <c r="K7773">
        <v>0</v>
      </c>
      <c r="L7773">
        <f t="shared" si="242"/>
        <v>4.0999999999999996</v>
      </c>
      <c r="M7773">
        <f t="shared" si="243"/>
        <v>1</v>
      </c>
    </row>
    <row r="7774" spans="1:13" x14ac:dyDescent="0.3">
      <c r="A7774">
        <v>7772</v>
      </c>
      <c r="B7774">
        <v>7773</v>
      </c>
      <c r="C7774" t="s">
        <v>7849</v>
      </c>
      <c r="D7774">
        <v>2015</v>
      </c>
      <c r="E7774" t="s">
        <v>11</v>
      </c>
      <c r="F7774" t="s">
        <v>3129</v>
      </c>
      <c r="G7774">
        <v>0</v>
      </c>
      <c r="H7774">
        <v>0</v>
      </c>
      <c r="I7774">
        <v>1</v>
      </c>
      <c r="J7774">
        <v>0</v>
      </c>
      <c r="K7774">
        <v>0</v>
      </c>
      <c r="L7774">
        <f t="shared" si="242"/>
        <v>4.0999999999999996</v>
      </c>
      <c r="M7774">
        <f t="shared" si="243"/>
        <v>1</v>
      </c>
    </row>
    <row r="7775" spans="1:13" x14ac:dyDescent="0.3">
      <c r="A7775">
        <v>7773</v>
      </c>
      <c r="B7775">
        <v>7774</v>
      </c>
      <c r="C7775" t="s">
        <v>7850</v>
      </c>
      <c r="D7775">
        <v>2006</v>
      </c>
      <c r="E7775" t="s">
        <v>11</v>
      </c>
      <c r="F7775" t="s">
        <v>3129</v>
      </c>
      <c r="G7775">
        <v>0</v>
      </c>
      <c r="H7775">
        <v>0</v>
      </c>
      <c r="I7775">
        <v>1</v>
      </c>
      <c r="J7775">
        <v>0</v>
      </c>
      <c r="K7775">
        <v>0</v>
      </c>
      <c r="L7775">
        <f t="shared" si="242"/>
        <v>4.0999999999999996</v>
      </c>
      <c r="M7775">
        <f t="shared" si="243"/>
        <v>1</v>
      </c>
    </row>
    <row r="7776" spans="1:13" x14ac:dyDescent="0.3">
      <c r="A7776">
        <v>7774</v>
      </c>
      <c r="B7776">
        <v>7775</v>
      </c>
      <c r="C7776" t="s">
        <v>7851</v>
      </c>
      <c r="D7776">
        <v>2018</v>
      </c>
      <c r="F7776" t="s">
        <v>3129</v>
      </c>
      <c r="G7776">
        <v>0</v>
      </c>
      <c r="H7776">
        <v>0</v>
      </c>
      <c r="I7776">
        <v>1</v>
      </c>
      <c r="J7776">
        <v>0</v>
      </c>
      <c r="K7776">
        <v>0</v>
      </c>
      <c r="L7776">
        <f t="shared" si="242"/>
        <v>4.0999999999999996</v>
      </c>
      <c r="M7776">
        <f t="shared" si="243"/>
        <v>1</v>
      </c>
    </row>
    <row r="7777" spans="1:13" x14ac:dyDescent="0.3">
      <c r="A7777">
        <v>7775</v>
      </c>
      <c r="B7777">
        <v>7776</v>
      </c>
      <c r="C7777" t="s">
        <v>7852</v>
      </c>
      <c r="D7777">
        <v>2008</v>
      </c>
      <c r="E7777" t="s">
        <v>14</v>
      </c>
      <c r="F7777" t="s">
        <v>3129</v>
      </c>
      <c r="G7777">
        <v>0</v>
      </c>
      <c r="H7777">
        <v>0</v>
      </c>
      <c r="I7777">
        <v>1</v>
      </c>
      <c r="J7777">
        <v>0</v>
      </c>
      <c r="K7777">
        <v>0</v>
      </c>
      <c r="L7777">
        <f t="shared" si="242"/>
        <v>4.0999999999999996</v>
      </c>
      <c r="M7777">
        <f t="shared" si="243"/>
        <v>1</v>
      </c>
    </row>
    <row r="7778" spans="1:13" x14ac:dyDescent="0.3">
      <c r="A7778">
        <v>7776</v>
      </c>
      <c r="B7778">
        <v>7777</v>
      </c>
      <c r="C7778" t="s">
        <v>7853</v>
      </c>
      <c r="D7778">
        <v>2010</v>
      </c>
      <c r="F7778" t="s">
        <v>3129</v>
      </c>
      <c r="G7778">
        <v>0</v>
      </c>
      <c r="H7778">
        <v>0</v>
      </c>
      <c r="I7778">
        <v>1</v>
      </c>
      <c r="J7778">
        <v>0</v>
      </c>
      <c r="K7778">
        <v>0</v>
      </c>
      <c r="L7778">
        <f t="shared" si="242"/>
        <v>4.0999999999999996</v>
      </c>
      <c r="M7778">
        <f t="shared" si="243"/>
        <v>1</v>
      </c>
    </row>
    <row r="7779" spans="1:13" x14ac:dyDescent="0.3">
      <c r="A7779">
        <v>7777</v>
      </c>
      <c r="B7779">
        <v>7778</v>
      </c>
      <c r="C7779" t="s">
        <v>7854</v>
      </c>
      <c r="D7779">
        <v>2016</v>
      </c>
      <c r="E7779" t="s">
        <v>11</v>
      </c>
      <c r="F7779" t="s">
        <v>3129</v>
      </c>
      <c r="G7779">
        <v>0</v>
      </c>
      <c r="H7779">
        <v>0</v>
      </c>
      <c r="I7779">
        <v>1</v>
      </c>
      <c r="J7779">
        <v>0</v>
      </c>
      <c r="K7779">
        <v>0</v>
      </c>
      <c r="L7779">
        <f t="shared" si="242"/>
        <v>4.0999999999999996</v>
      </c>
      <c r="M7779">
        <f t="shared" si="243"/>
        <v>1</v>
      </c>
    </row>
    <row r="7780" spans="1:13" x14ac:dyDescent="0.3">
      <c r="A7780">
        <v>7778</v>
      </c>
      <c r="B7780">
        <v>7779</v>
      </c>
      <c r="C7780" t="s">
        <v>7855</v>
      </c>
      <c r="D7780">
        <v>1986</v>
      </c>
      <c r="F7780" t="s">
        <v>3129</v>
      </c>
      <c r="G7780">
        <v>0</v>
      </c>
      <c r="H7780">
        <v>0</v>
      </c>
      <c r="I7780">
        <v>1</v>
      </c>
      <c r="J7780">
        <v>0</v>
      </c>
      <c r="K7780">
        <v>0</v>
      </c>
      <c r="L7780">
        <f t="shared" si="242"/>
        <v>4.0999999999999996</v>
      </c>
      <c r="M7780">
        <f t="shared" si="243"/>
        <v>1</v>
      </c>
    </row>
    <row r="7781" spans="1:13" x14ac:dyDescent="0.3">
      <c r="A7781">
        <v>7779</v>
      </c>
      <c r="B7781">
        <v>7780</v>
      </c>
      <c r="C7781" t="s">
        <v>7856</v>
      </c>
      <c r="D7781">
        <v>1952</v>
      </c>
      <c r="F7781" t="s">
        <v>3129</v>
      </c>
      <c r="G7781">
        <v>0</v>
      </c>
      <c r="H7781">
        <v>0</v>
      </c>
      <c r="I7781">
        <v>1</v>
      </c>
      <c r="J7781">
        <v>0</v>
      </c>
      <c r="K7781">
        <v>0</v>
      </c>
      <c r="L7781">
        <f t="shared" si="242"/>
        <v>4.0999999999999996</v>
      </c>
      <c r="M7781">
        <f t="shared" si="243"/>
        <v>1</v>
      </c>
    </row>
    <row r="7782" spans="1:13" x14ac:dyDescent="0.3">
      <c r="A7782">
        <v>7780</v>
      </c>
      <c r="B7782">
        <v>7781</v>
      </c>
      <c r="C7782" t="s">
        <v>7857</v>
      </c>
      <c r="D7782">
        <v>2007</v>
      </c>
      <c r="E7782" t="s">
        <v>11</v>
      </c>
      <c r="F7782" t="s">
        <v>3129</v>
      </c>
      <c r="G7782">
        <v>0</v>
      </c>
      <c r="H7782">
        <v>0</v>
      </c>
      <c r="I7782">
        <v>1</v>
      </c>
      <c r="J7782">
        <v>0</v>
      </c>
      <c r="K7782">
        <v>0</v>
      </c>
      <c r="L7782">
        <f t="shared" si="242"/>
        <v>4.0999999999999996</v>
      </c>
      <c r="M7782">
        <f t="shared" si="243"/>
        <v>1</v>
      </c>
    </row>
    <row r="7783" spans="1:13" x14ac:dyDescent="0.3">
      <c r="A7783">
        <v>7781</v>
      </c>
      <c r="B7783">
        <v>7782</v>
      </c>
      <c r="C7783" t="s">
        <v>7858</v>
      </c>
      <c r="D7783">
        <v>2016</v>
      </c>
      <c r="F7783" t="s">
        <v>3129</v>
      </c>
      <c r="G7783">
        <v>0</v>
      </c>
      <c r="H7783">
        <v>0</v>
      </c>
      <c r="I7783">
        <v>1</v>
      </c>
      <c r="J7783">
        <v>0</v>
      </c>
      <c r="K7783">
        <v>0</v>
      </c>
      <c r="L7783">
        <f t="shared" si="242"/>
        <v>4.0999999999999996</v>
      </c>
      <c r="M7783">
        <f t="shared" si="243"/>
        <v>1</v>
      </c>
    </row>
    <row r="7784" spans="1:13" x14ac:dyDescent="0.3">
      <c r="A7784">
        <v>7782</v>
      </c>
      <c r="B7784">
        <v>7783</v>
      </c>
      <c r="C7784" t="s">
        <v>7859</v>
      </c>
      <c r="D7784">
        <v>2017</v>
      </c>
      <c r="F7784" t="s">
        <v>3129</v>
      </c>
      <c r="G7784">
        <v>0</v>
      </c>
      <c r="H7784">
        <v>0</v>
      </c>
      <c r="I7784">
        <v>1</v>
      </c>
      <c r="J7784">
        <v>0</v>
      </c>
      <c r="K7784">
        <v>0</v>
      </c>
      <c r="L7784">
        <f t="shared" si="242"/>
        <v>4.0999999999999996</v>
      </c>
      <c r="M7784">
        <f t="shared" si="243"/>
        <v>1</v>
      </c>
    </row>
    <row r="7785" spans="1:13" x14ac:dyDescent="0.3">
      <c r="A7785">
        <v>7783</v>
      </c>
      <c r="B7785">
        <v>7784</v>
      </c>
      <c r="C7785" t="s">
        <v>7860</v>
      </c>
      <c r="D7785">
        <v>1951</v>
      </c>
      <c r="F7785" t="s">
        <v>3129</v>
      </c>
      <c r="G7785">
        <v>0</v>
      </c>
      <c r="H7785">
        <v>0</v>
      </c>
      <c r="I7785">
        <v>1</v>
      </c>
      <c r="J7785">
        <v>0</v>
      </c>
      <c r="K7785">
        <v>0</v>
      </c>
      <c r="L7785">
        <f t="shared" si="242"/>
        <v>4.0999999999999996</v>
      </c>
      <c r="M7785">
        <f t="shared" si="243"/>
        <v>1</v>
      </c>
    </row>
    <row r="7786" spans="1:13" x14ac:dyDescent="0.3">
      <c r="A7786">
        <v>7784</v>
      </c>
      <c r="B7786">
        <v>7785</v>
      </c>
      <c r="C7786" t="s">
        <v>7861</v>
      </c>
      <c r="D7786">
        <v>1951</v>
      </c>
      <c r="F7786" t="s">
        <v>3129</v>
      </c>
      <c r="G7786">
        <v>0</v>
      </c>
      <c r="H7786">
        <v>0</v>
      </c>
      <c r="I7786">
        <v>1</v>
      </c>
      <c r="J7786">
        <v>0</v>
      </c>
      <c r="K7786">
        <v>0</v>
      </c>
      <c r="L7786">
        <f t="shared" si="242"/>
        <v>4.0999999999999996</v>
      </c>
      <c r="M7786">
        <f t="shared" si="243"/>
        <v>1</v>
      </c>
    </row>
    <row r="7787" spans="1:13" x14ac:dyDescent="0.3">
      <c r="A7787">
        <v>7785</v>
      </c>
      <c r="B7787">
        <v>7786</v>
      </c>
      <c r="C7787" t="s">
        <v>7862</v>
      </c>
      <c r="D7787">
        <v>1950</v>
      </c>
      <c r="F7787" t="s">
        <v>3129</v>
      </c>
      <c r="G7787">
        <v>0</v>
      </c>
      <c r="H7787">
        <v>0</v>
      </c>
      <c r="I7787">
        <v>1</v>
      </c>
      <c r="J7787">
        <v>0</v>
      </c>
      <c r="K7787">
        <v>0</v>
      </c>
      <c r="L7787">
        <f t="shared" si="242"/>
        <v>4.0999999999999996</v>
      </c>
      <c r="M7787">
        <f t="shared" si="243"/>
        <v>1</v>
      </c>
    </row>
    <row r="7788" spans="1:13" x14ac:dyDescent="0.3">
      <c r="A7788">
        <v>7786</v>
      </c>
      <c r="B7788">
        <v>7787</v>
      </c>
      <c r="C7788" t="s">
        <v>7863</v>
      </c>
      <c r="D7788">
        <v>1939</v>
      </c>
      <c r="F7788" t="s">
        <v>3129</v>
      </c>
      <c r="G7788">
        <v>0</v>
      </c>
      <c r="H7788">
        <v>0</v>
      </c>
      <c r="I7788">
        <v>1</v>
      </c>
      <c r="J7788">
        <v>0</v>
      </c>
      <c r="K7788">
        <v>0</v>
      </c>
      <c r="L7788">
        <f t="shared" si="242"/>
        <v>4.0999999999999996</v>
      </c>
      <c r="M7788">
        <f t="shared" si="243"/>
        <v>1</v>
      </c>
    </row>
    <row r="7789" spans="1:13" x14ac:dyDescent="0.3">
      <c r="A7789">
        <v>7787</v>
      </c>
      <c r="B7789">
        <v>7788</v>
      </c>
      <c r="C7789" t="s">
        <v>7864</v>
      </c>
      <c r="D7789">
        <v>2014</v>
      </c>
      <c r="F7789" t="s">
        <v>3129</v>
      </c>
      <c r="G7789">
        <v>0</v>
      </c>
      <c r="H7789">
        <v>0</v>
      </c>
      <c r="I7789">
        <v>1</v>
      </c>
      <c r="J7789">
        <v>0</v>
      </c>
      <c r="K7789">
        <v>0</v>
      </c>
      <c r="L7789">
        <f t="shared" si="242"/>
        <v>4.0999999999999996</v>
      </c>
      <c r="M7789">
        <f t="shared" si="243"/>
        <v>1</v>
      </c>
    </row>
    <row r="7790" spans="1:13" x14ac:dyDescent="0.3">
      <c r="A7790">
        <v>7788</v>
      </c>
      <c r="B7790">
        <v>7789</v>
      </c>
      <c r="C7790" t="s">
        <v>7865</v>
      </c>
      <c r="D7790">
        <v>1995</v>
      </c>
      <c r="E7790" t="s">
        <v>11</v>
      </c>
      <c r="F7790" t="s">
        <v>3129</v>
      </c>
      <c r="G7790">
        <v>0</v>
      </c>
      <c r="H7790">
        <v>0</v>
      </c>
      <c r="I7790">
        <v>1</v>
      </c>
      <c r="J7790">
        <v>0</v>
      </c>
      <c r="K7790">
        <v>0</v>
      </c>
      <c r="L7790">
        <f t="shared" si="242"/>
        <v>4.0999999999999996</v>
      </c>
      <c r="M7790">
        <f t="shared" si="243"/>
        <v>1</v>
      </c>
    </row>
    <row r="7791" spans="1:13" x14ac:dyDescent="0.3">
      <c r="A7791">
        <v>7789</v>
      </c>
      <c r="B7791">
        <v>7790</v>
      </c>
      <c r="C7791" t="s">
        <v>7866</v>
      </c>
      <c r="D7791">
        <v>2000</v>
      </c>
      <c r="E7791" t="s">
        <v>11</v>
      </c>
      <c r="F7791" t="s">
        <v>3129</v>
      </c>
      <c r="G7791">
        <v>0</v>
      </c>
      <c r="H7791">
        <v>0</v>
      </c>
      <c r="I7791">
        <v>1</v>
      </c>
      <c r="J7791">
        <v>0</v>
      </c>
      <c r="K7791">
        <v>0</v>
      </c>
      <c r="L7791">
        <f t="shared" si="242"/>
        <v>4.0999999999999996</v>
      </c>
      <c r="M7791">
        <f t="shared" si="243"/>
        <v>1</v>
      </c>
    </row>
    <row r="7792" spans="1:13" x14ac:dyDescent="0.3">
      <c r="A7792">
        <v>7790</v>
      </c>
      <c r="B7792">
        <v>7791</v>
      </c>
      <c r="C7792" t="s">
        <v>7867</v>
      </c>
      <c r="D7792">
        <v>2009</v>
      </c>
      <c r="E7792" t="s">
        <v>22</v>
      </c>
      <c r="F7792" t="s">
        <v>3129</v>
      </c>
      <c r="G7792">
        <v>0</v>
      </c>
      <c r="H7792">
        <v>0</v>
      </c>
      <c r="I7792">
        <v>1</v>
      </c>
      <c r="J7792">
        <v>0</v>
      </c>
      <c r="K7792">
        <v>0</v>
      </c>
      <c r="L7792">
        <f t="shared" si="242"/>
        <v>4.0999999999999996</v>
      </c>
      <c r="M7792">
        <f t="shared" si="243"/>
        <v>1</v>
      </c>
    </row>
    <row r="7793" spans="1:13" x14ac:dyDescent="0.3">
      <c r="A7793">
        <v>7791</v>
      </c>
      <c r="B7793">
        <v>7792</v>
      </c>
      <c r="C7793" t="s">
        <v>7868</v>
      </c>
      <c r="D7793">
        <v>1957</v>
      </c>
      <c r="F7793" t="s">
        <v>3129</v>
      </c>
      <c r="G7793">
        <v>0</v>
      </c>
      <c r="H7793">
        <v>0</v>
      </c>
      <c r="I7793">
        <v>1</v>
      </c>
      <c r="J7793">
        <v>0</v>
      </c>
      <c r="K7793">
        <v>0</v>
      </c>
      <c r="L7793">
        <f t="shared" si="242"/>
        <v>4.0999999999999996</v>
      </c>
      <c r="M7793">
        <f t="shared" si="243"/>
        <v>1</v>
      </c>
    </row>
    <row r="7794" spans="1:13" x14ac:dyDescent="0.3">
      <c r="A7794">
        <v>7792</v>
      </c>
      <c r="B7794">
        <v>7793</v>
      </c>
      <c r="C7794" t="s">
        <v>7869</v>
      </c>
      <c r="D7794">
        <v>2020</v>
      </c>
      <c r="F7794" t="s">
        <v>3129</v>
      </c>
      <c r="G7794">
        <v>0</v>
      </c>
      <c r="H7794">
        <v>0</v>
      </c>
      <c r="I7794">
        <v>1</v>
      </c>
      <c r="J7794">
        <v>0</v>
      </c>
      <c r="K7794">
        <v>0</v>
      </c>
      <c r="L7794">
        <f t="shared" si="242"/>
        <v>4.0999999999999996</v>
      </c>
      <c r="M7794">
        <f t="shared" si="243"/>
        <v>1</v>
      </c>
    </row>
    <row r="7795" spans="1:13" x14ac:dyDescent="0.3">
      <c r="A7795">
        <v>7793</v>
      </c>
      <c r="B7795">
        <v>7794</v>
      </c>
      <c r="C7795" t="s">
        <v>7870</v>
      </c>
      <c r="D7795">
        <v>2019</v>
      </c>
      <c r="F7795" t="s">
        <v>3129</v>
      </c>
      <c r="G7795">
        <v>0</v>
      </c>
      <c r="H7795">
        <v>0</v>
      </c>
      <c r="I7795">
        <v>1</v>
      </c>
      <c r="J7795">
        <v>0</v>
      </c>
      <c r="K7795">
        <v>0</v>
      </c>
      <c r="L7795">
        <f t="shared" si="242"/>
        <v>4.0999999999999996</v>
      </c>
      <c r="M7795">
        <f t="shared" si="243"/>
        <v>1</v>
      </c>
    </row>
    <row r="7796" spans="1:13" x14ac:dyDescent="0.3">
      <c r="A7796">
        <v>7794</v>
      </c>
      <c r="B7796">
        <v>7795</v>
      </c>
      <c r="C7796" t="s">
        <v>7871</v>
      </c>
      <c r="D7796">
        <v>2018</v>
      </c>
      <c r="E7796" t="s">
        <v>11</v>
      </c>
      <c r="F7796" t="s">
        <v>3129</v>
      </c>
      <c r="G7796">
        <v>0</v>
      </c>
      <c r="H7796">
        <v>0</v>
      </c>
      <c r="I7796">
        <v>1</v>
      </c>
      <c r="J7796">
        <v>0</v>
      </c>
      <c r="K7796">
        <v>0</v>
      </c>
      <c r="L7796">
        <f t="shared" si="242"/>
        <v>4.0999999999999996</v>
      </c>
      <c r="M7796">
        <f t="shared" si="243"/>
        <v>1</v>
      </c>
    </row>
    <row r="7797" spans="1:13" x14ac:dyDescent="0.3">
      <c r="A7797">
        <v>7795</v>
      </c>
      <c r="B7797">
        <v>7796</v>
      </c>
      <c r="C7797" t="s">
        <v>7872</v>
      </c>
      <c r="D7797">
        <v>2019</v>
      </c>
      <c r="F7797" t="s">
        <v>3129</v>
      </c>
      <c r="G7797">
        <v>0</v>
      </c>
      <c r="H7797">
        <v>0</v>
      </c>
      <c r="I7797">
        <v>1</v>
      </c>
      <c r="J7797">
        <v>0</v>
      </c>
      <c r="K7797">
        <v>0</v>
      </c>
      <c r="L7797">
        <f t="shared" si="242"/>
        <v>4.0999999999999996</v>
      </c>
      <c r="M7797">
        <f t="shared" si="243"/>
        <v>1</v>
      </c>
    </row>
    <row r="7798" spans="1:13" x14ac:dyDescent="0.3">
      <c r="A7798">
        <v>7796</v>
      </c>
      <c r="B7798">
        <v>7797</v>
      </c>
      <c r="C7798" t="s">
        <v>7873</v>
      </c>
      <c r="D7798">
        <v>2007</v>
      </c>
      <c r="F7798" t="s">
        <v>3129</v>
      </c>
      <c r="G7798">
        <v>0</v>
      </c>
      <c r="H7798">
        <v>0</v>
      </c>
      <c r="I7798">
        <v>1</v>
      </c>
      <c r="J7798">
        <v>0</v>
      </c>
      <c r="K7798">
        <v>0</v>
      </c>
      <c r="L7798">
        <f t="shared" si="242"/>
        <v>4.0999999999999996</v>
      </c>
      <c r="M7798">
        <f t="shared" si="243"/>
        <v>1</v>
      </c>
    </row>
    <row r="7799" spans="1:13" x14ac:dyDescent="0.3">
      <c r="A7799">
        <v>7797</v>
      </c>
      <c r="B7799">
        <v>7798</v>
      </c>
      <c r="C7799" t="s">
        <v>7874</v>
      </c>
      <c r="D7799">
        <v>1969</v>
      </c>
      <c r="E7799" t="s">
        <v>11</v>
      </c>
      <c r="F7799" t="s">
        <v>3129</v>
      </c>
      <c r="G7799">
        <v>0</v>
      </c>
      <c r="H7799">
        <v>0</v>
      </c>
      <c r="I7799">
        <v>1</v>
      </c>
      <c r="J7799">
        <v>0</v>
      </c>
      <c r="K7799">
        <v>0</v>
      </c>
      <c r="L7799">
        <f t="shared" si="242"/>
        <v>4.0999999999999996</v>
      </c>
      <c r="M7799">
        <f t="shared" si="243"/>
        <v>1</v>
      </c>
    </row>
    <row r="7800" spans="1:13" x14ac:dyDescent="0.3">
      <c r="A7800">
        <v>7798</v>
      </c>
      <c r="B7800">
        <v>7799</v>
      </c>
      <c r="C7800" t="s">
        <v>7875</v>
      </c>
      <c r="D7800">
        <v>2014</v>
      </c>
      <c r="E7800" t="s">
        <v>14</v>
      </c>
      <c r="F7800" t="s">
        <v>3129</v>
      </c>
      <c r="G7800">
        <v>0</v>
      </c>
      <c r="H7800">
        <v>0</v>
      </c>
      <c r="I7800">
        <v>1</v>
      </c>
      <c r="J7800">
        <v>0</v>
      </c>
      <c r="K7800">
        <v>0</v>
      </c>
      <c r="L7800">
        <f t="shared" si="242"/>
        <v>4.0999999999999996</v>
      </c>
      <c r="M7800">
        <f t="shared" si="243"/>
        <v>1</v>
      </c>
    </row>
    <row r="7801" spans="1:13" x14ac:dyDescent="0.3">
      <c r="A7801">
        <v>7799</v>
      </c>
      <c r="B7801">
        <v>7800</v>
      </c>
      <c r="C7801" t="s">
        <v>7876</v>
      </c>
      <c r="D7801">
        <v>1968</v>
      </c>
      <c r="F7801" t="s">
        <v>3129</v>
      </c>
      <c r="G7801">
        <v>0</v>
      </c>
      <c r="H7801">
        <v>0</v>
      </c>
      <c r="I7801">
        <v>1</v>
      </c>
      <c r="J7801">
        <v>0</v>
      </c>
      <c r="K7801">
        <v>0</v>
      </c>
      <c r="L7801">
        <f t="shared" si="242"/>
        <v>4.0999999999999996</v>
      </c>
      <c r="M7801">
        <f t="shared" si="243"/>
        <v>1</v>
      </c>
    </row>
    <row r="7802" spans="1:13" x14ac:dyDescent="0.3">
      <c r="A7802">
        <v>7800</v>
      </c>
      <c r="B7802">
        <v>7801</v>
      </c>
      <c r="C7802" t="s">
        <v>7877</v>
      </c>
      <c r="D7802">
        <v>1935</v>
      </c>
      <c r="F7802" t="s">
        <v>3129</v>
      </c>
      <c r="G7802">
        <v>0</v>
      </c>
      <c r="H7802">
        <v>0</v>
      </c>
      <c r="I7802">
        <v>1</v>
      </c>
      <c r="J7802">
        <v>0</v>
      </c>
      <c r="K7802">
        <v>0</v>
      </c>
      <c r="L7802">
        <f t="shared" si="242"/>
        <v>4.0999999999999996</v>
      </c>
      <c r="M7802">
        <f t="shared" si="243"/>
        <v>1</v>
      </c>
    </row>
    <row r="7803" spans="1:13" x14ac:dyDescent="0.3">
      <c r="A7803">
        <v>7801</v>
      </c>
      <c r="B7803">
        <v>7802</v>
      </c>
      <c r="C7803" t="s">
        <v>7878</v>
      </c>
      <c r="D7803">
        <v>1996</v>
      </c>
      <c r="F7803" t="s">
        <v>3129</v>
      </c>
      <c r="G7803">
        <v>0</v>
      </c>
      <c r="H7803">
        <v>0</v>
      </c>
      <c r="I7803">
        <v>1</v>
      </c>
      <c r="J7803">
        <v>0</v>
      </c>
      <c r="K7803">
        <v>0</v>
      </c>
      <c r="L7803">
        <f t="shared" si="242"/>
        <v>4.0999999999999996</v>
      </c>
      <c r="M7803">
        <f t="shared" si="243"/>
        <v>1</v>
      </c>
    </row>
    <row r="7804" spans="1:13" x14ac:dyDescent="0.3">
      <c r="A7804">
        <v>7802</v>
      </c>
      <c r="B7804">
        <v>7803</v>
      </c>
      <c r="C7804" t="s">
        <v>7879</v>
      </c>
      <c r="D7804">
        <v>1947</v>
      </c>
      <c r="F7804" t="s">
        <v>3129</v>
      </c>
      <c r="G7804">
        <v>0</v>
      </c>
      <c r="H7804">
        <v>0</v>
      </c>
      <c r="I7804">
        <v>1</v>
      </c>
      <c r="J7804">
        <v>0</v>
      </c>
      <c r="K7804">
        <v>0</v>
      </c>
      <c r="L7804">
        <f t="shared" si="242"/>
        <v>4.0999999999999996</v>
      </c>
      <c r="M7804">
        <f t="shared" si="243"/>
        <v>1</v>
      </c>
    </row>
    <row r="7805" spans="1:13" x14ac:dyDescent="0.3">
      <c r="A7805">
        <v>7803</v>
      </c>
      <c r="B7805">
        <v>7804</v>
      </c>
      <c r="C7805" t="s">
        <v>7880</v>
      </c>
      <c r="D7805">
        <v>2007</v>
      </c>
      <c r="F7805" t="s">
        <v>3129</v>
      </c>
      <c r="G7805">
        <v>0</v>
      </c>
      <c r="H7805">
        <v>0</v>
      </c>
      <c r="I7805">
        <v>1</v>
      </c>
      <c r="J7805">
        <v>0</v>
      </c>
      <c r="K7805">
        <v>0</v>
      </c>
      <c r="L7805">
        <f t="shared" si="242"/>
        <v>4.0999999999999996</v>
      </c>
      <c r="M7805">
        <f t="shared" si="243"/>
        <v>1</v>
      </c>
    </row>
    <row r="7806" spans="1:13" x14ac:dyDescent="0.3">
      <c r="A7806">
        <v>7804</v>
      </c>
      <c r="B7806">
        <v>7805</v>
      </c>
      <c r="C7806" t="s">
        <v>7881</v>
      </c>
      <c r="D7806">
        <v>2012</v>
      </c>
      <c r="F7806" t="s">
        <v>3129</v>
      </c>
      <c r="G7806">
        <v>0</v>
      </c>
      <c r="H7806">
        <v>0</v>
      </c>
      <c r="I7806">
        <v>1</v>
      </c>
      <c r="J7806">
        <v>0</v>
      </c>
      <c r="K7806">
        <v>0</v>
      </c>
      <c r="L7806">
        <f t="shared" si="242"/>
        <v>4.0999999999999996</v>
      </c>
      <c r="M7806">
        <f t="shared" si="243"/>
        <v>1</v>
      </c>
    </row>
    <row r="7807" spans="1:13" x14ac:dyDescent="0.3">
      <c r="A7807">
        <v>7805</v>
      </c>
      <c r="B7807">
        <v>7806</v>
      </c>
      <c r="C7807" t="s">
        <v>7882</v>
      </c>
      <c r="D7807">
        <v>2016</v>
      </c>
      <c r="F7807" t="s">
        <v>3129</v>
      </c>
      <c r="G7807">
        <v>0</v>
      </c>
      <c r="H7807">
        <v>0</v>
      </c>
      <c r="I7807">
        <v>1</v>
      </c>
      <c r="J7807">
        <v>0</v>
      </c>
      <c r="K7807">
        <v>0</v>
      </c>
      <c r="L7807">
        <f t="shared" si="242"/>
        <v>4.0999999999999996</v>
      </c>
      <c r="M7807">
        <f t="shared" si="243"/>
        <v>1</v>
      </c>
    </row>
    <row r="7808" spans="1:13" x14ac:dyDescent="0.3">
      <c r="A7808">
        <v>7806</v>
      </c>
      <c r="B7808">
        <v>7807</v>
      </c>
      <c r="C7808" t="s">
        <v>7883</v>
      </c>
      <c r="D7808">
        <v>1943</v>
      </c>
      <c r="F7808" t="s">
        <v>3129</v>
      </c>
      <c r="G7808">
        <v>0</v>
      </c>
      <c r="H7808">
        <v>0</v>
      </c>
      <c r="I7808">
        <v>1</v>
      </c>
      <c r="J7808">
        <v>0</v>
      </c>
      <c r="K7808">
        <v>0</v>
      </c>
      <c r="L7808">
        <f t="shared" si="242"/>
        <v>4.0999999999999996</v>
      </c>
      <c r="M7808">
        <f t="shared" si="243"/>
        <v>1</v>
      </c>
    </row>
    <row r="7809" spans="1:13" x14ac:dyDescent="0.3">
      <c r="A7809">
        <v>7807</v>
      </c>
      <c r="B7809">
        <v>7808</v>
      </c>
      <c r="C7809" t="s">
        <v>7884</v>
      </c>
      <c r="D7809">
        <v>1930</v>
      </c>
      <c r="F7809" t="s">
        <v>3129</v>
      </c>
      <c r="G7809">
        <v>0</v>
      </c>
      <c r="H7809">
        <v>0</v>
      </c>
      <c r="I7809">
        <v>1</v>
      </c>
      <c r="J7809">
        <v>0</v>
      </c>
      <c r="K7809">
        <v>0</v>
      </c>
      <c r="L7809">
        <f t="shared" si="242"/>
        <v>4.0999999999999996</v>
      </c>
      <c r="M7809">
        <f t="shared" si="243"/>
        <v>1</v>
      </c>
    </row>
    <row r="7810" spans="1:13" x14ac:dyDescent="0.3">
      <c r="A7810">
        <v>7808</v>
      </c>
      <c r="B7810">
        <v>7809</v>
      </c>
      <c r="C7810" t="s">
        <v>7885</v>
      </c>
      <c r="D7810">
        <v>2016</v>
      </c>
      <c r="F7810" t="s">
        <v>3129</v>
      </c>
      <c r="G7810">
        <v>0</v>
      </c>
      <c r="H7810">
        <v>0</v>
      </c>
      <c r="I7810">
        <v>1</v>
      </c>
      <c r="J7810">
        <v>0</v>
      </c>
      <c r="K7810">
        <v>0</v>
      </c>
      <c r="L7810">
        <f t="shared" si="242"/>
        <v>4.0999999999999996</v>
      </c>
      <c r="M7810">
        <f t="shared" si="243"/>
        <v>1</v>
      </c>
    </row>
    <row r="7811" spans="1:13" x14ac:dyDescent="0.3">
      <c r="A7811">
        <v>7809</v>
      </c>
      <c r="B7811">
        <v>7810</v>
      </c>
      <c r="C7811" t="s">
        <v>7886</v>
      </c>
      <c r="D7811">
        <v>1961</v>
      </c>
      <c r="E7811" t="s">
        <v>22</v>
      </c>
      <c r="F7811" t="s">
        <v>3129</v>
      </c>
      <c r="G7811">
        <v>0</v>
      </c>
      <c r="H7811">
        <v>0</v>
      </c>
      <c r="I7811">
        <v>1</v>
      </c>
      <c r="J7811">
        <v>0</v>
      </c>
      <c r="K7811">
        <v>0</v>
      </c>
      <c r="L7811">
        <f t="shared" ref="L7811:L7874" si="244">IFERROR(VALUE(LEFT(F7811,FIND("/",F7811)-1))/10,"")</f>
        <v>4.0999999999999996</v>
      </c>
      <c r="M7811">
        <f t="shared" ref="M7811:M7874" si="245">SUM(G7811:J7811)</f>
        <v>1</v>
      </c>
    </row>
    <row r="7812" spans="1:13" x14ac:dyDescent="0.3">
      <c r="A7812">
        <v>7810</v>
      </c>
      <c r="B7812">
        <v>7811</v>
      </c>
      <c r="C7812" t="s">
        <v>7887</v>
      </c>
      <c r="D7812">
        <v>2017</v>
      </c>
      <c r="F7812" t="s">
        <v>3129</v>
      </c>
      <c r="G7812">
        <v>0</v>
      </c>
      <c r="H7812">
        <v>0</v>
      </c>
      <c r="I7812">
        <v>1</v>
      </c>
      <c r="J7812">
        <v>0</v>
      </c>
      <c r="K7812">
        <v>0</v>
      </c>
      <c r="L7812">
        <f t="shared" si="244"/>
        <v>4.0999999999999996</v>
      </c>
      <c r="M7812">
        <f t="shared" si="245"/>
        <v>1</v>
      </c>
    </row>
    <row r="7813" spans="1:13" x14ac:dyDescent="0.3">
      <c r="A7813">
        <v>7811</v>
      </c>
      <c r="B7813">
        <v>7812</v>
      </c>
      <c r="C7813" t="s">
        <v>7888</v>
      </c>
      <c r="D7813">
        <v>1973</v>
      </c>
      <c r="E7813" t="s">
        <v>11</v>
      </c>
      <c r="F7813" t="s">
        <v>3129</v>
      </c>
      <c r="G7813">
        <v>0</v>
      </c>
      <c r="H7813">
        <v>0</v>
      </c>
      <c r="I7813">
        <v>1</v>
      </c>
      <c r="J7813">
        <v>0</v>
      </c>
      <c r="K7813">
        <v>0</v>
      </c>
      <c r="L7813">
        <f t="shared" si="244"/>
        <v>4.0999999999999996</v>
      </c>
      <c r="M7813">
        <f t="shared" si="245"/>
        <v>1</v>
      </c>
    </row>
    <row r="7814" spans="1:13" x14ac:dyDescent="0.3">
      <c r="A7814">
        <v>7812</v>
      </c>
      <c r="B7814">
        <v>7813</v>
      </c>
      <c r="C7814" t="s">
        <v>7889</v>
      </c>
      <c r="D7814">
        <v>1995</v>
      </c>
      <c r="F7814" t="s">
        <v>3129</v>
      </c>
      <c r="G7814">
        <v>0</v>
      </c>
      <c r="H7814">
        <v>0</v>
      </c>
      <c r="I7814">
        <v>1</v>
      </c>
      <c r="J7814">
        <v>0</v>
      </c>
      <c r="K7814">
        <v>0</v>
      </c>
      <c r="L7814">
        <f t="shared" si="244"/>
        <v>4.0999999999999996</v>
      </c>
      <c r="M7814">
        <f t="shared" si="245"/>
        <v>1</v>
      </c>
    </row>
    <row r="7815" spans="1:13" x14ac:dyDescent="0.3">
      <c r="A7815">
        <v>7813</v>
      </c>
      <c r="B7815">
        <v>7814</v>
      </c>
      <c r="C7815" t="s">
        <v>7890</v>
      </c>
      <c r="D7815">
        <v>2020</v>
      </c>
      <c r="F7815" t="s">
        <v>3129</v>
      </c>
      <c r="G7815">
        <v>0</v>
      </c>
      <c r="H7815">
        <v>0</v>
      </c>
      <c r="I7815">
        <v>1</v>
      </c>
      <c r="J7815">
        <v>0</v>
      </c>
      <c r="K7815">
        <v>0</v>
      </c>
      <c r="L7815">
        <f t="shared" si="244"/>
        <v>4.0999999999999996</v>
      </c>
      <c r="M7815">
        <f t="shared" si="245"/>
        <v>1</v>
      </c>
    </row>
    <row r="7816" spans="1:13" x14ac:dyDescent="0.3">
      <c r="A7816">
        <v>7814</v>
      </c>
      <c r="B7816">
        <v>7815</v>
      </c>
      <c r="C7816" t="s">
        <v>7891</v>
      </c>
      <c r="D7816">
        <v>2016</v>
      </c>
      <c r="F7816" t="s">
        <v>3129</v>
      </c>
      <c r="G7816">
        <v>0</v>
      </c>
      <c r="H7816">
        <v>0</v>
      </c>
      <c r="I7816">
        <v>1</v>
      </c>
      <c r="J7816">
        <v>0</v>
      </c>
      <c r="K7816">
        <v>0</v>
      </c>
      <c r="L7816">
        <f t="shared" si="244"/>
        <v>4.0999999999999996</v>
      </c>
      <c r="M7816">
        <f t="shared" si="245"/>
        <v>1</v>
      </c>
    </row>
    <row r="7817" spans="1:13" x14ac:dyDescent="0.3">
      <c r="A7817">
        <v>7815</v>
      </c>
      <c r="B7817">
        <v>7816</v>
      </c>
      <c r="C7817" t="s">
        <v>7892</v>
      </c>
      <c r="D7817">
        <v>2018</v>
      </c>
      <c r="F7817" t="s">
        <v>3129</v>
      </c>
      <c r="G7817">
        <v>0</v>
      </c>
      <c r="H7817">
        <v>0</v>
      </c>
      <c r="I7817">
        <v>1</v>
      </c>
      <c r="J7817">
        <v>0</v>
      </c>
      <c r="K7817">
        <v>0</v>
      </c>
      <c r="L7817">
        <f t="shared" si="244"/>
        <v>4.0999999999999996</v>
      </c>
      <c r="M7817">
        <f t="shared" si="245"/>
        <v>1</v>
      </c>
    </row>
    <row r="7818" spans="1:13" x14ac:dyDescent="0.3">
      <c r="A7818">
        <v>7816</v>
      </c>
      <c r="B7818">
        <v>7817</v>
      </c>
      <c r="C7818" t="s">
        <v>7893</v>
      </c>
      <c r="D7818">
        <v>1975</v>
      </c>
      <c r="E7818" t="s">
        <v>11</v>
      </c>
      <c r="F7818" t="s">
        <v>3129</v>
      </c>
      <c r="G7818">
        <v>0</v>
      </c>
      <c r="H7818">
        <v>0</v>
      </c>
      <c r="I7818">
        <v>1</v>
      </c>
      <c r="J7818">
        <v>0</v>
      </c>
      <c r="K7818">
        <v>0</v>
      </c>
      <c r="L7818">
        <f t="shared" si="244"/>
        <v>4.0999999999999996</v>
      </c>
      <c r="M7818">
        <f t="shared" si="245"/>
        <v>1</v>
      </c>
    </row>
    <row r="7819" spans="1:13" x14ac:dyDescent="0.3">
      <c r="A7819">
        <v>7817</v>
      </c>
      <c r="B7819">
        <v>7818</v>
      </c>
      <c r="C7819" t="s">
        <v>7894</v>
      </c>
      <c r="D7819">
        <v>2014</v>
      </c>
      <c r="F7819" t="s">
        <v>3129</v>
      </c>
      <c r="G7819">
        <v>0</v>
      </c>
      <c r="H7819">
        <v>0</v>
      </c>
      <c r="I7819">
        <v>1</v>
      </c>
      <c r="J7819">
        <v>0</v>
      </c>
      <c r="K7819">
        <v>0</v>
      </c>
      <c r="L7819">
        <f t="shared" si="244"/>
        <v>4.0999999999999996</v>
      </c>
      <c r="M7819">
        <f t="shared" si="245"/>
        <v>1</v>
      </c>
    </row>
    <row r="7820" spans="1:13" x14ac:dyDescent="0.3">
      <c r="A7820">
        <v>7818</v>
      </c>
      <c r="B7820">
        <v>7819</v>
      </c>
      <c r="C7820" t="s">
        <v>7895</v>
      </c>
      <c r="D7820">
        <v>2018</v>
      </c>
      <c r="E7820" t="s">
        <v>28</v>
      </c>
      <c r="F7820" t="s">
        <v>3129</v>
      </c>
      <c r="G7820">
        <v>0</v>
      </c>
      <c r="H7820">
        <v>0</v>
      </c>
      <c r="I7820">
        <v>1</v>
      </c>
      <c r="J7820">
        <v>0</v>
      </c>
      <c r="K7820">
        <v>0</v>
      </c>
      <c r="L7820">
        <f t="shared" si="244"/>
        <v>4.0999999999999996</v>
      </c>
      <c r="M7820">
        <f t="shared" si="245"/>
        <v>1</v>
      </c>
    </row>
    <row r="7821" spans="1:13" x14ac:dyDescent="0.3">
      <c r="A7821">
        <v>7819</v>
      </c>
      <c r="B7821">
        <v>7820</v>
      </c>
      <c r="C7821" t="s">
        <v>7896</v>
      </c>
      <c r="D7821">
        <v>2017</v>
      </c>
      <c r="F7821" t="s">
        <v>3129</v>
      </c>
      <c r="G7821">
        <v>0</v>
      </c>
      <c r="H7821">
        <v>0</v>
      </c>
      <c r="I7821">
        <v>1</v>
      </c>
      <c r="J7821">
        <v>0</v>
      </c>
      <c r="K7821">
        <v>0</v>
      </c>
      <c r="L7821">
        <f t="shared" si="244"/>
        <v>4.0999999999999996</v>
      </c>
      <c r="M7821">
        <f t="shared" si="245"/>
        <v>1</v>
      </c>
    </row>
    <row r="7822" spans="1:13" x14ac:dyDescent="0.3">
      <c r="A7822">
        <v>7820</v>
      </c>
      <c r="B7822">
        <v>7821</v>
      </c>
      <c r="C7822" t="s">
        <v>7897</v>
      </c>
      <c r="D7822">
        <v>2018</v>
      </c>
      <c r="F7822" t="s">
        <v>3129</v>
      </c>
      <c r="G7822">
        <v>0</v>
      </c>
      <c r="H7822">
        <v>0</v>
      </c>
      <c r="I7822">
        <v>1</v>
      </c>
      <c r="J7822">
        <v>0</v>
      </c>
      <c r="K7822">
        <v>0</v>
      </c>
      <c r="L7822">
        <f t="shared" si="244"/>
        <v>4.0999999999999996</v>
      </c>
      <c r="M7822">
        <f t="shared" si="245"/>
        <v>1</v>
      </c>
    </row>
    <row r="7823" spans="1:13" x14ac:dyDescent="0.3">
      <c r="A7823">
        <v>7821</v>
      </c>
      <c r="B7823">
        <v>7822</v>
      </c>
      <c r="C7823" t="s">
        <v>7898</v>
      </c>
      <c r="D7823">
        <v>2021</v>
      </c>
      <c r="F7823" t="s">
        <v>3129</v>
      </c>
      <c r="G7823">
        <v>0</v>
      </c>
      <c r="H7823">
        <v>0</v>
      </c>
      <c r="I7823">
        <v>1</v>
      </c>
      <c r="J7823">
        <v>0</v>
      </c>
      <c r="K7823">
        <v>0</v>
      </c>
      <c r="L7823">
        <f t="shared" si="244"/>
        <v>4.0999999999999996</v>
      </c>
      <c r="M7823">
        <f t="shared" si="245"/>
        <v>1</v>
      </c>
    </row>
    <row r="7824" spans="1:13" x14ac:dyDescent="0.3">
      <c r="A7824">
        <v>7822</v>
      </c>
      <c r="B7824">
        <v>7823</v>
      </c>
      <c r="C7824" t="s">
        <v>7899</v>
      </c>
      <c r="D7824">
        <v>1952</v>
      </c>
      <c r="F7824" t="s">
        <v>3129</v>
      </c>
      <c r="G7824">
        <v>0</v>
      </c>
      <c r="H7824">
        <v>0</v>
      </c>
      <c r="I7824">
        <v>1</v>
      </c>
      <c r="J7824">
        <v>0</v>
      </c>
      <c r="K7824">
        <v>0</v>
      </c>
      <c r="L7824">
        <f t="shared" si="244"/>
        <v>4.0999999999999996</v>
      </c>
      <c r="M7824">
        <f t="shared" si="245"/>
        <v>1</v>
      </c>
    </row>
    <row r="7825" spans="1:13" x14ac:dyDescent="0.3">
      <c r="A7825">
        <v>7823</v>
      </c>
      <c r="B7825">
        <v>7824</v>
      </c>
      <c r="C7825" t="s">
        <v>7900</v>
      </c>
      <c r="D7825">
        <v>1938</v>
      </c>
      <c r="F7825" t="s">
        <v>3129</v>
      </c>
      <c r="G7825">
        <v>0</v>
      </c>
      <c r="H7825">
        <v>0</v>
      </c>
      <c r="I7825">
        <v>1</v>
      </c>
      <c r="J7825">
        <v>0</v>
      </c>
      <c r="K7825">
        <v>0</v>
      </c>
      <c r="L7825">
        <f t="shared" si="244"/>
        <v>4.0999999999999996</v>
      </c>
      <c r="M7825">
        <f t="shared" si="245"/>
        <v>1</v>
      </c>
    </row>
    <row r="7826" spans="1:13" x14ac:dyDescent="0.3">
      <c r="A7826">
        <v>7824</v>
      </c>
      <c r="B7826">
        <v>7825</v>
      </c>
      <c r="C7826" t="s">
        <v>7901</v>
      </c>
      <c r="D7826">
        <v>2018</v>
      </c>
      <c r="F7826" t="s">
        <v>3129</v>
      </c>
      <c r="G7826">
        <v>0</v>
      </c>
      <c r="H7826">
        <v>0</v>
      </c>
      <c r="I7826">
        <v>1</v>
      </c>
      <c r="J7826">
        <v>0</v>
      </c>
      <c r="K7826">
        <v>0</v>
      </c>
      <c r="L7826">
        <f t="shared" si="244"/>
        <v>4.0999999999999996</v>
      </c>
      <c r="M7826">
        <f t="shared" si="245"/>
        <v>1</v>
      </c>
    </row>
    <row r="7827" spans="1:13" x14ac:dyDescent="0.3">
      <c r="A7827">
        <v>7825</v>
      </c>
      <c r="B7827">
        <v>7826</v>
      </c>
      <c r="C7827" t="s">
        <v>7902</v>
      </c>
      <c r="D7827">
        <v>2006</v>
      </c>
      <c r="E7827" t="s">
        <v>22</v>
      </c>
      <c r="F7827" t="s">
        <v>3129</v>
      </c>
      <c r="G7827">
        <v>0</v>
      </c>
      <c r="H7827">
        <v>0</v>
      </c>
      <c r="I7827">
        <v>1</v>
      </c>
      <c r="J7827">
        <v>0</v>
      </c>
      <c r="K7827">
        <v>0</v>
      </c>
      <c r="L7827">
        <f t="shared" si="244"/>
        <v>4.0999999999999996</v>
      </c>
      <c r="M7827">
        <f t="shared" si="245"/>
        <v>1</v>
      </c>
    </row>
    <row r="7828" spans="1:13" x14ac:dyDescent="0.3">
      <c r="A7828">
        <v>7826</v>
      </c>
      <c r="B7828">
        <v>7827</v>
      </c>
      <c r="C7828" t="s">
        <v>7903</v>
      </c>
      <c r="D7828">
        <v>2018</v>
      </c>
      <c r="F7828" t="s">
        <v>3129</v>
      </c>
      <c r="G7828">
        <v>0</v>
      </c>
      <c r="H7828">
        <v>0</v>
      </c>
      <c r="I7828">
        <v>1</v>
      </c>
      <c r="J7828">
        <v>0</v>
      </c>
      <c r="K7828">
        <v>0</v>
      </c>
      <c r="L7828">
        <f t="shared" si="244"/>
        <v>4.0999999999999996</v>
      </c>
      <c r="M7828">
        <f t="shared" si="245"/>
        <v>1</v>
      </c>
    </row>
    <row r="7829" spans="1:13" x14ac:dyDescent="0.3">
      <c r="A7829">
        <v>7827</v>
      </c>
      <c r="B7829">
        <v>7828</v>
      </c>
      <c r="C7829" t="s">
        <v>7904</v>
      </c>
      <c r="D7829">
        <v>2019</v>
      </c>
      <c r="F7829" t="s">
        <v>3129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f t="shared" si="244"/>
        <v>4.0999999999999996</v>
      </c>
      <c r="M7829">
        <f t="shared" si="245"/>
        <v>1</v>
      </c>
    </row>
    <row r="7830" spans="1:13" x14ac:dyDescent="0.3">
      <c r="A7830">
        <v>7828</v>
      </c>
      <c r="B7830">
        <v>7829</v>
      </c>
      <c r="C7830" t="s">
        <v>7905</v>
      </c>
      <c r="D7830">
        <v>1990</v>
      </c>
      <c r="F7830" t="s">
        <v>3129</v>
      </c>
      <c r="G7830">
        <v>0</v>
      </c>
      <c r="H7830">
        <v>0</v>
      </c>
      <c r="I7830">
        <v>1</v>
      </c>
      <c r="J7830">
        <v>0</v>
      </c>
      <c r="K7830">
        <v>0</v>
      </c>
      <c r="L7830">
        <f t="shared" si="244"/>
        <v>4.0999999999999996</v>
      </c>
      <c r="M7830">
        <f t="shared" si="245"/>
        <v>1</v>
      </c>
    </row>
    <row r="7831" spans="1:13" x14ac:dyDescent="0.3">
      <c r="A7831">
        <v>7829</v>
      </c>
      <c r="B7831">
        <v>7830</v>
      </c>
      <c r="C7831" t="s">
        <v>7906</v>
      </c>
      <c r="D7831">
        <v>1983</v>
      </c>
      <c r="F7831" t="s">
        <v>3129</v>
      </c>
      <c r="G7831">
        <v>0</v>
      </c>
      <c r="H7831">
        <v>0</v>
      </c>
      <c r="I7831">
        <v>1</v>
      </c>
      <c r="J7831">
        <v>0</v>
      </c>
      <c r="K7831">
        <v>0</v>
      </c>
      <c r="L7831">
        <f t="shared" si="244"/>
        <v>4.0999999999999996</v>
      </c>
      <c r="M7831">
        <f t="shared" si="245"/>
        <v>1</v>
      </c>
    </row>
    <row r="7832" spans="1:13" x14ac:dyDescent="0.3">
      <c r="A7832">
        <v>7830</v>
      </c>
      <c r="B7832">
        <v>7831</v>
      </c>
      <c r="C7832" t="s">
        <v>7907</v>
      </c>
      <c r="D7832">
        <v>2010</v>
      </c>
      <c r="E7832" t="s">
        <v>11</v>
      </c>
      <c r="F7832" t="s">
        <v>3129</v>
      </c>
      <c r="G7832">
        <v>0</v>
      </c>
      <c r="H7832">
        <v>0</v>
      </c>
      <c r="I7832">
        <v>1</v>
      </c>
      <c r="J7832">
        <v>0</v>
      </c>
      <c r="K7832">
        <v>0</v>
      </c>
      <c r="L7832">
        <f t="shared" si="244"/>
        <v>4.0999999999999996</v>
      </c>
      <c r="M7832">
        <f t="shared" si="245"/>
        <v>1</v>
      </c>
    </row>
    <row r="7833" spans="1:13" x14ac:dyDescent="0.3">
      <c r="A7833">
        <v>7831</v>
      </c>
      <c r="B7833">
        <v>7832</v>
      </c>
      <c r="C7833" t="s">
        <v>7908</v>
      </c>
      <c r="D7833">
        <v>2020</v>
      </c>
      <c r="F7833" t="s">
        <v>3129</v>
      </c>
      <c r="G7833">
        <v>0</v>
      </c>
      <c r="H7833">
        <v>0</v>
      </c>
      <c r="I7833">
        <v>1</v>
      </c>
      <c r="J7833">
        <v>0</v>
      </c>
      <c r="K7833">
        <v>0</v>
      </c>
      <c r="L7833">
        <f t="shared" si="244"/>
        <v>4.0999999999999996</v>
      </c>
      <c r="M7833">
        <f t="shared" si="245"/>
        <v>1</v>
      </c>
    </row>
    <row r="7834" spans="1:13" x14ac:dyDescent="0.3">
      <c r="A7834">
        <v>7832</v>
      </c>
      <c r="B7834">
        <v>7833</v>
      </c>
      <c r="C7834" t="s">
        <v>7909</v>
      </c>
      <c r="D7834">
        <v>2014</v>
      </c>
      <c r="F7834" t="s">
        <v>3226</v>
      </c>
      <c r="G7834">
        <v>0</v>
      </c>
      <c r="H7834">
        <v>0</v>
      </c>
      <c r="I7834">
        <v>1</v>
      </c>
      <c r="J7834">
        <v>0</v>
      </c>
      <c r="K7834">
        <v>0</v>
      </c>
      <c r="L7834">
        <f t="shared" si="244"/>
        <v>4</v>
      </c>
      <c r="M7834">
        <f t="shared" si="245"/>
        <v>1</v>
      </c>
    </row>
    <row r="7835" spans="1:13" x14ac:dyDescent="0.3">
      <c r="A7835">
        <v>7833</v>
      </c>
      <c r="B7835">
        <v>7834</v>
      </c>
      <c r="C7835" t="s">
        <v>7910</v>
      </c>
      <c r="D7835">
        <v>2015</v>
      </c>
      <c r="F7835" t="s">
        <v>3226</v>
      </c>
      <c r="G7835">
        <v>0</v>
      </c>
      <c r="H7835">
        <v>0</v>
      </c>
      <c r="I7835">
        <v>1</v>
      </c>
      <c r="J7835">
        <v>0</v>
      </c>
      <c r="K7835">
        <v>0</v>
      </c>
      <c r="L7835">
        <f t="shared" si="244"/>
        <v>4</v>
      </c>
      <c r="M7835">
        <f t="shared" si="245"/>
        <v>1</v>
      </c>
    </row>
    <row r="7836" spans="1:13" x14ac:dyDescent="0.3">
      <c r="A7836">
        <v>7834</v>
      </c>
      <c r="B7836">
        <v>7835</v>
      </c>
      <c r="C7836" t="s">
        <v>7911</v>
      </c>
      <c r="D7836">
        <v>2011</v>
      </c>
      <c r="E7836" t="s">
        <v>11</v>
      </c>
      <c r="F7836" t="s">
        <v>3226</v>
      </c>
      <c r="G7836">
        <v>0</v>
      </c>
      <c r="H7836">
        <v>0</v>
      </c>
      <c r="I7836">
        <v>1</v>
      </c>
      <c r="J7836">
        <v>0</v>
      </c>
      <c r="K7836">
        <v>0</v>
      </c>
      <c r="L7836">
        <f t="shared" si="244"/>
        <v>4</v>
      </c>
      <c r="M7836">
        <f t="shared" si="245"/>
        <v>1</v>
      </c>
    </row>
    <row r="7837" spans="1:13" x14ac:dyDescent="0.3">
      <c r="A7837">
        <v>7835</v>
      </c>
      <c r="B7837">
        <v>7836</v>
      </c>
      <c r="C7837" t="s">
        <v>7912</v>
      </c>
      <c r="D7837">
        <v>1988</v>
      </c>
      <c r="F7837" t="s">
        <v>3226</v>
      </c>
      <c r="G7837">
        <v>0</v>
      </c>
      <c r="H7837">
        <v>0</v>
      </c>
      <c r="I7837">
        <v>1</v>
      </c>
      <c r="J7837">
        <v>0</v>
      </c>
      <c r="K7837">
        <v>0</v>
      </c>
      <c r="L7837">
        <f t="shared" si="244"/>
        <v>4</v>
      </c>
      <c r="M7837">
        <f t="shared" si="245"/>
        <v>1</v>
      </c>
    </row>
    <row r="7838" spans="1:13" x14ac:dyDescent="0.3">
      <c r="A7838">
        <v>7836</v>
      </c>
      <c r="B7838">
        <v>7837</v>
      </c>
      <c r="C7838" t="s">
        <v>7913</v>
      </c>
      <c r="D7838">
        <v>2010</v>
      </c>
      <c r="F7838" t="s">
        <v>3226</v>
      </c>
      <c r="G7838">
        <v>0</v>
      </c>
      <c r="H7838">
        <v>0</v>
      </c>
      <c r="I7838">
        <v>1</v>
      </c>
      <c r="J7838">
        <v>0</v>
      </c>
      <c r="K7838">
        <v>0</v>
      </c>
      <c r="L7838">
        <f t="shared" si="244"/>
        <v>4</v>
      </c>
      <c r="M7838">
        <f t="shared" si="245"/>
        <v>1</v>
      </c>
    </row>
    <row r="7839" spans="1:13" x14ac:dyDescent="0.3">
      <c r="A7839">
        <v>7837</v>
      </c>
      <c r="B7839">
        <v>7838</v>
      </c>
      <c r="C7839" t="s">
        <v>7914</v>
      </c>
      <c r="D7839">
        <v>2014</v>
      </c>
      <c r="F7839" t="s">
        <v>3226</v>
      </c>
      <c r="G7839">
        <v>0</v>
      </c>
      <c r="H7839">
        <v>0</v>
      </c>
      <c r="I7839">
        <v>1</v>
      </c>
      <c r="J7839">
        <v>0</v>
      </c>
      <c r="K7839">
        <v>0</v>
      </c>
      <c r="L7839">
        <f t="shared" si="244"/>
        <v>4</v>
      </c>
      <c r="M7839">
        <f t="shared" si="245"/>
        <v>1</v>
      </c>
    </row>
    <row r="7840" spans="1:13" x14ac:dyDescent="0.3">
      <c r="A7840">
        <v>7838</v>
      </c>
      <c r="B7840">
        <v>7839</v>
      </c>
      <c r="C7840" t="s">
        <v>7915</v>
      </c>
      <c r="D7840">
        <v>1936</v>
      </c>
      <c r="F7840" t="s">
        <v>3226</v>
      </c>
      <c r="G7840">
        <v>0</v>
      </c>
      <c r="H7840">
        <v>0</v>
      </c>
      <c r="I7840">
        <v>1</v>
      </c>
      <c r="J7840">
        <v>0</v>
      </c>
      <c r="K7840">
        <v>0</v>
      </c>
      <c r="L7840">
        <f t="shared" si="244"/>
        <v>4</v>
      </c>
      <c r="M7840">
        <f t="shared" si="245"/>
        <v>1</v>
      </c>
    </row>
    <row r="7841" spans="1:13" x14ac:dyDescent="0.3">
      <c r="A7841">
        <v>7839</v>
      </c>
      <c r="B7841">
        <v>7840</v>
      </c>
      <c r="C7841" t="s">
        <v>7916</v>
      </c>
      <c r="D7841">
        <v>1999</v>
      </c>
      <c r="E7841" t="s">
        <v>14</v>
      </c>
      <c r="F7841" t="s">
        <v>3226</v>
      </c>
      <c r="G7841">
        <v>0</v>
      </c>
      <c r="H7841">
        <v>0</v>
      </c>
      <c r="I7841">
        <v>1</v>
      </c>
      <c r="J7841">
        <v>0</v>
      </c>
      <c r="K7841">
        <v>0</v>
      </c>
      <c r="L7841">
        <f t="shared" si="244"/>
        <v>4</v>
      </c>
      <c r="M7841">
        <f t="shared" si="245"/>
        <v>1</v>
      </c>
    </row>
    <row r="7842" spans="1:13" x14ac:dyDescent="0.3">
      <c r="A7842">
        <v>7840</v>
      </c>
      <c r="B7842">
        <v>7841</v>
      </c>
      <c r="C7842" t="s">
        <v>7917</v>
      </c>
      <c r="D7842">
        <v>2019</v>
      </c>
      <c r="F7842" t="s">
        <v>3226</v>
      </c>
      <c r="G7842">
        <v>0</v>
      </c>
      <c r="H7842">
        <v>0</v>
      </c>
      <c r="I7842">
        <v>1</v>
      </c>
      <c r="J7842">
        <v>0</v>
      </c>
      <c r="K7842">
        <v>0</v>
      </c>
      <c r="L7842">
        <f t="shared" si="244"/>
        <v>4</v>
      </c>
      <c r="M7842">
        <f t="shared" si="245"/>
        <v>1</v>
      </c>
    </row>
    <row r="7843" spans="1:13" x14ac:dyDescent="0.3">
      <c r="A7843">
        <v>7841</v>
      </c>
      <c r="B7843">
        <v>7842</v>
      </c>
      <c r="C7843" t="s">
        <v>7918</v>
      </c>
      <c r="D7843">
        <v>2020</v>
      </c>
      <c r="E7843" t="s">
        <v>14</v>
      </c>
      <c r="F7843" t="s">
        <v>3226</v>
      </c>
      <c r="G7843">
        <v>0</v>
      </c>
      <c r="H7843">
        <v>0</v>
      </c>
      <c r="I7843">
        <v>1</v>
      </c>
      <c r="J7843">
        <v>0</v>
      </c>
      <c r="K7843">
        <v>0</v>
      </c>
      <c r="L7843">
        <f t="shared" si="244"/>
        <v>4</v>
      </c>
      <c r="M7843">
        <f t="shared" si="245"/>
        <v>1</v>
      </c>
    </row>
    <row r="7844" spans="1:13" x14ac:dyDescent="0.3">
      <c r="A7844">
        <v>7842</v>
      </c>
      <c r="B7844">
        <v>7843</v>
      </c>
      <c r="C7844" t="s">
        <v>7919</v>
      </c>
      <c r="D7844">
        <v>2021</v>
      </c>
      <c r="F7844" t="s">
        <v>3226</v>
      </c>
      <c r="G7844">
        <v>0</v>
      </c>
      <c r="H7844">
        <v>0</v>
      </c>
      <c r="I7844">
        <v>1</v>
      </c>
      <c r="J7844">
        <v>0</v>
      </c>
      <c r="K7844">
        <v>0</v>
      </c>
      <c r="L7844">
        <f t="shared" si="244"/>
        <v>4</v>
      </c>
      <c r="M7844">
        <f t="shared" si="245"/>
        <v>1</v>
      </c>
    </row>
    <row r="7845" spans="1:13" x14ac:dyDescent="0.3">
      <c r="A7845">
        <v>7843</v>
      </c>
      <c r="B7845">
        <v>7844</v>
      </c>
      <c r="C7845" t="s">
        <v>7920</v>
      </c>
      <c r="D7845">
        <v>1989</v>
      </c>
      <c r="F7845" t="s">
        <v>3226</v>
      </c>
      <c r="G7845">
        <v>0</v>
      </c>
      <c r="H7845">
        <v>0</v>
      </c>
      <c r="I7845">
        <v>1</v>
      </c>
      <c r="J7845">
        <v>0</v>
      </c>
      <c r="K7845">
        <v>0</v>
      </c>
      <c r="L7845">
        <f t="shared" si="244"/>
        <v>4</v>
      </c>
      <c r="M7845">
        <f t="shared" si="245"/>
        <v>1</v>
      </c>
    </row>
    <row r="7846" spans="1:13" x14ac:dyDescent="0.3">
      <c r="A7846">
        <v>7844</v>
      </c>
      <c r="B7846">
        <v>7845</v>
      </c>
      <c r="C7846" t="s">
        <v>7921</v>
      </c>
      <c r="D7846">
        <v>1937</v>
      </c>
      <c r="F7846" t="s">
        <v>3226</v>
      </c>
      <c r="G7846">
        <v>0</v>
      </c>
      <c r="H7846">
        <v>0</v>
      </c>
      <c r="I7846">
        <v>1</v>
      </c>
      <c r="J7846">
        <v>0</v>
      </c>
      <c r="K7846">
        <v>0</v>
      </c>
      <c r="L7846">
        <f t="shared" si="244"/>
        <v>4</v>
      </c>
      <c r="M7846">
        <f t="shared" si="245"/>
        <v>1</v>
      </c>
    </row>
    <row r="7847" spans="1:13" x14ac:dyDescent="0.3">
      <c r="A7847">
        <v>7845</v>
      </c>
      <c r="B7847">
        <v>7846</v>
      </c>
      <c r="C7847" t="s">
        <v>7922</v>
      </c>
      <c r="D7847">
        <v>1952</v>
      </c>
      <c r="F7847" t="s">
        <v>3226</v>
      </c>
      <c r="G7847">
        <v>0</v>
      </c>
      <c r="H7847">
        <v>0</v>
      </c>
      <c r="I7847">
        <v>1</v>
      </c>
      <c r="J7847">
        <v>0</v>
      </c>
      <c r="K7847">
        <v>0</v>
      </c>
      <c r="L7847">
        <f t="shared" si="244"/>
        <v>4</v>
      </c>
      <c r="M7847">
        <f t="shared" si="245"/>
        <v>1</v>
      </c>
    </row>
    <row r="7848" spans="1:13" x14ac:dyDescent="0.3">
      <c r="A7848">
        <v>7846</v>
      </c>
      <c r="B7848">
        <v>7847</v>
      </c>
      <c r="C7848" t="s">
        <v>7923</v>
      </c>
      <c r="D7848">
        <v>2012</v>
      </c>
      <c r="F7848" t="s">
        <v>3226</v>
      </c>
      <c r="G7848">
        <v>0</v>
      </c>
      <c r="H7848">
        <v>0</v>
      </c>
      <c r="I7848">
        <v>1</v>
      </c>
      <c r="J7848">
        <v>0</v>
      </c>
      <c r="K7848">
        <v>0</v>
      </c>
      <c r="L7848">
        <f t="shared" si="244"/>
        <v>4</v>
      </c>
      <c r="M7848">
        <f t="shared" si="245"/>
        <v>1</v>
      </c>
    </row>
    <row r="7849" spans="1:13" x14ac:dyDescent="0.3">
      <c r="A7849">
        <v>7847</v>
      </c>
      <c r="B7849">
        <v>7848</v>
      </c>
      <c r="C7849" t="s">
        <v>7924</v>
      </c>
      <c r="D7849">
        <v>1978</v>
      </c>
      <c r="E7849" t="s">
        <v>11</v>
      </c>
      <c r="F7849" t="s">
        <v>3226</v>
      </c>
      <c r="G7849">
        <v>0</v>
      </c>
      <c r="H7849">
        <v>0</v>
      </c>
      <c r="I7849">
        <v>1</v>
      </c>
      <c r="J7849">
        <v>0</v>
      </c>
      <c r="K7849">
        <v>0</v>
      </c>
      <c r="L7849">
        <f t="shared" si="244"/>
        <v>4</v>
      </c>
      <c r="M7849">
        <f t="shared" si="245"/>
        <v>1</v>
      </c>
    </row>
    <row r="7850" spans="1:13" x14ac:dyDescent="0.3">
      <c r="A7850">
        <v>7848</v>
      </c>
      <c r="B7850">
        <v>7849</v>
      </c>
      <c r="C7850" t="s">
        <v>7925</v>
      </c>
      <c r="D7850">
        <v>2017</v>
      </c>
      <c r="F7850" t="s">
        <v>3226</v>
      </c>
      <c r="G7850">
        <v>0</v>
      </c>
      <c r="H7850">
        <v>0</v>
      </c>
      <c r="I7850">
        <v>1</v>
      </c>
      <c r="J7850">
        <v>0</v>
      </c>
      <c r="K7850">
        <v>0</v>
      </c>
      <c r="L7850">
        <f t="shared" si="244"/>
        <v>4</v>
      </c>
      <c r="M7850">
        <f t="shared" si="245"/>
        <v>1</v>
      </c>
    </row>
    <row r="7851" spans="1:13" x14ac:dyDescent="0.3">
      <c r="A7851">
        <v>7849</v>
      </c>
      <c r="B7851">
        <v>7850</v>
      </c>
      <c r="C7851" t="s">
        <v>7926</v>
      </c>
      <c r="D7851">
        <v>1995</v>
      </c>
      <c r="E7851" t="s">
        <v>11</v>
      </c>
      <c r="F7851" t="s">
        <v>3226</v>
      </c>
      <c r="G7851">
        <v>0</v>
      </c>
      <c r="H7851">
        <v>0</v>
      </c>
      <c r="I7851">
        <v>1</v>
      </c>
      <c r="J7851">
        <v>0</v>
      </c>
      <c r="K7851">
        <v>0</v>
      </c>
      <c r="L7851">
        <f t="shared" si="244"/>
        <v>4</v>
      </c>
      <c r="M7851">
        <f t="shared" si="245"/>
        <v>1</v>
      </c>
    </row>
    <row r="7852" spans="1:13" x14ac:dyDescent="0.3">
      <c r="A7852">
        <v>7850</v>
      </c>
      <c r="B7852">
        <v>7851</v>
      </c>
      <c r="C7852" t="s">
        <v>7927</v>
      </c>
      <c r="D7852">
        <v>2017</v>
      </c>
      <c r="E7852" t="s">
        <v>36</v>
      </c>
      <c r="F7852" t="s">
        <v>3226</v>
      </c>
      <c r="G7852">
        <v>0</v>
      </c>
      <c r="H7852">
        <v>0</v>
      </c>
      <c r="I7852">
        <v>1</v>
      </c>
      <c r="J7852">
        <v>0</v>
      </c>
      <c r="K7852">
        <v>0</v>
      </c>
      <c r="L7852">
        <f t="shared" si="244"/>
        <v>4</v>
      </c>
      <c r="M7852">
        <f t="shared" si="245"/>
        <v>1</v>
      </c>
    </row>
    <row r="7853" spans="1:13" x14ac:dyDescent="0.3">
      <c r="A7853">
        <v>7851</v>
      </c>
      <c r="B7853">
        <v>7852</v>
      </c>
      <c r="C7853" t="s">
        <v>7928</v>
      </c>
      <c r="D7853">
        <v>1967</v>
      </c>
      <c r="F7853" t="s">
        <v>3226</v>
      </c>
      <c r="G7853">
        <v>0</v>
      </c>
      <c r="H7853">
        <v>0</v>
      </c>
      <c r="I7853">
        <v>1</v>
      </c>
      <c r="J7853">
        <v>0</v>
      </c>
      <c r="K7853">
        <v>0</v>
      </c>
      <c r="L7853">
        <f t="shared" si="244"/>
        <v>4</v>
      </c>
      <c r="M7853">
        <f t="shared" si="245"/>
        <v>1</v>
      </c>
    </row>
    <row r="7854" spans="1:13" x14ac:dyDescent="0.3">
      <c r="A7854">
        <v>7852</v>
      </c>
      <c r="B7854">
        <v>7853</v>
      </c>
      <c r="C7854" t="s">
        <v>7929</v>
      </c>
      <c r="D7854">
        <v>2019</v>
      </c>
      <c r="E7854" t="s">
        <v>22</v>
      </c>
      <c r="F7854" t="s">
        <v>3226</v>
      </c>
      <c r="G7854">
        <v>0</v>
      </c>
      <c r="H7854">
        <v>0</v>
      </c>
      <c r="I7854">
        <v>1</v>
      </c>
      <c r="J7854">
        <v>0</v>
      </c>
      <c r="K7854">
        <v>0</v>
      </c>
      <c r="L7854">
        <f t="shared" si="244"/>
        <v>4</v>
      </c>
      <c r="M7854">
        <f t="shared" si="245"/>
        <v>1</v>
      </c>
    </row>
    <row r="7855" spans="1:13" x14ac:dyDescent="0.3">
      <c r="A7855">
        <v>7853</v>
      </c>
      <c r="B7855">
        <v>7854</v>
      </c>
      <c r="C7855" t="s">
        <v>7930</v>
      </c>
      <c r="D7855">
        <v>1948</v>
      </c>
      <c r="F7855" t="s">
        <v>3226</v>
      </c>
      <c r="G7855">
        <v>0</v>
      </c>
      <c r="H7855">
        <v>0</v>
      </c>
      <c r="I7855">
        <v>1</v>
      </c>
      <c r="J7855">
        <v>0</v>
      </c>
      <c r="K7855">
        <v>0</v>
      </c>
      <c r="L7855">
        <f t="shared" si="244"/>
        <v>4</v>
      </c>
      <c r="M7855">
        <f t="shared" si="245"/>
        <v>1</v>
      </c>
    </row>
    <row r="7856" spans="1:13" x14ac:dyDescent="0.3">
      <c r="A7856">
        <v>7854</v>
      </c>
      <c r="B7856">
        <v>7855</v>
      </c>
      <c r="C7856" t="s">
        <v>7931</v>
      </c>
      <c r="D7856">
        <v>2020</v>
      </c>
      <c r="F7856" t="s">
        <v>3226</v>
      </c>
      <c r="G7856">
        <v>0</v>
      </c>
      <c r="H7856">
        <v>0</v>
      </c>
      <c r="I7856">
        <v>1</v>
      </c>
      <c r="J7856">
        <v>0</v>
      </c>
      <c r="K7856">
        <v>0</v>
      </c>
      <c r="L7856">
        <f t="shared" si="244"/>
        <v>4</v>
      </c>
      <c r="M7856">
        <f t="shared" si="245"/>
        <v>1</v>
      </c>
    </row>
    <row r="7857" spans="1:13" x14ac:dyDescent="0.3">
      <c r="A7857">
        <v>7855</v>
      </c>
      <c r="B7857">
        <v>7856</v>
      </c>
      <c r="C7857" t="s">
        <v>7932</v>
      </c>
      <c r="D7857">
        <v>1932</v>
      </c>
      <c r="F7857" t="s">
        <v>3226</v>
      </c>
      <c r="G7857">
        <v>0</v>
      </c>
      <c r="H7857">
        <v>0</v>
      </c>
      <c r="I7857">
        <v>1</v>
      </c>
      <c r="J7857">
        <v>0</v>
      </c>
      <c r="K7857">
        <v>0</v>
      </c>
      <c r="L7857">
        <f t="shared" si="244"/>
        <v>4</v>
      </c>
      <c r="M7857">
        <f t="shared" si="245"/>
        <v>1</v>
      </c>
    </row>
    <row r="7858" spans="1:13" x14ac:dyDescent="0.3">
      <c r="A7858">
        <v>7856</v>
      </c>
      <c r="B7858">
        <v>7857</v>
      </c>
      <c r="C7858" t="s">
        <v>7933</v>
      </c>
      <c r="D7858">
        <v>2010</v>
      </c>
      <c r="F7858" t="s">
        <v>3226</v>
      </c>
      <c r="G7858">
        <v>0</v>
      </c>
      <c r="H7858">
        <v>0</v>
      </c>
      <c r="I7858">
        <v>1</v>
      </c>
      <c r="J7858">
        <v>0</v>
      </c>
      <c r="K7858">
        <v>0</v>
      </c>
      <c r="L7858">
        <f t="shared" si="244"/>
        <v>4</v>
      </c>
      <c r="M7858">
        <f t="shared" si="245"/>
        <v>1</v>
      </c>
    </row>
    <row r="7859" spans="1:13" x14ac:dyDescent="0.3">
      <c r="A7859">
        <v>7857</v>
      </c>
      <c r="B7859">
        <v>7858</v>
      </c>
      <c r="C7859" t="s">
        <v>7934</v>
      </c>
      <c r="D7859">
        <v>2013</v>
      </c>
      <c r="F7859" t="s">
        <v>3226</v>
      </c>
      <c r="G7859">
        <v>0</v>
      </c>
      <c r="H7859">
        <v>0</v>
      </c>
      <c r="I7859">
        <v>1</v>
      </c>
      <c r="J7859">
        <v>0</v>
      </c>
      <c r="K7859">
        <v>0</v>
      </c>
      <c r="L7859">
        <f t="shared" si="244"/>
        <v>4</v>
      </c>
      <c r="M7859">
        <f t="shared" si="245"/>
        <v>1</v>
      </c>
    </row>
    <row r="7860" spans="1:13" x14ac:dyDescent="0.3">
      <c r="A7860">
        <v>7858</v>
      </c>
      <c r="B7860">
        <v>7859</v>
      </c>
      <c r="C7860" t="s">
        <v>7935</v>
      </c>
      <c r="D7860">
        <v>2015</v>
      </c>
      <c r="F7860" t="s">
        <v>3226</v>
      </c>
      <c r="G7860">
        <v>0</v>
      </c>
      <c r="H7860">
        <v>0</v>
      </c>
      <c r="I7860">
        <v>1</v>
      </c>
      <c r="J7860">
        <v>0</v>
      </c>
      <c r="K7860">
        <v>0</v>
      </c>
      <c r="L7860">
        <f t="shared" si="244"/>
        <v>4</v>
      </c>
      <c r="M7860">
        <f t="shared" si="245"/>
        <v>1</v>
      </c>
    </row>
    <row r="7861" spans="1:13" x14ac:dyDescent="0.3">
      <c r="A7861">
        <v>7859</v>
      </c>
      <c r="B7861">
        <v>7860</v>
      </c>
      <c r="C7861" t="s">
        <v>7936</v>
      </c>
      <c r="D7861">
        <v>2021</v>
      </c>
      <c r="F7861" t="s">
        <v>3226</v>
      </c>
      <c r="G7861">
        <v>0</v>
      </c>
      <c r="H7861">
        <v>0</v>
      </c>
      <c r="I7861">
        <v>1</v>
      </c>
      <c r="J7861">
        <v>0</v>
      </c>
      <c r="K7861">
        <v>0</v>
      </c>
      <c r="L7861">
        <f t="shared" si="244"/>
        <v>4</v>
      </c>
      <c r="M7861">
        <f t="shared" si="245"/>
        <v>1</v>
      </c>
    </row>
    <row r="7862" spans="1:13" x14ac:dyDescent="0.3">
      <c r="A7862">
        <v>7860</v>
      </c>
      <c r="B7862">
        <v>7861</v>
      </c>
      <c r="C7862" t="s">
        <v>7937</v>
      </c>
      <c r="D7862">
        <v>1992</v>
      </c>
      <c r="F7862" t="s">
        <v>3226</v>
      </c>
      <c r="G7862">
        <v>0</v>
      </c>
      <c r="H7862">
        <v>0</v>
      </c>
      <c r="I7862">
        <v>1</v>
      </c>
      <c r="J7862">
        <v>0</v>
      </c>
      <c r="K7862">
        <v>0</v>
      </c>
      <c r="L7862">
        <f t="shared" si="244"/>
        <v>4</v>
      </c>
      <c r="M7862">
        <f t="shared" si="245"/>
        <v>1</v>
      </c>
    </row>
    <row r="7863" spans="1:13" x14ac:dyDescent="0.3">
      <c r="A7863">
        <v>7861</v>
      </c>
      <c r="B7863">
        <v>7862</v>
      </c>
      <c r="C7863" t="s">
        <v>7938</v>
      </c>
      <c r="D7863">
        <v>2013</v>
      </c>
      <c r="F7863" t="s">
        <v>3226</v>
      </c>
      <c r="G7863">
        <v>0</v>
      </c>
      <c r="H7863">
        <v>0</v>
      </c>
      <c r="I7863">
        <v>1</v>
      </c>
      <c r="J7863">
        <v>0</v>
      </c>
      <c r="K7863">
        <v>0</v>
      </c>
      <c r="L7863">
        <f t="shared" si="244"/>
        <v>4</v>
      </c>
      <c r="M7863">
        <f t="shared" si="245"/>
        <v>1</v>
      </c>
    </row>
    <row r="7864" spans="1:13" x14ac:dyDescent="0.3">
      <c r="A7864">
        <v>7862</v>
      </c>
      <c r="B7864">
        <v>7863</v>
      </c>
      <c r="C7864" t="s">
        <v>7939</v>
      </c>
      <c r="D7864">
        <v>1988</v>
      </c>
      <c r="E7864" t="s">
        <v>11</v>
      </c>
      <c r="F7864" t="s">
        <v>3226</v>
      </c>
      <c r="G7864">
        <v>0</v>
      </c>
      <c r="H7864">
        <v>0</v>
      </c>
      <c r="I7864">
        <v>1</v>
      </c>
      <c r="J7864">
        <v>0</v>
      </c>
      <c r="K7864">
        <v>0</v>
      </c>
      <c r="L7864">
        <f t="shared" si="244"/>
        <v>4</v>
      </c>
      <c r="M7864">
        <f t="shared" si="245"/>
        <v>1</v>
      </c>
    </row>
    <row r="7865" spans="1:13" x14ac:dyDescent="0.3">
      <c r="A7865">
        <v>7863</v>
      </c>
      <c r="B7865">
        <v>7864</v>
      </c>
      <c r="C7865" t="s">
        <v>7940</v>
      </c>
      <c r="D7865">
        <v>1942</v>
      </c>
      <c r="F7865" t="s">
        <v>3226</v>
      </c>
      <c r="G7865">
        <v>0</v>
      </c>
      <c r="H7865">
        <v>0</v>
      </c>
      <c r="I7865">
        <v>1</v>
      </c>
      <c r="J7865">
        <v>0</v>
      </c>
      <c r="K7865">
        <v>0</v>
      </c>
      <c r="L7865">
        <f t="shared" si="244"/>
        <v>4</v>
      </c>
      <c r="M7865">
        <f t="shared" si="245"/>
        <v>1</v>
      </c>
    </row>
    <row r="7866" spans="1:13" x14ac:dyDescent="0.3">
      <c r="A7866">
        <v>7864</v>
      </c>
      <c r="B7866">
        <v>7865</v>
      </c>
      <c r="C7866" t="s">
        <v>7941</v>
      </c>
      <c r="D7866">
        <v>2011</v>
      </c>
      <c r="F7866" t="s">
        <v>3226</v>
      </c>
      <c r="G7866">
        <v>0</v>
      </c>
      <c r="H7866">
        <v>0</v>
      </c>
      <c r="I7866">
        <v>1</v>
      </c>
      <c r="J7866">
        <v>0</v>
      </c>
      <c r="K7866">
        <v>0</v>
      </c>
      <c r="L7866">
        <f t="shared" si="244"/>
        <v>4</v>
      </c>
      <c r="M7866">
        <f t="shared" si="245"/>
        <v>1</v>
      </c>
    </row>
    <row r="7867" spans="1:13" x14ac:dyDescent="0.3">
      <c r="A7867">
        <v>7865</v>
      </c>
      <c r="B7867">
        <v>7866</v>
      </c>
      <c r="C7867" t="s">
        <v>7942</v>
      </c>
      <c r="D7867">
        <v>1939</v>
      </c>
      <c r="F7867" t="s">
        <v>3226</v>
      </c>
      <c r="G7867">
        <v>0</v>
      </c>
      <c r="H7867">
        <v>0</v>
      </c>
      <c r="I7867">
        <v>1</v>
      </c>
      <c r="J7867">
        <v>0</v>
      </c>
      <c r="K7867">
        <v>0</v>
      </c>
      <c r="L7867">
        <f t="shared" si="244"/>
        <v>4</v>
      </c>
      <c r="M7867">
        <f t="shared" si="245"/>
        <v>1</v>
      </c>
    </row>
    <row r="7868" spans="1:13" x14ac:dyDescent="0.3">
      <c r="A7868">
        <v>7866</v>
      </c>
      <c r="B7868">
        <v>7867</v>
      </c>
      <c r="C7868" t="s">
        <v>7943</v>
      </c>
      <c r="D7868">
        <v>2013</v>
      </c>
      <c r="F7868" t="s">
        <v>3226</v>
      </c>
      <c r="G7868">
        <v>0</v>
      </c>
      <c r="H7868">
        <v>0</v>
      </c>
      <c r="I7868">
        <v>1</v>
      </c>
      <c r="J7868">
        <v>0</v>
      </c>
      <c r="K7868">
        <v>0</v>
      </c>
      <c r="L7868">
        <f t="shared" si="244"/>
        <v>4</v>
      </c>
      <c r="M7868">
        <f t="shared" si="245"/>
        <v>1</v>
      </c>
    </row>
    <row r="7869" spans="1:13" x14ac:dyDescent="0.3">
      <c r="A7869">
        <v>7867</v>
      </c>
      <c r="B7869">
        <v>7868</v>
      </c>
      <c r="C7869" t="s">
        <v>7944</v>
      </c>
      <c r="D7869">
        <v>2017</v>
      </c>
      <c r="F7869" t="s">
        <v>3226</v>
      </c>
      <c r="G7869">
        <v>0</v>
      </c>
      <c r="H7869">
        <v>0</v>
      </c>
      <c r="I7869">
        <v>1</v>
      </c>
      <c r="J7869">
        <v>0</v>
      </c>
      <c r="K7869">
        <v>0</v>
      </c>
      <c r="L7869">
        <f t="shared" si="244"/>
        <v>4</v>
      </c>
      <c r="M7869">
        <f t="shared" si="245"/>
        <v>1</v>
      </c>
    </row>
    <row r="7870" spans="1:13" x14ac:dyDescent="0.3">
      <c r="A7870">
        <v>7868</v>
      </c>
      <c r="B7870">
        <v>7869</v>
      </c>
      <c r="C7870" t="s">
        <v>7945</v>
      </c>
      <c r="D7870">
        <v>2016</v>
      </c>
      <c r="F7870" t="s">
        <v>3226</v>
      </c>
      <c r="G7870">
        <v>0</v>
      </c>
      <c r="H7870">
        <v>0</v>
      </c>
      <c r="I7870">
        <v>1</v>
      </c>
      <c r="J7870">
        <v>0</v>
      </c>
      <c r="K7870">
        <v>0</v>
      </c>
      <c r="L7870">
        <f t="shared" si="244"/>
        <v>4</v>
      </c>
      <c r="M7870">
        <f t="shared" si="245"/>
        <v>1</v>
      </c>
    </row>
    <row r="7871" spans="1:13" x14ac:dyDescent="0.3">
      <c r="A7871">
        <v>7869</v>
      </c>
      <c r="B7871">
        <v>7870</v>
      </c>
      <c r="C7871" t="s">
        <v>7946</v>
      </c>
      <c r="D7871">
        <v>1937</v>
      </c>
      <c r="F7871" t="s">
        <v>3226</v>
      </c>
      <c r="G7871">
        <v>0</v>
      </c>
      <c r="H7871">
        <v>0</v>
      </c>
      <c r="I7871">
        <v>1</v>
      </c>
      <c r="J7871">
        <v>0</v>
      </c>
      <c r="K7871">
        <v>0</v>
      </c>
      <c r="L7871">
        <f t="shared" si="244"/>
        <v>4</v>
      </c>
      <c r="M7871">
        <f t="shared" si="245"/>
        <v>1</v>
      </c>
    </row>
    <row r="7872" spans="1:13" x14ac:dyDescent="0.3">
      <c r="A7872">
        <v>7870</v>
      </c>
      <c r="B7872">
        <v>7871</v>
      </c>
      <c r="C7872" t="s">
        <v>7947</v>
      </c>
      <c r="D7872">
        <v>2018</v>
      </c>
      <c r="F7872" t="s">
        <v>3226</v>
      </c>
      <c r="G7872">
        <v>0</v>
      </c>
      <c r="H7872">
        <v>0</v>
      </c>
      <c r="I7872">
        <v>1</v>
      </c>
      <c r="J7872">
        <v>0</v>
      </c>
      <c r="K7872">
        <v>0</v>
      </c>
      <c r="L7872">
        <f t="shared" si="244"/>
        <v>4</v>
      </c>
      <c r="M7872">
        <f t="shared" si="245"/>
        <v>1</v>
      </c>
    </row>
    <row r="7873" spans="1:13" x14ac:dyDescent="0.3">
      <c r="A7873">
        <v>7871</v>
      </c>
      <c r="B7873">
        <v>7872</v>
      </c>
      <c r="C7873" t="s">
        <v>7948</v>
      </c>
      <c r="D7873">
        <v>2017</v>
      </c>
      <c r="E7873" t="s">
        <v>28</v>
      </c>
      <c r="F7873" t="s">
        <v>3226</v>
      </c>
      <c r="G7873">
        <v>0</v>
      </c>
      <c r="H7873">
        <v>0</v>
      </c>
      <c r="I7873">
        <v>1</v>
      </c>
      <c r="J7873">
        <v>0</v>
      </c>
      <c r="K7873">
        <v>0</v>
      </c>
      <c r="L7873">
        <f t="shared" si="244"/>
        <v>4</v>
      </c>
      <c r="M7873">
        <f t="shared" si="245"/>
        <v>1</v>
      </c>
    </row>
    <row r="7874" spans="1:13" x14ac:dyDescent="0.3">
      <c r="A7874">
        <v>7872</v>
      </c>
      <c r="B7874">
        <v>7873</v>
      </c>
      <c r="C7874" t="s">
        <v>7949</v>
      </c>
      <c r="D7874">
        <v>1967</v>
      </c>
      <c r="F7874" t="s">
        <v>3226</v>
      </c>
      <c r="G7874">
        <v>0</v>
      </c>
      <c r="H7874">
        <v>0</v>
      </c>
      <c r="I7874">
        <v>1</v>
      </c>
      <c r="J7874">
        <v>0</v>
      </c>
      <c r="K7874">
        <v>0</v>
      </c>
      <c r="L7874">
        <f t="shared" si="244"/>
        <v>4</v>
      </c>
      <c r="M7874">
        <f t="shared" si="245"/>
        <v>1</v>
      </c>
    </row>
    <row r="7875" spans="1:13" x14ac:dyDescent="0.3">
      <c r="A7875">
        <v>7873</v>
      </c>
      <c r="B7875">
        <v>7874</v>
      </c>
      <c r="C7875" t="s">
        <v>7950</v>
      </c>
      <c r="D7875">
        <v>2013</v>
      </c>
      <c r="E7875" t="s">
        <v>11</v>
      </c>
      <c r="F7875" t="s">
        <v>3226</v>
      </c>
      <c r="G7875">
        <v>0</v>
      </c>
      <c r="H7875">
        <v>0</v>
      </c>
      <c r="I7875">
        <v>1</v>
      </c>
      <c r="J7875">
        <v>0</v>
      </c>
      <c r="K7875">
        <v>0</v>
      </c>
      <c r="L7875">
        <f t="shared" ref="L7875:L7938" si="246">IFERROR(VALUE(LEFT(F7875,FIND("/",F7875)-1))/10,"")</f>
        <v>4</v>
      </c>
      <c r="M7875">
        <f t="shared" ref="M7875:M7938" si="247">SUM(G7875:J7875)</f>
        <v>1</v>
      </c>
    </row>
    <row r="7876" spans="1:13" x14ac:dyDescent="0.3">
      <c r="A7876">
        <v>7874</v>
      </c>
      <c r="B7876">
        <v>7875</v>
      </c>
      <c r="C7876" t="s">
        <v>7951</v>
      </c>
      <c r="D7876">
        <v>2013</v>
      </c>
      <c r="F7876" t="s">
        <v>3226</v>
      </c>
      <c r="G7876">
        <v>0</v>
      </c>
      <c r="H7876">
        <v>0</v>
      </c>
      <c r="I7876">
        <v>1</v>
      </c>
      <c r="J7876">
        <v>0</v>
      </c>
      <c r="K7876">
        <v>0</v>
      </c>
      <c r="L7876">
        <f t="shared" si="246"/>
        <v>4</v>
      </c>
      <c r="M7876">
        <f t="shared" si="247"/>
        <v>1</v>
      </c>
    </row>
    <row r="7877" spans="1:13" x14ac:dyDescent="0.3">
      <c r="A7877">
        <v>7875</v>
      </c>
      <c r="B7877">
        <v>7876</v>
      </c>
      <c r="C7877" t="s">
        <v>7952</v>
      </c>
      <c r="D7877">
        <v>2003</v>
      </c>
      <c r="F7877" t="s">
        <v>3226</v>
      </c>
      <c r="G7877">
        <v>0</v>
      </c>
      <c r="H7877">
        <v>0</v>
      </c>
      <c r="I7877">
        <v>1</v>
      </c>
      <c r="J7877">
        <v>0</v>
      </c>
      <c r="K7877">
        <v>0</v>
      </c>
      <c r="L7877">
        <f t="shared" si="246"/>
        <v>4</v>
      </c>
      <c r="M7877">
        <f t="shared" si="247"/>
        <v>1</v>
      </c>
    </row>
    <row r="7878" spans="1:13" x14ac:dyDescent="0.3">
      <c r="A7878">
        <v>7876</v>
      </c>
      <c r="B7878">
        <v>7877</v>
      </c>
      <c r="C7878" t="s">
        <v>7953</v>
      </c>
      <c r="D7878">
        <v>2011</v>
      </c>
      <c r="E7878" t="s">
        <v>11</v>
      </c>
      <c r="F7878" t="s">
        <v>3226</v>
      </c>
      <c r="G7878">
        <v>0</v>
      </c>
      <c r="H7878">
        <v>0</v>
      </c>
      <c r="I7878">
        <v>1</v>
      </c>
      <c r="J7878">
        <v>0</v>
      </c>
      <c r="K7878">
        <v>0</v>
      </c>
      <c r="L7878">
        <f t="shared" si="246"/>
        <v>4</v>
      </c>
      <c r="M7878">
        <f t="shared" si="247"/>
        <v>1</v>
      </c>
    </row>
    <row r="7879" spans="1:13" x14ac:dyDescent="0.3">
      <c r="A7879">
        <v>7877</v>
      </c>
      <c r="B7879">
        <v>7878</v>
      </c>
      <c r="C7879" t="s">
        <v>7954</v>
      </c>
      <c r="D7879">
        <v>2016</v>
      </c>
      <c r="F7879" t="s">
        <v>3226</v>
      </c>
      <c r="G7879">
        <v>0</v>
      </c>
      <c r="H7879">
        <v>0</v>
      </c>
      <c r="I7879">
        <v>1</v>
      </c>
      <c r="J7879">
        <v>0</v>
      </c>
      <c r="K7879">
        <v>0</v>
      </c>
      <c r="L7879">
        <f t="shared" si="246"/>
        <v>4</v>
      </c>
      <c r="M7879">
        <f t="shared" si="247"/>
        <v>1</v>
      </c>
    </row>
    <row r="7880" spans="1:13" x14ac:dyDescent="0.3">
      <c r="A7880">
        <v>7878</v>
      </c>
      <c r="B7880">
        <v>7879</v>
      </c>
      <c r="C7880" t="s">
        <v>7955</v>
      </c>
      <c r="D7880">
        <v>2017</v>
      </c>
      <c r="F7880" t="s">
        <v>3226</v>
      </c>
      <c r="G7880">
        <v>0</v>
      </c>
      <c r="H7880">
        <v>0</v>
      </c>
      <c r="I7880">
        <v>1</v>
      </c>
      <c r="J7880">
        <v>0</v>
      </c>
      <c r="K7880">
        <v>0</v>
      </c>
      <c r="L7880">
        <f t="shared" si="246"/>
        <v>4</v>
      </c>
      <c r="M7880">
        <f t="shared" si="247"/>
        <v>1</v>
      </c>
    </row>
    <row r="7881" spans="1:13" x14ac:dyDescent="0.3">
      <c r="A7881">
        <v>7879</v>
      </c>
      <c r="B7881">
        <v>7880</v>
      </c>
      <c r="C7881" t="s">
        <v>7956</v>
      </c>
      <c r="D7881">
        <v>2013</v>
      </c>
      <c r="F7881" t="s">
        <v>3226</v>
      </c>
      <c r="G7881">
        <v>0</v>
      </c>
      <c r="H7881">
        <v>0</v>
      </c>
      <c r="I7881">
        <v>1</v>
      </c>
      <c r="J7881">
        <v>0</v>
      </c>
      <c r="K7881">
        <v>0</v>
      </c>
      <c r="L7881">
        <f t="shared" si="246"/>
        <v>4</v>
      </c>
      <c r="M7881">
        <f t="shared" si="247"/>
        <v>1</v>
      </c>
    </row>
    <row r="7882" spans="1:13" x14ac:dyDescent="0.3">
      <c r="A7882">
        <v>7880</v>
      </c>
      <c r="B7882">
        <v>7881</v>
      </c>
      <c r="C7882" t="s">
        <v>7957</v>
      </c>
      <c r="D7882">
        <v>2007</v>
      </c>
      <c r="E7882" t="s">
        <v>22</v>
      </c>
      <c r="F7882" t="s">
        <v>3226</v>
      </c>
      <c r="G7882">
        <v>0</v>
      </c>
      <c r="H7882">
        <v>0</v>
      </c>
      <c r="I7882">
        <v>1</v>
      </c>
      <c r="J7882">
        <v>0</v>
      </c>
      <c r="K7882">
        <v>0</v>
      </c>
      <c r="L7882">
        <f t="shared" si="246"/>
        <v>4</v>
      </c>
      <c r="M7882">
        <f t="shared" si="247"/>
        <v>1</v>
      </c>
    </row>
    <row r="7883" spans="1:13" x14ac:dyDescent="0.3">
      <c r="A7883">
        <v>7881</v>
      </c>
      <c r="B7883">
        <v>7882</v>
      </c>
      <c r="C7883" t="s">
        <v>7958</v>
      </c>
      <c r="D7883">
        <v>2020</v>
      </c>
      <c r="F7883" t="s">
        <v>3226</v>
      </c>
      <c r="G7883">
        <v>0</v>
      </c>
      <c r="H7883">
        <v>0</v>
      </c>
      <c r="I7883">
        <v>1</v>
      </c>
      <c r="J7883">
        <v>0</v>
      </c>
      <c r="K7883">
        <v>0</v>
      </c>
      <c r="L7883">
        <f t="shared" si="246"/>
        <v>4</v>
      </c>
      <c r="M7883">
        <f t="shared" si="247"/>
        <v>1</v>
      </c>
    </row>
    <row r="7884" spans="1:13" x14ac:dyDescent="0.3">
      <c r="A7884">
        <v>7882</v>
      </c>
      <c r="B7884">
        <v>7883</v>
      </c>
      <c r="C7884" t="s">
        <v>7959</v>
      </c>
      <c r="D7884">
        <v>2008</v>
      </c>
      <c r="E7884" t="s">
        <v>11</v>
      </c>
      <c r="F7884" t="s">
        <v>3226</v>
      </c>
      <c r="G7884">
        <v>0</v>
      </c>
      <c r="H7884">
        <v>0</v>
      </c>
      <c r="I7884">
        <v>1</v>
      </c>
      <c r="J7884">
        <v>0</v>
      </c>
      <c r="K7884">
        <v>0</v>
      </c>
      <c r="L7884">
        <f t="shared" si="246"/>
        <v>4</v>
      </c>
      <c r="M7884">
        <f t="shared" si="247"/>
        <v>1</v>
      </c>
    </row>
    <row r="7885" spans="1:13" x14ac:dyDescent="0.3">
      <c r="A7885">
        <v>7883</v>
      </c>
      <c r="B7885">
        <v>7884</v>
      </c>
      <c r="C7885" t="s">
        <v>7960</v>
      </c>
      <c r="D7885">
        <v>1934</v>
      </c>
      <c r="F7885" t="s">
        <v>3226</v>
      </c>
      <c r="G7885">
        <v>0</v>
      </c>
      <c r="H7885">
        <v>0</v>
      </c>
      <c r="I7885">
        <v>1</v>
      </c>
      <c r="J7885">
        <v>0</v>
      </c>
      <c r="K7885">
        <v>0</v>
      </c>
      <c r="L7885">
        <f t="shared" si="246"/>
        <v>4</v>
      </c>
      <c r="M7885">
        <f t="shared" si="247"/>
        <v>1</v>
      </c>
    </row>
    <row r="7886" spans="1:13" x14ac:dyDescent="0.3">
      <c r="A7886">
        <v>7884</v>
      </c>
      <c r="B7886">
        <v>7885</v>
      </c>
      <c r="C7886" t="s">
        <v>7961</v>
      </c>
      <c r="D7886">
        <v>2016</v>
      </c>
      <c r="F7886" t="s">
        <v>3226</v>
      </c>
      <c r="G7886">
        <v>0</v>
      </c>
      <c r="H7886">
        <v>0</v>
      </c>
      <c r="I7886">
        <v>1</v>
      </c>
      <c r="J7886">
        <v>0</v>
      </c>
      <c r="K7886">
        <v>0</v>
      </c>
      <c r="L7886">
        <f t="shared" si="246"/>
        <v>4</v>
      </c>
      <c r="M7886">
        <f t="shared" si="247"/>
        <v>1</v>
      </c>
    </row>
    <row r="7887" spans="1:13" x14ac:dyDescent="0.3">
      <c r="A7887">
        <v>7885</v>
      </c>
      <c r="B7887">
        <v>7886</v>
      </c>
      <c r="C7887" t="s">
        <v>7962</v>
      </c>
      <c r="D7887">
        <v>2004</v>
      </c>
      <c r="F7887" t="s">
        <v>3226</v>
      </c>
      <c r="G7887">
        <v>0</v>
      </c>
      <c r="H7887">
        <v>0</v>
      </c>
      <c r="I7887">
        <v>1</v>
      </c>
      <c r="J7887">
        <v>0</v>
      </c>
      <c r="K7887">
        <v>0</v>
      </c>
      <c r="L7887">
        <f t="shared" si="246"/>
        <v>4</v>
      </c>
      <c r="M7887">
        <f t="shared" si="247"/>
        <v>1</v>
      </c>
    </row>
    <row r="7888" spans="1:13" x14ac:dyDescent="0.3">
      <c r="A7888">
        <v>7886</v>
      </c>
      <c r="B7888">
        <v>7887</v>
      </c>
      <c r="C7888" t="s">
        <v>7963</v>
      </c>
      <c r="D7888">
        <v>1936</v>
      </c>
      <c r="F7888" t="s">
        <v>3226</v>
      </c>
      <c r="G7888">
        <v>0</v>
      </c>
      <c r="H7888">
        <v>0</v>
      </c>
      <c r="I7888">
        <v>1</v>
      </c>
      <c r="J7888">
        <v>0</v>
      </c>
      <c r="K7888">
        <v>0</v>
      </c>
      <c r="L7888">
        <f t="shared" si="246"/>
        <v>4</v>
      </c>
      <c r="M7888">
        <f t="shared" si="247"/>
        <v>1</v>
      </c>
    </row>
    <row r="7889" spans="1:13" x14ac:dyDescent="0.3">
      <c r="A7889">
        <v>7887</v>
      </c>
      <c r="B7889">
        <v>7888</v>
      </c>
      <c r="C7889" t="s">
        <v>7964</v>
      </c>
      <c r="D7889">
        <v>2019</v>
      </c>
      <c r="F7889" t="s">
        <v>3226</v>
      </c>
      <c r="G7889">
        <v>0</v>
      </c>
      <c r="H7889">
        <v>0</v>
      </c>
      <c r="I7889">
        <v>1</v>
      </c>
      <c r="J7889">
        <v>0</v>
      </c>
      <c r="K7889">
        <v>0</v>
      </c>
      <c r="L7889">
        <f t="shared" si="246"/>
        <v>4</v>
      </c>
      <c r="M7889">
        <f t="shared" si="247"/>
        <v>1</v>
      </c>
    </row>
    <row r="7890" spans="1:13" x14ac:dyDescent="0.3">
      <c r="A7890">
        <v>7888</v>
      </c>
      <c r="B7890">
        <v>7889</v>
      </c>
      <c r="C7890" t="s">
        <v>7965</v>
      </c>
      <c r="D7890">
        <v>1971</v>
      </c>
      <c r="E7890" t="s">
        <v>14</v>
      </c>
      <c r="F7890" t="s">
        <v>3226</v>
      </c>
      <c r="G7890">
        <v>0</v>
      </c>
      <c r="H7890">
        <v>0</v>
      </c>
      <c r="I7890">
        <v>1</v>
      </c>
      <c r="J7890">
        <v>0</v>
      </c>
      <c r="K7890">
        <v>0</v>
      </c>
      <c r="L7890">
        <f t="shared" si="246"/>
        <v>4</v>
      </c>
      <c r="M7890">
        <f t="shared" si="247"/>
        <v>1</v>
      </c>
    </row>
    <row r="7891" spans="1:13" x14ac:dyDescent="0.3">
      <c r="A7891">
        <v>7889</v>
      </c>
      <c r="B7891">
        <v>7890</v>
      </c>
      <c r="C7891" t="s">
        <v>7966</v>
      </c>
      <c r="D7891">
        <v>2019</v>
      </c>
      <c r="F7891" t="s">
        <v>3226</v>
      </c>
      <c r="G7891">
        <v>0</v>
      </c>
      <c r="H7891">
        <v>0</v>
      </c>
      <c r="I7891">
        <v>1</v>
      </c>
      <c r="J7891">
        <v>0</v>
      </c>
      <c r="K7891">
        <v>0</v>
      </c>
      <c r="L7891">
        <f t="shared" si="246"/>
        <v>4</v>
      </c>
      <c r="M7891">
        <f t="shared" si="247"/>
        <v>1</v>
      </c>
    </row>
    <row r="7892" spans="1:13" x14ac:dyDescent="0.3">
      <c r="A7892">
        <v>7890</v>
      </c>
      <c r="B7892">
        <v>7891</v>
      </c>
      <c r="C7892" t="s">
        <v>7967</v>
      </c>
      <c r="D7892">
        <v>1931</v>
      </c>
      <c r="F7892" t="s">
        <v>3226</v>
      </c>
      <c r="G7892">
        <v>0</v>
      </c>
      <c r="H7892">
        <v>0</v>
      </c>
      <c r="I7892">
        <v>1</v>
      </c>
      <c r="J7892">
        <v>0</v>
      </c>
      <c r="K7892">
        <v>0</v>
      </c>
      <c r="L7892">
        <f t="shared" si="246"/>
        <v>4</v>
      </c>
      <c r="M7892">
        <f t="shared" si="247"/>
        <v>1</v>
      </c>
    </row>
    <row r="7893" spans="1:13" x14ac:dyDescent="0.3">
      <c r="A7893">
        <v>7891</v>
      </c>
      <c r="B7893">
        <v>7892</v>
      </c>
      <c r="C7893" t="s">
        <v>7968</v>
      </c>
      <c r="D7893">
        <v>1946</v>
      </c>
      <c r="F7893" t="s">
        <v>3226</v>
      </c>
      <c r="G7893">
        <v>0</v>
      </c>
      <c r="H7893">
        <v>0</v>
      </c>
      <c r="I7893">
        <v>1</v>
      </c>
      <c r="J7893">
        <v>0</v>
      </c>
      <c r="K7893">
        <v>0</v>
      </c>
      <c r="L7893">
        <f t="shared" si="246"/>
        <v>4</v>
      </c>
      <c r="M7893">
        <f t="shared" si="247"/>
        <v>1</v>
      </c>
    </row>
    <row r="7894" spans="1:13" x14ac:dyDescent="0.3">
      <c r="A7894">
        <v>7892</v>
      </c>
      <c r="B7894">
        <v>7893</v>
      </c>
      <c r="C7894" t="s">
        <v>7969</v>
      </c>
      <c r="D7894">
        <v>1943</v>
      </c>
      <c r="F7894" t="s">
        <v>3226</v>
      </c>
      <c r="G7894">
        <v>0</v>
      </c>
      <c r="H7894">
        <v>0</v>
      </c>
      <c r="I7894">
        <v>1</v>
      </c>
      <c r="J7894">
        <v>0</v>
      </c>
      <c r="K7894">
        <v>0</v>
      </c>
      <c r="L7894">
        <f t="shared" si="246"/>
        <v>4</v>
      </c>
      <c r="M7894">
        <f t="shared" si="247"/>
        <v>1</v>
      </c>
    </row>
    <row r="7895" spans="1:13" x14ac:dyDescent="0.3">
      <c r="A7895">
        <v>7893</v>
      </c>
      <c r="B7895">
        <v>7894</v>
      </c>
      <c r="C7895" t="s">
        <v>7970</v>
      </c>
      <c r="D7895">
        <v>1954</v>
      </c>
      <c r="F7895" t="s">
        <v>3226</v>
      </c>
      <c r="G7895">
        <v>0</v>
      </c>
      <c r="H7895">
        <v>0</v>
      </c>
      <c r="I7895">
        <v>1</v>
      </c>
      <c r="J7895">
        <v>0</v>
      </c>
      <c r="K7895">
        <v>0</v>
      </c>
      <c r="L7895">
        <f t="shared" si="246"/>
        <v>4</v>
      </c>
      <c r="M7895">
        <f t="shared" si="247"/>
        <v>1</v>
      </c>
    </row>
    <row r="7896" spans="1:13" x14ac:dyDescent="0.3">
      <c r="A7896">
        <v>7894</v>
      </c>
      <c r="B7896">
        <v>7895</v>
      </c>
      <c r="C7896" t="s">
        <v>7971</v>
      </c>
      <c r="D7896">
        <v>2014</v>
      </c>
      <c r="F7896" t="s">
        <v>3226</v>
      </c>
      <c r="G7896">
        <v>0</v>
      </c>
      <c r="H7896">
        <v>0</v>
      </c>
      <c r="I7896">
        <v>1</v>
      </c>
      <c r="J7896">
        <v>0</v>
      </c>
      <c r="K7896">
        <v>0</v>
      </c>
      <c r="L7896">
        <f t="shared" si="246"/>
        <v>4</v>
      </c>
      <c r="M7896">
        <f t="shared" si="247"/>
        <v>1</v>
      </c>
    </row>
    <row r="7897" spans="1:13" x14ac:dyDescent="0.3">
      <c r="A7897">
        <v>7895</v>
      </c>
      <c r="B7897">
        <v>7896</v>
      </c>
      <c r="C7897" t="s">
        <v>7972</v>
      </c>
      <c r="D7897">
        <v>2019</v>
      </c>
      <c r="F7897" t="s">
        <v>3226</v>
      </c>
      <c r="G7897">
        <v>0</v>
      </c>
      <c r="H7897">
        <v>0</v>
      </c>
      <c r="I7897">
        <v>1</v>
      </c>
      <c r="J7897">
        <v>0</v>
      </c>
      <c r="K7897">
        <v>0</v>
      </c>
      <c r="L7897">
        <f t="shared" si="246"/>
        <v>4</v>
      </c>
      <c r="M7897">
        <f t="shared" si="247"/>
        <v>1</v>
      </c>
    </row>
    <row r="7898" spans="1:13" x14ac:dyDescent="0.3">
      <c r="A7898">
        <v>7896</v>
      </c>
      <c r="B7898">
        <v>7897</v>
      </c>
      <c r="C7898" t="s">
        <v>7973</v>
      </c>
      <c r="D7898">
        <v>2010</v>
      </c>
      <c r="F7898" t="s">
        <v>3226</v>
      </c>
      <c r="G7898">
        <v>0</v>
      </c>
      <c r="H7898">
        <v>0</v>
      </c>
      <c r="I7898">
        <v>1</v>
      </c>
      <c r="J7898">
        <v>0</v>
      </c>
      <c r="K7898">
        <v>0</v>
      </c>
      <c r="L7898">
        <f t="shared" si="246"/>
        <v>4</v>
      </c>
      <c r="M7898">
        <f t="shared" si="247"/>
        <v>1</v>
      </c>
    </row>
    <row r="7899" spans="1:13" x14ac:dyDescent="0.3">
      <c r="A7899">
        <v>7897</v>
      </c>
      <c r="B7899">
        <v>7898</v>
      </c>
      <c r="C7899" t="s">
        <v>7974</v>
      </c>
      <c r="D7899">
        <v>1979</v>
      </c>
      <c r="E7899" t="s">
        <v>11</v>
      </c>
      <c r="F7899" t="s">
        <v>3226</v>
      </c>
      <c r="G7899">
        <v>0</v>
      </c>
      <c r="H7899">
        <v>0</v>
      </c>
      <c r="I7899">
        <v>1</v>
      </c>
      <c r="J7899">
        <v>0</v>
      </c>
      <c r="K7899">
        <v>0</v>
      </c>
      <c r="L7899">
        <f t="shared" si="246"/>
        <v>4</v>
      </c>
      <c r="M7899">
        <f t="shared" si="247"/>
        <v>1</v>
      </c>
    </row>
    <row r="7900" spans="1:13" x14ac:dyDescent="0.3">
      <c r="A7900">
        <v>7898</v>
      </c>
      <c r="B7900">
        <v>7899</v>
      </c>
      <c r="C7900" t="s">
        <v>7975</v>
      </c>
      <c r="D7900">
        <v>2019</v>
      </c>
      <c r="E7900" t="s">
        <v>36</v>
      </c>
      <c r="F7900" t="s">
        <v>3226</v>
      </c>
      <c r="G7900">
        <v>0</v>
      </c>
      <c r="H7900">
        <v>0</v>
      </c>
      <c r="I7900">
        <v>1</v>
      </c>
      <c r="J7900">
        <v>0</v>
      </c>
      <c r="K7900">
        <v>0</v>
      </c>
      <c r="L7900">
        <f t="shared" si="246"/>
        <v>4</v>
      </c>
      <c r="M7900">
        <f t="shared" si="247"/>
        <v>1</v>
      </c>
    </row>
    <row r="7901" spans="1:13" x14ac:dyDescent="0.3">
      <c r="A7901">
        <v>7899</v>
      </c>
      <c r="B7901">
        <v>7900</v>
      </c>
      <c r="C7901" t="s">
        <v>7976</v>
      </c>
      <c r="D7901">
        <v>1972</v>
      </c>
      <c r="F7901" t="s">
        <v>3226</v>
      </c>
      <c r="G7901">
        <v>0</v>
      </c>
      <c r="H7901">
        <v>0</v>
      </c>
      <c r="I7901">
        <v>1</v>
      </c>
      <c r="J7901">
        <v>0</v>
      </c>
      <c r="K7901">
        <v>0</v>
      </c>
      <c r="L7901">
        <f t="shared" si="246"/>
        <v>4</v>
      </c>
      <c r="M7901">
        <f t="shared" si="247"/>
        <v>1</v>
      </c>
    </row>
    <row r="7902" spans="1:13" x14ac:dyDescent="0.3">
      <c r="A7902">
        <v>7900</v>
      </c>
      <c r="B7902">
        <v>7901</v>
      </c>
      <c r="C7902" t="s">
        <v>7977</v>
      </c>
      <c r="D7902">
        <v>2016</v>
      </c>
      <c r="F7902" t="s">
        <v>3226</v>
      </c>
      <c r="G7902">
        <v>0</v>
      </c>
      <c r="H7902">
        <v>0</v>
      </c>
      <c r="I7902">
        <v>1</v>
      </c>
      <c r="J7902">
        <v>0</v>
      </c>
      <c r="K7902">
        <v>0</v>
      </c>
      <c r="L7902">
        <f t="shared" si="246"/>
        <v>4</v>
      </c>
      <c r="M7902">
        <f t="shared" si="247"/>
        <v>1</v>
      </c>
    </row>
    <row r="7903" spans="1:13" x14ac:dyDescent="0.3">
      <c r="A7903">
        <v>7901</v>
      </c>
      <c r="B7903">
        <v>7902</v>
      </c>
      <c r="C7903" t="s">
        <v>7978</v>
      </c>
      <c r="D7903">
        <v>1996</v>
      </c>
      <c r="F7903" t="s">
        <v>3226</v>
      </c>
      <c r="G7903">
        <v>0</v>
      </c>
      <c r="H7903">
        <v>0</v>
      </c>
      <c r="I7903">
        <v>1</v>
      </c>
      <c r="J7903">
        <v>0</v>
      </c>
      <c r="K7903">
        <v>0</v>
      </c>
      <c r="L7903">
        <f t="shared" si="246"/>
        <v>4</v>
      </c>
      <c r="M7903">
        <f t="shared" si="247"/>
        <v>1</v>
      </c>
    </row>
    <row r="7904" spans="1:13" x14ac:dyDescent="0.3">
      <c r="A7904">
        <v>7902</v>
      </c>
      <c r="B7904">
        <v>7903</v>
      </c>
      <c r="C7904" t="s">
        <v>7979</v>
      </c>
      <c r="D7904">
        <v>2011</v>
      </c>
      <c r="E7904" t="s">
        <v>22</v>
      </c>
      <c r="F7904" t="s">
        <v>3226</v>
      </c>
      <c r="G7904">
        <v>0</v>
      </c>
      <c r="H7904">
        <v>0</v>
      </c>
      <c r="I7904">
        <v>1</v>
      </c>
      <c r="J7904">
        <v>0</v>
      </c>
      <c r="K7904">
        <v>0</v>
      </c>
      <c r="L7904">
        <f t="shared" si="246"/>
        <v>4</v>
      </c>
      <c r="M7904">
        <f t="shared" si="247"/>
        <v>1</v>
      </c>
    </row>
    <row r="7905" spans="1:13" x14ac:dyDescent="0.3">
      <c r="A7905">
        <v>7903</v>
      </c>
      <c r="B7905">
        <v>7904</v>
      </c>
      <c r="C7905" t="s">
        <v>7980</v>
      </c>
      <c r="D7905">
        <v>2012</v>
      </c>
      <c r="E7905" t="s">
        <v>11</v>
      </c>
      <c r="F7905" t="s">
        <v>3226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f t="shared" si="246"/>
        <v>4</v>
      </c>
      <c r="M7905">
        <f t="shared" si="247"/>
        <v>1</v>
      </c>
    </row>
    <row r="7906" spans="1:13" x14ac:dyDescent="0.3">
      <c r="A7906">
        <v>7904</v>
      </c>
      <c r="B7906">
        <v>7905</v>
      </c>
      <c r="C7906" t="s">
        <v>7981</v>
      </c>
      <c r="D7906">
        <v>2020</v>
      </c>
      <c r="E7906" t="s">
        <v>14</v>
      </c>
      <c r="F7906" t="s">
        <v>3226</v>
      </c>
      <c r="G7906">
        <v>0</v>
      </c>
      <c r="H7906">
        <v>0</v>
      </c>
      <c r="I7906">
        <v>1</v>
      </c>
      <c r="J7906">
        <v>0</v>
      </c>
      <c r="K7906">
        <v>0</v>
      </c>
      <c r="L7906">
        <f t="shared" si="246"/>
        <v>4</v>
      </c>
      <c r="M7906">
        <f t="shared" si="247"/>
        <v>1</v>
      </c>
    </row>
    <row r="7907" spans="1:13" x14ac:dyDescent="0.3">
      <c r="A7907">
        <v>7905</v>
      </c>
      <c r="B7907">
        <v>7906</v>
      </c>
      <c r="C7907" t="s">
        <v>7982</v>
      </c>
      <c r="D7907">
        <v>2008</v>
      </c>
      <c r="F7907" t="s">
        <v>3226</v>
      </c>
      <c r="G7907">
        <v>0</v>
      </c>
      <c r="H7907">
        <v>0</v>
      </c>
      <c r="I7907">
        <v>1</v>
      </c>
      <c r="J7907">
        <v>0</v>
      </c>
      <c r="K7907">
        <v>0</v>
      </c>
      <c r="L7907">
        <f t="shared" si="246"/>
        <v>4</v>
      </c>
      <c r="M7907">
        <f t="shared" si="247"/>
        <v>1</v>
      </c>
    </row>
    <row r="7908" spans="1:13" x14ac:dyDescent="0.3">
      <c r="A7908">
        <v>7906</v>
      </c>
      <c r="B7908">
        <v>7907</v>
      </c>
      <c r="C7908" t="s">
        <v>7983</v>
      </c>
      <c r="D7908">
        <v>2020</v>
      </c>
      <c r="F7908" t="s">
        <v>3226</v>
      </c>
      <c r="G7908">
        <v>0</v>
      </c>
      <c r="H7908">
        <v>0</v>
      </c>
      <c r="I7908">
        <v>1</v>
      </c>
      <c r="J7908">
        <v>0</v>
      </c>
      <c r="K7908">
        <v>0</v>
      </c>
      <c r="L7908">
        <f t="shared" si="246"/>
        <v>4</v>
      </c>
      <c r="M7908">
        <f t="shared" si="247"/>
        <v>1</v>
      </c>
    </row>
    <row r="7909" spans="1:13" x14ac:dyDescent="0.3">
      <c r="A7909">
        <v>7907</v>
      </c>
      <c r="B7909">
        <v>7908</v>
      </c>
      <c r="C7909" t="s">
        <v>7984</v>
      </c>
      <c r="D7909">
        <v>2019</v>
      </c>
      <c r="E7909" t="s">
        <v>11</v>
      </c>
      <c r="F7909" t="s">
        <v>3226</v>
      </c>
      <c r="G7909">
        <v>0</v>
      </c>
      <c r="H7909">
        <v>0</v>
      </c>
      <c r="I7909">
        <v>1</v>
      </c>
      <c r="J7909">
        <v>0</v>
      </c>
      <c r="K7909">
        <v>0</v>
      </c>
      <c r="L7909">
        <f t="shared" si="246"/>
        <v>4</v>
      </c>
      <c r="M7909">
        <f t="shared" si="247"/>
        <v>1</v>
      </c>
    </row>
    <row r="7910" spans="1:13" x14ac:dyDescent="0.3">
      <c r="A7910">
        <v>7908</v>
      </c>
      <c r="B7910">
        <v>7909</v>
      </c>
      <c r="C7910" t="s">
        <v>7985</v>
      </c>
      <c r="D7910">
        <v>1977</v>
      </c>
      <c r="E7910" t="s">
        <v>11</v>
      </c>
      <c r="F7910" t="s">
        <v>3226</v>
      </c>
      <c r="G7910">
        <v>0</v>
      </c>
      <c r="H7910">
        <v>0</v>
      </c>
      <c r="I7910">
        <v>1</v>
      </c>
      <c r="J7910">
        <v>0</v>
      </c>
      <c r="K7910">
        <v>0</v>
      </c>
      <c r="L7910">
        <f t="shared" si="246"/>
        <v>4</v>
      </c>
      <c r="M7910">
        <f t="shared" si="247"/>
        <v>1</v>
      </c>
    </row>
    <row r="7911" spans="1:13" x14ac:dyDescent="0.3">
      <c r="A7911">
        <v>7909</v>
      </c>
      <c r="B7911">
        <v>7910</v>
      </c>
      <c r="C7911" t="s">
        <v>7986</v>
      </c>
      <c r="D7911">
        <v>1989</v>
      </c>
      <c r="E7911" t="s">
        <v>11</v>
      </c>
      <c r="F7911" t="s">
        <v>3226</v>
      </c>
      <c r="G7911">
        <v>0</v>
      </c>
      <c r="H7911">
        <v>0</v>
      </c>
      <c r="I7911">
        <v>1</v>
      </c>
      <c r="J7911">
        <v>0</v>
      </c>
      <c r="K7911">
        <v>0</v>
      </c>
      <c r="L7911">
        <f t="shared" si="246"/>
        <v>4</v>
      </c>
      <c r="M7911">
        <f t="shared" si="247"/>
        <v>1</v>
      </c>
    </row>
    <row r="7912" spans="1:13" x14ac:dyDescent="0.3">
      <c r="A7912">
        <v>7910</v>
      </c>
      <c r="B7912">
        <v>7911</v>
      </c>
      <c r="C7912" t="s">
        <v>7987</v>
      </c>
      <c r="D7912">
        <v>2018</v>
      </c>
      <c r="E7912" t="s">
        <v>36</v>
      </c>
      <c r="F7912" t="s">
        <v>3226</v>
      </c>
      <c r="G7912">
        <v>0</v>
      </c>
      <c r="H7912">
        <v>0</v>
      </c>
      <c r="I7912">
        <v>1</v>
      </c>
      <c r="J7912">
        <v>0</v>
      </c>
      <c r="K7912">
        <v>0</v>
      </c>
      <c r="L7912">
        <f t="shared" si="246"/>
        <v>4</v>
      </c>
      <c r="M7912">
        <f t="shared" si="247"/>
        <v>1</v>
      </c>
    </row>
    <row r="7913" spans="1:13" x14ac:dyDescent="0.3">
      <c r="A7913">
        <v>7911</v>
      </c>
      <c r="B7913">
        <v>7912</v>
      </c>
      <c r="C7913" t="s">
        <v>7988</v>
      </c>
      <c r="D7913">
        <v>2009</v>
      </c>
      <c r="F7913" t="s">
        <v>3226</v>
      </c>
      <c r="G7913">
        <v>0</v>
      </c>
      <c r="H7913">
        <v>0</v>
      </c>
      <c r="I7913">
        <v>1</v>
      </c>
      <c r="J7913">
        <v>0</v>
      </c>
      <c r="K7913">
        <v>0</v>
      </c>
      <c r="L7913">
        <f t="shared" si="246"/>
        <v>4</v>
      </c>
      <c r="M7913">
        <f t="shared" si="247"/>
        <v>1</v>
      </c>
    </row>
    <row r="7914" spans="1:13" x14ac:dyDescent="0.3">
      <c r="A7914">
        <v>7912</v>
      </c>
      <c r="B7914">
        <v>7913</v>
      </c>
      <c r="C7914" t="s">
        <v>7989</v>
      </c>
      <c r="D7914">
        <v>2020</v>
      </c>
      <c r="E7914" t="s">
        <v>11</v>
      </c>
      <c r="F7914" t="s">
        <v>3226</v>
      </c>
      <c r="G7914">
        <v>0</v>
      </c>
      <c r="H7914">
        <v>0</v>
      </c>
      <c r="I7914">
        <v>1</v>
      </c>
      <c r="J7914">
        <v>0</v>
      </c>
      <c r="K7914">
        <v>0</v>
      </c>
      <c r="L7914">
        <f t="shared" si="246"/>
        <v>4</v>
      </c>
      <c r="M7914">
        <f t="shared" si="247"/>
        <v>1</v>
      </c>
    </row>
    <row r="7915" spans="1:13" x14ac:dyDescent="0.3">
      <c r="A7915">
        <v>7913</v>
      </c>
      <c r="B7915">
        <v>7914</v>
      </c>
      <c r="C7915" t="s">
        <v>7990</v>
      </c>
      <c r="D7915">
        <v>1982</v>
      </c>
      <c r="F7915" t="s">
        <v>3226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f t="shared" si="246"/>
        <v>4</v>
      </c>
      <c r="M7915">
        <f t="shared" si="247"/>
        <v>1</v>
      </c>
    </row>
    <row r="7916" spans="1:13" x14ac:dyDescent="0.3">
      <c r="A7916">
        <v>7914</v>
      </c>
      <c r="B7916">
        <v>7915</v>
      </c>
      <c r="C7916" t="s">
        <v>7991</v>
      </c>
      <c r="D7916">
        <v>2011</v>
      </c>
      <c r="F7916" t="s">
        <v>3226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f t="shared" si="246"/>
        <v>4</v>
      </c>
      <c r="M7916">
        <f t="shared" si="247"/>
        <v>1</v>
      </c>
    </row>
    <row r="7917" spans="1:13" x14ac:dyDescent="0.3">
      <c r="A7917">
        <v>7915</v>
      </c>
      <c r="B7917">
        <v>7916</v>
      </c>
      <c r="C7917" t="s">
        <v>7992</v>
      </c>
      <c r="D7917">
        <v>1931</v>
      </c>
      <c r="F7917" t="s">
        <v>3226</v>
      </c>
      <c r="G7917">
        <v>0</v>
      </c>
      <c r="H7917">
        <v>0</v>
      </c>
      <c r="I7917">
        <v>1</v>
      </c>
      <c r="J7917">
        <v>0</v>
      </c>
      <c r="K7917">
        <v>0</v>
      </c>
      <c r="L7917">
        <f t="shared" si="246"/>
        <v>4</v>
      </c>
      <c r="M7917">
        <f t="shared" si="247"/>
        <v>1</v>
      </c>
    </row>
    <row r="7918" spans="1:13" x14ac:dyDescent="0.3">
      <c r="A7918">
        <v>7916</v>
      </c>
      <c r="B7918">
        <v>7917</v>
      </c>
      <c r="C7918" t="s">
        <v>7993</v>
      </c>
      <c r="D7918">
        <v>2019</v>
      </c>
      <c r="F7918" t="s">
        <v>3226</v>
      </c>
      <c r="G7918">
        <v>0</v>
      </c>
      <c r="H7918">
        <v>0</v>
      </c>
      <c r="I7918">
        <v>1</v>
      </c>
      <c r="J7918">
        <v>0</v>
      </c>
      <c r="K7918">
        <v>0</v>
      </c>
      <c r="L7918">
        <f t="shared" si="246"/>
        <v>4</v>
      </c>
      <c r="M7918">
        <f t="shared" si="247"/>
        <v>1</v>
      </c>
    </row>
    <row r="7919" spans="1:13" x14ac:dyDescent="0.3">
      <c r="A7919">
        <v>7917</v>
      </c>
      <c r="B7919">
        <v>7918</v>
      </c>
      <c r="C7919" t="s">
        <v>7994</v>
      </c>
      <c r="D7919">
        <v>1941</v>
      </c>
      <c r="F7919" t="s">
        <v>3226</v>
      </c>
      <c r="G7919">
        <v>0</v>
      </c>
      <c r="H7919">
        <v>0</v>
      </c>
      <c r="I7919">
        <v>1</v>
      </c>
      <c r="J7919">
        <v>0</v>
      </c>
      <c r="K7919">
        <v>0</v>
      </c>
      <c r="L7919">
        <f t="shared" si="246"/>
        <v>4</v>
      </c>
      <c r="M7919">
        <f t="shared" si="247"/>
        <v>1</v>
      </c>
    </row>
    <row r="7920" spans="1:13" x14ac:dyDescent="0.3">
      <c r="A7920">
        <v>7918</v>
      </c>
      <c r="B7920">
        <v>7919</v>
      </c>
      <c r="C7920" t="s">
        <v>7995</v>
      </c>
      <c r="D7920">
        <v>2017</v>
      </c>
      <c r="F7920" t="s">
        <v>3226</v>
      </c>
      <c r="G7920">
        <v>0</v>
      </c>
      <c r="H7920">
        <v>0</v>
      </c>
      <c r="I7920">
        <v>1</v>
      </c>
      <c r="J7920">
        <v>0</v>
      </c>
      <c r="K7920">
        <v>0</v>
      </c>
      <c r="L7920">
        <f t="shared" si="246"/>
        <v>4</v>
      </c>
      <c r="M7920">
        <f t="shared" si="247"/>
        <v>1</v>
      </c>
    </row>
    <row r="7921" spans="1:13" x14ac:dyDescent="0.3">
      <c r="A7921">
        <v>7919</v>
      </c>
      <c r="B7921">
        <v>7920</v>
      </c>
      <c r="C7921" t="s">
        <v>7996</v>
      </c>
      <c r="D7921">
        <v>2004</v>
      </c>
      <c r="F7921" t="s">
        <v>3226</v>
      </c>
      <c r="G7921">
        <v>0</v>
      </c>
      <c r="H7921">
        <v>0</v>
      </c>
      <c r="I7921">
        <v>1</v>
      </c>
      <c r="J7921">
        <v>0</v>
      </c>
      <c r="K7921">
        <v>0</v>
      </c>
      <c r="L7921">
        <f t="shared" si="246"/>
        <v>4</v>
      </c>
      <c r="M7921">
        <f t="shared" si="247"/>
        <v>1</v>
      </c>
    </row>
    <row r="7922" spans="1:13" x14ac:dyDescent="0.3">
      <c r="A7922">
        <v>7920</v>
      </c>
      <c r="B7922">
        <v>7921</v>
      </c>
      <c r="C7922" t="s">
        <v>7997</v>
      </c>
      <c r="D7922">
        <v>2016</v>
      </c>
      <c r="E7922" t="s">
        <v>11</v>
      </c>
      <c r="F7922" t="s">
        <v>3226</v>
      </c>
      <c r="G7922">
        <v>0</v>
      </c>
      <c r="H7922">
        <v>0</v>
      </c>
      <c r="I7922">
        <v>1</v>
      </c>
      <c r="J7922">
        <v>0</v>
      </c>
      <c r="K7922">
        <v>0</v>
      </c>
      <c r="L7922">
        <f t="shared" si="246"/>
        <v>4</v>
      </c>
      <c r="M7922">
        <f t="shared" si="247"/>
        <v>1</v>
      </c>
    </row>
    <row r="7923" spans="1:13" x14ac:dyDescent="0.3">
      <c r="A7923">
        <v>7921</v>
      </c>
      <c r="B7923">
        <v>7922</v>
      </c>
      <c r="C7923" t="s">
        <v>7998</v>
      </c>
      <c r="D7923">
        <v>2010</v>
      </c>
      <c r="E7923" t="s">
        <v>11</v>
      </c>
      <c r="F7923" t="s">
        <v>3226</v>
      </c>
      <c r="G7923">
        <v>0</v>
      </c>
      <c r="H7923">
        <v>0</v>
      </c>
      <c r="I7923">
        <v>1</v>
      </c>
      <c r="J7923">
        <v>0</v>
      </c>
      <c r="K7923">
        <v>0</v>
      </c>
      <c r="L7923">
        <f t="shared" si="246"/>
        <v>4</v>
      </c>
      <c r="M7923">
        <f t="shared" si="247"/>
        <v>1</v>
      </c>
    </row>
    <row r="7924" spans="1:13" x14ac:dyDescent="0.3">
      <c r="A7924">
        <v>7922</v>
      </c>
      <c r="B7924">
        <v>7923</v>
      </c>
      <c r="C7924" t="s">
        <v>7999</v>
      </c>
      <c r="D7924">
        <v>1980</v>
      </c>
      <c r="E7924" t="s">
        <v>14</v>
      </c>
      <c r="F7924" t="s">
        <v>3226</v>
      </c>
      <c r="G7924">
        <v>0</v>
      </c>
      <c r="H7924">
        <v>0</v>
      </c>
      <c r="I7924">
        <v>1</v>
      </c>
      <c r="J7924">
        <v>0</v>
      </c>
      <c r="K7924">
        <v>0</v>
      </c>
      <c r="L7924">
        <f t="shared" si="246"/>
        <v>4</v>
      </c>
      <c r="M7924">
        <f t="shared" si="247"/>
        <v>1</v>
      </c>
    </row>
    <row r="7925" spans="1:13" x14ac:dyDescent="0.3">
      <c r="A7925">
        <v>7923</v>
      </c>
      <c r="B7925">
        <v>7924</v>
      </c>
      <c r="C7925" t="s">
        <v>8000</v>
      </c>
      <c r="D7925">
        <v>1989</v>
      </c>
      <c r="F7925" t="s">
        <v>3226</v>
      </c>
      <c r="G7925">
        <v>0</v>
      </c>
      <c r="H7925">
        <v>0</v>
      </c>
      <c r="I7925">
        <v>1</v>
      </c>
      <c r="J7925">
        <v>0</v>
      </c>
      <c r="K7925">
        <v>0</v>
      </c>
      <c r="L7925">
        <f t="shared" si="246"/>
        <v>4</v>
      </c>
      <c r="M7925">
        <f t="shared" si="247"/>
        <v>1</v>
      </c>
    </row>
    <row r="7926" spans="1:13" x14ac:dyDescent="0.3">
      <c r="A7926">
        <v>7924</v>
      </c>
      <c r="B7926">
        <v>7925</v>
      </c>
      <c r="C7926" t="s">
        <v>8001</v>
      </c>
      <c r="D7926">
        <v>2020</v>
      </c>
      <c r="F7926" t="s">
        <v>3226</v>
      </c>
      <c r="G7926">
        <v>0</v>
      </c>
      <c r="H7926">
        <v>0</v>
      </c>
      <c r="I7926">
        <v>1</v>
      </c>
      <c r="J7926">
        <v>0</v>
      </c>
      <c r="K7926">
        <v>0</v>
      </c>
      <c r="L7926">
        <f t="shared" si="246"/>
        <v>4</v>
      </c>
      <c r="M7926">
        <f t="shared" si="247"/>
        <v>1</v>
      </c>
    </row>
    <row r="7927" spans="1:13" x14ac:dyDescent="0.3">
      <c r="A7927">
        <v>7925</v>
      </c>
      <c r="B7927">
        <v>7926</v>
      </c>
      <c r="C7927" t="s">
        <v>8002</v>
      </c>
      <c r="D7927">
        <v>1995</v>
      </c>
      <c r="E7927" t="s">
        <v>11</v>
      </c>
      <c r="F7927" t="s">
        <v>3226</v>
      </c>
      <c r="G7927">
        <v>0</v>
      </c>
      <c r="H7927">
        <v>0</v>
      </c>
      <c r="I7927">
        <v>1</v>
      </c>
      <c r="J7927">
        <v>0</v>
      </c>
      <c r="K7927">
        <v>0</v>
      </c>
      <c r="L7927">
        <f t="shared" si="246"/>
        <v>4</v>
      </c>
      <c r="M7927">
        <f t="shared" si="247"/>
        <v>1</v>
      </c>
    </row>
    <row r="7928" spans="1:13" x14ac:dyDescent="0.3">
      <c r="A7928">
        <v>7926</v>
      </c>
      <c r="B7928">
        <v>7927</v>
      </c>
      <c r="C7928" t="s">
        <v>8003</v>
      </c>
      <c r="D7928">
        <v>1943</v>
      </c>
      <c r="F7928" t="s">
        <v>3226</v>
      </c>
      <c r="G7928">
        <v>0</v>
      </c>
      <c r="H7928">
        <v>0</v>
      </c>
      <c r="I7928">
        <v>1</v>
      </c>
      <c r="J7928">
        <v>0</v>
      </c>
      <c r="K7928">
        <v>0</v>
      </c>
      <c r="L7928">
        <f t="shared" si="246"/>
        <v>4</v>
      </c>
      <c r="M7928">
        <f t="shared" si="247"/>
        <v>1</v>
      </c>
    </row>
    <row r="7929" spans="1:13" x14ac:dyDescent="0.3">
      <c r="A7929">
        <v>7927</v>
      </c>
      <c r="B7929">
        <v>7928</v>
      </c>
      <c r="C7929" t="s">
        <v>8004</v>
      </c>
      <c r="D7929">
        <v>2019</v>
      </c>
      <c r="F7929" t="s">
        <v>3226</v>
      </c>
      <c r="G7929">
        <v>0</v>
      </c>
      <c r="H7929">
        <v>0</v>
      </c>
      <c r="I7929">
        <v>1</v>
      </c>
      <c r="J7929">
        <v>0</v>
      </c>
      <c r="K7929">
        <v>0</v>
      </c>
      <c r="L7929">
        <f t="shared" si="246"/>
        <v>4</v>
      </c>
      <c r="M7929">
        <f t="shared" si="247"/>
        <v>1</v>
      </c>
    </row>
    <row r="7930" spans="1:13" x14ac:dyDescent="0.3">
      <c r="A7930">
        <v>7928</v>
      </c>
      <c r="B7930">
        <v>7929</v>
      </c>
      <c r="C7930" t="s">
        <v>8005</v>
      </c>
      <c r="D7930">
        <v>2017</v>
      </c>
      <c r="F7930" t="s">
        <v>3226</v>
      </c>
      <c r="G7930">
        <v>0</v>
      </c>
      <c r="H7930">
        <v>0</v>
      </c>
      <c r="I7930">
        <v>1</v>
      </c>
      <c r="J7930">
        <v>0</v>
      </c>
      <c r="K7930">
        <v>0</v>
      </c>
      <c r="L7930">
        <f t="shared" si="246"/>
        <v>4</v>
      </c>
      <c r="M7930">
        <f t="shared" si="247"/>
        <v>1</v>
      </c>
    </row>
    <row r="7931" spans="1:13" x14ac:dyDescent="0.3">
      <c r="A7931">
        <v>7929</v>
      </c>
      <c r="B7931">
        <v>7930</v>
      </c>
      <c r="C7931" t="s">
        <v>8006</v>
      </c>
      <c r="D7931">
        <v>2016</v>
      </c>
      <c r="E7931" t="s">
        <v>22</v>
      </c>
      <c r="F7931" t="s">
        <v>3226</v>
      </c>
      <c r="G7931">
        <v>0</v>
      </c>
      <c r="H7931">
        <v>0</v>
      </c>
      <c r="I7931">
        <v>1</v>
      </c>
      <c r="J7931">
        <v>0</v>
      </c>
      <c r="K7931">
        <v>0</v>
      </c>
      <c r="L7931">
        <f t="shared" si="246"/>
        <v>4</v>
      </c>
      <c r="M7931">
        <f t="shared" si="247"/>
        <v>1</v>
      </c>
    </row>
    <row r="7932" spans="1:13" x14ac:dyDescent="0.3">
      <c r="A7932">
        <v>7930</v>
      </c>
      <c r="B7932">
        <v>7931</v>
      </c>
      <c r="C7932" t="s">
        <v>8007</v>
      </c>
      <c r="D7932">
        <v>1963</v>
      </c>
      <c r="F7932" t="s">
        <v>3226</v>
      </c>
      <c r="G7932">
        <v>0</v>
      </c>
      <c r="H7932">
        <v>0</v>
      </c>
      <c r="I7932">
        <v>1</v>
      </c>
      <c r="J7932">
        <v>0</v>
      </c>
      <c r="K7932">
        <v>0</v>
      </c>
      <c r="L7932">
        <f t="shared" si="246"/>
        <v>4</v>
      </c>
      <c r="M7932">
        <f t="shared" si="247"/>
        <v>1</v>
      </c>
    </row>
    <row r="7933" spans="1:13" x14ac:dyDescent="0.3">
      <c r="A7933">
        <v>7931</v>
      </c>
      <c r="B7933">
        <v>7932</v>
      </c>
      <c r="C7933" t="s">
        <v>8008</v>
      </c>
      <c r="D7933">
        <v>2006</v>
      </c>
      <c r="E7933" t="s">
        <v>22</v>
      </c>
      <c r="F7933" t="s">
        <v>3226</v>
      </c>
      <c r="G7933">
        <v>0</v>
      </c>
      <c r="H7933">
        <v>0</v>
      </c>
      <c r="I7933">
        <v>1</v>
      </c>
      <c r="J7933">
        <v>0</v>
      </c>
      <c r="K7933">
        <v>0</v>
      </c>
      <c r="L7933">
        <f t="shared" si="246"/>
        <v>4</v>
      </c>
      <c r="M7933">
        <f t="shared" si="247"/>
        <v>1</v>
      </c>
    </row>
    <row r="7934" spans="1:13" x14ac:dyDescent="0.3">
      <c r="A7934">
        <v>7932</v>
      </c>
      <c r="B7934">
        <v>7933</v>
      </c>
      <c r="C7934" t="s">
        <v>8009</v>
      </c>
      <c r="D7934">
        <v>1956</v>
      </c>
      <c r="F7934" t="s">
        <v>3226</v>
      </c>
      <c r="G7934">
        <v>0</v>
      </c>
      <c r="H7934">
        <v>0</v>
      </c>
      <c r="I7934">
        <v>1</v>
      </c>
      <c r="J7934">
        <v>0</v>
      </c>
      <c r="K7934">
        <v>0</v>
      </c>
      <c r="L7934">
        <f t="shared" si="246"/>
        <v>4</v>
      </c>
      <c r="M7934">
        <f t="shared" si="247"/>
        <v>1</v>
      </c>
    </row>
    <row r="7935" spans="1:13" x14ac:dyDescent="0.3">
      <c r="A7935">
        <v>7933</v>
      </c>
      <c r="B7935">
        <v>7934</v>
      </c>
      <c r="C7935" t="s">
        <v>8010</v>
      </c>
      <c r="D7935">
        <v>2018</v>
      </c>
      <c r="E7935" t="s">
        <v>28</v>
      </c>
      <c r="F7935" t="s">
        <v>3226</v>
      </c>
      <c r="G7935">
        <v>0</v>
      </c>
      <c r="H7935">
        <v>0</v>
      </c>
      <c r="I7935">
        <v>1</v>
      </c>
      <c r="J7935">
        <v>0</v>
      </c>
      <c r="K7935">
        <v>0</v>
      </c>
      <c r="L7935">
        <f t="shared" si="246"/>
        <v>4</v>
      </c>
      <c r="M7935">
        <f t="shared" si="247"/>
        <v>1</v>
      </c>
    </row>
    <row r="7936" spans="1:13" x14ac:dyDescent="0.3">
      <c r="A7936">
        <v>7934</v>
      </c>
      <c r="B7936">
        <v>7935</v>
      </c>
      <c r="C7936" t="s">
        <v>8011</v>
      </c>
      <c r="D7936">
        <v>1998</v>
      </c>
      <c r="E7936" t="s">
        <v>11</v>
      </c>
      <c r="F7936" t="s">
        <v>3226</v>
      </c>
      <c r="G7936">
        <v>0</v>
      </c>
      <c r="H7936">
        <v>0</v>
      </c>
      <c r="I7936">
        <v>1</v>
      </c>
      <c r="J7936">
        <v>0</v>
      </c>
      <c r="K7936">
        <v>0</v>
      </c>
      <c r="L7936">
        <f t="shared" si="246"/>
        <v>4</v>
      </c>
      <c r="M7936">
        <f t="shared" si="247"/>
        <v>1</v>
      </c>
    </row>
    <row r="7937" spans="1:13" x14ac:dyDescent="0.3">
      <c r="A7937">
        <v>7935</v>
      </c>
      <c r="B7937">
        <v>7936</v>
      </c>
      <c r="C7937" t="s">
        <v>8012</v>
      </c>
      <c r="D7937">
        <v>1949</v>
      </c>
      <c r="F7937" t="s">
        <v>3226</v>
      </c>
      <c r="G7937">
        <v>0</v>
      </c>
      <c r="H7937">
        <v>0</v>
      </c>
      <c r="I7937">
        <v>1</v>
      </c>
      <c r="J7937">
        <v>0</v>
      </c>
      <c r="K7937">
        <v>0</v>
      </c>
      <c r="L7937">
        <f t="shared" si="246"/>
        <v>4</v>
      </c>
      <c r="M7937">
        <f t="shared" si="247"/>
        <v>1</v>
      </c>
    </row>
    <row r="7938" spans="1:13" x14ac:dyDescent="0.3">
      <c r="A7938">
        <v>7936</v>
      </c>
      <c r="B7938">
        <v>7937</v>
      </c>
      <c r="C7938" t="s">
        <v>8013</v>
      </c>
      <c r="D7938">
        <v>2020</v>
      </c>
      <c r="F7938" t="s">
        <v>3226</v>
      </c>
      <c r="G7938">
        <v>0</v>
      </c>
      <c r="H7938">
        <v>0</v>
      </c>
      <c r="I7938">
        <v>1</v>
      </c>
      <c r="J7938">
        <v>0</v>
      </c>
      <c r="K7938">
        <v>0</v>
      </c>
      <c r="L7938">
        <f t="shared" si="246"/>
        <v>4</v>
      </c>
      <c r="M7938">
        <f t="shared" si="247"/>
        <v>1</v>
      </c>
    </row>
    <row r="7939" spans="1:13" x14ac:dyDescent="0.3">
      <c r="A7939">
        <v>7937</v>
      </c>
      <c r="B7939">
        <v>7938</v>
      </c>
      <c r="C7939" t="s">
        <v>8014</v>
      </c>
      <c r="D7939">
        <v>2012</v>
      </c>
      <c r="F7939" t="s">
        <v>3226</v>
      </c>
      <c r="G7939">
        <v>0</v>
      </c>
      <c r="H7939">
        <v>0</v>
      </c>
      <c r="I7939">
        <v>1</v>
      </c>
      <c r="J7939">
        <v>0</v>
      </c>
      <c r="K7939">
        <v>0</v>
      </c>
      <c r="L7939">
        <f t="shared" ref="L7939:L8002" si="248">IFERROR(VALUE(LEFT(F7939,FIND("/",F7939)-1))/10,"")</f>
        <v>4</v>
      </c>
      <c r="M7939">
        <f t="shared" ref="M7939:M8002" si="249">SUM(G7939:J7939)</f>
        <v>1</v>
      </c>
    </row>
    <row r="7940" spans="1:13" x14ac:dyDescent="0.3">
      <c r="A7940">
        <v>7938</v>
      </c>
      <c r="B7940">
        <v>7939</v>
      </c>
      <c r="C7940" t="s">
        <v>8015</v>
      </c>
      <c r="D7940">
        <v>2014</v>
      </c>
      <c r="E7940" t="s">
        <v>28</v>
      </c>
      <c r="F7940" t="s">
        <v>3226</v>
      </c>
      <c r="G7940">
        <v>0</v>
      </c>
      <c r="H7940">
        <v>0</v>
      </c>
      <c r="I7940">
        <v>1</v>
      </c>
      <c r="J7940">
        <v>0</v>
      </c>
      <c r="K7940">
        <v>0</v>
      </c>
      <c r="L7940">
        <f t="shared" si="248"/>
        <v>4</v>
      </c>
      <c r="M7940">
        <f t="shared" si="249"/>
        <v>1</v>
      </c>
    </row>
    <row r="7941" spans="1:13" x14ac:dyDescent="0.3">
      <c r="A7941">
        <v>7939</v>
      </c>
      <c r="B7941">
        <v>7940</v>
      </c>
      <c r="C7941" t="s">
        <v>8016</v>
      </c>
      <c r="D7941">
        <v>2011</v>
      </c>
      <c r="F7941" t="s">
        <v>3226</v>
      </c>
      <c r="G7941">
        <v>0</v>
      </c>
      <c r="H7941">
        <v>0</v>
      </c>
      <c r="I7941">
        <v>1</v>
      </c>
      <c r="J7941">
        <v>0</v>
      </c>
      <c r="K7941">
        <v>0</v>
      </c>
      <c r="L7941">
        <f t="shared" si="248"/>
        <v>4</v>
      </c>
      <c r="M7941">
        <f t="shared" si="249"/>
        <v>1</v>
      </c>
    </row>
    <row r="7942" spans="1:13" x14ac:dyDescent="0.3">
      <c r="A7942">
        <v>7940</v>
      </c>
      <c r="B7942">
        <v>7941</v>
      </c>
      <c r="C7942" t="s">
        <v>8017</v>
      </c>
      <c r="D7942">
        <v>2004</v>
      </c>
      <c r="F7942" t="s">
        <v>3226</v>
      </c>
      <c r="G7942">
        <v>0</v>
      </c>
      <c r="H7942">
        <v>0</v>
      </c>
      <c r="I7942">
        <v>1</v>
      </c>
      <c r="J7942">
        <v>0</v>
      </c>
      <c r="K7942">
        <v>0</v>
      </c>
      <c r="L7942">
        <f t="shared" si="248"/>
        <v>4</v>
      </c>
      <c r="M7942">
        <f t="shared" si="249"/>
        <v>1</v>
      </c>
    </row>
    <row r="7943" spans="1:13" x14ac:dyDescent="0.3">
      <c r="A7943">
        <v>7941</v>
      </c>
      <c r="B7943">
        <v>7942</v>
      </c>
      <c r="C7943" t="s">
        <v>8018</v>
      </c>
      <c r="D7943">
        <v>2014</v>
      </c>
      <c r="E7943" t="s">
        <v>14</v>
      </c>
      <c r="F7943" t="s">
        <v>3226</v>
      </c>
      <c r="G7943">
        <v>0</v>
      </c>
      <c r="H7943">
        <v>0</v>
      </c>
      <c r="I7943">
        <v>1</v>
      </c>
      <c r="J7943">
        <v>0</v>
      </c>
      <c r="K7943">
        <v>0</v>
      </c>
      <c r="L7943">
        <f t="shared" si="248"/>
        <v>4</v>
      </c>
      <c r="M7943">
        <f t="shared" si="249"/>
        <v>1</v>
      </c>
    </row>
    <row r="7944" spans="1:13" x14ac:dyDescent="0.3">
      <c r="A7944">
        <v>7942</v>
      </c>
      <c r="B7944">
        <v>7943</v>
      </c>
      <c r="C7944" t="s">
        <v>8019</v>
      </c>
      <c r="D7944">
        <v>1941</v>
      </c>
      <c r="F7944" t="s">
        <v>3226</v>
      </c>
      <c r="G7944">
        <v>0</v>
      </c>
      <c r="H7944">
        <v>0</v>
      </c>
      <c r="I7944">
        <v>1</v>
      </c>
      <c r="J7944">
        <v>0</v>
      </c>
      <c r="K7944">
        <v>0</v>
      </c>
      <c r="L7944">
        <f t="shared" si="248"/>
        <v>4</v>
      </c>
      <c r="M7944">
        <f t="shared" si="249"/>
        <v>1</v>
      </c>
    </row>
    <row r="7945" spans="1:13" x14ac:dyDescent="0.3">
      <c r="A7945">
        <v>7943</v>
      </c>
      <c r="B7945">
        <v>7944</v>
      </c>
      <c r="C7945" t="s">
        <v>8020</v>
      </c>
      <c r="D7945">
        <v>1945</v>
      </c>
      <c r="F7945" t="s">
        <v>3226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f t="shared" si="248"/>
        <v>4</v>
      </c>
      <c r="M7945">
        <f t="shared" si="249"/>
        <v>1</v>
      </c>
    </row>
    <row r="7946" spans="1:13" x14ac:dyDescent="0.3">
      <c r="A7946">
        <v>7944</v>
      </c>
      <c r="B7946">
        <v>7945</v>
      </c>
      <c r="C7946" t="s">
        <v>8021</v>
      </c>
      <c r="D7946">
        <v>2014</v>
      </c>
      <c r="F7946" t="s">
        <v>3226</v>
      </c>
      <c r="G7946">
        <v>0</v>
      </c>
      <c r="H7946">
        <v>0</v>
      </c>
      <c r="I7946">
        <v>1</v>
      </c>
      <c r="J7946">
        <v>0</v>
      </c>
      <c r="K7946">
        <v>0</v>
      </c>
      <c r="L7946">
        <f t="shared" si="248"/>
        <v>4</v>
      </c>
      <c r="M7946">
        <f t="shared" si="249"/>
        <v>1</v>
      </c>
    </row>
    <row r="7947" spans="1:13" x14ac:dyDescent="0.3">
      <c r="A7947">
        <v>7945</v>
      </c>
      <c r="B7947">
        <v>7946</v>
      </c>
      <c r="C7947" t="s">
        <v>8022</v>
      </c>
      <c r="D7947">
        <v>1971</v>
      </c>
      <c r="E7947" t="s">
        <v>28</v>
      </c>
      <c r="F7947" t="s">
        <v>3226</v>
      </c>
      <c r="G7947">
        <v>0</v>
      </c>
      <c r="H7947">
        <v>0</v>
      </c>
      <c r="I7947">
        <v>1</v>
      </c>
      <c r="J7947">
        <v>0</v>
      </c>
      <c r="K7947">
        <v>0</v>
      </c>
      <c r="L7947">
        <f t="shared" si="248"/>
        <v>4</v>
      </c>
      <c r="M7947">
        <f t="shared" si="249"/>
        <v>1</v>
      </c>
    </row>
    <row r="7948" spans="1:13" x14ac:dyDescent="0.3">
      <c r="A7948">
        <v>7946</v>
      </c>
      <c r="B7948">
        <v>7947</v>
      </c>
      <c r="C7948" t="s">
        <v>8023</v>
      </c>
      <c r="D7948">
        <v>1948</v>
      </c>
      <c r="E7948" t="s">
        <v>36</v>
      </c>
      <c r="F7948" t="s">
        <v>3226</v>
      </c>
      <c r="G7948">
        <v>0</v>
      </c>
      <c r="H7948">
        <v>0</v>
      </c>
      <c r="I7948">
        <v>1</v>
      </c>
      <c r="J7948">
        <v>0</v>
      </c>
      <c r="K7948">
        <v>0</v>
      </c>
      <c r="L7948">
        <f t="shared" si="248"/>
        <v>4</v>
      </c>
      <c r="M7948">
        <f t="shared" si="249"/>
        <v>1</v>
      </c>
    </row>
    <row r="7949" spans="1:13" x14ac:dyDescent="0.3">
      <c r="A7949">
        <v>7947</v>
      </c>
      <c r="B7949">
        <v>7948</v>
      </c>
      <c r="C7949" t="s">
        <v>8024</v>
      </c>
      <c r="D7949">
        <v>2019</v>
      </c>
      <c r="F7949" t="s">
        <v>3226</v>
      </c>
      <c r="G7949">
        <v>0</v>
      </c>
      <c r="H7949">
        <v>0</v>
      </c>
      <c r="I7949">
        <v>1</v>
      </c>
      <c r="J7949">
        <v>0</v>
      </c>
      <c r="K7949">
        <v>0</v>
      </c>
      <c r="L7949">
        <f t="shared" si="248"/>
        <v>4</v>
      </c>
      <c r="M7949">
        <f t="shared" si="249"/>
        <v>1</v>
      </c>
    </row>
    <row r="7950" spans="1:13" x14ac:dyDescent="0.3">
      <c r="A7950">
        <v>7948</v>
      </c>
      <c r="B7950">
        <v>7949</v>
      </c>
      <c r="C7950" t="s">
        <v>8025</v>
      </c>
      <c r="D7950">
        <v>1986</v>
      </c>
      <c r="F7950" t="s">
        <v>3226</v>
      </c>
      <c r="G7950">
        <v>0</v>
      </c>
      <c r="H7950">
        <v>0</v>
      </c>
      <c r="I7950">
        <v>1</v>
      </c>
      <c r="J7950">
        <v>0</v>
      </c>
      <c r="K7950">
        <v>0</v>
      </c>
      <c r="L7950">
        <f t="shared" si="248"/>
        <v>4</v>
      </c>
      <c r="M7950">
        <f t="shared" si="249"/>
        <v>1</v>
      </c>
    </row>
    <row r="7951" spans="1:13" x14ac:dyDescent="0.3">
      <c r="A7951">
        <v>7949</v>
      </c>
      <c r="B7951">
        <v>7950</v>
      </c>
      <c r="C7951" t="s">
        <v>8026</v>
      </c>
      <c r="D7951">
        <v>1949</v>
      </c>
      <c r="F7951" t="s">
        <v>3226</v>
      </c>
      <c r="G7951">
        <v>0</v>
      </c>
      <c r="H7951">
        <v>0</v>
      </c>
      <c r="I7951">
        <v>1</v>
      </c>
      <c r="J7951">
        <v>0</v>
      </c>
      <c r="K7951">
        <v>0</v>
      </c>
      <c r="L7951">
        <f t="shared" si="248"/>
        <v>4</v>
      </c>
      <c r="M7951">
        <f t="shared" si="249"/>
        <v>1</v>
      </c>
    </row>
    <row r="7952" spans="1:13" x14ac:dyDescent="0.3">
      <c r="A7952">
        <v>7950</v>
      </c>
      <c r="B7952">
        <v>7951</v>
      </c>
      <c r="C7952" t="s">
        <v>8027</v>
      </c>
      <c r="D7952">
        <v>1946</v>
      </c>
      <c r="F7952" t="s">
        <v>3226</v>
      </c>
      <c r="G7952">
        <v>0</v>
      </c>
      <c r="H7952">
        <v>0</v>
      </c>
      <c r="I7952">
        <v>1</v>
      </c>
      <c r="J7952">
        <v>0</v>
      </c>
      <c r="K7952">
        <v>0</v>
      </c>
      <c r="L7952">
        <f t="shared" si="248"/>
        <v>4</v>
      </c>
      <c r="M7952">
        <f t="shared" si="249"/>
        <v>1</v>
      </c>
    </row>
    <row r="7953" spans="1:13" x14ac:dyDescent="0.3">
      <c r="A7953">
        <v>7951</v>
      </c>
      <c r="B7953">
        <v>7952</v>
      </c>
      <c r="C7953" t="s">
        <v>8028</v>
      </c>
      <c r="D7953">
        <v>1941</v>
      </c>
      <c r="F7953" t="s">
        <v>3226</v>
      </c>
      <c r="G7953">
        <v>0</v>
      </c>
      <c r="H7953">
        <v>0</v>
      </c>
      <c r="I7953">
        <v>1</v>
      </c>
      <c r="J7953">
        <v>0</v>
      </c>
      <c r="K7953">
        <v>0</v>
      </c>
      <c r="L7953">
        <f t="shared" si="248"/>
        <v>4</v>
      </c>
      <c r="M7953">
        <f t="shared" si="249"/>
        <v>1</v>
      </c>
    </row>
    <row r="7954" spans="1:13" x14ac:dyDescent="0.3">
      <c r="A7954">
        <v>7952</v>
      </c>
      <c r="B7954">
        <v>7953</v>
      </c>
      <c r="C7954" t="s">
        <v>8029</v>
      </c>
      <c r="D7954">
        <v>2011</v>
      </c>
      <c r="E7954" t="s">
        <v>14</v>
      </c>
      <c r="F7954" t="s">
        <v>3226</v>
      </c>
      <c r="G7954">
        <v>0</v>
      </c>
      <c r="H7954">
        <v>0</v>
      </c>
      <c r="I7954">
        <v>1</v>
      </c>
      <c r="J7954">
        <v>0</v>
      </c>
      <c r="K7954">
        <v>0</v>
      </c>
      <c r="L7954">
        <f t="shared" si="248"/>
        <v>4</v>
      </c>
      <c r="M7954">
        <f t="shared" si="249"/>
        <v>1</v>
      </c>
    </row>
    <row r="7955" spans="1:13" x14ac:dyDescent="0.3">
      <c r="A7955">
        <v>7953</v>
      </c>
      <c r="B7955">
        <v>7954</v>
      </c>
      <c r="C7955" t="s">
        <v>8030</v>
      </c>
      <c r="D7955">
        <v>2000</v>
      </c>
      <c r="F7955" t="s">
        <v>3226</v>
      </c>
      <c r="G7955">
        <v>0</v>
      </c>
      <c r="H7955">
        <v>0</v>
      </c>
      <c r="I7955">
        <v>1</v>
      </c>
      <c r="J7955">
        <v>0</v>
      </c>
      <c r="K7955">
        <v>0</v>
      </c>
      <c r="L7955">
        <f t="shared" si="248"/>
        <v>4</v>
      </c>
      <c r="M7955">
        <f t="shared" si="249"/>
        <v>1</v>
      </c>
    </row>
    <row r="7956" spans="1:13" x14ac:dyDescent="0.3">
      <c r="A7956">
        <v>7954</v>
      </c>
      <c r="B7956">
        <v>7955</v>
      </c>
      <c r="C7956" t="s">
        <v>8031</v>
      </c>
      <c r="D7956">
        <v>2004</v>
      </c>
      <c r="E7956" t="s">
        <v>11</v>
      </c>
      <c r="F7956" t="s">
        <v>3226</v>
      </c>
      <c r="G7956">
        <v>0</v>
      </c>
      <c r="H7956">
        <v>0</v>
      </c>
      <c r="I7956">
        <v>1</v>
      </c>
      <c r="J7956">
        <v>0</v>
      </c>
      <c r="K7956">
        <v>0</v>
      </c>
      <c r="L7956">
        <f t="shared" si="248"/>
        <v>4</v>
      </c>
      <c r="M7956">
        <f t="shared" si="249"/>
        <v>1</v>
      </c>
    </row>
    <row r="7957" spans="1:13" x14ac:dyDescent="0.3">
      <c r="A7957">
        <v>7955</v>
      </c>
      <c r="B7957">
        <v>7956</v>
      </c>
      <c r="C7957" t="s">
        <v>8032</v>
      </c>
      <c r="D7957">
        <v>1972</v>
      </c>
      <c r="E7957" t="s">
        <v>14</v>
      </c>
      <c r="F7957" t="s">
        <v>3226</v>
      </c>
      <c r="G7957">
        <v>0</v>
      </c>
      <c r="H7957">
        <v>0</v>
      </c>
      <c r="I7957">
        <v>1</v>
      </c>
      <c r="J7957">
        <v>0</v>
      </c>
      <c r="K7957">
        <v>0</v>
      </c>
      <c r="L7957">
        <f t="shared" si="248"/>
        <v>4</v>
      </c>
      <c r="M7957">
        <f t="shared" si="249"/>
        <v>1</v>
      </c>
    </row>
    <row r="7958" spans="1:13" x14ac:dyDescent="0.3">
      <c r="A7958">
        <v>7956</v>
      </c>
      <c r="B7958">
        <v>7957</v>
      </c>
      <c r="C7958" t="s">
        <v>8033</v>
      </c>
      <c r="D7958">
        <v>2007</v>
      </c>
      <c r="E7958" t="s">
        <v>14</v>
      </c>
      <c r="F7958" t="s">
        <v>3226</v>
      </c>
      <c r="G7958">
        <v>0</v>
      </c>
      <c r="H7958">
        <v>0</v>
      </c>
      <c r="I7958">
        <v>1</v>
      </c>
      <c r="J7958">
        <v>0</v>
      </c>
      <c r="K7958">
        <v>0</v>
      </c>
      <c r="L7958">
        <f t="shared" si="248"/>
        <v>4</v>
      </c>
      <c r="M7958">
        <f t="shared" si="249"/>
        <v>1</v>
      </c>
    </row>
    <row r="7959" spans="1:13" x14ac:dyDescent="0.3">
      <c r="A7959">
        <v>7957</v>
      </c>
      <c r="B7959">
        <v>7958</v>
      </c>
      <c r="C7959" t="s">
        <v>8034</v>
      </c>
      <c r="D7959">
        <v>1965</v>
      </c>
      <c r="F7959" t="s">
        <v>3226</v>
      </c>
      <c r="G7959">
        <v>0</v>
      </c>
      <c r="H7959">
        <v>0</v>
      </c>
      <c r="I7959">
        <v>1</v>
      </c>
      <c r="J7959">
        <v>0</v>
      </c>
      <c r="K7959">
        <v>0</v>
      </c>
      <c r="L7959">
        <f t="shared" si="248"/>
        <v>4</v>
      </c>
      <c r="M7959">
        <f t="shared" si="249"/>
        <v>1</v>
      </c>
    </row>
    <row r="7960" spans="1:13" x14ac:dyDescent="0.3">
      <c r="A7960">
        <v>7958</v>
      </c>
      <c r="B7960">
        <v>7959</v>
      </c>
      <c r="C7960" t="s">
        <v>8035</v>
      </c>
      <c r="D7960">
        <v>2017</v>
      </c>
      <c r="E7960" t="s">
        <v>11</v>
      </c>
      <c r="F7960" t="s">
        <v>3226</v>
      </c>
      <c r="G7960">
        <v>0</v>
      </c>
      <c r="H7960">
        <v>0</v>
      </c>
      <c r="I7960">
        <v>1</v>
      </c>
      <c r="J7960">
        <v>0</v>
      </c>
      <c r="K7960">
        <v>0</v>
      </c>
      <c r="L7960">
        <f t="shared" si="248"/>
        <v>4</v>
      </c>
      <c r="M7960">
        <f t="shared" si="249"/>
        <v>1</v>
      </c>
    </row>
    <row r="7961" spans="1:13" x14ac:dyDescent="0.3">
      <c r="A7961">
        <v>7959</v>
      </c>
      <c r="B7961">
        <v>7960</v>
      </c>
      <c r="C7961" t="s">
        <v>8036</v>
      </c>
      <c r="D7961">
        <v>2018</v>
      </c>
      <c r="F7961" t="s">
        <v>3226</v>
      </c>
      <c r="G7961">
        <v>0</v>
      </c>
      <c r="H7961">
        <v>0</v>
      </c>
      <c r="I7961">
        <v>1</v>
      </c>
      <c r="J7961">
        <v>0</v>
      </c>
      <c r="K7961">
        <v>0</v>
      </c>
      <c r="L7961">
        <f t="shared" si="248"/>
        <v>4</v>
      </c>
      <c r="M7961">
        <f t="shared" si="249"/>
        <v>1</v>
      </c>
    </row>
    <row r="7962" spans="1:13" x14ac:dyDescent="0.3">
      <c r="A7962">
        <v>7960</v>
      </c>
      <c r="B7962">
        <v>7961</v>
      </c>
      <c r="C7962" t="s">
        <v>8037</v>
      </c>
      <c r="D7962">
        <v>1942</v>
      </c>
      <c r="F7962" t="s">
        <v>3226</v>
      </c>
      <c r="G7962">
        <v>0</v>
      </c>
      <c r="H7962">
        <v>0</v>
      </c>
      <c r="I7962">
        <v>1</v>
      </c>
      <c r="J7962">
        <v>0</v>
      </c>
      <c r="K7962">
        <v>0</v>
      </c>
      <c r="L7962">
        <f t="shared" si="248"/>
        <v>4</v>
      </c>
      <c r="M7962">
        <f t="shared" si="249"/>
        <v>1</v>
      </c>
    </row>
    <row r="7963" spans="1:13" x14ac:dyDescent="0.3">
      <c r="A7963">
        <v>7961</v>
      </c>
      <c r="B7963">
        <v>7962</v>
      </c>
      <c r="C7963" t="s">
        <v>8038</v>
      </c>
      <c r="D7963">
        <v>1968</v>
      </c>
      <c r="F7963" t="s">
        <v>3226</v>
      </c>
      <c r="G7963">
        <v>0</v>
      </c>
      <c r="H7963">
        <v>0</v>
      </c>
      <c r="I7963">
        <v>1</v>
      </c>
      <c r="J7963">
        <v>0</v>
      </c>
      <c r="K7963">
        <v>0</v>
      </c>
      <c r="L7963">
        <f t="shared" si="248"/>
        <v>4</v>
      </c>
      <c r="M7963">
        <f t="shared" si="249"/>
        <v>1</v>
      </c>
    </row>
    <row r="7964" spans="1:13" x14ac:dyDescent="0.3">
      <c r="A7964">
        <v>7962</v>
      </c>
      <c r="B7964">
        <v>7963</v>
      </c>
      <c r="C7964" t="s">
        <v>8039</v>
      </c>
      <c r="D7964">
        <v>1988</v>
      </c>
      <c r="F7964" t="s">
        <v>3226</v>
      </c>
      <c r="G7964">
        <v>0</v>
      </c>
      <c r="H7964">
        <v>0</v>
      </c>
      <c r="I7964">
        <v>1</v>
      </c>
      <c r="J7964">
        <v>0</v>
      </c>
      <c r="K7964">
        <v>0</v>
      </c>
      <c r="L7964">
        <f t="shared" si="248"/>
        <v>4</v>
      </c>
      <c r="M7964">
        <f t="shared" si="249"/>
        <v>1</v>
      </c>
    </row>
    <row r="7965" spans="1:13" x14ac:dyDescent="0.3">
      <c r="A7965">
        <v>7963</v>
      </c>
      <c r="B7965">
        <v>7964</v>
      </c>
      <c r="C7965" t="s">
        <v>8040</v>
      </c>
      <c r="D7965">
        <v>2020</v>
      </c>
      <c r="F7965" t="s">
        <v>3226</v>
      </c>
      <c r="G7965">
        <v>0</v>
      </c>
      <c r="H7965">
        <v>0</v>
      </c>
      <c r="I7965">
        <v>1</v>
      </c>
      <c r="J7965">
        <v>0</v>
      </c>
      <c r="K7965">
        <v>0</v>
      </c>
      <c r="L7965">
        <f t="shared" si="248"/>
        <v>4</v>
      </c>
      <c r="M7965">
        <f t="shared" si="249"/>
        <v>1</v>
      </c>
    </row>
    <row r="7966" spans="1:13" x14ac:dyDescent="0.3">
      <c r="A7966">
        <v>7964</v>
      </c>
      <c r="B7966">
        <v>7965</v>
      </c>
      <c r="C7966" t="s">
        <v>8041</v>
      </c>
      <c r="D7966">
        <v>2013</v>
      </c>
      <c r="E7966" t="s">
        <v>11</v>
      </c>
      <c r="F7966" t="s">
        <v>3226</v>
      </c>
      <c r="G7966">
        <v>0</v>
      </c>
      <c r="H7966">
        <v>0</v>
      </c>
      <c r="I7966">
        <v>1</v>
      </c>
      <c r="J7966">
        <v>0</v>
      </c>
      <c r="K7966">
        <v>0</v>
      </c>
      <c r="L7966">
        <f t="shared" si="248"/>
        <v>4</v>
      </c>
      <c r="M7966">
        <f t="shared" si="249"/>
        <v>1</v>
      </c>
    </row>
    <row r="7967" spans="1:13" x14ac:dyDescent="0.3">
      <c r="A7967">
        <v>7965</v>
      </c>
      <c r="B7967">
        <v>7966</v>
      </c>
      <c r="C7967" t="s">
        <v>8042</v>
      </c>
      <c r="D7967">
        <v>2018</v>
      </c>
      <c r="F7967" t="s">
        <v>3226</v>
      </c>
      <c r="G7967">
        <v>0</v>
      </c>
      <c r="H7967">
        <v>0</v>
      </c>
      <c r="I7967">
        <v>1</v>
      </c>
      <c r="J7967">
        <v>0</v>
      </c>
      <c r="K7967">
        <v>0</v>
      </c>
      <c r="L7967">
        <f t="shared" si="248"/>
        <v>4</v>
      </c>
      <c r="M7967">
        <f t="shared" si="249"/>
        <v>1</v>
      </c>
    </row>
    <row r="7968" spans="1:13" x14ac:dyDescent="0.3">
      <c r="A7968">
        <v>7966</v>
      </c>
      <c r="B7968">
        <v>7967</v>
      </c>
      <c r="C7968" t="s">
        <v>8043</v>
      </c>
      <c r="D7968">
        <v>2013</v>
      </c>
      <c r="F7968" t="s">
        <v>3226</v>
      </c>
      <c r="G7968">
        <v>0</v>
      </c>
      <c r="H7968">
        <v>0</v>
      </c>
      <c r="I7968">
        <v>1</v>
      </c>
      <c r="J7968">
        <v>0</v>
      </c>
      <c r="K7968">
        <v>0</v>
      </c>
      <c r="L7968">
        <f t="shared" si="248"/>
        <v>4</v>
      </c>
      <c r="M7968">
        <f t="shared" si="249"/>
        <v>1</v>
      </c>
    </row>
    <row r="7969" spans="1:13" x14ac:dyDescent="0.3">
      <c r="A7969">
        <v>7967</v>
      </c>
      <c r="B7969">
        <v>7968</v>
      </c>
      <c r="C7969" t="s">
        <v>8044</v>
      </c>
      <c r="D7969">
        <v>2002</v>
      </c>
      <c r="E7969" t="s">
        <v>11</v>
      </c>
      <c r="F7969" t="s">
        <v>3226</v>
      </c>
      <c r="G7969">
        <v>0</v>
      </c>
      <c r="H7969">
        <v>0</v>
      </c>
      <c r="I7969">
        <v>1</v>
      </c>
      <c r="J7969">
        <v>0</v>
      </c>
      <c r="K7969">
        <v>0</v>
      </c>
      <c r="L7969">
        <f t="shared" si="248"/>
        <v>4</v>
      </c>
      <c r="M7969">
        <f t="shared" si="249"/>
        <v>1</v>
      </c>
    </row>
    <row r="7970" spans="1:13" x14ac:dyDescent="0.3">
      <c r="A7970">
        <v>7968</v>
      </c>
      <c r="B7970">
        <v>7969</v>
      </c>
      <c r="C7970" t="s">
        <v>8045</v>
      </c>
      <c r="D7970">
        <v>1936</v>
      </c>
      <c r="F7970" t="s">
        <v>3226</v>
      </c>
      <c r="G7970">
        <v>0</v>
      </c>
      <c r="H7970">
        <v>0</v>
      </c>
      <c r="I7970">
        <v>1</v>
      </c>
      <c r="J7970">
        <v>0</v>
      </c>
      <c r="K7970">
        <v>0</v>
      </c>
      <c r="L7970">
        <f t="shared" si="248"/>
        <v>4</v>
      </c>
      <c r="M7970">
        <f t="shared" si="249"/>
        <v>1</v>
      </c>
    </row>
    <row r="7971" spans="1:13" x14ac:dyDescent="0.3">
      <c r="A7971">
        <v>7969</v>
      </c>
      <c r="B7971">
        <v>7970</v>
      </c>
      <c r="C7971" t="s">
        <v>8046</v>
      </c>
      <c r="D7971">
        <v>2014</v>
      </c>
      <c r="F7971" t="s">
        <v>3226</v>
      </c>
      <c r="G7971">
        <v>0</v>
      </c>
      <c r="H7971">
        <v>0</v>
      </c>
      <c r="I7971">
        <v>1</v>
      </c>
      <c r="J7971">
        <v>0</v>
      </c>
      <c r="K7971">
        <v>0</v>
      </c>
      <c r="L7971">
        <f t="shared" si="248"/>
        <v>4</v>
      </c>
      <c r="M7971">
        <f t="shared" si="249"/>
        <v>1</v>
      </c>
    </row>
    <row r="7972" spans="1:13" x14ac:dyDescent="0.3">
      <c r="A7972">
        <v>7970</v>
      </c>
      <c r="B7972">
        <v>7971</v>
      </c>
      <c r="C7972" t="s">
        <v>8047</v>
      </c>
      <c r="D7972">
        <v>2015</v>
      </c>
      <c r="F7972" t="s">
        <v>3226</v>
      </c>
      <c r="G7972">
        <v>0</v>
      </c>
      <c r="H7972">
        <v>0</v>
      </c>
      <c r="I7972">
        <v>1</v>
      </c>
      <c r="J7972">
        <v>0</v>
      </c>
      <c r="K7972">
        <v>0</v>
      </c>
      <c r="L7972">
        <f t="shared" si="248"/>
        <v>4</v>
      </c>
      <c r="M7972">
        <f t="shared" si="249"/>
        <v>1</v>
      </c>
    </row>
    <row r="7973" spans="1:13" x14ac:dyDescent="0.3">
      <c r="A7973">
        <v>7971</v>
      </c>
      <c r="B7973">
        <v>7972</v>
      </c>
      <c r="C7973" t="s">
        <v>8048</v>
      </c>
      <c r="D7973">
        <v>2009</v>
      </c>
      <c r="F7973" t="s">
        <v>3226</v>
      </c>
      <c r="G7973">
        <v>0</v>
      </c>
      <c r="H7973">
        <v>0</v>
      </c>
      <c r="I7973">
        <v>1</v>
      </c>
      <c r="J7973">
        <v>0</v>
      </c>
      <c r="K7973">
        <v>0</v>
      </c>
      <c r="L7973">
        <f t="shared" si="248"/>
        <v>4</v>
      </c>
      <c r="M7973">
        <f t="shared" si="249"/>
        <v>1</v>
      </c>
    </row>
    <row r="7974" spans="1:13" x14ac:dyDescent="0.3">
      <c r="A7974">
        <v>7972</v>
      </c>
      <c r="B7974">
        <v>7973</v>
      </c>
      <c r="C7974" t="s">
        <v>8049</v>
      </c>
      <c r="D7974">
        <v>1937</v>
      </c>
      <c r="F7974" t="s">
        <v>3226</v>
      </c>
      <c r="G7974">
        <v>0</v>
      </c>
      <c r="H7974">
        <v>0</v>
      </c>
      <c r="I7974">
        <v>1</v>
      </c>
      <c r="J7974">
        <v>0</v>
      </c>
      <c r="K7974">
        <v>0</v>
      </c>
      <c r="L7974">
        <f t="shared" si="248"/>
        <v>4</v>
      </c>
      <c r="M7974">
        <f t="shared" si="249"/>
        <v>1</v>
      </c>
    </row>
    <row r="7975" spans="1:13" x14ac:dyDescent="0.3">
      <c r="A7975">
        <v>7973</v>
      </c>
      <c r="B7975">
        <v>7974</v>
      </c>
      <c r="C7975" t="s">
        <v>8050</v>
      </c>
      <c r="D7975">
        <v>2017</v>
      </c>
      <c r="F7975" t="s">
        <v>3226</v>
      </c>
      <c r="G7975">
        <v>0</v>
      </c>
      <c r="H7975">
        <v>0</v>
      </c>
      <c r="I7975">
        <v>1</v>
      </c>
      <c r="J7975">
        <v>0</v>
      </c>
      <c r="K7975">
        <v>0</v>
      </c>
      <c r="L7975">
        <f t="shared" si="248"/>
        <v>4</v>
      </c>
      <c r="M7975">
        <f t="shared" si="249"/>
        <v>1</v>
      </c>
    </row>
    <row r="7976" spans="1:13" x14ac:dyDescent="0.3">
      <c r="A7976">
        <v>7974</v>
      </c>
      <c r="B7976">
        <v>7975</v>
      </c>
      <c r="C7976" t="s">
        <v>8051</v>
      </c>
      <c r="D7976">
        <v>1967</v>
      </c>
      <c r="F7976" t="s">
        <v>3226</v>
      </c>
      <c r="G7976">
        <v>0</v>
      </c>
      <c r="H7976">
        <v>0</v>
      </c>
      <c r="I7976">
        <v>1</v>
      </c>
      <c r="J7976">
        <v>0</v>
      </c>
      <c r="K7976">
        <v>0</v>
      </c>
      <c r="L7976">
        <f t="shared" si="248"/>
        <v>4</v>
      </c>
      <c r="M7976">
        <f t="shared" si="249"/>
        <v>1</v>
      </c>
    </row>
    <row r="7977" spans="1:13" x14ac:dyDescent="0.3">
      <c r="A7977">
        <v>7975</v>
      </c>
      <c r="B7977">
        <v>7976</v>
      </c>
      <c r="C7977" t="s">
        <v>8052</v>
      </c>
      <c r="D7977">
        <v>2013</v>
      </c>
      <c r="F7977" t="s">
        <v>3226</v>
      </c>
      <c r="G7977">
        <v>0</v>
      </c>
      <c r="H7977">
        <v>0</v>
      </c>
      <c r="I7977">
        <v>1</v>
      </c>
      <c r="J7977">
        <v>0</v>
      </c>
      <c r="K7977">
        <v>0</v>
      </c>
      <c r="L7977">
        <f t="shared" si="248"/>
        <v>4</v>
      </c>
      <c r="M7977">
        <f t="shared" si="249"/>
        <v>1</v>
      </c>
    </row>
    <row r="7978" spans="1:13" x14ac:dyDescent="0.3">
      <c r="A7978">
        <v>7976</v>
      </c>
      <c r="B7978">
        <v>7977</v>
      </c>
      <c r="C7978" t="s">
        <v>8053</v>
      </c>
      <c r="D7978">
        <v>1989</v>
      </c>
      <c r="F7978" t="s">
        <v>3226</v>
      </c>
      <c r="G7978">
        <v>0</v>
      </c>
      <c r="H7978">
        <v>0</v>
      </c>
      <c r="I7978">
        <v>1</v>
      </c>
      <c r="J7978">
        <v>0</v>
      </c>
      <c r="K7978">
        <v>0</v>
      </c>
      <c r="L7978">
        <f t="shared" si="248"/>
        <v>4</v>
      </c>
      <c r="M7978">
        <f t="shared" si="249"/>
        <v>1</v>
      </c>
    </row>
    <row r="7979" spans="1:13" x14ac:dyDescent="0.3">
      <c r="A7979">
        <v>7977</v>
      </c>
      <c r="B7979">
        <v>7978</v>
      </c>
      <c r="C7979" t="s">
        <v>8054</v>
      </c>
      <c r="D7979">
        <v>1962</v>
      </c>
      <c r="F7979" t="s">
        <v>3313</v>
      </c>
      <c r="G7979">
        <v>0</v>
      </c>
      <c r="H7979">
        <v>0</v>
      </c>
      <c r="I7979">
        <v>1</v>
      </c>
      <c r="J7979">
        <v>0</v>
      </c>
      <c r="K7979">
        <v>0</v>
      </c>
      <c r="L7979">
        <f t="shared" si="248"/>
        <v>3.9</v>
      </c>
      <c r="M7979">
        <f t="shared" si="249"/>
        <v>1</v>
      </c>
    </row>
    <row r="7980" spans="1:13" x14ac:dyDescent="0.3">
      <c r="A7980">
        <v>7978</v>
      </c>
      <c r="B7980">
        <v>7979</v>
      </c>
      <c r="C7980" t="s">
        <v>8055</v>
      </c>
      <c r="D7980">
        <v>1936</v>
      </c>
      <c r="F7980" t="s">
        <v>3313</v>
      </c>
      <c r="G7980">
        <v>0</v>
      </c>
      <c r="H7980">
        <v>0</v>
      </c>
      <c r="I7980">
        <v>1</v>
      </c>
      <c r="J7980">
        <v>0</v>
      </c>
      <c r="K7980">
        <v>0</v>
      </c>
      <c r="L7980">
        <f t="shared" si="248"/>
        <v>3.9</v>
      </c>
      <c r="M7980">
        <f t="shared" si="249"/>
        <v>1</v>
      </c>
    </row>
    <row r="7981" spans="1:13" x14ac:dyDescent="0.3">
      <c r="A7981">
        <v>7979</v>
      </c>
      <c r="B7981">
        <v>7980</v>
      </c>
      <c r="C7981" t="s">
        <v>8056</v>
      </c>
      <c r="D7981">
        <v>2017</v>
      </c>
      <c r="F7981" t="s">
        <v>3313</v>
      </c>
      <c r="G7981">
        <v>0</v>
      </c>
      <c r="H7981">
        <v>0</v>
      </c>
      <c r="I7981">
        <v>1</v>
      </c>
      <c r="J7981">
        <v>0</v>
      </c>
      <c r="K7981">
        <v>0</v>
      </c>
      <c r="L7981">
        <f t="shared" si="248"/>
        <v>3.9</v>
      </c>
      <c r="M7981">
        <f t="shared" si="249"/>
        <v>1</v>
      </c>
    </row>
    <row r="7982" spans="1:13" x14ac:dyDescent="0.3">
      <c r="A7982">
        <v>7980</v>
      </c>
      <c r="B7982">
        <v>7981</v>
      </c>
      <c r="C7982" t="s">
        <v>8057</v>
      </c>
      <c r="D7982">
        <v>2016</v>
      </c>
      <c r="F7982" t="s">
        <v>3313</v>
      </c>
      <c r="G7982">
        <v>0</v>
      </c>
      <c r="H7982">
        <v>0</v>
      </c>
      <c r="I7982">
        <v>1</v>
      </c>
      <c r="J7982">
        <v>0</v>
      </c>
      <c r="K7982">
        <v>0</v>
      </c>
      <c r="L7982">
        <f t="shared" si="248"/>
        <v>3.9</v>
      </c>
      <c r="M7982">
        <f t="shared" si="249"/>
        <v>1</v>
      </c>
    </row>
    <row r="7983" spans="1:13" x14ac:dyDescent="0.3">
      <c r="A7983">
        <v>7981</v>
      </c>
      <c r="B7983">
        <v>7982</v>
      </c>
      <c r="C7983" t="s">
        <v>8058</v>
      </c>
      <c r="D7983">
        <v>1989</v>
      </c>
      <c r="F7983" t="s">
        <v>3313</v>
      </c>
      <c r="G7983">
        <v>0</v>
      </c>
      <c r="H7983">
        <v>0</v>
      </c>
      <c r="I7983">
        <v>1</v>
      </c>
      <c r="J7983">
        <v>0</v>
      </c>
      <c r="K7983">
        <v>0</v>
      </c>
      <c r="L7983">
        <f t="shared" si="248"/>
        <v>3.9</v>
      </c>
      <c r="M7983">
        <f t="shared" si="249"/>
        <v>1</v>
      </c>
    </row>
    <row r="7984" spans="1:13" x14ac:dyDescent="0.3">
      <c r="A7984">
        <v>7982</v>
      </c>
      <c r="B7984">
        <v>7983</v>
      </c>
      <c r="C7984" t="s">
        <v>8059</v>
      </c>
      <c r="D7984">
        <v>2003</v>
      </c>
      <c r="F7984" t="s">
        <v>3313</v>
      </c>
      <c r="G7984">
        <v>0</v>
      </c>
      <c r="H7984">
        <v>0</v>
      </c>
      <c r="I7984">
        <v>1</v>
      </c>
      <c r="J7984">
        <v>0</v>
      </c>
      <c r="K7984">
        <v>0</v>
      </c>
      <c r="L7984">
        <f t="shared" si="248"/>
        <v>3.9</v>
      </c>
      <c r="M7984">
        <f t="shared" si="249"/>
        <v>1</v>
      </c>
    </row>
    <row r="7985" spans="1:13" x14ac:dyDescent="0.3">
      <c r="A7985">
        <v>7983</v>
      </c>
      <c r="B7985">
        <v>7984</v>
      </c>
      <c r="C7985" t="s">
        <v>8060</v>
      </c>
      <c r="D7985">
        <v>2019</v>
      </c>
      <c r="F7985" t="s">
        <v>3313</v>
      </c>
      <c r="G7985">
        <v>0</v>
      </c>
      <c r="H7985">
        <v>0</v>
      </c>
      <c r="I7985">
        <v>1</v>
      </c>
      <c r="J7985">
        <v>0</v>
      </c>
      <c r="K7985">
        <v>0</v>
      </c>
      <c r="L7985">
        <f t="shared" si="248"/>
        <v>3.9</v>
      </c>
      <c r="M7985">
        <f t="shared" si="249"/>
        <v>1</v>
      </c>
    </row>
    <row r="7986" spans="1:13" x14ac:dyDescent="0.3">
      <c r="A7986">
        <v>7984</v>
      </c>
      <c r="B7986">
        <v>7985</v>
      </c>
      <c r="C7986" t="s">
        <v>8061</v>
      </c>
      <c r="D7986">
        <v>1958</v>
      </c>
      <c r="F7986" t="s">
        <v>3313</v>
      </c>
      <c r="G7986">
        <v>0</v>
      </c>
      <c r="H7986">
        <v>0</v>
      </c>
      <c r="I7986">
        <v>1</v>
      </c>
      <c r="J7986">
        <v>0</v>
      </c>
      <c r="K7986">
        <v>0</v>
      </c>
      <c r="L7986">
        <f t="shared" si="248"/>
        <v>3.9</v>
      </c>
      <c r="M7986">
        <f t="shared" si="249"/>
        <v>1</v>
      </c>
    </row>
    <row r="7987" spans="1:13" x14ac:dyDescent="0.3">
      <c r="A7987">
        <v>7985</v>
      </c>
      <c r="B7987">
        <v>7986</v>
      </c>
      <c r="C7987" t="s">
        <v>8062</v>
      </c>
      <c r="D7987">
        <v>2018</v>
      </c>
      <c r="F7987" t="s">
        <v>3313</v>
      </c>
      <c r="G7987">
        <v>0</v>
      </c>
      <c r="H7987">
        <v>0</v>
      </c>
      <c r="I7987">
        <v>1</v>
      </c>
      <c r="J7987">
        <v>0</v>
      </c>
      <c r="K7987">
        <v>0</v>
      </c>
      <c r="L7987">
        <f t="shared" si="248"/>
        <v>3.9</v>
      </c>
      <c r="M7987">
        <f t="shared" si="249"/>
        <v>1</v>
      </c>
    </row>
    <row r="7988" spans="1:13" x14ac:dyDescent="0.3">
      <c r="A7988">
        <v>7986</v>
      </c>
      <c r="B7988">
        <v>7987</v>
      </c>
      <c r="C7988" t="s">
        <v>8063</v>
      </c>
      <c r="D7988">
        <v>2018</v>
      </c>
      <c r="F7988" t="s">
        <v>3313</v>
      </c>
      <c r="G7988">
        <v>0</v>
      </c>
      <c r="H7988">
        <v>0</v>
      </c>
      <c r="I7988">
        <v>1</v>
      </c>
      <c r="J7988">
        <v>0</v>
      </c>
      <c r="K7988">
        <v>0</v>
      </c>
      <c r="L7988">
        <f t="shared" si="248"/>
        <v>3.9</v>
      </c>
      <c r="M7988">
        <f t="shared" si="249"/>
        <v>1</v>
      </c>
    </row>
    <row r="7989" spans="1:13" x14ac:dyDescent="0.3">
      <c r="A7989">
        <v>7987</v>
      </c>
      <c r="B7989">
        <v>7988</v>
      </c>
      <c r="C7989" t="s">
        <v>8064</v>
      </c>
      <c r="D7989">
        <v>2011</v>
      </c>
      <c r="F7989" t="s">
        <v>3313</v>
      </c>
      <c r="G7989">
        <v>0</v>
      </c>
      <c r="H7989">
        <v>0</v>
      </c>
      <c r="I7989">
        <v>1</v>
      </c>
      <c r="J7989">
        <v>0</v>
      </c>
      <c r="K7989">
        <v>0</v>
      </c>
      <c r="L7989">
        <f t="shared" si="248"/>
        <v>3.9</v>
      </c>
      <c r="M7989">
        <f t="shared" si="249"/>
        <v>1</v>
      </c>
    </row>
    <row r="7990" spans="1:13" x14ac:dyDescent="0.3">
      <c r="A7990">
        <v>7988</v>
      </c>
      <c r="B7990">
        <v>7989</v>
      </c>
      <c r="C7990" t="s">
        <v>8065</v>
      </c>
      <c r="D7990">
        <v>2009</v>
      </c>
      <c r="F7990" t="s">
        <v>3313</v>
      </c>
      <c r="G7990">
        <v>0</v>
      </c>
      <c r="H7990">
        <v>0</v>
      </c>
      <c r="I7990">
        <v>1</v>
      </c>
      <c r="J7990">
        <v>0</v>
      </c>
      <c r="K7990">
        <v>0</v>
      </c>
      <c r="L7990">
        <f t="shared" si="248"/>
        <v>3.9</v>
      </c>
      <c r="M7990">
        <f t="shared" si="249"/>
        <v>1</v>
      </c>
    </row>
    <row r="7991" spans="1:13" x14ac:dyDescent="0.3">
      <c r="A7991">
        <v>7989</v>
      </c>
      <c r="B7991">
        <v>7990</v>
      </c>
      <c r="C7991" t="s">
        <v>8066</v>
      </c>
      <c r="D7991">
        <v>1982</v>
      </c>
      <c r="F7991" t="s">
        <v>3313</v>
      </c>
      <c r="G7991">
        <v>0</v>
      </c>
      <c r="H7991">
        <v>0</v>
      </c>
      <c r="I7991">
        <v>1</v>
      </c>
      <c r="J7991">
        <v>0</v>
      </c>
      <c r="K7991">
        <v>0</v>
      </c>
      <c r="L7991">
        <f t="shared" si="248"/>
        <v>3.9</v>
      </c>
      <c r="M7991">
        <f t="shared" si="249"/>
        <v>1</v>
      </c>
    </row>
    <row r="7992" spans="1:13" x14ac:dyDescent="0.3">
      <c r="A7992">
        <v>7990</v>
      </c>
      <c r="B7992">
        <v>7991</v>
      </c>
      <c r="C7992" t="s">
        <v>8067</v>
      </c>
      <c r="D7992">
        <v>2016</v>
      </c>
      <c r="F7992" t="s">
        <v>3313</v>
      </c>
      <c r="G7992">
        <v>0</v>
      </c>
      <c r="H7992">
        <v>0</v>
      </c>
      <c r="I7992">
        <v>1</v>
      </c>
      <c r="J7992">
        <v>0</v>
      </c>
      <c r="K7992">
        <v>0</v>
      </c>
      <c r="L7992">
        <f t="shared" si="248"/>
        <v>3.9</v>
      </c>
      <c r="M7992">
        <f t="shared" si="249"/>
        <v>1</v>
      </c>
    </row>
    <row r="7993" spans="1:13" x14ac:dyDescent="0.3">
      <c r="A7993">
        <v>7991</v>
      </c>
      <c r="B7993">
        <v>7992</v>
      </c>
      <c r="C7993" t="s">
        <v>8068</v>
      </c>
      <c r="D7993">
        <v>2012</v>
      </c>
      <c r="F7993" t="s">
        <v>3313</v>
      </c>
      <c r="G7993">
        <v>0</v>
      </c>
      <c r="H7993">
        <v>0</v>
      </c>
      <c r="I7993">
        <v>1</v>
      </c>
      <c r="J7993">
        <v>0</v>
      </c>
      <c r="K7993">
        <v>0</v>
      </c>
      <c r="L7993">
        <f t="shared" si="248"/>
        <v>3.9</v>
      </c>
      <c r="M7993">
        <f t="shared" si="249"/>
        <v>1</v>
      </c>
    </row>
    <row r="7994" spans="1:13" x14ac:dyDescent="0.3">
      <c r="A7994">
        <v>7992</v>
      </c>
      <c r="B7994">
        <v>7993</v>
      </c>
      <c r="C7994" t="s">
        <v>8069</v>
      </c>
      <c r="D7994">
        <v>2013</v>
      </c>
      <c r="F7994" t="s">
        <v>3313</v>
      </c>
      <c r="G7994">
        <v>0</v>
      </c>
      <c r="H7994">
        <v>0</v>
      </c>
      <c r="I7994">
        <v>1</v>
      </c>
      <c r="J7994">
        <v>0</v>
      </c>
      <c r="K7994">
        <v>0</v>
      </c>
      <c r="L7994">
        <f t="shared" si="248"/>
        <v>3.9</v>
      </c>
      <c r="M7994">
        <f t="shared" si="249"/>
        <v>1</v>
      </c>
    </row>
    <row r="7995" spans="1:13" x14ac:dyDescent="0.3">
      <c r="A7995">
        <v>7993</v>
      </c>
      <c r="B7995">
        <v>7994</v>
      </c>
      <c r="C7995" t="s">
        <v>8070</v>
      </c>
      <c r="D7995">
        <v>2017</v>
      </c>
      <c r="E7995" t="s">
        <v>14</v>
      </c>
      <c r="F7995" t="s">
        <v>3313</v>
      </c>
      <c r="G7995">
        <v>0</v>
      </c>
      <c r="H7995">
        <v>0</v>
      </c>
      <c r="I7995">
        <v>1</v>
      </c>
      <c r="J7995">
        <v>0</v>
      </c>
      <c r="K7995">
        <v>0</v>
      </c>
      <c r="L7995">
        <f t="shared" si="248"/>
        <v>3.9</v>
      </c>
      <c r="M7995">
        <f t="shared" si="249"/>
        <v>1</v>
      </c>
    </row>
    <row r="7996" spans="1:13" x14ac:dyDescent="0.3">
      <c r="A7996">
        <v>7994</v>
      </c>
      <c r="B7996">
        <v>7995</v>
      </c>
      <c r="C7996" t="s">
        <v>8071</v>
      </c>
      <c r="D7996">
        <v>2013</v>
      </c>
      <c r="F7996" t="s">
        <v>3313</v>
      </c>
      <c r="G7996">
        <v>0</v>
      </c>
      <c r="H7996">
        <v>0</v>
      </c>
      <c r="I7996">
        <v>1</v>
      </c>
      <c r="J7996">
        <v>0</v>
      </c>
      <c r="K7996">
        <v>0</v>
      </c>
      <c r="L7996">
        <f t="shared" si="248"/>
        <v>3.9</v>
      </c>
      <c r="M7996">
        <f t="shared" si="249"/>
        <v>1</v>
      </c>
    </row>
    <row r="7997" spans="1:13" x14ac:dyDescent="0.3">
      <c r="A7997">
        <v>7995</v>
      </c>
      <c r="B7997">
        <v>7996</v>
      </c>
      <c r="C7997" t="s">
        <v>8072</v>
      </c>
      <c r="D7997">
        <v>2012</v>
      </c>
      <c r="F7997" t="s">
        <v>3313</v>
      </c>
      <c r="G7997">
        <v>0</v>
      </c>
      <c r="H7997">
        <v>0</v>
      </c>
      <c r="I7997">
        <v>1</v>
      </c>
      <c r="J7997">
        <v>0</v>
      </c>
      <c r="K7997">
        <v>0</v>
      </c>
      <c r="L7997">
        <f t="shared" si="248"/>
        <v>3.9</v>
      </c>
      <c r="M7997">
        <f t="shared" si="249"/>
        <v>1</v>
      </c>
    </row>
    <row r="7998" spans="1:13" x14ac:dyDescent="0.3">
      <c r="A7998">
        <v>7996</v>
      </c>
      <c r="B7998">
        <v>7997</v>
      </c>
      <c r="C7998" t="s">
        <v>8073</v>
      </c>
      <c r="D7998">
        <v>2020</v>
      </c>
      <c r="F7998" t="s">
        <v>3313</v>
      </c>
      <c r="G7998">
        <v>0</v>
      </c>
      <c r="H7998">
        <v>0</v>
      </c>
      <c r="I7998">
        <v>1</v>
      </c>
      <c r="J7998">
        <v>0</v>
      </c>
      <c r="K7998">
        <v>0</v>
      </c>
      <c r="L7998">
        <f t="shared" si="248"/>
        <v>3.9</v>
      </c>
      <c r="M7998">
        <f t="shared" si="249"/>
        <v>1</v>
      </c>
    </row>
    <row r="7999" spans="1:13" x14ac:dyDescent="0.3">
      <c r="A7999">
        <v>7997</v>
      </c>
      <c r="B7999">
        <v>7998</v>
      </c>
      <c r="C7999" t="s">
        <v>8074</v>
      </c>
      <c r="D7999">
        <v>2017</v>
      </c>
      <c r="F7999" t="s">
        <v>3313</v>
      </c>
      <c r="G7999">
        <v>0</v>
      </c>
      <c r="H7999">
        <v>0</v>
      </c>
      <c r="I7999">
        <v>1</v>
      </c>
      <c r="J7999">
        <v>0</v>
      </c>
      <c r="K7999">
        <v>0</v>
      </c>
      <c r="L7999">
        <f t="shared" si="248"/>
        <v>3.9</v>
      </c>
      <c r="M7999">
        <f t="shared" si="249"/>
        <v>1</v>
      </c>
    </row>
    <row r="8000" spans="1:13" x14ac:dyDescent="0.3">
      <c r="A8000">
        <v>7998</v>
      </c>
      <c r="B8000">
        <v>7999</v>
      </c>
      <c r="C8000" t="s">
        <v>8075</v>
      </c>
      <c r="D8000">
        <v>2016</v>
      </c>
      <c r="E8000" t="s">
        <v>36</v>
      </c>
      <c r="F8000" t="s">
        <v>3313</v>
      </c>
      <c r="G8000">
        <v>0</v>
      </c>
      <c r="H8000">
        <v>0</v>
      </c>
      <c r="I8000">
        <v>1</v>
      </c>
      <c r="J8000">
        <v>0</v>
      </c>
      <c r="K8000">
        <v>0</v>
      </c>
      <c r="L8000">
        <f t="shared" si="248"/>
        <v>3.9</v>
      </c>
      <c r="M8000">
        <f t="shared" si="249"/>
        <v>1</v>
      </c>
    </row>
    <row r="8001" spans="1:13" x14ac:dyDescent="0.3">
      <c r="A8001">
        <v>7999</v>
      </c>
      <c r="B8001">
        <v>8000</v>
      </c>
      <c r="C8001" t="s">
        <v>8076</v>
      </c>
      <c r="D8001">
        <v>2020</v>
      </c>
      <c r="E8001" t="s">
        <v>28</v>
      </c>
      <c r="F8001" t="s">
        <v>3313</v>
      </c>
      <c r="G8001">
        <v>0</v>
      </c>
      <c r="H8001">
        <v>0</v>
      </c>
      <c r="I8001">
        <v>1</v>
      </c>
      <c r="J8001">
        <v>0</v>
      </c>
      <c r="K8001">
        <v>0</v>
      </c>
      <c r="L8001">
        <f t="shared" si="248"/>
        <v>3.9</v>
      </c>
      <c r="M8001">
        <f t="shared" si="249"/>
        <v>1</v>
      </c>
    </row>
    <row r="8002" spans="1:13" x14ac:dyDescent="0.3">
      <c r="A8002">
        <v>8000</v>
      </c>
      <c r="B8002">
        <v>8001</v>
      </c>
      <c r="C8002" t="s">
        <v>8077</v>
      </c>
      <c r="D8002">
        <v>1999</v>
      </c>
      <c r="E8002" t="s">
        <v>11</v>
      </c>
      <c r="F8002" t="s">
        <v>3313</v>
      </c>
      <c r="G8002">
        <v>0</v>
      </c>
      <c r="H8002">
        <v>0</v>
      </c>
      <c r="I8002">
        <v>1</v>
      </c>
      <c r="J8002">
        <v>0</v>
      </c>
      <c r="K8002">
        <v>0</v>
      </c>
      <c r="L8002">
        <f t="shared" si="248"/>
        <v>3.9</v>
      </c>
      <c r="M8002">
        <f t="shared" si="249"/>
        <v>1</v>
      </c>
    </row>
    <row r="8003" spans="1:13" x14ac:dyDescent="0.3">
      <c r="A8003">
        <v>8001</v>
      </c>
      <c r="B8003">
        <v>8002</v>
      </c>
      <c r="C8003" t="s">
        <v>8078</v>
      </c>
      <c r="D8003">
        <v>2012</v>
      </c>
      <c r="F8003" t="s">
        <v>3313</v>
      </c>
      <c r="G8003">
        <v>0</v>
      </c>
      <c r="H8003">
        <v>0</v>
      </c>
      <c r="I8003">
        <v>1</v>
      </c>
      <c r="J8003">
        <v>0</v>
      </c>
      <c r="K8003">
        <v>0</v>
      </c>
      <c r="L8003">
        <f t="shared" ref="L8003:L8066" si="250">IFERROR(VALUE(LEFT(F8003,FIND("/",F8003)-1))/10,"")</f>
        <v>3.9</v>
      </c>
      <c r="M8003">
        <f t="shared" ref="M8003:M8066" si="251">SUM(G8003:J8003)</f>
        <v>1</v>
      </c>
    </row>
    <row r="8004" spans="1:13" x14ac:dyDescent="0.3">
      <c r="A8004">
        <v>8002</v>
      </c>
      <c r="B8004">
        <v>8003</v>
      </c>
      <c r="C8004" t="s">
        <v>8079</v>
      </c>
      <c r="D8004">
        <v>2011</v>
      </c>
      <c r="F8004" t="s">
        <v>3313</v>
      </c>
      <c r="G8004">
        <v>0</v>
      </c>
      <c r="H8004">
        <v>0</v>
      </c>
      <c r="I8004">
        <v>1</v>
      </c>
      <c r="J8004">
        <v>0</v>
      </c>
      <c r="K8004">
        <v>0</v>
      </c>
      <c r="L8004">
        <f t="shared" si="250"/>
        <v>3.9</v>
      </c>
      <c r="M8004">
        <f t="shared" si="251"/>
        <v>1</v>
      </c>
    </row>
    <row r="8005" spans="1:13" x14ac:dyDescent="0.3">
      <c r="A8005">
        <v>8003</v>
      </c>
      <c r="B8005">
        <v>8004</v>
      </c>
      <c r="C8005" t="s">
        <v>8080</v>
      </c>
      <c r="D8005">
        <v>2013</v>
      </c>
      <c r="F8005" t="s">
        <v>3313</v>
      </c>
      <c r="G8005">
        <v>0</v>
      </c>
      <c r="H8005">
        <v>0</v>
      </c>
      <c r="I8005">
        <v>1</v>
      </c>
      <c r="J8005">
        <v>0</v>
      </c>
      <c r="K8005">
        <v>0</v>
      </c>
      <c r="L8005">
        <f t="shared" si="250"/>
        <v>3.9</v>
      </c>
      <c r="M8005">
        <f t="shared" si="251"/>
        <v>1</v>
      </c>
    </row>
    <row r="8006" spans="1:13" x14ac:dyDescent="0.3">
      <c r="A8006">
        <v>8004</v>
      </c>
      <c r="B8006">
        <v>8005</v>
      </c>
      <c r="C8006" t="s">
        <v>8081</v>
      </c>
      <c r="D8006">
        <v>1953</v>
      </c>
      <c r="F8006" t="s">
        <v>3313</v>
      </c>
      <c r="G8006">
        <v>0</v>
      </c>
      <c r="H8006">
        <v>0</v>
      </c>
      <c r="I8006">
        <v>1</v>
      </c>
      <c r="J8006">
        <v>0</v>
      </c>
      <c r="K8006">
        <v>0</v>
      </c>
      <c r="L8006">
        <f t="shared" si="250"/>
        <v>3.9</v>
      </c>
      <c r="M8006">
        <f t="shared" si="251"/>
        <v>1</v>
      </c>
    </row>
    <row r="8007" spans="1:13" x14ac:dyDescent="0.3">
      <c r="A8007">
        <v>8005</v>
      </c>
      <c r="B8007">
        <v>8006</v>
      </c>
      <c r="C8007" t="s">
        <v>8082</v>
      </c>
      <c r="D8007">
        <v>2009</v>
      </c>
      <c r="F8007" t="s">
        <v>3313</v>
      </c>
      <c r="G8007">
        <v>0</v>
      </c>
      <c r="H8007">
        <v>0</v>
      </c>
      <c r="I8007">
        <v>1</v>
      </c>
      <c r="J8007">
        <v>0</v>
      </c>
      <c r="K8007">
        <v>0</v>
      </c>
      <c r="L8007">
        <f t="shared" si="250"/>
        <v>3.9</v>
      </c>
      <c r="M8007">
        <f t="shared" si="251"/>
        <v>1</v>
      </c>
    </row>
    <row r="8008" spans="1:13" x14ac:dyDescent="0.3">
      <c r="A8008">
        <v>8006</v>
      </c>
      <c r="B8008">
        <v>8007</v>
      </c>
      <c r="C8008" t="s">
        <v>8083</v>
      </c>
      <c r="D8008">
        <v>2013</v>
      </c>
      <c r="F8008" t="s">
        <v>3313</v>
      </c>
      <c r="G8008">
        <v>0</v>
      </c>
      <c r="H8008">
        <v>0</v>
      </c>
      <c r="I8008">
        <v>1</v>
      </c>
      <c r="J8008">
        <v>0</v>
      </c>
      <c r="K8008">
        <v>0</v>
      </c>
      <c r="L8008">
        <f t="shared" si="250"/>
        <v>3.9</v>
      </c>
      <c r="M8008">
        <f t="shared" si="251"/>
        <v>1</v>
      </c>
    </row>
    <row r="8009" spans="1:13" x14ac:dyDescent="0.3">
      <c r="A8009">
        <v>8007</v>
      </c>
      <c r="B8009">
        <v>8008</v>
      </c>
      <c r="C8009" t="s">
        <v>8084</v>
      </c>
      <c r="D8009">
        <v>1989</v>
      </c>
      <c r="F8009" t="s">
        <v>3313</v>
      </c>
      <c r="G8009">
        <v>0</v>
      </c>
      <c r="H8009">
        <v>0</v>
      </c>
      <c r="I8009">
        <v>1</v>
      </c>
      <c r="J8009">
        <v>0</v>
      </c>
      <c r="K8009">
        <v>0</v>
      </c>
      <c r="L8009">
        <f t="shared" si="250"/>
        <v>3.9</v>
      </c>
      <c r="M8009">
        <f t="shared" si="251"/>
        <v>1</v>
      </c>
    </row>
    <row r="8010" spans="1:13" x14ac:dyDescent="0.3">
      <c r="A8010">
        <v>8008</v>
      </c>
      <c r="B8010">
        <v>8009</v>
      </c>
      <c r="C8010" t="s">
        <v>8085</v>
      </c>
      <c r="D8010">
        <v>2002</v>
      </c>
      <c r="E8010" t="s">
        <v>11</v>
      </c>
      <c r="F8010" t="s">
        <v>3313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f t="shared" si="250"/>
        <v>3.9</v>
      </c>
      <c r="M8010">
        <f t="shared" si="251"/>
        <v>1</v>
      </c>
    </row>
    <row r="8011" spans="1:13" x14ac:dyDescent="0.3">
      <c r="A8011">
        <v>8009</v>
      </c>
      <c r="B8011">
        <v>8010</v>
      </c>
      <c r="C8011" t="s">
        <v>8086</v>
      </c>
      <c r="D8011">
        <v>2020</v>
      </c>
      <c r="F8011" t="s">
        <v>3313</v>
      </c>
      <c r="G8011">
        <v>0</v>
      </c>
      <c r="H8011">
        <v>0</v>
      </c>
      <c r="I8011">
        <v>1</v>
      </c>
      <c r="J8011">
        <v>0</v>
      </c>
      <c r="K8011">
        <v>0</v>
      </c>
      <c r="L8011">
        <f t="shared" si="250"/>
        <v>3.9</v>
      </c>
      <c r="M8011">
        <f t="shared" si="251"/>
        <v>1</v>
      </c>
    </row>
    <row r="8012" spans="1:13" x14ac:dyDescent="0.3">
      <c r="A8012">
        <v>8010</v>
      </c>
      <c r="B8012">
        <v>8011</v>
      </c>
      <c r="C8012" t="s">
        <v>8087</v>
      </c>
      <c r="D8012">
        <v>1964</v>
      </c>
      <c r="F8012" t="s">
        <v>3313</v>
      </c>
      <c r="G8012">
        <v>0</v>
      </c>
      <c r="H8012">
        <v>0</v>
      </c>
      <c r="I8012">
        <v>1</v>
      </c>
      <c r="J8012">
        <v>0</v>
      </c>
      <c r="K8012">
        <v>0</v>
      </c>
      <c r="L8012">
        <f t="shared" si="250"/>
        <v>3.9</v>
      </c>
      <c r="M8012">
        <f t="shared" si="251"/>
        <v>1</v>
      </c>
    </row>
    <row r="8013" spans="1:13" x14ac:dyDescent="0.3">
      <c r="A8013">
        <v>8011</v>
      </c>
      <c r="B8013">
        <v>8012</v>
      </c>
      <c r="C8013" t="s">
        <v>8088</v>
      </c>
      <c r="D8013">
        <v>2011</v>
      </c>
      <c r="F8013" t="s">
        <v>3313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f t="shared" si="250"/>
        <v>3.9</v>
      </c>
      <c r="M8013">
        <f t="shared" si="251"/>
        <v>1</v>
      </c>
    </row>
    <row r="8014" spans="1:13" x14ac:dyDescent="0.3">
      <c r="A8014">
        <v>8012</v>
      </c>
      <c r="B8014">
        <v>8013</v>
      </c>
      <c r="C8014" t="s">
        <v>8089</v>
      </c>
      <c r="D8014">
        <v>2017</v>
      </c>
      <c r="F8014" t="s">
        <v>3313</v>
      </c>
      <c r="G8014">
        <v>0</v>
      </c>
      <c r="H8014">
        <v>0</v>
      </c>
      <c r="I8014">
        <v>1</v>
      </c>
      <c r="J8014">
        <v>0</v>
      </c>
      <c r="K8014">
        <v>0</v>
      </c>
      <c r="L8014">
        <f t="shared" si="250"/>
        <v>3.9</v>
      </c>
      <c r="M8014">
        <f t="shared" si="251"/>
        <v>1</v>
      </c>
    </row>
    <row r="8015" spans="1:13" x14ac:dyDescent="0.3">
      <c r="A8015">
        <v>8013</v>
      </c>
      <c r="B8015">
        <v>8014</v>
      </c>
      <c r="C8015" t="s">
        <v>8090</v>
      </c>
      <c r="D8015">
        <v>1947</v>
      </c>
      <c r="F8015" t="s">
        <v>3313</v>
      </c>
      <c r="G8015">
        <v>0</v>
      </c>
      <c r="H8015">
        <v>0</v>
      </c>
      <c r="I8015">
        <v>1</v>
      </c>
      <c r="J8015">
        <v>0</v>
      </c>
      <c r="K8015">
        <v>0</v>
      </c>
      <c r="L8015">
        <f t="shared" si="250"/>
        <v>3.9</v>
      </c>
      <c r="M8015">
        <f t="shared" si="251"/>
        <v>1</v>
      </c>
    </row>
    <row r="8016" spans="1:13" x14ac:dyDescent="0.3">
      <c r="A8016">
        <v>8014</v>
      </c>
      <c r="B8016">
        <v>8015</v>
      </c>
      <c r="C8016" t="s">
        <v>8091</v>
      </c>
      <c r="D8016">
        <v>2016</v>
      </c>
      <c r="F8016" t="s">
        <v>3313</v>
      </c>
      <c r="G8016">
        <v>0</v>
      </c>
      <c r="H8016">
        <v>0</v>
      </c>
      <c r="I8016">
        <v>1</v>
      </c>
      <c r="J8016">
        <v>0</v>
      </c>
      <c r="K8016">
        <v>0</v>
      </c>
      <c r="L8016">
        <f t="shared" si="250"/>
        <v>3.9</v>
      </c>
      <c r="M8016">
        <f t="shared" si="251"/>
        <v>1</v>
      </c>
    </row>
    <row r="8017" spans="1:13" x14ac:dyDescent="0.3">
      <c r="A8017">
        <v>8015</v>
      </c>
      <c r="B8017">
        <v>8016</v>
      </c>
      <c r="C8017" t="s">
        <v>8092</v>
      </c>
      <c r="D8017">
        <v>2017</v>
      </c>
      <c r="F8017" t="s">
        <v>3313</v>
      </c>
      <c r="G8017">
        <v>0</v>
      </c>
      <c r="H8017">
        <v>0</v>
      </c>
      <c r="I8017">
        <v>1</v>
      </c>
      <c r="J8017">
        <v>0</v>
      </c>
      <c r="K8017">
        <v>0</v>
      </c>
      <c r="L8017">
        <f t="shared" si="250"/>
        <v>3.9</v>
      </c>
      <c r="M8017">
        <f t="shared" si="251"/>
        <v>1</v>
      </c>
    </row>
    <row r="8018" spans="1:13" x14ac:dyDescent="0.3">
      <c r="A8018">
        <v>8016</v>
      </c>
      <c r="B8018">
        <v>8017</v>
      </c>
      <c r="C8018" t="s">
        <v>8093</v>
      </c>
      <c r="D8018">
        <v>2005</v>
      </c>
      <c r="E8018" t="s">
        <v>22</v>
      </c>
      <c r="F8018" t="s">
        <v>3313</v>
      </c>
      <c r="G8018">
        <v>0</v>
      </c>
      <c r="H8018">
        <v>0</v>
      </c>
      <c r="I8018">
        <v>1</v>
      </c>
      <c r="J8018">
        <v>0</v>
      </c>
      <c r="K8018">
        <v>0</v>
      </c>
      <c r="L8018">
        <f t="shared" si="250"/>
        <v>3.9</v>
      </c>
      <c r="M8018">
        <f t="shared" si="251"/>
        <v>1</v>
      </c>
    </row>
    <row r="8019" spans="1:13" x14ac:dyDescent="0.3">
      <c r="A8019">
        <v>8017</v>
      </c>
      <c r="B8019">
        <v>8018</v>
      </c>
      <c r="C8019" t="s">
        <v>8094</v>
      </c>
      <c r="D8019">
        <v>1996</v>
      </c>
      <c r="F8019" t="s">
        <v>3313</v>
      </c>
      <c r="G8019">
        <v>0</v>
      </c>
      <c r="H8019">
        <v>0</v>
      </c>
      <c r="I8019">
        <v>1</v>
      </c>
      <c r="J8019">
        <v>0</v>
      </c>
      <c r="K8019">
        <v>0</v>
      </c>
      <c r="L8019">
        <f t="shared" si="250"/>
        <v>3.9</v>
      </c>
      <c r="M8019">
        <f t="shared" si="251"/>
        <v>1</v>
      </c>
    </row>
    <row r="8020" spans="1:13" x14ac:dyDescent="0.3">
      <c r="A8020">
        <v>8018</v>
      </c>
      <c r="B8020">
        <v>8019</v>
      </c>
      <c r="C8020" t="s">
        <v>8095</v>
      </c>
      <c r="D8020">
        <v>2013</v>
      </c>
      <c r="F8020" t="s">
        <v>3313</v>
      </c>
      <c r="G8020">
        <v>0</v>
      </c>
      <c r="H8020">
        <v>0</v>
      </c>
      <c r="I8020">
        <v>1</v>
      </c>
      <c r="J8020">
        <v>0</v>
      </c>
      <c r="K8020">
        <v>0</v>
      </c>
      <c r="L8020">
        <f t="shared" si="250"/>
        <v>3.9</v>
      </c>
      <c r="M8020">
        <f t="shared" si="251"/>
        <v>1</v>
      </c>
    </row>
    <row r="8021" spans="1:13" x14ac:dyDescent="0.3">
      <c r="A8021">
        <v>8019</v>
      </c>
      <c r="B8021">
        <v>8020</v>
      </c>
      <c r="C8021" t="s">
        <v>8096</v>
      </c>
      <c r="D8021">
        <v>2010</v>
      </c>
      <c r="F8021" t="s">
        <v>3313</v>
      </c>
      <c r="G8021">
        <v>0</v>
      </c>
      <c r="H8021">
        <v>0</v>
      </c>
      <c r="I8021">
        <v>1</v>
      </c>
      <c r="J8021">
        <v>0</v>
      </c>
      <c r="K8021">
        <v>0</v>
      </c>
      <c r="L8021">
        <f t="shared" si="250"/>
        <v>3.9</v>
      </c>
      <c r="M8021">
        <f t="shared" si="251"/>
        <v>1</v>
      </c>
    </row>
    <row r="8022" spans="1:13" x14ac:dyDescent="0.3">
      <c r="A8022">
        <v>8020</v>
      </c>
      <c r="B8022">
        <v>8021</v>
      </c>
      <c r="C8022" t="s">
        <v>8097</v>
      </c>
      <c r="D8022">
        <v>2011</v>
      </c>
      <c r="F8022" t="s">
        <v>3313</v>
      </c>
      <c r="G8022">
        <v>0</v>
      </c>
      <c r="H8022">
        <v>0</v>
      </c>
      <c r="I8022">
        <v>1</v>
      </c>
      <c r="J8022">
        <v>0</v>
      </c>
      <c r="K8022">
        <v>0</v>
      </c>
      <c r="L8022">
        <f t="shared" si="250"/>
        <v>3.9</v>
      </c>
      <c r="M8022">
        <f t="shared" si="251"/>
        <v>1</v>
      </c>
    </row>
    <row r="8023" spans="1:13" x14ac:dyDescent="0.3">
      <c r="A8023">
        <v>8021</v>
      </c>
      <c r="B8023">
        <v>8022</v>
      </c>
      <c r="C8023" t="s">
        <v>8098</v>
      </c>
      <c r="D8023">
        <v>2013</v>
      </c>
      <c r="E8023" t="s">
        <v>36</v>
      </c>
      <c r="F8023" t="s">
        <v>3313</v>
      </c>
      <c r="G8023">
        <v>0</v>
      </c>
      <c r="H8023">
        <v>0</v>
      </c>
      <c r="I8023">
        <v>1</v>
      </c>
      <c r="J8023">
        <v>0</v>
      </c>
      <c r="K8023">
        <v>0</v>
      </c>
      <c r="L8023">
        <f t="shared" si="250"/>
        <v>3.9</v>
      </c>
      <c r="M8023">
        <f t="shared" si="251"/>
        <v>1</v>
      </c>
    </row>
    <row r="8024" spans="1:13" x14ac:dyDescent="0.3">
      <c r="A8024">
        <v>8022</v>
      </c>
      <c r="B8024">
        <v>8023</v>
      </c>
      <c r="C8024" t="s">
        <v>8099</v>
      </c>
      <c r="D8024">
        <v>2020</v>
      </c>
      <c r="F8024" t="s">
        <v>3313</v>
      </c>
      <c r="G8024">
        <v>0</v>
      </c>
      <c r="H8024">
        <v>0</v>
      </c>
      <c r="I8024">
        <v>1</v>
      </c>
      <c r="J8024">
        <v>0</v>
      </c>
      <c r="K8024">
        <v>0</v>
      </c>
      <c r="L8024">
        <f t="shared" si="250"/>
        <v>3.9</v>
      </c>
      <c r="M8024">
        <f t="shared" si="251"/>
        <v>1</v>
      </c>
    </row>
    <row r="8025" spans="1:13" x14ac:dyDescent="0.3">
      <c r="A8025">
        <v>8023</v>
      </c>
      <c r="B8025">
        <v>8024</v>
      </c>
      <c r="C8025" t="s">
        <v>8100</v>
      </c>
      <c r="D8025">
        <v>2018</v>
      </c>
      <c r="F8025" t="s">
        <v>3313</v>
      </c>
      <c r="G8025">
        <v>0</v>
      </c>
      <c r="H8025">
        <v>0</v>
      </c>
      <c r="I8025">
        <v>1</v>
      </c>
      <c r="J8025">
        <v>0</v>
      </c>
      <c r="K8025">
        <v>0</v>
      </c>
      <c r="L8025">
        <f t="shared" si="250"/>
        <v>3.9</v>
      </c>
      <c r="M8025">
        <f t="shared" si="251"/>
        <v>1</v>
      </c>
    </row>
    <row r="8026" spans="1:13" x14ac:dyDescent="0.3">
      <c r="A8026">
        <v>8024</v>
      </c>
      <c r="B8026">
        <v>8025</v>
      </c>
      <c r="C8026" t="s">
        <v>8101</v>
      </c>
      <c r="D8026">
        <v>2016</v>
      </c>
      <c r="F8026" t="s">
        <v>3313</v>
      </c>
      <c r="G8026">
        <v>0</v>
      </c>
      <c r="H8026">
        <v>0</v>
      </c>
      <c r="I8026">
        <v>1</v>
      </c>
      <c r="J8026">
        <v>0</v>
      </c>
      <c r="K8026">
        <v>0</v>
      </c>
      <c r="L8026">
        <f t="shared" si="250"/>
        <v>3.9</v>
      </c>
      <c r="M8026">
        <f t="shared" si="251"/>
        <v>1</v>
      </c>
    </row>
    <row r="8027" spans="1:13" x14ac:dyDescent="0.3">
      <c r="A8027">
        <v>8025</v>
      </c>
      <c r="B8027">
        <v>8026</v>
      </c>
      <c r="C8027" t="s">
        <v>8102</v>
      </c>
      <c r="D8027">
        <v>1982</v>
      </c>
      <c r="F8027" t="s">
        <v>3313</v>
      </c>
      <c r="G8027">
        <v>0</v>
      </c>
      <c r="H8027">
        <v>0</v>
      </c>
      <c r="I8027">
        <v>1</v>
      </c>
      <c r="J8027">
        <v>0</v>
      </c>
      <c r="K8027">
        <v>0</v>
      </c>
      <c r="L8027">
        <f t="shared" si="250"/>
        <v>3.9</v>
      </c>
      <c r="M8027">
        <f t="shared" si="251"/>
        <v>1</v>
      </c>
    </row>
    <row r="8028" spans="1:13" x14ac:dyDescent="0.3">
      <c r="A8028">
        <v>8026</v>
      </c>
      <c r="B8028">
        <v>8027</v>
      </c>
      <c r="C8028" t="s">
        <v>8103</v>
      </c>
      <c r="D8028">
        <v>2020</v>
      </c>
      <c r="F8028" t="s">
        <v>3313</v>
      </c>
      <c r="G8028">
        <v>0</v>
      </c>
      <c r="H8028">
        <v>0</v>
      </c>
      <c r="I8028">
        <v>1</v>
      </c>
      <c r="J8028">
        <v>0</v>
      </c>
      <c r="K8028">
        <v>0</v>
      </c>
      <c r="L8028">
        <f t="shared" si="250"/>
        <v>3.9</v>
      </c>
      <c r="M8028">
        <f t="shared" si="251"/>
        <v>1</v>
      </c>
    </row>
    <row r="8029" spans="1:13" x14ac:dyDescent="0.3">
      <c r="A8029">
        <v>8027</v>
      </c>
      <c r="B8029">
        <v>8028</v>
      </c>
      <c r="C8029" t="s">
        <v>8104</v>
      </c>
      <c r="D8029">
        <v>2009</v>
      </c>
      <c r="F8029" t="s">
        <v>3313</v>
      </c>
      <c r="G8029">
        <v>0</v>
      </c>
      <c r="H8029">
        <v>0</v>
      </c>
      <c r="I8029">
        <v>1</v>
      </c>
      <c r="J8029">
        <v>0</v>
      </c>
      <c r="K8029">
        <v>0</v>
      </c>
      <c r="L8029">
        <f t="shared" si="250"/>
        <v>3.9</v>
      </c>
      <c r="M8029">
        <f t="shared" si="251"/>
        <v>1</v>
      </c>
    </row>
    <row r="8030" spans="1:13" x14ac:dyDescent="0.3">
      <c r="A8030">
        <v>8028</v>
      </c>
      <c r="B8030">
        <v>8029</v>
      </c>
      <c r="C8030" t="s">
        <v>8105</v>
      </c>
      <c r="D8030">
        <v>1999</v>
      </c>
      <c r="F8030" t="s">
        <v>3313</v>
      </c>
      <c r="G8030">
        <v>0</v>
      </c>
      <c r="H8030">
        <v>0</v>
      </c>
      <c r="I8030">
        <v>1</v>
      </c>
      <c r="J8030">
        <v>0</v>
      </c>
      <c r="K8030">
        <v>0</v>
      </c>
      <c r="L8030">
        <f t="shared" si="250"/>
        <v>3.9</v>
      </c>
      <c r="M8030">
        <f t="shared" si="251"/>
        <v>1</v>
      </c>
    </row>
    <row r="8031" spans="1:13" x14ac:dyDescent="0.3">
      <c r="A8031">
        <v>8029</v>
      </c>
      <c r="B8031">
        <v>8030</v>
      </c>
      <c r="C8031" t="s">
        <v>8106</v>
      </c>
      <c r="D8031">
        <v>2017</v>
      </c>
      <c r="F8031" t="s">
        <v>3313</v>
      </c>
      <c r="G8031">
        <v>0</v>
      </c>
      <c r="H8031">
        <v>0</v>
      </c>
      <c r="I8031">
        <v>1</v>
      </c>
      <c r="J8031">
        <v>0</v>
      </c>
      <c r="K8031">
        <v>0</v>
      </c>
      <c r="L8031">
        <f t="shared" si="250"/>
        <v>3.9</v>
      </c>
      <c r="M8031">
        <f t="shared" si="251"/>
        <v>1</v>
      </c>
    </row>
    <row r="8032" spans="1:13" x14ac:dyDescent="0.3">
      <c r="A8032">
        <v>8030</v>
      </c>
      <c r="B8032">
        <v>8031</v>
      </c>
      <c r="C8032" t="s">
        <v>8107</v>
      </c>
      <c r="D8032">
        <v>2006</v>
      </c>
      <c r="E8032" t="s">
        <v>14</v>
      </c>
      <c r="F8032" t="s">
        <v>3313</v>
      </c>
      <c r="G8032">
        <v>0</v>
      </c>
      <c r="H8032">
        <v>0</v>
      </c>
      <c r="I8032">
        <v>1</v>
      </c>
      <c r="J8032">
        <v>0</v>
      </c>
      <c r="K8032">
        <v>0</v>
      </c>
      <c r="L8032">
        <f t="shared" si="250"/>
        <v>3.9</v>
      </c>
      <c r="M8032">
        <f t="shared" si="251"/>
        <v>1</v>
      </c>
    </row>
    <row r="8033" spans="1:13" x14ac:dyDescent="0.3">
      <c r="A8033">
        <v>8031</v>
      </c>
      <c r="B8033">
        <v>8032</v>
      </c>
      <c r="C8033" t="s">
        <v>8108</v>
      </c>
      <c r="D8033">
        <v>2016</v>
      </c>
      <c r="F8033" t="s">
        <v>3313</v>
      </c>
      <c r="G8033">
        <v>0</v>
      </c>
      <c r="H8033">
        <v>0</v>
      </c>
      <c r="I8033">
        <v>1</v>
      </c>
      <c r="J8033">
        <v>0</v>
      </c>
      <c r="K8033">
        <v>0</v>
      </c>
      <c r="L8033">
        <f t="shared" si="250"/>
        <v>3.9</v>
      </c>
      <c r="M8033">
        <f t="shared" si="251"/>
        <v>1</v>
      </c>
    </row>
    <row r="8034" spans="1:13" x14ac:dyDescent="0.3">
      <c r="A8034">
        <v>8032</v>
      </c>
      <c r="B8034">
        <v>8033</v>
      </c>
      <c r="C8034" t="s">
        <v>8109</v>
      </c>
      <c r="D8034">
        <v>2010</v>
      </c>
      <c r="F8034" t="s">
        <v>3313</v>
      </c>
      <c r="G8034">
        <v>0</v>
      </c>
      <c r="H8034">
        <v>0</v>
      </c>
      <c r="I8034">
        <v>1</v>
      </c>
      <c r="J8034">
        <v>0</v>
      </c>
      <c r="K8034">
        <v>0</v>
      </c>
      <c r="L8034">
        <f t="shared" si="250"/>
        <v>3.9</v>
      </c>
      <c r="M8034">
        <f t="shared" si="251"/>
        <v>1</v>
      </c>
    </row>
    <row r="8035" spans="1:13" x14ac:dyDescent="0.3">
      <c r="A8035">
        <v>8033</v>
      </c>
      <c r="B8035">
        <v>8034</v>
      </c>
      <c r="C8035" t="s">
        <v>8110</v>
      </c>
      <c r="D8035">
        <v>2008</v>
      </c>
      <c r="F8035" t="s">
        <v>3313</v>
      </c>
      <c r="G8035">
        <v>0</v>
      </c>
      <c r="H8035">
        <v>0</v>
      </c>
      <c r="I8035">
        <v>1</v>
      </c>
      <c r="J8035">
        <v>0</v>
      </c>
      <c r="K8035">
        <v>0</v>
      </c>
      <c r="L8035">
        <f t="shared" si="250"/>
        <v>3.9</v>
      </c>
      <c r="M8035">
        <f t="shared" si="251"/>
        <v>1</v>
      </c>
    </row>
    <row r="8036" spans="1:13" x14ac:dyDescent="0.3">
      <c r="A8036">
        <v>8034</v>
      </c>
      <c r="B8036">
        <v>8035</v>
      </c>
      <c r="C8036" t="s">
        <v>8111</v>
      </c>
      <c r="D8036">
        <v>1996</v>
      </c>
      <c r="F8036" t="s">
        <v>3313</v>
      </c>
      <c r="G8036">
        <v>0</v>
      </c>
      <c r="H8036">
        <v>0</v>
      </c>
      <c r="I8036">
        <v>1</v>
      </c>
      <c r="J8036">
        <v>0</v>
      </c>
      <c r="K8036">
        <v>0</v>
      </c>
      <c r="L8036">
        <f t="shared" si="250"/>
        <v>3.9</v>
      </c>
      <c r="M8036">
        <f t="shared" si="251"/>
        <v>1</v>
      </c>
    </row>
    <row r="8037" spans="1:13" x14ac:dyDescent="0.3">
      <c r="A8037">
        <v>8035</v>
      </c>
      <c r="B8037">
        <v>8036</v>
      </c>
      <c r="C8037" t="s">
        <v>8112</v>
      </c>
      <c r="D8037">
        <v>1999</v>
      </c>
      <c r="E8037" t="s">
        <v>22</v>
      </c>
      <c r="F8037" t="s">
        <v>3313</v>
      </c>
      <c r="G8037">
        <v>0</v>
      </c>
      <c r="H8037">
        <v>0</v>
      </c>
      <c r="I8037">
        <v>1</v>
      </c>
      <c r="J8037">
        <v>0</v>
      </c>
      <c r="K8037">
        <v>0</v>
      </c>
      <c r="L8037">
        <f t="shared" si="250"/>
        <v>3.9</v>
      </c>
      <c r="M8037">
        <f t="shared" si="251"/>
        <v>1</v>
      </c>
    </row>
    <row r="8038" spans="1:13" x14ac:dyDescent="0.3">
      <c r="A8038">
        <v>8036</v>
      </c>
      <c r="B8038">
        <v>8037</v>
      </c>
      <c r="C8038" t="s">
        <v>8113</v>
      </c>
      <c r="D8038">
        <v>1938</v>
      </c>
      <c r="F8038" t="s">
        <v>3313</v>
      </c>
      <c r="G8038">
        <v>0</v>
      </c>
      <c r="H8038">
        <v>0</v>
      </c>
      <c r="I8038">
        <v>1</v>
      </c>
      <c r="J8038">
        <v>0</v>
      </c>
      <c r="K8038">
        <v>0</v>
      </c>
      <c r="L8038">
        <f t="shared" si="250"/>
        <v>3.9</v>
      </c>
      <c r="M8038">
        <f t="shared" si="251"/>
        <v>1</v>
      </c>
    </row>
    <row r="8039" spans="1:13" x14ac:dyDescent="0.3">
      <c r="A8039">
        <v>8037</v>
      </c>
      <c r="B8039">
        <v>8038</v>
      </c>
      <c r="C8039" t="s">
        <v>8114</v>
      </c>
      <c r="D8039">
        <v>2015</v>
      </c>
      <c r="F8039" t="s">
        <v>3313</v>
      </c>
      <c r="G8039">
        <v>0</v>
      </c>
      <c r="H8039">
        <v>0</v>
      </c>
      <c r="I8039">
        <v>1</v>
      </c>
      <c r="J8039">
        <v>0</v>
      </c>
      <c r="K8039">
        <v>0</v>
      </c>
      <c r="L8039">
        <f t="shared" si="250"/>
        <v>3.9</v>
      </c>
      <c r="M8039">
        <f t="shared" si="251"/>
        <v>1</v>
      </c>
    </row>
    <row r="8040" spans="1:13" x14ac:dyDescent="0.3">
      <c r="A8040">
        <v>8038</v>
      </c>
      <c r="B8040">
        <v>8039</v>
      </c>
      <c r="C8040" t="s">
        <v>8115</v>
      </c>
      <c r="D8040">
        <v>2014</v>
      </c>
      <c r="E8040" t="s">
        <v>11</v>
      </c>
      <c r="F8040" t="s">
        <v>3313</v>
      </c>
      <c r="G8040">
        <v>0</v>
      </c>
      <c r="H8040">
        <v>0</v>
      </c>
      <c r="I8040">
        <v>1</v>
      </c>
      <c r="J8040">
        <v>0</v>
      </c>
      <c r="K8040">
        <v>0</v>
      </c>
      <c r="L8040">
        <f t="shared" si="250"/>
        <v>3.9</v>
      </c>
      <c r="M8040">
        <f t="shared" si="251"/>
        <v>1</v>
      </c>
    </row>
    <row r="8041" spans="1:13" x14ac:dyDescent="0.3">
      <c r="A8041">
        <v>8039</v>
      </c>
      <c r="B8041">
        <v>8040</v>
      </c>
      <c r="C8041" t="s">
        <v>8116</v>
      </c>
      <c r="D8041">
        <v>1997</v>
      </c>
      <c r="E8041" t="s">
        <v>11</v>
      </c>
      <c r="F8041" t="s">
        <v>3313</v>
      </c>
      <c r="G8041">
        <v>0</v>
      </c>
      <c r="H8041">
        <v>0</v>
      </c>
      <c r="I8041">
        <v>1</v>
      </c>
      <c r="J8041">
        <v>0</v>
      </c>
      <c r="K8041">
        <v>0</v>
      </c>
      <c r="L8041">
        <f t="shared" si="250"/>
        <v>3.9</v>
      </c>
      <c r="M8041">
        <f t="shared" si="251"/>
        <v>1</v>
      </c>
    </row>
    <row r="8042" spans="1:13" x14ac:dyDescent="0.3">
      <c r="A8042">
        <v>8040</v>
      </c>
      <c r="B8042">
        <v>8041</v>
      </c>
      <c r="C8042" t="s">
        <v>8117</v>
      </c>
      <c r="D8042">
        <v>2013</v>
      </c>
      <c r="E8042" t="s">
        <v>11</v>
      </c>
      <c r="F8042" t="s">
        <v>3313</v>
      </c>
      <c r="G8042">
        <v>0</v>
      </c>
      <c r="H8042">
        <v>0</v>
      </c>
      <c r="I8042">
        <v>1</v>
      </c>
      <c r="J8042">
        <v>0</v>
      </c>
      <c r="K8042">
        <v>0</v>
      </c>
      <c r="L8042">
        <f t="shared" si="250"/>
        <v>3.9</v>
      </c>
      <c r="M8042">
        <f t="shared" si="251"/>
        <v>1</v>
      </c>
    </row>
    <row r="8043" spans="1:13" x14ac:dyDescent="0.3">
      <c r="A8043">
        <v>8041</v>
      </c>
      <c r="B8043">
        <v>8042</v>
      </c>
      <c r="C8043" t="s">
        <v>8118</v>
      </c>
      <c r="D8043">
        <v>1939</v>
      </c>
      <c r="E8043" t="s">
        <v>14</v>
      </c>
      <c r="F8043" t="s">
        <v>3313</v>
      </c>
      <c r="G8043">
        <v>0</v>
      </c>
      <c r="H8043">
        <v>0</v>
      </c>
      <c r="I8043">
        <v>1</v>
      </c>
      <c r="J8043">
        <v>0</v>
      </c>
      <c r="K8043">
        <v>0</v>
      </c>
      <c r="L8043">
        <f t="shared" si="250"/>
        <v>3.9</v>
      </c>
      <c r="M8043">
        <f t="shared" si="251"/>
        <v>1</v>
      </c>
    </row>
    <row r="8044" spans="1:13" x14ac:dyDescent="0.3">
      <c r="A8044">
        <v>8042</v>
      </c>
      <c r="B8044">
        <v>8043</v>
      </c>
      <c r="C8044" t="s">
        <v>8119</v>
      </c>
      <c r="D8044">
        <v>1962</v>
      </c>
      <c r="E8044" t="s">
        <v>14</v>
      </c>
      <c r="F8044" t="s">
        <v>3313</v>
      </c>
      <c r="G8044">
        <v>0</v>
      </c>
      <c r="H8044">
        <v>0</v>
      </c>
      <c r="I8044">
        <v>1</v>
      </c>
      <c r="J8044">
        <v>0</v>
      </c>
      <c r="K8044">
        <v>0</v>
      </c>
      <c r="L8044">
        <f t="shared" si="250"/>
        <v>3.9</v>
      </c>
      <c r="M8044">
        <f t="shared" si="251"/>
        <v>1</v>
      </c>
    </row>
    <row r="8045" spans="1:13" x14ac:dyDescent="0.3">
      <c r="A8045">
        <v>8043</v>
      </c>
      <c r="B8045">
        <v>8044</v>
      </c>
      <c r="C8045" t="s">
        <v>8120</v>
      </c>
      <c r="D8045">
        <v>2006</v>
      </c>
      <c r="F8045" t="s">
        <v>3313</v>
      </c>
      <c r="G8045">
        <v>0</v>
      </c>
      <c r="H8045">
        <v>0</v>
      </c>
      <c r="I8045">
        <v>1</v>
      </c>
      <c r="J8045">
        <v>0</v>
      </c>
      <c r="K8045">
        <v>0</v>
      </c>
      <c r="L8045">
        <f t="shared" si="250"/>
        <v>3.9</v>
      </c>
      <c r="M8045">
        <f t="shared" si="251"/>
        <v>1</v>
      </c>
    </row>
    <row r="8046" spans="1:13" x14ac:dyDescent="0.3">
      <c r="A8046">
        <v>8044</v>
      </c>
      <c r="B8046">
        <v>8045</v>
      </c>
      <c r="C8046" t="s">
        <v>8121</v>
      </c>
      <c r="D8046">
        <v>2010</v>
      </c>
      <c r="F8046" t="s">
        <v>3313</v>
      </c>
      <c r="G8046">
        <v>0</v>
      </c>
      <c r="H8046">
        <v>0</v>
      </c>
      <c r="I8046">
        <v>1</v>
      </c>
      <c r="J8046">
        <v>0</v>
      </c>
      <c r="K8046">
        <v>0</v>
      </c>
      <c r="L8046">
        <f t="shared" si="250"/>
        <v>3.9</v>
      </c>
      <c r="M8046">
        <f t="shared" si="251"/>
        <v>1</v>
      </c>
    </row>
    <row r="8047" spans="1:13" x14ac:dyDescent="0.3">
      <c r="A8047">
        <v>8045</v>
      </c>
      <c r="B8047">
        <v>8046</v>
      </c>
      <c r="C8047" t="s">
        <v>8122</v>
      </c>
      <c r="D8047">
        <v>1939</v>
      </c>
      <c r="F8047" t="s">
        <v>3313</v>
      </c>
      <c r="G8047">
        <v>0</v>
      </c>
      <c r="H8047">
        <v>0</v>
      </c>
      <c r="I8047">
        <v>1</v>
      </c>
      <c r="J8047">
        <v>0</v>
      </c>
      <c r="K8047">
        <v>0</v>
      </c>
      <c r="L8047">
        <f t="shared" si="250"/>
        <v>3.9</v>
      </c>
      <c r="M8047">
        <f t="shared" si="251"/>
        <v>1</v>
      </c>
    </row>
    <row r="8048" spans="1:13" x14ac:dyDescent="0.3">
      <c r="A8048">
        <v>8046</v>
      </c>
      <c r="B8048">
        <v>8047</v>
      </c>
      <c r="C8048" t="s">
        <v>8123</v>
      </c>
      <c r="D8048">
        <v>2020</v>
      </c>
      <c r="E8048" t="s">
        <v>14</v>
      </c>
      <c r="F8048" t="s">
        <v>3313</v>
      </c>
      <c r="G8048">
        <v>0</v>
      </c>
      <c r="H8048">
        <v>0</v>
      </c>
      <c r="I8048">
        <v>1</v>
      </c>
      <c r="J8048">
        <v>0</v>
      </c>
      <c r="K8048">
        <v>0</v>
      </c>
      <c r="L8048">
        <f t="shared" si="250"/>
        <v>3.9</v>
      </c>
      <c r="M8048">
        <f t="shared" si="251"/>
        <v>1</v>
      </c>
    </row>
    <row r="8049" spans="1:13" x14ac:dyDescent="0.3">
      <c r="A8049">
        <v>8047</v>
      </c>
      <c r="B8049">
        <v>8048</v>
      </c>
      <c r="C8049" t="s">
        <v>8124</v>
      </c>
      <c r="D8049">
        <v>2017</v>
      </c>
      <c r="E8049" t="s">
        <v>22</v>
      </c>
      <c r="F8049" t="s">
        <v>3313</v>
      </c>
      <c r="G8049">
        <v>0</v>
      </c>
      <c r="H8049">
        <v>0</v>
      </c>
      <c r="I8049">
        <v>1</v>
      </c>
      <c r="J8049">
        <v>0</v>
      </c>
      <c r="K8049">
        <v>0</v>
      </c>
      <c r="L8049">
        <f t="shared" si="250"/>
        <v>3.9</v>
      </c>
      <c r="M8049">
        <f t="shared" si="251"/>
        <v>1</v>
      </c>
    </row>
    <row r="8050" spans="1:13" x14ac:dyDescent="0.3">
      <c r="A8050">
        <v>8048</v>
      </c>
      <c r="B8050">
        <v>8049</v>
      </c>
      <c r="C8050" t="s">
        <v>8125</v>
      </c>
      <c r="D8050">
        <v>2012</v>
      </c>
      <c r="F8050" t="s">
        <v>3313</v>
      </c>
      <c r="G8050">
        <v>0</v>
      </c>
      <c r="H8050">
        <v>0</v>
      </c>
      <c r="I8050">
        <v>1</v>
      </c>
      <c r="J8050">
        <v>0</v>
      </c>
      <c r="K8050">
        <v>0</v>
      </c>
      <c r="L8050">
        <f t="shared" si="250"/>
        <v>3.9</v>
      </c>
      <c r="M8050">
        <f t="shared" si="251"/>
        <v>1</v>
      </c>
    </row>
    <row r="8051" spans="1:13" x14ac:dyDescent="0.3">
      <c r="A8051">
        <v>8049</v>
      </c>
      <c r="B8051">
        <v>8050</v>
      </c>
      <c r="C8051" t="s">
        <v>8126</v>
      </c>
      <c r="D8051">
        <v>2006</v>
      </c>
      <c r="E8051" t="s">
        <v>11</v>
      </c>
      <c r="F8051" t="s">
        <v>3313</v>
      </c>
      <c r="G8051">
        <v>0</v>
      </c>
      <c r="H8051">
        <v>0</v>
      </c>
      <c r="I8051">
        <v>1</v>
      </c>
      <c r="J8051">
        <v>0</v>
      </c>
      <c r="K8051">
        <v>0</v>
      </c>
      <c r="L8051">
        <f t="shared" si="250"/>
        <v>3.9</v>
      </c>
      <c r="M8051">
        <f t="shared" si="251"/>
        <v>1</v>
      </c>
    </row>
    <row r="8052" spans="1:13" x14ac:dyDescent="0.3">
      <c r="A8052">
        <v>8050</v>
      </c>
      <c r="B8052">
        <v>8051</v>
      </c>
      <c r="C8052" t="s">
        <v>8127</v>
      </c>
      <c r="D8052">
        <v>2020</v>
      </c>
      <c r="F8052" t="s">
        <v>3313</v>
      </c>
      <c r="G8052">
        <v>0</v>
      </c>
      <c r="H8052">
        <v>0</v>
      </c>
      <c r="I8052">
        <v>1</v>
      </c>
      <c r="J8052">
        <v>0</v>
      </c>
      <c r="K8052">
        <v>0</v>
      </c>
      <c r="L8052">
        <f t="shared" si="250"/>
        <v>3.9</v>
      </c>
      <c r="M8052">
        <f t="shared" si="251"/>
        <v>1</v>
      </c>
    </row>
    <row r="8053" spans="1:13" x14ac:dyDescent="0.3">
      <c r="A8053">
        <v>8051</v>
      </c>
      <c r="B8053">
        <v>8052</v>
      </c>
      <c r="C8053" t="s">
        <v>8128</v>
      </c>
      <c r="D8053">
        <v>1948</v>
      </c>
      <c r="F8053" t="s">
        <v>3313</v>
      </c>
      <c r="G8053">
        <v>0</v>
      </c>
      <c r="H8053">
        <v>0</v>
      </c>
      <c r="I8053">
        <v>1</v>
      </c>
      <c r="J8053">
        <v>0</v>
      </c>
      <c r="K8053">
        <v>0</v>
      </c>
      <c r="L8053">
        <f t="shared" si="250"/>
        <v>3.9</v>
      </c>
      <c r="M8053">
        <f t="shared" si="251"/>
        <v>1</v>
      </c>
    </row>
    <row r="8054" spans="1:13" x14ac:dyDescent="0.3">
      <c r="A8054">
        <v>8052</v>
      </c>
      <c r="B8054">
        <v>8053</v>
      </c>
      <c r="C8054" t="s">
        <v>8129</v>
      </c>
      <c r="D8054">
        <v>2018</v>
      </c>
      <c r="F8054" t="s">
        <v>3313</v>
      </c>
      <c r="G8054">
        <v>0</v>
      </c>
      <c r="H8054">
        <v>0</v>
      </c>
      <c r="I8054">
        <v>1</v>
      </c>
      <c r="J8054">
        <v>0</v>
      </c>
      <c r="K8054">
        <v>0</v>
      </c>
      <c r="L8054">
        <f t="shared" si="250"/>
        <v>3.9</v>
      </c>
      <c r="M8054">
        <f t="shared" si="251"/>
        <v>1</v>
      </c>
    </row>
    <row r="8055" spans="1:13" x14ac:dyDescent="0.3">
      <c r="A8055">
        <v>8053</v>
      </c>
      <c r="B8055">
        <v>8054</v>
      </c>
      <c r="C8055" t="s">
        <v>8130</v>
      </c>
      <c r="D8055">
        <v>2000</v>
      </c>
      <c r="E8055" t="s">
        <v>11</v>
      </c>
      <c r="F8055" t="s">
        <v>3313</v>
      </c>
      <c r="G8055">
        <v>0</v>
      </c>
      <c r="H8055">
        <v>0</v>
      </c>
      <c r="I8055">
        <v>1</v>
      </c>
      <c r="J8055">
        <v>0</v>
      </c>
      <c r="K8055">
        <v>0</v>
      </c>
      <c r="L8055">
        <f t="shared" si="250"/>
        <v>3.9</v>
      </c>
      <c r="M8055">
        <f t="shared" si="251"/>
        <v>1</v>
      </c>
    </row>
    <row r="8056" spans="1:13" x14ac:dyDescent="0.3">
      <c r="A8056">
        <v>8054</v>
      </c>
      <c r="B8056">
        <v>8055</v>
      </c>
      <c r="C8056" t="s">
        <v>8131</v>
      </c>
      <c r="D8056">
        <v>2016</v>
      </c>
      <c r="F8056" t="s">
        <v>3313</v>
      </c>
      <c r="G8056">
        <v>0</v>
      </c>
      <c r="H8056">
        <v>0</v>
      </c>
      <c r="I8056">
        <v>1</v>
      </c>
      <c r="J8056">
        <v>0</v>
      </c>
      <c r="K8056">
        <v>0</v>
      </c>
      <c r="L8056">
        <f t="shared" si="250"/>
        <v>3.9</v>
      </c>
      <c r="M8056">
        <f t="shared" si="251"/>
        <v>1</v>
      </c>
    </row>
    <row r="8057" spans="1:13" x14ac:dyDescent="0.3">
      <c r="A8057">
        <v>8055</v>
      </c>
      <c r="B8057">
        <v>8056</v>
      </c>
      <c r="C8057" t="s">
        <v>8132</v>
      </c>
      <c r="D8057">
        <v>2008</v>
      </c>
      <c r="E8057" t="s">
        <v>14</v>
      </c>
      <c r="F8057" t="s">
        <v>3313</v>
      </c>
      <c r="G8057">
        <v>0</v>
      </c>
      <c r="H8057">
        <v>0</v>
      </c>
      <c r="I8057">
        <v>1</v>
      </c>
      <c r="J8057">
        <v>0</v>
      </c>
      <c r="K8057">
        <v>0</v>
      </c>
      <c r="L8057">
        <f t="shared" si="250"/>
        <v>3.9</v>
      </c>
      <c r="M8057">
        <f t="shared" si="251"/>
        <v>1</v>
      </c>
    </row>
    <row r="8058" spans="1:13" x14ac:dyDescent="0.3">
      <c r="A8058">
        <v>8056</v>
      </c>
      <c r="B8058">
        <v>8057</v>
      </c>
      <c r="C8058" t="s">
        <v>8133</v>
      </c>
      <c r="D8058">
        <v>1947</v>
      </c>
      <c r="F8058" t="s">
        <v>3313</v>
      </c>
      <c r="G8058">
        <v>0</v>
      </c>
      <c r="H8058">
        <v>0</v>
      </c>
      <c r="I8058">
        <v>1</v>
      </c>
      <c r="J8058">
        <v>0</v>
      </c>
      <c r="K8058">
        <v>0</v>
      </c>
      <c r="L8058">
        <f t="shared" si="250"/>
        <v>3.9</v>
      </c>
      <c r="M8058">
        <f t="shared" si="251"/>
        <v>1</v>
      </c>
    </row>
    <row r="8059" spans="1:13" x14ac:dyDescent="0.3">
      <c r="A8059">
        <v>8057</v>
      </c>
      <c r="B8059">
        <v>8058</v>
      </c>
      <c r="C8059" t="s">
        <v>8134</v>
      </c>
      <c r="D8059">
        <v>2019</v>
      </c>
      <c r="F8059" t="s">
        <v>3313</v>
      </c>
      <c r="G8059">
        <v>0</v>
      </c>
      <c r="H8059">
        <v>0</v>
      </c>
      <c r="I8059">
        <v>1</v>
      </c>
      <c r="J8059">
        <v>0</v>
      </c>
      <c r="K8059">
        <v>0</v>
      </c>
      <c r="L8059">
        <f t="shared" si="250"/>
        <v>3.9</v>
      </c>
      <c r="M8059">
        <f t="shared" si="251"/>
        <v>1</v>
      </c>
    </row>
    <row r="8060" spans="1:13" x14ac:dyDescent="0.3">
      <c r="A8060">
        <v>8058</v>
      </c>
      <c r="B8060">
        <v>8059</v>
      </c>
      <c r="C8060" t="s">
        <v>8135</v>
      </c>
      <c r="D8060">
        <v>1935</v>
      </c>
      <c r="F8060" t="s">
        <v>3313</v>
      </c>
      <c r="G8060">
        <v>0</v>
      </c>
      <c r="H8060">
        <v>0</v>
      </c>
      <c r="I8060">
        <v>1</v>
      </c>
      <c r="J8060">
        <v>0</v>
      </c>
      <c r="K8060">
        <v>0</v>
      </c>
      <c r="L8060">
        <f t="shared" si="250"/>
        <v>3.9</v>
      </c>
      <c r="M8060">
        <f t="shared" si="251"/>
        <v>1</v>
      </c>
    </row>
    <row r="8061" spans="1:13" x14ac:dyDescent="0.3">
      <c r="A8061">
        <v>8059</v>
      </c>
      <c r="B8061">
        <v>8060</v>
      </c>
      <c r="C8061" t="s">
        <v>8136</v>
      </c>
      <c r="D8061">
        <v>2000</v>
      </c>
      <c r="F8061" t="s">
        <v>3313</v>
      </c>
      <c r="G8061">
        <v>0</v>
      </c>
      <c r="H8061">
        <v>0</v>
      </c>
      <c r="I8061">
        <v>1</v>
      </c>
      <c r="J8061">
        <v>0</v>
      </c>
      <c r="K8061">
        <v>0</v>
      </c>
      <c r="L8061">
        <f t="shared" si="250"/>
        <v>3.9</v>
      </c>
      <c r="M8061">
        <f t="shared" si="251"/>
        <v>1</v>
      </c>
    </row>
    <row r="8062" spans="1:13" x14ac:dyDescent="0.3">
      <c r="A8062">
        <v>8060</v>
      </c>
      <c r="B8062">
        <v>8061</v>
      </c>
      <c r="C8062" t="s">
        <v>8137</v>
      </c>
      <c r="D8062">
        <v>1992</v>
      </c>
      <c r="E8062" t="s">
        <v>11</v>
      </c>
      <c r="F8062" t="s">
        <v>3313</v>
      </c>
      <c r="G8062">
        <v>0</v>
      </c>
      <c r="H8062">
        <v>0</v>
      </c>
      <c r="I8062">
        <v>1</v>
      </c>
      <c r="J8062">
        <v>0</v>
      </c>
      <c r="K8062">
        <v>0</v>
      </c>
      <c r="L8062">
        <f t="shared" si="250"/>
        <v>3.9</v>
      </c>
      <c r="M8062">
        <f t="shared" si="251"/>
        <v>1</v>
      </c>
    </row>
    <row r="8063" spans="1:13" x14ac:dyDescent="0.3">
      <c r="A8063">
        <v>8061</v>
      </c>
      <c r="B8063">
        <v>8062</v>
      </c>
      <c r="C8063" t="s">
        <v>8138</v>
      </c>
      <c r="D8063">
        <v>2006</v>
      </c>
      <c r="E8063" t="s">
        <v>11</v>
      </c>
      <c r="F8063" t="s">
        <v>3313</v>
      </c>
      <c r="G8063">
        <v>0</v>
      </c>
      <c r="H8063">
        <v>0</v>
      </c>
      <c r="I8063">
        <v>1</v>
      </c>
      <c r="J8063">
        <v>0</v>
      </c>
      <c r="K8063">
        <v>0</v>
      </c>
      <c r="L8063">
        <f t="shared" si="250"/>
        <v>3.9</v>
      </c>
      <c r="M8063">
        <f t="shared" si="251"/>
        <v>1</v>
      </c>
    </row>
    <row r="8064" spans="1:13" x14ac:dyDescent="0.3">
      <c r="A8064">
        <v>8062</v>
      </c>
      <c r="B8064">
        <v>8063</v>
      </c>
      <c r="C8064" t="s">
        <v>8139</v>
      </c>
      <c r="D8064">
        <v>2017</v>
      </c>
      <c r="F8064" t="s">
        <v>3313</v>
      </c>
      <c r="G8064">
        <v>0</v>
      </c>
      <c r="H8064">
        <v>0</v>
      </c>
      <c r="I8064">
        <v>1</v>
      </c>
      <c r="J8064">
        <v>0</v>
      </c>
      <c r="K8064">
        <v>0</v>
      </c>
      <c r="L8064">
        <f t="shared" si="250"/>
        <v>3.9</v>
      </c>
      <c r="M8064">
        <f t="shared" si="251"/>
        <v>1</v>
      </c>
    </row>
    <row r="8065" spans="1:13" x14ac:dyDescent="0.3">
      <c r="A8065">
        <v>8063</v>
      </c>
      <c r="B8065">
        <v>8064</v>
      </c>
      <c r="C8065" t="s">
        <v>8140</v>
      </c>
      <c r="D8065">
        <v>1992</v>
      </c>
      <c r="E8065" t="s">
        <v>11</v>
      </c>
      <c r="F8065" t="s">
        <v>3313</v>
      </c>
      <c r="G8065">
        <v>0</v>
      </c>
      <c r="H8065">
        <v>0</v>
      </c>
      <c r="I8065">
        <v>1</v>
      </c>
      <c r="J8065">
        <v>0</v>
      </c>
      <c r="K8065">
        <v>0</v>
      </c>
      <c r="L8065">
        <f t="shared" si="250"/>
        <v>3.9</v>
      </c>
      <c r="M8065">
        <f t="shared" si="251"/>
        <v>1</v>
      </c>
    </row>
    <row r="8066" spans="1:13" x14ac:dyDescent="0.3">
      <c r="A8066">
        <v>8064</v>
      </c>
      <c r="B8066">
        <v>8065</v>
      </c>
      <c r="C8066" t="s">
        <v>8141</v>
      </c>
      <c r="D8066">
        <v>2000</v>
      </c>
      <c r="F8066" t="s">
        <v>3313</v>
      </c>
      <c r="G8066">
        <v>0</v>
      </c>
      <c r="H8066">
        <v>0</v>
      </c>
      <c r="I8066">
        <v>1</v>
      </c>
      <c r="J8066">
        <v>0</v>
      </c>
      <c r="K8066">
        <v>0</v>
      </c>
      <c r="L8066">
        <f t="shared" si="250"/>
        <v>3.9</v>
      </c>
      <c r="M8066">
        <f t="shared" si="251"/>
        <v>1</v>
      </c>
    </row>
    <row r="8067" spans="1:13" x14ac:dyDescent="0.3">
      <c r="A8067">
        <v>8065</v>
      </c>
      <c r="B8067">
        <v>8066</v>
      </c>
      <c r="C8067" t="s">
        <v>8142</v>
      </c>
      <c r="D8067">
        <v>2000</v>
      </c>
      <c r="F8067" t="s">
        <v>3313</v>
      </c>
      <c r="G8067">
        <v>0</v>
      </c>
      <c r="H8067">
        <v>0</v>
      </c>
      <c r="I8067">
        <v>1</v>
      </c>
      <c r="J8067">
        <v>0</v>
      </c>
      <c r="K8067">
        <v>0</v>
      </c>
      <c r="L8067">
        <f t="shared" ref="L8067:L8130" si="252">IFERROR(VALUE(LEFT(F8067,FIND("/",F8067)-1))/10,"")</f>
        <v>3.9</v>
      </c>
      <c r="M8067">
        <f t="shared" ref="M8067:M8130" si="253">SUM(G8067:J8067)</f>
        <v>1</v>
      </c>
    </row>
    <row r="8068" spans="1:13" x14ac:dyDescent="0.3">
      <c r="A8068">
        <v>8066</v>
      </c>
      <c r="B8068">
        <v>8067</v>
      </c>
      <c r="C8068" t="s">
        <v>8143</v>
      </c>
      <c r="D8068">
        <v>1950</v>
      </c>
      <c r="F8068" t="s">
        <v>3313</v>
      </c>
      <c r="G8068">
        <v>0</v>
      </c>
      <c r="H8068">
        <v>0</v>
      </c>
      <c r="I8068">
        <v>1</v>
      </c>
      <c r="J8068">
        <v>0</v>
      </c>
      <c r="K8068">
        <v>0</v>
      </c>
      <c r="L8068">
        <f t="shared" si="252"/>
        <v>3.9</v>
      </c>
      <c r="M8068">
        <f t="shared" si="253"/>
        <v>1</v>
      </c>
    </row>
    <row r="8069" spans="1:13" x14ac:dyDescent="0.3">
      <c r="A8069">
        <v>8067</v>
      </c>
      <c r="B8069">
        <v>8068</v>
      </c>
      <c r="C8069" t="s">
        <v>8144</v>
      </c>
      <c r="D8069">
        <v>1979</v>
      </c>
      <c r="F8069" t="s">
        <v>3313</v>
      </c>
      <c r="G8069">
        <v>0</v>
      </c>
      <c r="H8069">
        <v>0</v>
      </c>
      <c r="I8069">
        <v>1</v>
      </c>
      <c r="J8069">
        <v>0</v>
      </c>
      <c r="K8069">
        <v>0</v>
      </c>
      <c r="L8069">
        <f t="shared" si="252"/>
        <v>3.9</v>
      </c>
      <c r="M8069">
        <f t="shared" si="253"/>
        <v>1</v>
      </c>
    </row>
    <row r="8070" spans="1:13" x14ac:dyDescent="0.3">
      <c r="A8070">
        <v>8068</v>
      </c>
      <c r="B8070">
        <v>8069</v>
      </c>
      <c r="C8070" t="s">
        <v>8145</v>
      </c>
      <c r="D8070">
        <v>1935</v>
      </c>
      <c r="F8070" t="s">
        <v>3313</v>
      </c>
      <c r="G8070">
        <v>0</v>
      </c>
      <c r="H8070">
        <v>0</v>
      </c>
      <c r="I8070">
        <v>1</v>
      </c>
      <c r="J8070">
        <v>0</v>
      </c>
      <c r="K8070">
        <v>0</v>
      </c>
      <c r="L8070">
        <f t="shared" si="252"/>
        <v>3.9</v>
      </c>
      <c r="M8070">
        <f t="shared" si="253"/>
        <v>1</v>
      </c>
    </row>
    <row r="8071" spans="1:13" x14ac:dyDescent="0.3">
      <c r="A8071">
        <v>8069</v>
      </c>
      <c r="B8071">
        <v>8070</v>
      </c>
      <c r="C8071" t="s">
        <v>8146</v>
      </c>
      <c r="D8071">
        <v>1937</v>
      </c>
      <c r="F8071" t="s">
        <v>3313</v>
      </c>
      <c r="G8071">
        <v>0</v>
      </c>
      <c r="H8071">
        <v>0</v>
      </c>
      <c r="I8071">
        <v>1</v>
      </c>
      <c r="J8071">
        <v>0</v>
      </c>
      <c r="K8071">
        <v>0</v>
      </c>
      <c r="L8071">
        <f t="shared" si="252"/>
        <v>3.9</v>
      </c>
      <c r="M8071">
        <f t="shared" si="253"/>
        <v>1</v>
      </c>
    </row>
    <row r="8072" spans="1:13" x14ac:dyDescent="0.3">
      <c r="A8072">
        <v>8070</v>
      </c>
      <c r="B8072">
        <v>8071</v>
      </c>
      <c r="C8072" t="s">
        <v>8147</v>
      </c>
      <c r="D8072">
        <v>2018</v>
      </c>
      <c r="E8072" t="s">
        <v>11</v>
      </c>
      <c r="F8072" t="s">
        <v>3313</v>
      </c>
      <c r="G8072">
        <v>0</v>
      </c>
      <c r="H8072">
        <v>0</v>
      </c>
      <c r="I8072">
        <v>1</v>
      </c>
      <c r="J8072">
        <v>0</v>
      </c>
      <c r="K8072">
        <v>0</v>
      </c>
      <c r="L8072">
        <f t="shared" si="252"/>
        <v>3.9</v>
      </c>
      <c r="M8072">
        <f t="shared" si="253"/>
        <v>1</v>
      </c>
    </row>
    <row r="8073" spans="1:13" x14ac:dyDescent="0.3">
      <c r="A8073">
        <v>8071</v>
      </c>
      <c r="B8073">
        <v>8072</v>
      </c>
      <c r="C8073" t="s">
        <v>8148</v>
      </c>
      <c r="D8073">
        <v>2018</v>
      </c>
      <c r="F8073" t="s">
        <v>3313</v>
      </c>
      <c r="G8073">
        <v>0</v>
      </c>
      <c r="H8073">
        <v>0</v>
      </c>
      <c r="I8073">
        <v>1</v>
      </c>
      <c r="J8073">
        <v>0</v>
      </c>
      <c r="K8073">
        <v>0</v>
      </c>
      <c r="L8073">
        <f t="shared" si="252"/>
        <v>3.9</v>
      </c>
      <c r="M8073">
        <f t="shared" si="253"/>
        <v>1</v>
      </c>
    </row>
    <row r="8074" spans="1:13" x14ac:dyDescent="0.3">
      <c r="A8074">
        <v>8072</v>
      </c>
      <c r="B8074">
        <v>8073</v>
      </c>
      <c r="C8074" t="s">
        <v>8149</v>
      </c>
      <c r="D8074">
        <v>2012</v>
      </c>
      <c r="E8074" t="s">
        <v>11</v>
      </c>
      <c r="F8074" t="s">
        <v>3313</v>
      </c>
      <c r="G8074">
        <v>0</v>
      </c>
      <c r="H8074">
        <v>0</v>
      </c>
      <c r="I8074">
        <v>1</v>
      </c>
      <c r="J8074">
        <v>0</v>
      </c>
      <c r="K8074">
        <v>0</v>
      </c>
      <c r="L8074">
        <f t="shared" si="252"/>
        <v>3.9</v>
      </c>
      <c r="M8074">
        <f t="shared" si="253"/>
        <v>1</v>
      </c>
    </row>
    <row r="8075" spans="1:13" x14ac:dyDescent="0.3">
      <c r="A8075">
        <v>8073</v>
      </c>
      <c r="B8075">
        <v>8074</v>
      </c>
      <c r="C8075" t="s">
        <v>8150</v>
      </c>
      <c r="D8075">
        <v>1999</v>
      </c>
      <c r="E8075" t="s">
        <v>11</v>
      </c>
      <c r="F8075" t="s">
        <v>3313</v>
      </c>
      <c r="G8075">
        <v>0</v>
      </c>
      <c r="H8075">
        <v>0</v>
      </c>
      <c r="I8075">
        <v>1</v>
      </c>
      <c r="J8075">
        <v>0</v>
      </c>
      <c r="K8075">
        <v>0</v>
      </c>
      <c r="L8075">
        <f t="shared" si="252"/>
        <v>3.9</v>
      </c>
      <c r="M8075">
        <f t="shared" si="253"/>
        <v>1</v>
      </c>
    </row>
    <row r="8076" spans="1:13" x14ac:dyDescent="0.3">
      <c r="A8076">
        <v>8074</v>
      </c>
      <c r="B8076">
        <v>8075</v>
      </c>
      <c r="C8076" t="s">
        <v>8151</v>
      </c>
      <c r="D8076">
        <v>1999</v>
      </c>
      <c r="E8076" t="s">
        <v>22</v>
      </c>
      <c r="F8076" t="s">
        <v>3313</v>
      </c>
      <c r="G8076">
        <v>0</v>
      </c>
      <c r="H8076">
        <v>0</v>
      </c>
      <c r="I8076">
        <v>1</v>
      </c>
      <c r="J8076">
        <v>0</v>
      </c>
      <c r="K8076">
        <v>0</v>
      </c>
      <c r="L8076">
        <f t="shared" si="252"/>
        <v>3.9</v>
      </c>
      <c r="M8076">
        <f t="shared" si="253"/>
        <v>1</v>
      </c>
    </row>
    <row r="8077" spans="1:13" x14ac:dyDescent="0.3">
      <c r="A8077">
        <v>8075</v>
      </c>
      <c r="B8077">
        <v>8076</v>
      </c>
      <c r="C8077" t="s">
        <v>8152</v>
      </c>
      <c r="D8077">
        <v>2015</v>
      </c>
      <c r="E8077" t="s">
        <v>36</v>
      </c>
      <c r="F8077" t="s">
        <v>3313</v>
      </c>
      <c r="G8077">
        <v>0</v>
      </c>
      <c r="H8077">
        <v>0</v>
      </c>
      <c r="I8077">
        <v>1</v>
      </c>
      <c r="J8077">
        <v>0</v>
      </c>
      <c r="K8077">
        <v>0</v>
      </c>
      <c r="L8077">
        <f t="shared" si="252"/>
        <v>3.9</v>
      </c>
      <c r="M8077">
        <f t="shared" si="253"/>
        <v>1</v>
      </c>
    </row>
    <row r="8078" spans="1:13" x14ac:dyDescent="0.3">
      <c r="A8078">
        <v>8076</v>
      </c>
      <c r="B8078">
        <v>8077</v>
      </c>
      <c r="C8078" t="s">
        <v>8153</v>
      </c>
      <c r="D8078">
        <v>2009</v>
      </c>
      <c r="F8078" t="s">
        <v>3313</v>
      </c>
      <c r="G8078">
        <v>0</v>
      </c>
      <c r="H8078">
        <v>0</v>
      </c>
      <c r="I8078">
        <v>1</v>
      </c>
      <c r="J8078">
        <v>0</v>
      </c>
      <c r="K8078">
        <v>0</v>
      </c>
      <c r="L8078">
        <f t="shared" si="252"/>
        <v>3.9</v>
      </c>
      <c r="M8078">
        <f t="shared" si="253"/>
        <v>1</v>
      </c>
    </row>
    <row r="8079" spans="1:13" x14ac:dyDescent="0.3">
      <c r="A8079">
        <v>8077</v>
      </c>
      <c r="B8079">
        <v>8078</v>
      </c>
      <c r="C8079" t="s">
        <v>8154</v>
      </c>
      <c r="D8079">
        <v>2011</v>
      </c>
      <c r="F8079" t="s">
        <v>3313</v>
      </c>
      <c r="G8079">
        <v>0</v>
      </c>
      <c r="H8079">
        <v>0</v>
      </c>
      <c r="I8079">
        <v>1</v>
      </c>
      <c r="J8079">
        <v>0</v>
      </c>
      <c r="K8079">
        <v>0</v>
      </c>
      <c r="L8079">
        <f t="shared" si="252"/>
        <v>3.9</v>
      </c>
      <c r="M8079">
        <f t="shared" si="253"/>
        <v>1</v>
      </c>
    </row>
    <row r="8080" spans="1:13" x14ac:dyDescent="0.3">
      <c r="A8080">
        <v>8078</v>
      </c>
      <c r="B8080">
        <v>8079</v>
      </c>
      <c r="C8080" t="s">
        <v>8155</v>
      </c>
      <c r="D8080">
        <v>2015</v>
      </c>
      <c r="F8080" t="s">
        <v>3313</v>
      </c>
      <c r="G8080">
        <v>0</v>
      </c>
      <c r="H8080">
        <v>0</v>
      </c>
      <c r="I8080">
        <v>1</v>
      </c>
      <c r="J8080">
        <v>0</v>
      </c>
      <c r="K8080">
        <v>0</v>
      </c>
      <c r="L8080">
        <f t="shared" si="252"/>
        <v>3.9</v>
      </c>
      <c r="M8080">
        <f t="shared" si="253"/>
        <v>1</v>
      </c>
    </row>
    <row r="8081" spans="1:13" x14ac:dyDescent="0.3">
      <c r="A8081">
        <v>8079</v>
      </c>
      <c r="B8081">
        <v>8080</v>
      </c>
      <c r="C8081" t="s">
        <v>8156</v>
      </c>
      <c r="D8081">
        <v>1979</v>
      </c>
      <c r="F8081" t="s">
        <v>3313</v>
      </c>
      <c r="G8081">
        <v>0</v>
      </c>
      <c r="H8081">
        <v>0</v>
      </c>
      <c r="I8081">
        <v>1</v>
      </c>
      <c r="J8081">
        <v>0</v>
      </c>
      <c r="K8081">
        <v>0</v>
      </c>
      <c r="L8081">
        <f t="shared" si="252"/>
        <v>3.9</v>
      </c>
      <c r="M8081">
        <f t="shared" si="253"/>
        <v>1</v>
      </c>
    </row>
    <row r="8082" spans="1:13" x14ac:dyDescent="0.3">
      <c r="A8082">
        <v>8080</v>
      </c>
      <c r="B8082">
        <v>8081</v>
      </c>
      <c r="C8082" t="s">
        <v>8157</v>
      </c>
      <c r="D8082">
        <v>2016</v>
      </c>
      <c r="F8082" t="s">
        <v>3313</v>
      </c>
      <c r="G8082">
        <v>0</v>
      </c>
      <c r="H8082">
        <v>0</v>
      </c>
      <c r="I8082">
        <v>1</v>
      </c>
      <c r="J8082">
        <v>0</v>
      </c>
      <c r="K8082">
        <v>0</v>
      </c>
      <c r="L8082">
        <f t="shared" si="252"/>
        <v>3.9</v>
      </c>
      <c r="M8082">
        <f t="shared" si="253"/>
        <v>1</v>
      </c>
    </row>
    <row r="8083" spans="1:13" x14ac:dyDescent="0.3">
      <c r="A8083">
        <v>8081</v>
      </c>
      <c r="B8083">
        <v>8082</v>
      </c>
      <c r="C8083" t="s">
        <v>8158</v>
      </c>
      <c r="D8083">
        <v>1999</v>
      </c>
      <c r="E8083" t="s">
        <v>11</v>
      </c>
      <c r="F8083" t="s">
        <v>3313</v>
      </c>
      <c r="G8083">
        <v>0</v>
      </c>
      <c r="H8083">
        <v>0</v>
      </c>
      <c r="I8083">
        <v>1</v>
      </c>
      <c r="J8083">
        <v>0</v>
      </c>
      <c r="K8083">
        <v>0</v>
      </c>
      <c r="L8083">
        <f t="shared" si="252"/>
        <v>3.9</v>
      </c>
      <c r="M8083">
        <f t="shared" si="253"/>
        <v>1</v>
      </c>
    </row>
    <row r="8084" spans="1:13" x14ac:dyDescent="0.3">
      <c r="A8084">
        <v>8082</v>
      </c>
      <c r="B8084">
        <v>8083</v>
      </c>
      <c r="C8084" t="s">
        <v>8159</v>
      </c>
      <c r="D8084">
        <v>2020</v>
      </c>
      <c r="F8084" t="s">
        <v>3313</v>
      </c>
      <c r="G8084">
        <v>0</v>
      </c>
      <c r="H8084">
        <v>0</v>
      </c>
      <c r="I8084">
        <v>1</v>
      </c>
      <c r="J8084">
        <v>0</v>
      </c>
      <c r="K8084">
        <v>0</v>
      </c>
      <c r="L8084">
        <f t="shared" si="252"/>
        <v>3.9</v>
      </c>
      <c r="M8084">
        <f t="shared" si="253"/>
        <v>1</v>
      </c>
    </row>
    <row r="8085" spans="1:13" x14ac:dyDescent="0.3">
      <c r="A8085">
        <v>8083</v>
      </c>
      <c r="B8085">
        <v>8084</v>
      </c>
      <c r="C8085" t="s">
        <v>8160</v>
      </c>
      <c r="D8085">
        <v>2018</v>
      </c>
      <c r="E8085" t="s">
        <v>36</v>
      </c>
      <c r="F8085" t="s">
        <v>3313</v>
      </c>
      <c r="G8085">
        <v>0</v>
      </c>
      <c r="H8085">
        <v>0</v>
      </c>
      <c r="I8085">
        <v>1</v>
      </c>
      <c r="J8085">
        <v>0</v>
      </c>
      <c r="K8085">
        <v>0</v>
      </c>
      <c r="L8085">
        <f t="shared" si="252"/>
        <v>3.9</v>
      </c>
      <c r="M8085">
        <f t="shared" si="253"/>
        <v>1</v>
      </c>
    </row>
    <row r="8086" spans="1:13" x14ac:dyDescent="0.3">
      <c r="A8086">
        <v>8084</v>
      </c>
      <c r="B8086">
        <v>8085</v>
      </c>
      <c r="C8086" t="s">
        <v>8161</v>
      </c>
      <c r="D8086">
        <v>2017</v>
      </c>
      <c r="F8086" t="s">
        <v>3313</v>
      </c>
      <c r="G8086">
        <v>0</v>
      </c>
      <c r="H8086">
        <v>0</v>
      </c>
      <c r="I8086">
        <v>1</v>
      </c>
      <c r="J8086">
        <v>0</v>
      </c>
      <c r="K8086">
        <v>0</v>
      </c>
      <c r="L8086">
        <f t="shared" si="252"/>
        <v>3.9</v>
      </c>
      <c r="M8086">
        <f t="shared" si="253"/>
        <v>1</v>
      </c>
    </row>
    <row r="8087" spans="1:13" x14ac:dyDescent="0.3">
      <c r="A8087">
        <v>8085</v>
      </c>
      <c r="B8087">
        <v>8086</v>
      </c>
      <c r="C8087" t="s">
        <v>8162</v>
      </c>
      <c r="D8087">
        <v>1935</v>
      </c>
      <c r="F8087" t="s">
        <v>3313</v>
      </c>
      <c r="G8087">
        <v>0</v>
      </c>
      <c r="H8087">
        <v>0</v>
      </c>
      <c r="I8087">
        <v>1</v>
      </c>
      <c r="J8087">
        <v>0</v>
      </c>
      <c r="K8087">
        <v>0</v>
      </c>
      <c r="L8087">
        <f t="shared" si="252"/>
        <v>3.9</v>
      </c>
      <c r="M8087">
        <f t="shared" si="253"/>
        <v>1</v>
      </c>
    </row>
    <row r="8088" spans="1:13" x14ac:dyDescent="0.3">
      <c r="A8088">
        <v>8086</v>
      </c>
      <c r="B8088">
        <v>8087</v>
      </c>
      <c r="C8088" t="s">
        <v>8163</v>
      </c>
      <c r="D8088">
        <v>2015</v>
      </c>
      <c r="F8088" t="s">
        <v>3313</v>
      </c>
      <c r="G8088">
        <v>0</v>
      </c>
      <c r="H8088">
        <v>0</v>
      </c>
      <c r="I8088">
        <v>1</v>
      </c>
      <c r="J8088">
        <v>0</v>
      </c>
      <c r="K8088">
        <v>0</v>
      </c>
      <c r="L8088">
        <f t="shared" si="252"/>
        <v>3.9</v>
      </c>
      <c r="M8088">
        <f t="shared" si="253"/>
        <v>1</v>
      </c>
    </row>
    <row r="8089" spans="1:13" x14ac:dyDescent="0.3">
      <c r="A8089">
        <v>8087</v>
      </c>
      <c r="B8089">
        <v>8088</v>
      </c>
      <c r="C8089" t="s">
        <v>8164</v>
      </c>
      <c r="D8089">
        <v>2019</v>
      </c>
      <c r="F8089" t="s">
        <v>3313</v>
      </c>
      <c r="G8089">
        <v>0</v>
      </c>
      <c r="H8089">
        <v>0</v>
      </c>
      <c r="I8089">
        <v>1</v>
      </c>
      <c r="J8089">
        <v>0</v>
      </c>
      <c r="K8089">
        <v>0</v>
      </c>
      <c r="L8089">
        <f t="shared" si="252"/>
        <v>3.9</v>
      </c>
      <c r="M8089">
        <f t="shared" si="253"/>
        <v>1</v>
      </c>
    </row>
    <row r="8090" spans="1:13" x14ac:dyDescent="0.3">
      <c r="A8090">
        <v>8088</v>
      </c>
      <c r="B8090">
        <v>8089</v>
      </c>
      <c r="C8090" t="s">
        <v>8165</v>
      </c>
      <c r="D8090">
        <v>2005</v>
      </c>
      <c r="E8090" t="s">
        <v>11</v>
      </c>
      <c r="F8090" t="s">
        <v>3313</v>
      </c>
      <c r="G8090">
        <v>0</v>
      </c>
      <c r="H8090">
        <v>0</v>
      </c>
      <c r="I8090">
        <v>1</v>
      </c>
      <c r="J8090">
        <v>0</v>
      </c>
      <c r="K8090">
        <v>0</v>
      </c>
      <c r="L8090">
        <f t="shared" si="252"/>
        <v>3.9</v>
      </c>
      <c r="M8090">
        <f t="shared" si="253"/>
        <v>1</v>
      </c>
    </row>
    <row r="8091" spans="1:13" x14ac:dyDescent="0.3">
      <c r="A8091">
        <v>8089</v>
      </c>
      <c r="B8091">
        <v>8090</v>
      </c>
      <c r="C8091" t="s">
        <v>8166</v>
      </c>
      <c r="D8091">
        <v>2006</v>
      </c>
      <c r="E8091" t="s">
        <v>14</v>
      </c>
      <c r="F8091" t="s">
        <v>3313</v>
      </c>
      <c r="G8091">
        <v>0</v>
      </c>
      <c r="H8091">
        <v>0</v>
      </c>
      <c r="I8091">
        <v>1</v>
      </c>
      <c r="J8091">
        <v>0</v>
      </c>
      <c r="K8091">
        <v>0</v>
      </c>
      <c r="L8091">
        <f t="shared" si="252"/>
        <v>3.9</v>
      </c>
      <c r="M8091">
        <f t="shared" si="253"/>
        <v>1</v>
      </c>
    </row>
    <row r="8092" spans="1:13" x14ac:dyDescent="0.3">
      <c r="A8092">
        <v>8090</v>
      </c>
      <c r="B8092">
        <v>8091</v>
      </c>
      <c r="C8092" t="s">
        <v>8167</v>
      </c>
      <c r="D8092">
        <v>2014</v>
      </c>
      <c r="E8092" t="s">
        <v>14</v>
      </c>
      <c r="F8092" t="s">
        <v>3313</v>
      </c>
      <c r="G8092">
        <v>0</v>
      </c>
      <c r="H8092">
        <v>0</v>
      </c>
      <c r="I8092">
        <v>1</v>
      </c>
      <c r="J8092">
        <v>0</v>
      </c>
      <c r="K8092">
        <v>0</v>
      </c>
      <c r="L8092">
        <f t="shared" si="252"/>
        <v>3.9</v>
      </c>
      <c r="M8092">
        <f t="shared" si="253"/>
        <v>1</v>
      </c>
    </row>
    <row r="8093" spans="1:13" x14ac:dyDescent="0.3">
      <c r="A8093">
        <v>8091</v>
      </c>
      <c r="B8093">
        <v>8092</v>
      </c>
      <c r="C8093" t="s">
        <v>8168</v>
      </c>
      <c r="D8093">
        <v>2013</v>
      </c>
      <c r="F8093" t="s">
        <v>3313</v>
      </c>
      <c r="G8093">
        <v>0</v>
      </c>
      <c r="H8093">
        <v>0</v>
      </c>
      <c r="I8093">
        <v>1</v>
      </c>
      <c r="J8093">
        <v>0</v>
      </c>
      <c r="K8093">
        <v>0</v>
      </c>
      <c r="L8093">
        <f t="shared" si="252"/>
        <v>3.9</v>
      </c>
      <c r="M8093">
        <f t="shared" si="253"/>
        <v>1</v>
      </c>
    </row>
    <row r="8094" spans="1:13" x14ac:dyDescent="0.3">
      <c r="A8094">
        <v>8092</v>
      </c>
      <c r="B8094">
        <v>8093</v>
      </c>
      <c r="C8094" t="s">
        <v>8169</v>
      </c>
      <c r="D8094">
        <v>2014</v>
      </c>
      <c r="F8094" t="s">
        <v>3313</v>
      </c>
      <c r="G8094">
        <v>0</v>
      </c>
      <c r="H8094">
        <v>0</v>
      </c>
      <c r="I8094">
        <v>1</v>
      </c>
      <c r="J8094">
        <v>0</v>
      </c>
      <c r="K8094">
        <v>0</v>
      </c>
      <c r="L8094">
        <f t="shared" si="252"/>
        <v>3.9</v>
      </c>
      <c r="M8094">
        <f t="shared" si="253"/>
        <v>1</v>
      </c>
    </row>
    <row r="8095" spans="1:13" x14ac:dyDescent="0.3">
      <c r="A8095">
        <v>8093</v>
      </c>
      <c r="B8095">
        <v>8094</v>
      </c>
      <c r="C8095" t="s">
        <v>8170</v>
      </c>
      <c r="D8095">
        <v>2015</v>
      </c>
      <c r="F8095" t="s">
        <v>3313</v>
      </c>
      <c r="G8095">
        <v>0</v>
      </c>
      <c r="H8095">
        <v>0</v>
      </c>
      <c r="I8095">
        <v>1</v>
      </c>
      <c r="J8095">
        <v>0</v>
      </c>
      <c r="K8095">
        <v>0</v>
      </c>
      <c r="L8095">
        <f t="shared" si="252"/>
        <v>3.9</v>
      </c>
      <c r="M8095">
        <f t="shared" si="253"/>
        <v>1</v>
      </c>
    </row>
    <row r="8096" spans="1:13" x14ac:dyDescent="0.3">
      <c r="A8096">
        <v>8094</v>
      </c>
      <c r="B8096">
        <v>8095</v>
      </c>
      <c r="C8096" t="s">
        <v>8171</v>
      </c>
      <c r="D8096">
        <v>2017</v>
      </c>
      <c r="F8096" t="s">
        <v>3313</v>
      </c>
      <c r="G8096">
        <v>0</v>
      </c>
      <c r="H8096">
        <v>0</v>
      </c>
      <c r="I8096">
        <v>1</v>
      </c>
      <c r="J8096">
        <v>0</v>
      </c>
      <c r="K8096">
        <v>0</v>
      </c>
      <c r="L8096">
        <f t="shared" si="252"/>
        <v>3.9</v>
      </c>
      <c r="M8096">
        <f t="shared" si="253"/>
        <v>1</v>
      </c>
    </row>
    <row r="8097" spans="1:13" x14ac:dyDescent="0.3">
      <c r="A8097">
        <v>8095</v>
      </c>
      <c r="B8097">
        <v>8096</v>
      </c>
      <c r="C8097" t="s">
        <v>8172</v>
      </c>
      <c r="D8097">
        <v>2004</v>
      </c>
      <c r="E8097" t="s">
        <v>11</v>
      </c>
      <c r="F8097" t="s">
        <v>3313</v>
      </c>
      <c r="G8097">
        <v>0</v>
      </c>
      <c r="H8097">
        <v>0</v>
      </c>
      <c r="I8097">
        <v>1</v>
      </c>
      <c r="J8097">
        <v>0</v>
      </c>
      <c r="K8097">
        <v>0</v>
      </c>
      <c r="L8097">
        <f t="shared" si="252"/>
        <v>3.9</v>
      </c>
      <c r="M8097">
        <f t="shared" si="253"/>
        <v>1</v>
      </c>
    </row>
    <row r="8098" spans="1:13" x14ac:dyDescent="0.3">
      <c r="A8098">
        <v>8096</v>
      </c>
      <c r="B8098">
        <v>8097</v>
      </c>
      <c r="C8098" t="s">
        <v>8173</v>
      </c>
      <c r="D8098">
        <v>2010</v>
      </c>
      <c r="F8098" t="s">
        <v>3313</v>
      </c>
      <c r="G8098">
        <v>0</v>
      </c>
      <c r="H8098">
        <v>0</v>
      </c>
      <c r="I8098">
        <v>1</v>
      </c>
      <c r="J8098">
        <v>0</v>
      </c>
      <c r="K8098">
        <v>0</v>
      </c>
      <c r="L8098">
        <f t="shared" si="252"/>
        <v>3.9</v>
      </c>
      <c r="M8098">
        <f t="shared" si="253"/>
        <v>1</v>
      </c>
    </row>
    <row r="8099" spans="1:13" x14ac:dyDescent="0.3">
      <c r="A8099">
        <v>8097</v>
      </c>
      <c r="B8099">
        <v>8098</v>
      </c>
      <c r="C8099" t="s">
        <v>8174</v>
      </c>
      <c r="D8099">
        <v>2015</v>
      </c>
      <c r="E8099" t="s">
        <v>11</v>
      </c>
      <c r="F8099" t="s">
        <v>3313</v>
      </c>
      <c r="G8099">
        <v>0</v>
      </c>
      <c r="H8099">
        <v>0</v>
      </c>
      <c r="I8099">
        <v>1</v>
      </c>
      <c r="J8099">
        <v>0</v>
      </c>
      <c r="K8099">
        <v>0</v>
      </c>
      <c r="L8099">
        <f t="shared" si="252"/>
        <v>3.9</v>
      </c>
      <c r="M8099">
        <f t="shared" si="253"/>
        <v>1</v>
      </c>
    </row>
    <row r="8100" spans="1:13" x14ac:dyDescent="0.3">
      <c r="A8100">
        <v>8098</v>
      </c>
      <c r="B8100">
        <v>8099</v>
      </c>
      <c r="C8100" t="s">
        <v>8175</v>
      </c>
      <c r="D8100">
        <v>2013</v>
      </c>
      <c r="F8100" t="s">
        <v>3313</v>
      </c>
      <c r="G8100">
        <v>0</v>
      </c>
      <c r="H8100">
        <v>0</v>
      </c>
      <c r="I8100">
        <v>1</v>
      </c>
      <c r="J8100">
        <v>0</v>
      </c>
      <c r="K8100">
        <v>0</v>
      </c>
      <c r="L8100">
        <f t="shared" si="252"/>
        <v>3.9</v>
      </c>
      <c r="M8100">
        <f t="shared" si="253"/>
        <v>1</v>
      </c>
    </row>
    <row r="8101" spans="1:13" x14ac:dyDescent="0.3">
      <c r="A8101">
        <v>8099</v>
      </c>
      <c r="B8101">
        <v>8100</v>
      </c>
      <c r="C8101" t="s">
        <v>8176</v>
      </c>
      <c r="D8101">
        <v>2015</v>
      </c>
      <c r="F8101" t="s">
        <v>3313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f t="shared" si="252"/>
        <v>3.9</v>
      </c>
      <c r="M8101">
        <f t="shared" si="253"/>
        <v>1</v>
      </c>
    </row>
    <row r="8102" spans="1:13" x14ac:dyDescent="0.3">
      <c r="A8102">
        <v>8100</v>
      </c>
      <c r="B8102">
        <v>8101</v>
      </c>
      <c r="C8102" t="s">
        <v>8177</v>
      </c>
      <c r="D8102">
        <v>1999</v>
      </c>
      <c r="E8102" t="s">
        <v>36</v>
      </c>
      <c r="F8102" t="s">
        <v>3313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f t="shared" si="252"/>
        <v>3.9</v>
      </c>
      <c r="M8102">
        <f t="shared" si="253"/>
        <v>1</v>
      </c>
    </row>
    <row r="8103" spans="1:13" x14ac:dyDescent="0.3">
      <c r="A8103">
        <v>8101</v>
      </c>
      <c r="B8103">
        <v>8102</v>
      </c>
      <c r="C8103" t="s">
        <v>8178</v>
      </c>
      <c r="D8103">
        <v>2012</v>
      </c>
      <c r="F8103" t="s">
        <v>3313</v>
      </c>
      <c r="G8103">
        <v>0</v>
      </c>
      <c r="H8103">
        <v>0</v>
      </c>
      <c r="I8103">
        <v>1</v>
      </c>
      <c r="J8103">
        <v>0</v>
      </c>
      <c r="K8103">
        <v>0</v>
      </c>
      <c r="L8103">
        <f t="shared" si="252"/>
        <v>3.9</v>
      </c>
      <c r="M8103">
        <f t="shared" si="253"/>
        <v>1</v>
      </c>
    </row>
    <row r="8104" spans="1:13" x14ac:dyDescent="0.3">
      <c r="A8104">
        <v>8102</v>
      </c>
      <c r="B8104">
        <v>8103</v>
      </c>
      <c r="C8104" t="s">
        <v>8179</v>
      </c>
      <c r="D8104">
        <v>2019</v>
      </c>
      <c r="F8104" t="s">
        <v>3313</v>
      </c>
      <c r="G8104">
        <v>0</v>
      </c>
      <c r="H8104">
        <v>0</v>
      </c>
      <c r="I8104">
        <v>1</v>
      </c>
      <c r="J8104">
        <v>0</v>
      </c>
      <c r="K8104">
        <v>0</v>
      </c>
      <c r="L8104">
        <f t="shared" si="252"/>
        <v>3.9</v>
      </c>
      <c r="M8104">
        <f t="shared" si="253"/>
        <v>1</v>
      </c>
    </row>
    <row r="8105" spans="1:13" x14ac:dyDescent="0.3">
      <c r="A8105">
        <v>8103</v>
      </c>
      <c r="B8105">
        <v>8104</v>
      </c>
      <c r="C8105" t="s">
        <v>8180</v>
      </c>
      <c r="D8105">
        <v>1954</v>
      </c>
      <c r="F8105" t="s">
        <v>3313</v>
      </c>
      <c r="G8105">
        <v>0</v>
      </c>
      <c r="H8105">
        <v>0</v>
      </c>
      <c r="I8105">
        <v>1</v>
      </c>
      <c r="J8105">
        <v>0</v>
      </c>
      <c r="K8105">
        <v>0</v>
      </c>
      <c r="L8105">
        <f t="shared" si="252"/>
        <v>3.9</v>
      </c>
      <c r="M8105">
        <f t="shared" si="253"/>
        <v>1</v>
      </c>
    </row>
    <row r="8106" spans="1:13" x14ac:dyDescent="0.3">
      <c r="A8106">
        <v>8104</v>
      </c>
      <c r="B8106">
        <v>8105</v>
      </c>
      <c r="C8106" t="s">
        <v>8181</v>
      </c>
      <c r="D8106">
        <v>2019</v>
      </c>
      <c r="F8106" t="s">
        <v>3313</v>
      </c>
      <c r="G8106">
        <v>0</v>
      </c>
      <c r="H8106">
        <v>0</v>
      </c>
      <c r="I8106">
        <v>1</v>
      </c>
      <c r="J8106">
        <v>0</v>
      </c>
      <c r="K8106">
        <v>0</v>
      </c>
      <c r="L8106">
        <f t="shared" si="252"/>
        <v>3.9</v>
      </c>
      <c r="M8106">
        <f t="shared" si="253"/>
        <v>1</v>
      </c>
    </row>
    <row r="8107" spans="1:13" x14ac:dyDescent="0.3">
      <c r="A8107">
        <v>8105</v>
      </c>
      <c r="B8107">
        <v>8106</v>
      </c>
      <c r="C8107" t="s">
        <v>8182</v>
      </c>
      <c r="D8107">
        <v>2018</v>
      </c>
      <c r="F8107" t="s">
        <v>3313</v>
      </c>
      <c r="G8107">
        <v>0</v>
      </c>
      <c r="H8107">
        <v>0</v>
      </c>
      <c r="I8107">
        <v>1</v>
      </c>
      <c r="J8107">
        <v>0</v>
      </c>
      <c r="K8107">
        <v>0</v>
      </c>
      <c r="L8107">
        <f t="shared" si="252"/>
        <v>3.9</v>
      </c>
      <c r="M8107">
        <f t="shared" si="253"/>
        <v>1</v>
      </c>
    </row>
    <row r="8108" spans="1:13" x14ac:dyDescent="0.3">
      <c r="A8108">
        <v>8106</v>
      </c>
      <c r="B8108">
        <v>8107</v>
      </c>
      <c r="C8108" t="s">
        <v>8183</v>
      </c>
      <c r="D8108">
        <v>2018</v>
      </c>
      <c r="F8108" t="s">
        <v>3313</v>
      </c>
      <c r="G8108">
        <v>0</v>
      </c>
      <c r="H8108">
        <v>0</v>
      </c>
      <c r="I8108">
        <v>1</v>
      </c>
      <c r="J8108">
        <v>0</v>
      </c>
      <c r="K8108">
        <v>0</v>
      </c>
      <c r="L8108">
        <f t="shared" si="252"/>
        <v>3.9</v>
      </c>
      <c r="M8108">
        <f t="shared" si="253"/>
        <v>1</v>
      </c>
    </row>
    <row r="8109" spans="1:13" x14ac:dyDescent="0.3">
      <c r="A8109">
        <v>8107</v>
      </c>
      <c r="B8109">
        <v>8108</v>
      </c>
      <c r="C8109" t="s">
        <v>8184</v>
      </c>
      <c r="D8109">
        <v>2018</v>
      </c>
      <c r="E8109" t="s">
        <v>36</v>
      </c>
      <c r="F8109" t="s">
        <v>3313</v>
      </c>
      <c r="G8109">
        <v>0</v>
      </c>
      <c r="H8109">
        <v>0</v>
      </c>
      <c r="I8109">
        <v>1</v>
      </c>
      <c r="J8109">
        <v>0</v>
      </c>
      <c r="K8109">
        <v>0</v>
      </c>
      <c r="L8109">
        <f t="shared" si="252"/>
        <v>3.9</v>
      </c>
      <c r="M8109">
        <f t="shared" si="253"/>
        <v>1</v>
      </c>
    </row>
    <row r="8110" spans="1:13" x14ac:dyDescent="0.3">
      <c r="A8110">
        <v>8108</v>
      </c>
      <c r="B8110">
        <v>8109</v>
      </c>
      <c r="C8110" t="s">
        <v>8185</v>
      </c>
      <c r="D8110">
        <v>2012</v>
      </c>
      <c r="F8110" t="s">
        <v>3313</v>
      </c>
      <c r="G8110">
        <v>0</v>
      </c>
      <c r="H8110">
        <v>0</v>
      </c>
      <c r="I8110">
        <v>1</v>
      </c>
      <c r="J8110">
        <v>0</v>
      </c>
      <c r="K8110">
        <v>0</v>
      </c>
      <c r="L8110">
        <f t="shared" si="252"/>
        <v>3.9</v>
      </c>
      <c r="M8110">
        <f t="shared" si="253"/>
        <v>1</v>
      </c>
    </row>
    <row r="8111" spans="1:13" x14ac:dyDescent="0.3">
      <c r="A8111">
        <v>8109</v>
      </c>
      <c r="B8111">
        <v>8110</v>
      </c>
      <c r="C8111" t="s">
        <v>8186</v>
      </c>
      <c r="D8111">
        <v>2014</v>
      </c>
      <c r="F8111" t="s">
        <v>3313</v>
      </c>
      <c r="G8111">
        <v>0</v>
      </c>
      <c r="H8111">
        <v>0</v>
      </c>
      <c r="I8111">
        <v>1</v>
      </c>
      <c r="J8111">
        <v>0</v>
      </c>
      <c r="K8111">
        <v>0</v>
      </c>
      <c r="L8111">
        <f t="shared" si="252"/>
        <v>3.9</v>
      </c>
      <c r="M8111">
        <f t="shared" si="253"/>
        <v>1</v>
      </c>
    </row>
    <row r="8112" spans="1:13" x14ac:dyDescent="0.3">
      <c r="A8112">
        <v>8110</v>
      </c>
      <c r="B8112">
        <v>8111</v>
      </c>
      <c r="C8112" t="s">
        <v>8187</v>
      </c>
      <c r="D8112">
        <v>2018</v>
      </c>
      <c r="F8112" t="s">
        <v>3313</v>
      </c>
      <c r="G8112">
        <v>0</v>
      </c>
      <c r="H8112">
        <v>0</v>
      </c>
      <c r="I8112">
        <v>1</v>
      </c>
      <c r="J8112">
        <v>0</v>
      </c>
      <c r="K8112">
        <v>0</v>
      </c>
      <c r="L8112">
        <f t="shared" si="252"/>
        <v>3.9</v>
      </c>
      <c r="M8112">
        <f t="shared" si="253"/>
        <v>1</v>
      </c>
    </row>
    <row r="8113" spans="1:13" x14ac:dyDescent="0.3">
      <c r="A8113">
        <v>8111</v>
      </c>
      <c r="B8113">
        <v>8112</v>
      </c>
      <c r="C8113" t="s">
        <v>8188</v>
      </c>
      <c r="D8113">
        <v>2016</v>
      </c>
      <c r="F8113" t="s">
        <v>3313</v>
      </c>
      <c r="G8113">
        <v>0</v>
      </c>
      <c r="H8113">
        <v>0</v>
      </c>
      <c r="I8113">
        <v>1</v>
      </c>
      <c r="J8113">
        <v>0</v>
      </c>
      <c r="K8113">
        <v>0</v>
      </c>
      <c r="L8113">
        <f t="shared" si="252"/>
        <v>3.9</v>
      </c>
      <c r="M8113">
        <f t="shared" si="253"/>
        <v>1</v>
      </c>
    </row>
    <row r="8114" spans="1:13" x14ac:dyDescent="0.3">
      <c r="A8114">
        <v>8112</v>
      </c>
      <c r="B8114">
        <v>8113</v>
      </c>
      <c r="C8114" t="s">
        <v>8189</v>
      </c>
      <c r="D8114">
        <v>2015</v>
      </c>
      <c r="E8114" t="s">
        <v>14</v>
      </c>
      <c r="F8114" t="s">
        <v>3313</v>
      </c>
      <c r="G8114">
        <v>0</v>
      </c>
      <c r="H8114">
        <v>0</v>
      </c>
      <c r="I8114">
        <v>1</v>
      </c>
      <c r="J8114">
        <v>0</v>
      </c>
      <c r="K8114">
        <v>0</v>
      </c>
      <c r="L8114">
        <f t="shared" si="252"/>
        <v>3.9</v>
      </c>
      <c r="M8114">
        <f t="shared" si="253"/>
        <v>1</v>
      </c>
    </row>
    <row r="8115" spans="1:13" x14ac:dyDescent="0.3">
      <c r="A8115">
        <v>8113</v>
      </c>
      <c r="B8115">
        <v>8114</v>
      </c>
      <c r="C8115" t="s">
        <v>8190</v>
      </c>
      <c r="D8115">
        <v>1967</v>
      </c>
      <c r="F8115" t="s">
        <v>3313</v>
      </c>
      <c r="G8115">
        <v>0</v>
      </c>
      <c r="H8115">
        <v>0</v>
      </c>
      <c r="I8115">
        <v>1</v>
      </c>
      <c r="J8115">
        <v>0</v>
      </c>
      <c r="K8115">
        <v>0</v>
      </c>
      <c r="L8115">
        <f t="shared" si="252"/>
        <v>3.9</v>
      </c>
      <c r="M8115">
        <f t="shared" si="253"/>
        <v>1</v>
      </c>
    </row>
    <row r="8116" spans="1:13" x14ac:dyDescent="0.3">
      <c r="A8116">
        <v>8114</v>
      </c>
      <c r="B8116">
        <v>8115</v>
      </c>
      <c r="C8116" t="s">
        <v>8191</v>
      </c>
      <c r="D8116">
        <v>2017</v>
      </c>
      <c r="F8116" t="s">
        <v>3313</v>
      </c>
      <c r="G8116">
        <v>0</v>
      </c>
      <c r="H8116">
        <v>0</v>
      </c>
      <c r="I8116">
        <v>1</v>
      </c>
      <c r="J8116">
        <v>0</v>
      </c>
      <c r="K8116">
        <v>0</v>
      </c>
      <c r="L8116">
        <f t="shared" si="252"/>
        <v>3.9</v>
      </c>
      <c r="M8116">
        <f t="shared" si="253"/>
        <v>1</v>
      </c>
    </row>
    <row r="8117" spans="1:13" x14ac:dyDescent="0.3">
      <c r="A8117">
        <v>8115</v>
      </c>
      <c r="B8117">
        <v>8116</v>
      </c>
      <c r="C8117" t="s">
        <v>8192</v>
      </c>
      <c r="D8117">
        <v>2001</v>
      </c>
      <c r="E8117" t="s">
        <v>11</v>
      </c>
      <c r="F8117" t="s">
        <v>3313</v>
      </c>
      <c r="G8117">
        <v>0</v>
      </c>
      <c r="H8117">
        <v>0</v>
      </c>
      <c r="I8117">
        <v>1</v>
      </c>
      <c r="J8117">
        <v>0</v>
      </c>
      <c r="K8117">
        <v>0</v>
      </c>
      <c r="L8117">
        <f t="shared" si="252"/>
        <v>3.9</v>
      </c>
      <c r="M8117">
        <f t="shared" si="253"/>
        <v>1</v>
      </c>
    </row>
    <row r="8118" spans="1:13" x14ac:dyDescent="0.3">
      <c r="A8118">
        <v>8116</v>
      </c>
      <c r="B8118">
        <v>8117</v>
      </c>
      <c r="C8118" t="s">
        <v>8193</v>
      </c>
      <c r="D8118">
        <v>2003</v>
      </c>
      <c r="E8118" t="s">
        <v>11</v>
      </c>
      <c r="F8118" t="s">
        <v>3313</v>
      </c>
      <c r="G8118">
        <v>0</v>
      </c>
      <c r="H8118">
        <v>0</v>
      </c>
      <c r="I8118">
        <v>1</v>
      </c>
      <c r="J8118">
        <v>0</v>
      </c>
      <c r="K8118">
        <v>0</v>
      </c>
      <c r="L8118">
        <f t="shared" si="252"/>
        <v>3.9</v>
      </c>
      <c r="M8118">
        <f t="shared" si="253"/>
        <v>1</v>
      </c>
    </row>
    <row r="8119" spans="1:13" x14ac:dyDescent="0.3">
      <c r="A8119">
        <v>8117</v>
      </c>
      <c r="B8119">
        <v>8118</v>
      </c>
      <c r="C8119" t="s">
        <v>8194</v>
      </c>
      <c r="D8119">
        <v>1968</v>
      </c>
      <c r="F8119" t="s">
        <v>3313</v>
      </c>
      <c r="G8119">
        <v>0</v>
      </c>
      <c r="H8119">
        <v>0</v>
      </c>
      <c r="I8119">
        <v>1</v>
      </c>
      <c r="J8119">
        <v>0</v>
      </c>
      <c r="K8119">
        <v>0</v>
      </c>
      <c r="L8119">
        <f t="shared" si="252"/>
        <v>3.9</v>
      </c>
      <c r="M8119">
        <f t="shared" si="253"/>
        <v>1</v>
      </c>
    </row>
    <row r="8120" spans="1:13" x14ac:dyDescent="0.3">
      <c r="A8120">
        <v>8118</v>
      </c>
      <c r="B8120">
        <v>8119</v>
      </c>
      <c r="C8120" t="s">
        <v>8195</v>
      </c>
      <c r="D8120">
        <v>1936</v>
      </c>
      <c r="F8120" t="s">
        <v>3313</v>
      </c>
      <c r="G8120">
        <v>0</v>
      </c>
      <c r="H8120">
        <v>0</v>
      </c>
      <c r="I8120">
        <v>1</v>
      </c>
      <c r="J8120">
        <v>0</v>
      </c>
      <c r="K8120">
        <v>0</v>
      </c>
      <c r="L8120">
        <f t="shared" si="252"/>
        <v>3.9</v>
      </c>
      <c r="M8120">
        <f t="shared" si="253"/>
        <v>1</v>
      </c>
    </row>
    <row r="8121" spans="1:13" x14ac:dyDescent="0.3">
      <c r="A8121">
        <v>8119</v>
      </c>
      <c r="B8121">
        <v>8120</v>
      </c>
      <c r="C8121" t="s">
        <v>8196</v>
      </c>
      <c r="D8121">
        <v>2018</v>
      </c>
      <c r="E8121" t="s">
        <v>11</v>
      </c>
      <c r="F8121" t="s">
        <v>3313</v>
      </c>
      <c r="G8121">
        <v>0</v>
      </c>
      <c r="H8121">
        <v>0</v>
      </c>
      <c r="I8121">
        <v>1</v>
      </c>
      <c r="J8121">
        <v>0</v>
      </c>
      <c r="K8121">
        <v>0</v>
      </c>
      <c r="L8121">
        <f t="shared" si="252"/>
        <v>3.9</v>
      </c>
      <c r="M8121">
        <f t="shared" si="253"/>
        <v>1</v>
      </c>
    </row>
    <row r="8122" spans="1:13" x14ac:dyDescent="0.3">
      <c r="A8122">
        <v>8120</v>
      </c>
      <c r="B8122">
        <v>8121</v>
      </c>
      <c r="C8122" t="s">
        <v>8197</v>
      </c>
      <c r="D8122">
        <v>2016</v>
      </c>
      <c r="F8122" t="s">
        <v>3313</v>
      </c>
      <c r="G8122">
        <v>0</v>
      </c>
      <c r="H8122">
        <v>0</v>
      </c>
      <c r="I8122">
        <v>1</v>
      </c>
      <c r="J8122">
        <v>0</v>
      </c>
      <c r="K8122">
        <v>0</v>
      </c>
      <c r="L8122">
        <f t="shared" si="252"/>
        <v>3.9</v>
      </c>
      <c r="M8122">
        <f t="shared" si="253"/>
        <v>1</v>
      </c>
    </row>
    <row r="8123" spans="1:13" x14ac:dyDescent="0.3">
      <c r="A8123">
        <v>8121</v>
      </c>
      <c r="B8123">
        <v>8122</v>
      </c>
      <c r="C8123" t="s">
        <v>8198</v>
      </c>
      <c r="D8123">
        <v>2017</v>
      </c>
      <c r="F8123" t="s">
        <v>3313</v>
      </c>
      <c r="G8123">
        <v>0</v>
      </c>
      <c r="H8123">
        <v>0</v>
      </c>
      <c r="I8123">
        <v>1</v>
      </c>
      <c r="J8123">
        <v>0</v>
      </c>
      <c r="K8123">
        <v>0</v>
      </c>
      <c r="L8123">
        <f t="shared" si="252"/>
        <v>3.9</v>
      </c>
      <c r="M8123">
        <f t="shared" si="253"/>
        <v>1</v>
      </c>
    </row>
    <row r="8124" spans="1:13" x14ac:dyDescent="0.3">
      <c r="A8124">
        <v>8122</v>
      </c>
      <c r="B8124">
        <v>8123</v>
      </c>
      <c r="C8124" t="s">
        <v>8199</v>
      </c>
      <c r="D8124">
        <v>2013</v>
      </c>
      <c r="F8124" t="s">
        <v>3313</v>
      </c>
      <c r="G8124">
        <v>0</v>
      </c>
      <c r="H8124">
        <v>0</v>
      </c>
      <c r="I8124">
        <v>1</v>
      </c>
      <c r="J8124">
        <v>0</v>
      </c>
      <c r="K8124">
        <v>0</v>
      </c>
      <c r="L8124">
        <f t="shared" si="252"/>
        <v>3.9</v>
      </c>
      <c r="M8124">
        <f t="shared" si="253"/>
        <v>1</v>
      </c>
    </row>
    <row r="8125" spans="1:13" x14ac:dyDescent="0.3">
      <c r="A8125">
        <v>8123</v>
      </c>
      <c r="B8125">
        <v>8124</v>
      </c>
      <c r="C8125" t="s">
        <v>8200</v>
      </c>
      <c r="D8125">
        <v>2019</v>
      </c>
      <c r="F8125" t="s">
        <v>3313</v>
      </c>
      <c r="G8125">
        <v>0</v>
      </c>
      <c r="H8125">
        <v>0</v>
      </c>
      <c r="I8125">
        <v>1</v>
      </c>
      <c r="J8125">
        <v>0</v>
      </c>
      <c r="K8125">
        <v>0</v>
      </c>
      <c r="L8125">
        <f t="shared" si="252"/>
        <v>3.9</v>
      </c>
      <c r="M8125">
        <f t="shared" si="253"/>
        <v>1</v>
      </c>
    </row>
    <row r="8126" spans="1:13" x14ac:dyDescent="0.3">
      <c r="A8126">
        <v>8124</v>
      </c>
      <c r="B8126">
        <v>8125</v>
      </c>
      <c r="C8126" t="s">
        <v>8201</v>
      </c>
      <c r="D8126">
        <v>2015</v>
      </c>
      <c r="F8126" t="s">
        <v>3313</v>
      </c>
      <c r="G8126">
        <v>0</v>
      </c>
      <c r="H8126">
        <v>0</v>
      </c>
      <c r="I8126">
        <v>1</v>
      </c>
      <c r="J8126">
        <v>0</v>
      </c>
      <c r="K8126">
        <v>0</v>
      </c>
      <c r="L8126">
        <f t="shared" si="252"/>
        <v>3.9</v>
      </c>
      <c r="M8126">
        <f t="shared" si="253"/>
        <v>1</v>
      </c>
    </row>
    <row r="8127" spans="1:13" x14ac:dyDescent="0.3">
      <c r="A8127">
        <v>8125</v>
      </c>
      <c r="B8127">
        <v>8126</v>
      </c>
      <c r="C8127" t="s">
        <v>8202</v>
      </c>
      <c r="D8127">
        <v>1992</v>
      </c>
      <c r="F8127" t="s">
        <v>3313</v>
      </c>
      <c r="G8127">
        <v>0</v>
      </c>
      <c r="H8127">
        <v>0</v>
      </c>
      <c r="I8127">
        <v>1</v>
      </c>
      <c r="J8127">
        <v>0</v>
      </c>
      <c r="K8127">
        <v>0</v>
      </c>
      <c r="L8127">
        <f t="shared" si="252"/>
        <v>3.9</v>
      </c>
      <c r="M8127">
        <f t="shared" si="253"/>
        <v>1</v>
      </c>
    </row>
    <row r="8128" spans="1:13" x14ac:dyDescent="0.3">
      <c r="A8128">
        <v>8126</v>
      </c>
      <c r="B8128">
        <v>8127</v>
      </c>
      <c r="C8128" t="s">
        <v>8203</v>
      </c>
      <c r="D8128">
        <v>2013</v>
      </c>
      <c r="F8128" t="s">
        <v>3313</v>
      </c>
      <c r="G8128">
        <v>0</v>
      </c>
      <c r="H8128">
        <v>0</v>
      </c>
      <c r="I8128">
        <v>1</v>
      </c>
      <c r="J8128">
        <v>0</v>
      </c>
      <c r="K8128">
        <v>0</v>
      </c>
      <c r="L8128">
        <f t="shared" si="252"/>
        <v>3.9</v>
      </c>
      <c r="M8128">
        <f t="shared" si="253"/>
        <v>1</v>
      </c>
    </row>
    <row r="8129" spans="1:13" x14ac:dyDescent="0.3">
      <c r="A8129">
        <v>8127</v>
      </c>
      <c r="B8129">
        <v>8128</v>
      </c>
      <c r="C8129" t="s">
        <v>8204</v>
      </c>
      <c r="D8129">
        <v>2014</v>
      </c>
      <c r="F8129" t="s">
        <v>3313</v>
      </c>
      <c r="G8129">
        <v>0</v>
      </c>
      <c r="H8129">
        <v>0</v>
      </c>
      <c r="I8129">
        <v>1</v>
      </c>
      <c r="J8129">
        <v>0</v>
      </c>
      <c r="K8129">
        <v>0</v>
      </c>
      <c r="L8129">
        <f t="shared" si="252"/>
        <v>3.9</v>
      </c>
      <c r="M8129">
        <f t="shared" si="253"/>
        <v>1</v>
      </c>
    </row>
    <row r="8130" spans="1:13" x14ac:dyDescent="0.3">
      <c r="A8130">
        <v>8128</v>
      </c>
      <c r="B8130">
        <v>8129</v>
      </c>
      <c r="C8130" t="s">
        <v>8205</v>
      </c>
      <c r="D8130">
        <v>2015</v>
      </c>
      <c r="F8130" t="s">
        <v>3313</v>
      </c>
      <c r="G8130">
        <v>0</v>
      </c>
      <c r="H8130">
        <v>0</v>
      </c>
      <c r="I8130">
        <v>1</v>
      </c>
      <c r="J8130">
        <v>0</v>
      </c>
      <c r="K8130">
        <v>0</v>
      </c>
      <c r="L8130">
        <f t="shared" si="252"/>
        <v>3.9</v>
      </c>
      <c r="M8130">
        <f t="shared" si="253"/>
        <v>1</v>
      </c>
    </row>
    <row r="8131" spans="1:13" x14ac:dyDescent="0.3">
      <c r="A8131">
        <v>8129</v>
      </c>
      <c r="B8131">
        <v>8130</v>
      </c>
      <c r="C8131" t="s">
        <v>8206</v>
      </c>
      <c r="D8131">
        <v>2011</v>
      </c>
      <c r="F8131" t="s">
        <v>3313</v>
      </c>
      <c r="G8131">
        <v>0</v>
      </c>
      <c r="H8131">
        <v>0</v>
      </c>
      <c r="I8131">
        <v>1</v>
      </c>
      <c r="J8131">
        <v>0</v>
      </c>
      <c r="K8131">
        <v>0</v>
      </c>
      <c r="L8131">
        <f t="shared" ref="L8131:L8194" si="254">IFERROR(VALUE(LEFT(F8131,FIND("/",F8131)-1))/10,"")</f>
        <v>3.9</v>
      </c>
      <c r="M8131">
        <f t="shared" ref="M8131:M8194" si="255">SUM(G8131:J8131)</f>
        <v>1</v>
      </c>
    </row>
    <row r="8132" spans="1:13" x14ac:dyDescent="0.3">
      <c r="A8132">
        <v>8130</v>
      </c>
      <c r="B8132">
        <v>8131</v>
      </c>
      <c r="C8132" t="s">
        <v>8207</v>
      </c>
      <c r="D8132">
        <v>2005</v>
      </c>
      <c r="F8132" t="s">
        <v>3313</v>
      </c>
      <c r="G8132">
        <v>0</v>
      </c>
      <c r="H8132">
        <v>0</v>
      </c>
      <c r="I8132">
        <v>1</v>
      </c>
      <c r="J8132">
        <v>0</v>
      </c>
      <c r="K8132">
        <v>0</v>
      </c>
      <c r="L8132">
        <f t="shared" si="254"/>
        <v>3.9</v>
      </c>
      <c r="M8132">
        <f t="shared" si="255"/>
        <v>1</v>
      </c>
    </row>
    <row r="8133" spans="1:13" x14ac:dyDescent="0.3">
      <c r="A8133">
        <v>8131</v>
      </c>
      <c r="B8133">
        <v>8132</v>
      </c>
      <c r="C8133" t="s">
        <v>8208</v>
      </c>
      <c r="D8133">
        <v>2012</v>
      </c>
      <c r="E8133" t="s">
        <v>11</v>
      </c>
      <c r="F8133" t="s">
        <v>3313</v>
      </c>
      <c r="G8133">
        <v>0</v>
      </c>
      <c r="H8133">
        <v>0</v>
      </c>
      <c r="I8133">
        <v>1</v>
      </c>
      <c r="J8133">
        <v>0</v>
      </c>
      <c r="K8133">
        <v>0</v>
      </c>
      <c r="L8133">
        <f t="shared" si="254"/>
        <v>3.9</v>
      </c>
      <c r="M8133">
        <f t="shared" si="255"/>
        <v>1</v>
      </c>
    </row>
    <row r="8134" spans="1:13" x14ac:dyDescent="0.3">
      <c r="A8134">
        <v>8132</v>
      </c>
      <c r="B8134">
        <v>8133</v>
      </c>
      <c r="C8134" t="s">
        <v>8209</v>
      </c>
      <c r="D8134">
        <v>2020</v>
      </c>
      <c r="F8134" t="s">
        <v>3404</v>
      </c>
      <c r="G8134">
        <v>0</v>
      </c>
      <c r="H8134">
        <v>0</v>
      </c>
      <c r="I8134">
        <v>1</v>
      </c>
      <c r="J8134">
        <v>0</v>
      </c>
      <c r="K8134">
        <v>0</v>
      </c>
      <c r="L8134">
        <f t="shared" si="254"/>
        <v>3.8</v>
      </c>
      <c r="M8134">
        <f t="shared" si="255"/>
        <v>1</v>
      </c>
    </row>
    <row r="8135" spans="1:13" x14ac:dyDescent="0.3">
      <c r="A8135">
        <v>8133</v>
      </c>
      <c r="B8135">
        <v>8134</v>
      </c>
      <c r="C8135" t="s">
        <v>8210</v>
      </c>
      <c r="D8135">
        <v>1954</v>
      </c>
      <c r="F8135" t="s">
        <v>3404</v>
      </c>
      <c r="G8135">
        <v>0</v>
      </c>
      <c r="H8135">
        <v>0</v>
      </c>
      <c r="I8135">
        <v>1</v>
      </c>
      <c r="J8135">
        <v>0</v>
      </c>
      <c r="K8135">
        <v>0</v>
      </c>
      <c r="L8135">
        <f t="shared" si="254"/>
        <v>3.8</v>
      </c>
      <c r="M8135">
        <f t="shared" si="255"/>
        <v>1</v>
      </c>
    </row>
    <row r="8136" spans="1:13" x14ac:dyDescent="0.3">
      <c r="A8136">
        <v>8134</v>
      </c>
      <c r="B8136">
        <v>8135</v>
      </c>
      <c r="C8136" t="s">
        <v>8211</v>
      </c>
      <c r="D8136">
        <v>1937</v>
      </c>
      <c r="F8136" t="s">
        <v>3404</v>
      </c>
      <c r="G8136">
        <v>0</v>
      </c>
      <c r="H8136">
        <v>0</v>
      </c>
      <c r="I8136">
        <v>1</v>
      </c>
      <c r="J8136">
        <v>0</v>
      </c>
      <c r="K8136">
        <v>0</v>
      </c>
      <c r="L8136">
        <f t="shared" si="254"/>
        <v>3.8</v>
      </c>
      <c r="M8136">
        <f t="shared" si="255"/>
        <v>1</v>
      </c>
    </row>
    <row r="8137" spans="1:13" x14ac:dyDescent="0.3">
      <c r="A8137">
        <v>8135</v>
      </c>
      <c r="B8137">
        <v>8136</v>
      </c>
      <c r="C8137" t="s">
        <v>8212</v>
      </c>
      <c r="D8137">
        <v>2015</v>
      </c>
      <c r="F8137" t="s">
        <v>3404</v>
      </c>
      <c r="G8137">
        <v>0</v>
      </c>
      <c r="H8137">
        <v>0</v>
      </c>
      <c r="I8137">
        <v>1</v>
      </c>
      <c r="J8137">
        <v>0</v>
      </c>
      <c r="K8137">
        <v>0</v>
      </c>
      <c r="L8137">
        <f t="shared" si="254"/>
        <v>3.8</v>
      </c>
      <c r="M8137">
        <f t="shared" si="255"/>
        <v>1</v>
      </c>
    </row>
    <row r="8138" spans="1:13" x14ac:dyDescent="0.3">
      <c r="A8138">
        <v>8136</v>
      </c>
      <c r="B8138">
        <v>8137</v>
      </c>
      <c r="C8138" t="s">
        <v>8213</v>
      </c>
      <c r="D8138">
        <v>1996</v>
      </c>
      <c r="F8138" t="s">
        <v>3404</v>
      </c>
      <c r="G8138">
        <v>0</v>
      </c>
      <c r="H8138">
        <v>0</v>
      </c>
      <c r="I8138">
        <v>1</v>
      </c>
      <c r="J8138">
        <v>0</v>
      </c>
      <c r="K8138">
        <v>0</v>
      </c>
      <c r="L8138">
        <f t="shared" si="254"/>
        <v>3.8</v>
      </c>
      <c r="M8138">
        <f t="shared" si="255"/>
        <v>1</v>
      </c>
    </row>
    <row r="8139" spans="1:13" x14ac:dyDescent="0.3">
      <c r="A8139">
        <v>8137</v>
      </c>
      <c r="B8139">
        <v>8138</v>
      </c>
      <c r="C8139" t="s">
        <v>8214</v>
      </c>
      <c r="D8139">
        <v>2019</v>
      </c>
      <c r="E8139" t="s">
        <v>22</v>
      </c>
      <c r="F8139" t="s">
        <v>3404</v>
      </c>
      <c r="G8139">
        <v>0</v>
      </c>
      <c r="H8139">
        <v>0</v>
      </c>
      <c r="I8139">
        <v>1</v>
      </c>
      <c r="J8139">
        <v>0</v>
      </c>
      <c r="K8139">
        <v>0</v>
      </c>
      <c r="L8139">
        <f t="shared" si="254"/>
        <v>3.8</v>
      </c>
      <c r="M8139">
        <f t="shared" si="255"/>
        <v>1</v>
      </c>
    </row>
    <row r="8140" spans="1:13" x14ac:dyDescent="0.3">
      <c r="A8140">
        <v>8138</v>
      </c>
      <c r="B8140">
        <v>8139</v>
      </c>
      <c r="C8140" t="s">
        <v>8215</v>
      </c>
      <c r="D8140">
        <v>2021</v>
      </c>
      <c r="E8140" t="s">
        <v>36</v>
      </c>
      <c r="F8140" t="s">
        <v>3404</v>
      </c>
      <c r="G8140">
        <v>0</v>
      </c>
      <c r="H8140">
        <v>0</v>
      </c>
      <c r="I8140">
        <v>1</v>
      </c>
      <c r="J8140">
        <v>0</v>
      </c>
      <c r="K8140">
        <v>0</v>
      </c>
      <c r="L8140">
        <f t="shared" si="254"/>
        <v>3.8</v>
      </c>
      <c r="M8140">
        <f t="shared" si="255"/>
        <v>1</v>
      </c>
    </row>
    <row r="8141" spans="1:13" x14ac:dyDescent="0.3">
      <c r="A8141">
        <v>8139</v>
      </c>
      <c r="B8141">
        <v>8140</v>
      </c>
      <c r="C8141" t="s">
        <v>8216</v>
      </c>
      <c r="D8141">
        <v>1956</v>
      </c>
      <c r="F8141" t="s">
        <v>3404</v>
      </c>
      <c r="G8141">
        <v>0</v>
      </c>
      <c r="H8141">
        <v>0</v>
      </c>
      <c r="I8141">
        <v>1</v>
      </c>
      <c r="J8141">
        <v>0</v>
      </c>
      <c r="K8141">
        <v>0</v>
      </c>
      <c r="L8141">
        <f t="shared" si="254"/>
        <v>3.8</v>
      </c>
      <c r="M8141">
        <f t="shared" si="255"/>
        <v>1</v>
      </c>
    </row>
    <row r="8142" spans="1:13" x14ac:dyDescent="0.3">
      <c r="A8142">
        <v>8140</v>
      </c>
      <c r="B8142">
        <v>8141</v>
      </c>
      <c r="C8142" t="s">
        <v>8217</v>
      </c>
      <c r="D8142">
        <v>2013</v>
      </c>
      <c r="F8142" t="s">
        <v>3404</v>
      </c>
      <c r="G8142">
        <v>0</v>
      </c>
      <c r="H8142">
        <v>0</v>
      </c>
      <c r="I8142">
        <v>1</v>
      </c>
      <c r="J8142">
        <v>0</v>
      </c>
      <c r="K8142">
        <v>0</v>
      </c>
      <c r="L8142">
        <f t="shared" si="254"/>
        <v>3.8</v>
      </c>
      <c r="M8142">
        <f t="shared" si="255"/>
        <v>1</v>
      </c>
    </row>
    <row r="8143" spans="1:13" x14ac:dyDescent="0.3">
      <c r="A8143">
        <v>8141</v>
      </c>
      <c r="B8143">
        <v>8142</v>
      </c>
      <c r="C8143" t="s">
        <v>8218</v>
      </c>
      <c r="D8143">
        <v>1941</v>
      </c>
      <c r="F8143" t="s">
        <v>3404</v>
      </c>
      <c r="G8143">
        <v>0</v>
      </c>
      <c r="H8143">
        <v>0</v>
      </c>
      <c r="I8143">
        <v>1</v>
      </c>
      <c r="J8143">
        <v>0</v>
      </c>
      <c r="K8143">
        <v>0</v>
      </c>
      <c r="L8143">
        <f t="shared" si="254"/>
        <v>3.8</v>
      </c>
      <c r="M8143">
        <f t="shared" si="255"/>
        <v>1</v>
      </c>
    </row>
    <row r="8144" spans="1:13" x14ac:dyDescent="0.3">
      <c r="A8144">
        <v>8142</v>
      </c>
      <c r="B8144">
        <v>8143</v>
      </c>
      <c r="C8144" t="s">
        <v>8219</v>
      </c>
      <c r="D8144">
        <v>1972</v>
      </c>
      <c r="F8144" t="s">
        <v>3404</v>
      </c>
      <c r="G8144">
        <v>0</v>
      </c>
      <c r="H8144">
        <v>0</v>
      </c>
      <c r="I8144">
        <v>1</v>
      </c>
      <c r="J8144">
        <v>0</v>
      </c>
      <c r="K8144">
        <v>0</v>
      </c>
      <c r="L8144">
        <f t="shared" si="254"/>
        <v>3.8</v>
      </c>
      <c r="M8144">
        <f t="shared" si="255"/>
        <v>1</v>
      </c>
    </row>
    <row r="8145" spans="1:13" x14ac:dyDescent="0.3">
      <c r="A8145">
        <v>8143</v>
      </c>
      <c r="B8145">
        <v>8144</v>
      </c>
      <c r="C8145" t="s">
        <v>8220</v>
      </c>
      <c r="D8145">
        <v>1938</v>
      </c>
      <c r="F8145" t="s">
        <v>3404</v>
      </c>
      <c r="G8145">
        <v>0</v>
      </c>
      <c r="H8145">
        <v>0</v>
      </c>
      <c r="I8145">
        <v>1</v>
      </c>
      <c r="J8145">
        <v>0</v>
      </c>
      <c r="K8145">
        <v>0</v>
      </c>
      <c r="L8145">
        <f t="shared" si="254"/>
        <v>3.8</v>
      </c>
      <c r="M8145">
        <f t="shared" si="255"/>
        <v>1</v>
      </c>
    </row>
    <row r="8146" spans="1:13" x14ac:dyDescent="0.3">
      <c r="A8146">
        <v>8144</v>
      </c>
      <c r="B8146">
        <v>8145</v>
      </c>
      <c r="C8146" t="s">
        <v>8221</v>
      </c>
      <c r="D8146">
        <v>1997</v>
      </c>
      <c r="E8146" t="s">
        <v>22</v>
      </c>
      <c r="F8146" t="s">
        <v>3404</v>
      </c>
      <c r="G8146">
        <v>0</v>
      </c>
      <c r="H8146">
        <v>0</v>
      </c>
      <c r="I8146">
        <v>1</v>
      </c>
      <c r="J8146">
        <v>0</v>
      </c>
      <c r="K8146">
        <v>0</v>
      </c>
      <c r="L8146">
        <f t="shared" si="254"/>
        <v>3.8</v>
      </c>
      <c r="M8146">
        <f t="shared" si="255"/>
        <v>1</v>
      </c>
    </row>
    <row r="8147" spans="1:13" x14ac:dyDescent="0.3">
      <c r="A8147">
        <v>8145</v>
      </c>
      <c r="B8147">
        <v>8146</v>
      </c>
      <c r="C8147" t="s">
        <v>8222</v>
      </c>
      <c r="D8147">
        <v>2015</v>
      </c>
      <c r="F8147" t="s">
        <v>3404</v>
      </c>
      <c r="G8147">
        <v>0</v>
      </c>
      <c r="H8147">
        <v>0</v>
      </c>
      <c r="I8147">
        <v>1</v>
      </c>
      <c r="J8147">
        <v>0</v>
      </c>
      <c r="K8147">
        <v>0</v>
      </c>
      <c r="L8147">
        <f t="shared" si="254"/>
        <v>3.8</v>
      </c>
      <c r="M8147">
        <f t="shared" si="255"/>
        <v>1</v>
      </c>
    </row>
    <row r="8148" spans="1:13" x14ac:dyDescent="0.3">
      <c r="A8148">
        <v>8146</v>
      </c>
      <c r="B8148">
        <v>8147</v>
      </c>
      <c r="C8148" t="s">
        <v>8223</v>
      </c>
      <c r="D8148">
        <v>2017</v>
      </c>
      <c r="F8148" t="s">
        <v>3404</v>
      </c>
      <c r="G8148">
        <v>0</v>
      </c>
      <c r="H8148">
        <v>0</v>
      </c>
      <c r="I8148">
        <v>1</v>
      </c>
      <c r="J8148">
        <v>0</v>
      </c>
      <c r="K8148">
        <v>0</v>
      </c>
      <c r="L8148">
        <f t="shared" si="254"/>
        <v>3.8</v>
      </c>
      <c r="M8148">
        <f t="shared" si="255"/>
        <v>1</v>
      </c>
    </row>
    <row r="8149" spans="1:13" x14ac:dyDescent="0.3">
      <c r="A8149">
        <v>8147</v>
      </c>
      <c r="B8149">
        <v>8148</v>
      </c>
      <c r="C8149" t="s">
        <v>8224</v>
      </c>
      <c r="D8149">
        <v>2015</v>
      </c>
      <c r="F8149" t="s">
        <v>3404</v>
      </c>
      <c r="G8149">
        <v>0</v>
      </c>
      <c r="H8149">
        <v>0</v>
      </c>
      <c r="I8149">
        <v>1</v>
      </c>
      <c r="J8149">
        <v>0</v>
      </c>
      <c r="K8149">
        <v>0</v>
      </c>
      <c r="L8149">
        <f t="shared" si="254"/>
        <v>3.8</v>
      </c>
      <c r="M8149">
        <f t="shared" si="255"/>
        <v>1</v>
      </c>
    </row>
    <row r="8150" spans="1:13" x14ac:dyDescent="0.3">
      <c r="A8150">
        <v>8148</v>
      </c>
      <c r="B8150">
        <v>8149</v>
      </c>
      <c r="C8150" t="s">
        <v>8225</v>
      </c>
      <c r="D8150">
        <v>2017</v>
      </c>
      <c r="F8150" t="s">
        <v>3404</v>
      </c>
      <c r="G8150">
        <v>0</v>
      </c>
      <c r="H8150">
        <v>0</v>
      </c>
      <c r="I8150">
        <v>1</v>
      </c>
      <c r="J8150">
        <v>0</v>
      </c>
      <c r="K8150">
        <v>0</v>
      </c>
      <c r="L8150">
        <f t="shared" si="254"/>
        <v>3.8</v>
      </c>
      <c r="M8150">
        <f t="shared" si="255"/>
        <v>1</v>
      </c>
    </row>
    <row r="8151" spans="1:13" x14ac:dyDescent="0.3">
      <c r="A8151">
        <v>8149</v>
      </c>
      <c r="B8151">
        <v>8150</v>
      </c>
      <c r="C8151" t="s">
        <v>8226</v>
      </c>
      <c r="D8151">
        <v>1996</v>
      </c>
      <c r="E8151" t="s">
        <v>11</v>
      </c>
      <c r="F8151" t="s">
        <v>3404</v>
      </c>
      <c r="G8151">
        <v>0</v>
      </c>
      <c r="H8151">
        <v>0</v>
      </c>
      <c r="I8151">
        <v>1</v>
      </c>
      <c r="J8151">
        <v>0</v>
      </c>
      <c r="K8151">
        <v>0</v>
      </c>
      <c r="L8151">
        <f t="shared" si="254"/>
        <v>3.8</v>
      </c>
      <c r="M8151">
        <f t="shared" si="255"/>
        <v>1</v>
      </c>
    </row>
    <row r="8152" spans="1:13" x14ac:dyDescent="0.3">
      <c r="A8152">
        <v>8150</v>
      </c>
      <c r="B8152">
        <v>8151</v>
      </c>
      <c r="C8152" t="s">
        <v>8227</v>
      </c>
      <c r="D8152">
        <v>1989</v>
      </c>
      <c r="E8152" t="s">
        <v>11</v>
      </c>
      <c r="F8152" t="s">
        <v>3404</v>
      </c>
      <c r="G8152">
        <v>0</v>
      </c>
      <c r="H8152">
        <v>0</v>
      </c>
      <c r="I8152">
        <v>1</v>
      </c>
      <c r="J8152">
        <v>0</v>
      </c>
      <c r="K8152">
        <v>0</v>
      </c>
      <c r="L8152">
        <f t="shared" si="254"/>
        <v>3.8</v>
      </c>
      <c r="M8152">
        <f t="shared" si="255"/>
        <v>1</v>
      </c>
    </row>
    <row r="8153" spans="1:13" x14ac:dyDescent="0.3">
      <c r="A8153">
        <v>8151</v>
      </c>
      <c r="B8153">
        <v>8152</v>
      </c>
      <c r="C8153" t="s">
        <v>8228</v>
      </c>
      <c r="D8153">
        <v>2017</v>
      </c>
      <c r="F8153" t="s">
        <v>3404</v>
      </c>
      <c r="G8153">
        <v>0</v>
      </c>
      <c r="H8153">
        <v>0</v>
      </c>
      <c r="I8153">
        <v>1</v>
      </c>
      <c r="J8153">
        <v>0</v>
      </c>
      <c r="K8153">
        <v>0</v>
      </c>
      <c r="L8153">
        <f t="shared" si="254"/>
        <v>3.8</v>
      </c>
      <c r="M8153">
        <f t="shared" si="255"/>
        <v>1</v>
      </c>
    </row>
    <row r="8154" spans="1:13" x14ac:dyDescent="0.3">
      <c r="A8154">
        <v>8152</v>
      </c>
      <c r="B8154">
        <v>8153</v>
      </c>
      <c r="C8154" t="s">
        <v>8229</v>
      </c>
      <c r="D8154">
        <v>2004</v>
      </c>
      <c r="E8154" t="s">
        <v>11</v>
      </c>
      <c r="F8154" t="s">
        <v>3404</v>
      </c>
      <c r="G8154">
        <v>0</v>
      </c>
      <c r="H8154">
        <v>0</v>
      </c>
      <c r="I8154">
        <v>1</v>
      </c>
      <c r="J8154">
        <v>0</v>
      </c>
      <c r="K8154">
        <v>0</v>
      </c>
      <c r="L8154">
        <f t="shared" si="254"/>
        <v>3.8</v>
      </c>
      <c r="M8154">
        <f t="shared" si="255"/>
        <v>1</v>
      </c>
    </row>
    <row r="8155" spans="1:13" x14ac:dyDescent="0.3">
      <c r="A8155">
        <v>8153</v>
      </c>
      <c r="B8155">
        <v>8154</v>
      </c>
      <c r="C8155" t="s">
        <v>8230</v>
      </c>
      <c r="D8155">
        <v>2016</v>
      </c>
      <c r="E8155" t="s">
        <v>36</v>
      </c>
      <c r="F8155" t="s">
        <v>3404</v>
      </c>
      <c r="G8155">
        <v>0</v>
      </c>
      <c r="H8155">
        <v>0</v>
      </c>
      <c r="I8155">
        <v>1</v>
      </c>
      <c r="J8155">
        <v>0</v>
      </c>
      <c r="K8155">
        <v>0</v>
      </c>
      <c r="L8155">
        <f t="shared" si="254"/>
        <v>3.8</v>
      </c>
      <c r="M8155">
        <f t="shared" si="255"/>
        <v>1</v>
      </c>
    </row>
    <row r="8156" spans="1:13" x14ac:dyDescent="0.3">
      <c r="A8156">
        <v>8154</v>
      </c>
      <c r="B8156">
        <v>8155</v>
      </c>
      <c r="C8156" t="s">
        <v>8231</v>
      </c>
      <c r="D8156">
        <v>1987</v>
      </c>
      <c r="E8156" t="s">
        <v>11</v>
      </c>
      <c r="F8156" t="s">
        <v>3404</v>
      </c>
      <c r="G8156">
        <v>0</v>
      </c>
      <c r="H8156">
        <v>0</v>
      </c>
      <c r="I8156">
        <v>1</v>
      </c>
      <c r="J8156">
        <v>0</v>
      </c>
      <c r="K8156">
        <v>0</v>
      </c>
      <c r="L8156">
        <f t="shared" si="254"/>
        <v>3.8</v>
      </c>
      <c r="M8156">
        <f t="shared" si="255"/>
        <v>1</v>
      </c>
    </row>
    <row r="8157" spans="1:13" x14ac:dyDescent="0.3">
      <c r="A8157">
        <v>8155</v>
      </c>
      <c r="B8157">
        <v>8156</v>
      </c>
      <c r="C8157" t="s">
        <v>8232</v>
      </c>
      <c r="D8157">
        <v>1998</v>
      </c>
      <c r="E8157" t="s">
        <v>11</v>
      </c>
      <c r="F8157" t="s">
        <v>3404</v>
      </c>
      <c r="G8157">
        <v>0</v>
      </c>
      <c r="H8157">
        <v>0</v>
      </c>
      <c r="I8157">
        <v>1</v>
      </c>
      <c r="J8157">
        <v>0</v>
      </c>
      <c r="K8157">
        <v>0</v>
      </c>
      <c r="L8157">
        <f t="shared" si="254"/>
        <v>3.8</v>
      </c>
      <c r="M8157">
        <f t="shared" si="255"/>
        <v>1</v>
      </c>
    </row>
    <row r="8158" spans="1:13" x14ac:dyDescent="0.3">
      <c r="A8158">
        <v>8156</v>
      </c>
      <c r="B8158">
        <v>8157</v>
      </c>
      <c r="C8158" t="s">
        <v>8233</v>
      </c>
      <c r="D8158">
        <v>2019</v>
      </c>
      <c r="F8158" t="s">
        <v>3404</v>
      </c>
      <c r="G8158">
        <v>0</v>
      </c>
      <c r="H8158">
        <v>0</v>
      </c>
      <c r="I8158">
        <v>1</v>
      </c>
      <c r="J8158">
        <v>0</v>
      </c>
      <c r="K8158">
        <v>0</v>
      </c>
      <c r="L8158">
        <f t="shared" si="254"/>
        <v>3.8</v>
      </c>
      <c r="M8158">
        <f t="shared" si="255"/>
        <v>1</v>
      </c>
    </row>
    <row r="8159" spans="1:13" x14ac:dyDescent="0.3">
      <c r="A8159">
        <v>8157</v>
      </c>
      <c r="B8159">
        <v>8158</v>
      </c>
      <c r="C8159" t="s">
        <v>8234</v>
      </c>
      <c r="D8159">
        <v>2021</v>
      </c>
      <c r="E8159" t="s">
        <v>22</v>
      </c>
      <c r="F8159" t="s">
        <v>3404</v>
      </c>
      <c r="G8159">
        <v>0</v>
      </c>
      <c r="H8159">
        <v>0</v>
      </c>
      <c r="I8159">
        <v>1</v>
      </c>
      <c r="J8159">
        <v>0</v>
      </c>
      <c r="K8159">
        <v>0</v>
      </c>
      <c r="L8159">
        <f t="shared" si="254"/>
        <v>3.8</v>
      </c>
      <c r="M8159">
        <f t="shared" si="255"/>
        <v>1</v>
      </c>
    </row>
    <row r="8160" spans="1:13" x14ac:dyDescent="0.3">
      <c r="A8160">
        <v>8158</v>
      </c>
      <c r="B8160">
        <v>8159</v>
      </c>
      <c r="C8160" t="s">
        <v>8235</v>
      </c>
      <c r="D8160">
        <v>2007</v>
      </c>
      <c r="F8160" t="s">
        <v>3404</v>
      </c>
      <c r="G8160">
        <v>0</v>
      </c>
      <c r="H8160">
        <v>0</v>
      </c>
      <c r="I8160">
        <v>1</v>
      </c>
      <c r="J8160">
        <v>0</v>
      </c>
      <c r="K8160">
        <v>0</v>
      </c>
      <c r="L8160">
        <f t="shared" si="254"/>
        <v>3.8</v>
      </c>
      <c r="M8160">
        <f t="shared" si="255"/>
        <v>1</v>
      </c>
    </row>
    <row r="8161" spans="1:13" x14ac:dyDescent="0.3">
      <c r="A8161">
        <v>8159</v>
      </c>
      <c r="B8161">
        <v>8160</v>
      </c>
      <c r="C8161" t="s">
        <v>8236</v>
      </c>
      <c r="D8161">
        <v>2016</v>
      </c>
      <c r="E8161" t="s">
        <v>22</v>
      </c>
      <c r="F8161" t="s">
        <v>3404</v>
      </c>
      <c r="G8161">
        <v>0</v>
      </c>
      <c r="H8161">
        <v>0</v>
      </c>
      <c r="I8161">
        <v>1</v>
      </c>
      <c r="J8161">
        <v>0</v>
      </c>
      <c r="K8161">
        <v>0</v>
      </c>
      <c r="L8161">
        <f t="shared" si="254"/>
        <v>3.8</v>
      </c>
      <c r="M8161">
        <f t="shared" si="255"/>
        <v>1</v>
      </c>
    </row>
    <row r="8162" spans="1:13" x14ac:dyDescent="0.3">
      <c r="A8162">
        <v>8160</v>
      </c>
      <c r="B8162">
        <v>8161</v>
      </c>
      <c r="C8162" t="s">
        <v>8237</v>
      </c>
      <c r="D8162">
        <v>1948</v>
      </c>
      <c r="F8162" t="s">
        <v>3404</v>
      </c>
      <c r="G8162">
        <v>0</v>
      </c>
      <c r="H8162">
        <v>0</v>
      </c>
      <c r="I8162">
        <v>1</v>
      </c>
      <c r="J8162">
        <v>0</v>
      </c>
      <c r="K8162">
        <v>0</v>
      </c>
      <c r="L8162">
        <f t="shared" si="254"/>
        <v>3.8</v>
      </c>
      <c r="M8162">
        <f t="shared" si="255"/>
        <v>1</v>
      </c>
    </row>
    <row r="8163" spans="1:13" x14ac:dyDescent="0.3">
      <c r="A8163">
        <v>8161</v>
      </c>
      <c r="B8163">
        <v>8162</v>
      </c>
      <c r="C8163" t="s">
        <v>8238</v>
      </c>
      <c r="D8163">
        <v>2017</v>
      </c>
      <c r="F8163" t="s">
        <v>3404</v>
      </c>
      <c r="G8163">
        <v>0</v>
      </c>
      <c r="H8163">
        <v>0</v>
      </c>
      <c r="I8163">
        <v>1</v>
      </c>
      <c r="J8163">
        <v>0</v>
      </c>
      <c r="K8163">
        <v>0</v>
      </c>
      <c r="L8163">
        <f t="shared" si="254"/>
        <v>3.8</v>
      </c>
      <c r="M8163">
        <f t="shared" si="255"/>
        <v>1</v>
      </c>
    </row>
    <row r="8164" spans="1:13" x14ac:dyDescent="0.3">
      <c r="A8164">
        <v>8162</v>
      </c>
      <c r="B8164">
        <v>8163</v>
      </c>
      <c r="C8164" t="s">
        <v>8239</v>
      </c>
      <c r="D8164">
        <v>2018</v>
      </c>
      <c r="F8164" t="s">
        <v>3404</v>
      </c>
      <c r="G8164">
        <v>0</v>
      </c>
      <c r="H8164">
        <v>0</v>
      </c>
      <c r="I8164">
        <v>1</v>
      </c>
      <c r="J8164">
        <v>0</v>
      </c>
      <c r="K8164">
        <v>0</v>
      </c>
      <c r="L8164">
        <f t="shared" si="254"/>
        <v>3.8</v>
      </c>
      <c r="M8164">
        <f t="shared" si="255"/>
        <v>1</v>
      </c>
    </row>
    <row r="8165" spans="1:13" x14ac:dyDescent="0.3">
      <c r="A8165">
        <v>8163</v>
      </c>
      <c r="B8165">
        <v>8164</v>
      </c>
      <c r="C8165" t="s">
        <v>8240</v>
      </c>
      <c r="D8165">
        <v>2010</v>
      </c>
      <c r="F8165" t="s">
        <v>3404</v>
      </c>
      <c r="G8165">
        <v>0</v>
      </c>
      <c r="H8165">
        <v>0</v>
      </c>
      <c r="I8165">
        <v>1</v>
      </c>
      <c r="J8165">
        <v>0</v>
      </c>
      <c r="K8165">
        <v>0</v>
      </c>
      <c r="L8165">
        <f t="shared" si="254"/>
        <v>3.8</v>
      </c>
      <c r="M8165">
        <f t="shared" si="255"/>
        <v>1</v>
      </c>
    </row>
    <row r="8166" spans="1:13" x14ac:dyDescent="0.3">
      <c r="A8166">
        <v>8164</v>
      </c>
      <c r="B8166">
        <v>8165</v>
      </c>
      <c r="C8166" t="s">
        <v>8241</v>
      </c>
      <c r="D8166">
        <v>2010</v>
      </c>
      <c r="E8166" t="s">
        <v>36</v>
      </c>
      <c r="F8166" t="s">
        <v>3404</v>
      </c>
      <c r="G8166">
        <v>0</v>
      </c>
      <c r="H8166">
        <v>0</v>
      </c>
      <c r="I8166">
        <v>1</v>
      </c>
      <c r="J8166">
        <v>0</v>
      </c>
      <c r="K8166">
        <v>0</v>
      </c>
      <c r="L8166">
        <f t="shared" si="254"/>
        <v>3.8</v>
      </c>
      <c r="M8166">
        <f t="shared" si="255"/>
        <v>1</v>
      </c>
    </row>
    <row r="8167" spans="1:13" x14ac:dyDescent="0.3">
      <c r="A8167">
        <v>8165</v>
      </c>
      <c r="B8167">
        <v>8166</v>
      </c>
      <c r="C8167" t="s">
        <v>8242</v>
      </c>
      <c r="D8167">
        <v>2015</v>
      </c>
      <c r="E8167" t="s">
        <v>14</v>
      </c>
      <c r="F8167" t="s">
        <v>3404</v>
      </c>
      <c r="G8167">
        <v>0</v>
      </c>
      <c r="H8167">
        <v>0</v>
      </c>
      <c r="I8167">
        <v>1</v>
      </c>
      <c r="J8167">
        <v>0</v>
      </c>
      <c r="K8167">
        <v>0</v>
      </c>
      <c r="L8167">
        <f t="shared" si="254"/>
        <v>3.8</v>
      </c>
      <c r="M8167">
        <f t="shared" si="255"/>
        <v>1</v>
      </c>
    </row>
    <row r="8168" spans="1:13" x14ac:dyDescent="0.3">
      <c r="A8168">
        <v>8166</v>
      </c>
      <c r="B8168">
        <v>8167</v>
      </c>
      <c r="C8168" t="s">
        <v>8243</v>
      </c>
      <c r="D8168">
        <v>2014</v>
      </c>
      <c r="F8168" t="s">
        <v>3404</v>
      </c>
      <c r="G8168">
        <v>0</v>
      </c>
      <c r="H8168">
        <v>0</v>
      </c>
      <c r="I8168">
        <v>1</v>
      </c>
      <c r="J8168">
        <v>0</v>
      </c>
      <c r="K8168">
        <v>0</v>
      </c>
      <c r="L8168">
        <f t="shared" si="254"/>
        <v>3.8</v>
      </c>
      <c r="M8168">
        <f t="shared" si="255"/>
        <v>1</v>
      </c>
    </row>
    <row r="8169" spans="1:13" x14ac:dyDescent="0.3">
      <c r="A8169">
        <v>8167</v>
      </c>
      <c r="B8169">
        <v>8168</v>
      </c>
      <c r="C8169" t="s">
        <v>8244</v>
      </c>
      <c r="D8169">
        <v>2006</v>
      </c>
      <c r="E8169" t="s">
        <v>22</v>
      </c>
      <c r="F8169" t="s">
        <v>3404</v>
      </c>
      <c r="G8169">
        <v>0</v>
      </c>
      <c r="H8169">
        <v>0</v>
      </c>
      <c r="I8169">
        <v>1</v>
      </c>
      <c r="J8169">
        <v>0</v>
      </c>
      <c r="K8169">
        <v>0</v>
      </c>
      <c r="L8169">
        <f t="shared" si="254"/>
        <v>3.8</v>
      </c>
      <c r="M8169">
        <f t="shared" si="255"/>
        <v>1</v>
      </c>
    </row>
    <row r="8170" spans="1:13" x14ac:dyDescent="0.3">
      <c r="A8170">
        <v>8168</v>
      </c>
      <c r="B8170">
        <v>8169</v>
      </c>
      <c r="C8170" t="s">
        <v>8245</v>
      </c>
      <c r="D8170">
        <v>2020</v>
      </c>
      <c r="E8170" t="s">
        <v>11</v>
      </c>
      <c r="F8170" t="s">
        <v>3404</v>
      </c>
      <c r="G8170">
        <v>0</v>
      </c>
      <c r="H8170">
        <v>0</v>
      </c>
      <c r="I8170">
        <v>1</v>
      </c>
      <c r="J8170">
        <v>0</v>
      </c>
      <c r="K8170">
        <v>0</v>
      </c>
      <c r="L8170">
        <f t="shared" si="254"/>
        <v>3.8</v>
      </c>
      <c r="M8170">
        <f t="shared" si="255"/>
        <v>1</v>
      </c>
    </row>
    <row r="8171" spans="1:13" x14ac:dyDescent="0.3">
      <c r="A8171">
        <v>8169</v>
      </c>
      <c r="B8171">
        <v>8170</v>
      </c>
      <c r="C8171" t="s">
        <v>8246</v>
      </c>
      <c r="D8171">
        <v>2012</v>
      </c>
      <c r="E8171" t="s">
        <v>14</v>
      </c>
      <c r="F8171" t="s">
        <v>3404</v>
      </c>
      <c r="G8171">
        <v>0</v>
      </c>
      <c r="H8171">
        <v>0</v>
      </c>
      <c r="I8171">
        <v>1</v>
      </c>
      <c r="J8171">
        <v>0</v>
      </c>
      <c r="K8171">
        <v>0</v>
      </c>
      <c r="L8171">
        <f t="shared" si="254"/>
        <v>3.8</v>
      </c>
      <c r="M8171">
        <f t="shared" si="255"/>
        <v>1</v>
      </c>
    </row>
    <row r="8172" spans="1:13" x14ac:dyDescent="0.3">
      <c r="A8172">
        <v>8170</v>
      </c>
      <c r="B8172">
        <v>8171</v>
      </c>
      <c r="C8172" t="s">
        <v>8247</v>
      </c>
      <c r="D8172">
        <v>2005</v>
      </c>
      <c r="F8172" t="s">
        <v>3404</v>
      </c>
      <c r="G8172">
        <v>0</v>
      </c>
      <c r="H8172">
        <v>0</v>
      </c>
      <c r="I8172">
        <v>1</v>
      </c>
      <c r="J8172">
        <v>0</v>
      </c>
      <c r="K8172">
        <v>0</v>
      </c>
      <c r="L8172">
        <f t="shared" si="254"/>
        <v>3.8</v>
      </c>
      <c r="M8172">
        <f t="shared" si="255"/>
        <v>1</v>
      </c>
    </row>
    <row r="8173" spans="1:13" x14ac:dyDescent="0.3">
      <c r="A8173">
        <v>8171</v>
      </c>
      <c r="B8173">
        <v>8172</v>
      </c>
      <c r="C8173" t="s">
        <v>8248</v>
      </c>
      <c r="D8173">
        <v>2013</v>
      </c>
      <c r="F8173" t="s">
        <v>3404</v>
      </c>
      <c r="G8173">
        <v>0</v>
      </c>
      <c r="H8173">
        <v>0</v>
      </c>
      <c r="I8173">
        <v>1</v>
      </c>
      <c r="J8173">
        <v>0</v>
      </c>
      <c r="K8173">
        <v>0</v>
      </c>
      <c r="L8173">
        <f t="shared" si="254"/>
        <v>3.8</v>
      </c>
      <c r="M8173">
        <f t="shared" si="255"/>
        <v>1</v>
      </c>
    </row>
    <row r="8174" spans="1:13" x14ac:dyDescent="0.3">
      <c r="A8174">
        <v>8172</v>
      </c>
      <c r="B8174">
        <v>8173</v>
      </c>
      <c r="C8174" t="s">
        <v>8249</v>
      </c>
      <c r="D8174">
        <v>2010</v>
      </c>
      <c r="E8174" t="s">
        <v>36</v>
      </c>
      <c r="F8174" t="s">
        <v>3404</v>
      </c>
      <c r="G8174">
        <v>0</v>
      </c>
      <c r="H8174">
        <v>0</v>
      </c>
      <c r="I8174">
        <v>1</v>
      </c>
      <c r="J8174">
        <v>0</v>
      </c>
      <c r="K8174">
        <v>0</v>
      </c>
      <c r="L8174">
        <f t="shared" si="254"/>
        <v>3.8</v>
      </c>
      <c r="M8174">
        <f t="shared" si="255"/>
        <v>1</v>
      </c>
    </row>
    <row r="8175" spans="1:13" x14ac:dyDescent="0.3">
      <c r="A8175">
        <v>8173</v>
      </c>
      <c r="B8175">
        <v>8174</v>
      </c>
      <c r="C8175" t="s">
        <v>8250</v>
      </c>
      <c r="D8175">
        <v>1937</v>
      </c>
      <c r="F8175" t="s">
        <v>3404</v>
      </c>
      <c r="G8175">
        <v>0</v>
      </c>
      <c r="H8175">
        <v>0</v>
      </c>
      <c r="I8175">
        <v>1</v>
      </c>
      <c r="J8175">
        <v>0</v>
      </c>
      <c r="K8175">
        <v>0</v>
      </c>
      <c r="L8175">
        <f t="shared" si="254"/>
        <v>3.8</v>
      </c>
      <c r="M8175">
        <f t="shared" si="255"/>
        <v>1</v>
      </c>
    </row>
    <row r="8176" spans="1:13" x14ac:dyDescent="0.3">
      <c r="A8176">
        <v>8174</v>
      </c>
      <c r="B8176">
        <v>8175</v>
      </c>
      <c r="C8176" t="s">
        <v>8251</v>
      </c>
      <c r="D8176">
        <v>2008</v>
      </c>
      <c r="F8176" t="s">
        <v>3404</v>
      </c>
      <c r="G8176">
        <v>0</v>
      </c>
      <c r="H8176">
        <v>0</v>
      </c>
      <c r="I8176">
        <v>1</v>
      </c>
      <c r="J8176">
        <v>0</v>
      </c>
      <c r="K8176">
        <v>0</v>
      </c>
      <c r="L8176">
        <f t="shared" si="254"/>
        <v>3.8</v>
      </c>
      <c r="M8176">
        <f t="shared" si="255"/>
        <v>1</v>
      </c>
    </row>
    <row r="8177" spans="1:13" x14ac:dyDescent="0.3">
      <c r="A8177">
        <v>8175</v>
      </c>
      <c r="B8177">
        <v>8176</v>
      </c>
      <c r="C8177" t="s">
        <v>8252</v>
      </c>
      <c r="D8177">
        <v>2016</v>
      </c>
      <c r="F8177" t="s">
        <v>3404</v>
      </c>
      <c r="G8177">
        <v>0</v>
      </c>
      <c r="H8177">
        <v>0</v>
      </c>
      <c r="I8177">
        <v>1</v>
      </c>
      <c r="J8177">
        <v>0</v>
      </c>
      <c r="K8177">
        <v>0</v>
      </c>
      <c r="L8177">
        <f t="shared" si="254"/>
        <v>3.8</v>
      </c>
      <c r="M8177">
        <f t="shared" si="255"/>
        <v>1</v>
      </c>
    </row>
    <row r="8178" spans="1:13" x14ac:dyDescent="0.3">
      <c r="A8178">
        <v>8176</v>
      </c>
      <c r="B8178">
        <v>8177</v>
      </c>
      <c r="C8178" t="s">
        <v>8253</v>
      </c>
      <c r="D8178">
        <v>2007</v>
      </c>
      <c r="E8178" t="s">
        <v>22</v>
      </c>
      <c r="F8178" t="s">
        <v>3404</v>
      </c>
      <c r="G8178">
        <v>0</v>
      </c>
      <c r="H8178">
        <v>0</v>
      </c>
      <c r="I8178">
        <v>1</v>
      </c>
      <c r="J8178">
        <v>0</v>
      </c>
      <c r="K8178">
        <v>0</v>
      </c>
      <c r="L8178">
        <f t="shared" si="254"/>
        <v>3.8</v>
      </c>
      <c r="M8178">
        <f t="shared" si="255"/>
        <v>1</v>
      </c>
    </row>
    <row r="8179" spans="1:13" x14ac:dyDescent="0.3">
      <c r="A8179">
        <v>8177</v>
      </c>
      <c r="B8179">
        <v>8178</v>
      </c>
      <c r="C8179" t="s">
        <v>8254</v>
      </c>
      <c r="D8179">
        <v>1934</v>
      </c>
      <c r="F8179" t="s">
        <v>3404</v>
      </c>
      <c r="G8179">
        <v>0</v>
      </c>
      <c r="H8179">
        <v>0</v>
      </c>
      <c r="I8179">
        <v>1</v>
      </c>
      <c r="J8179">
        <v>0</v>
      </c>
      <c r="K8179">
        <v>0</v>
      </c>
      <c r="L8179">
        <f t="shared" si="254"/>
        <v>3.8</v>
      </c>
      <c r="M8179">
        <f t="shared" si="255"/>
        <v>1</v>
      </c>
    </row>
    <row r="8180" spans="1:13" x14ac:dyDescent="0.3">
      <c r="A8180">
        <v>8178</v>
      </c>
      <c r="B8180">
        <v>8179</v>
      </c>
      <c r="C8180" t="s">
        <v>8255</v>
      </c>
      <c r="D8180">
        <v>2016</v>
      </c>
      <c r="E8180" t="s">
        <v>11</v>
      </c>
      <c r="F8180" t="s">
        <v>3404</v>
      </c>
      <c r="G8180">
        <v>0</v>
      </c>
      <c r="H8180">
        <v>0</v>
      </c>
      <c r="I8180">
        <v>1</v>
      </c>
      <c r="J8180">
        <v>0</v>
      </c>
      <c r="K8180">
        <v>0</v>
      </c>
      <c r="L8180">
        <f t="shared" si="254"/>
        <v>3.8</v>
      </c>
      <c r="M8180">
        <f t="shared" si="255"/>
        <v>1</v>
      </c>
    </row>
    <row r="8181" spans="1:13" x14ac:dyDescent="0.3">
      <c r="A8181">
        <v>8179</v>
      </c>
      <c r="B8181">
        <v>8180</v>
      </c>
      <c r="C8181" t="s">
        <v>8256</v>
      </c>
      <c r="D8181">
        <v>1965</v>
      </c>
      <c r="F8181" t="s">
        <v>3404</v>
      </c>
      <c r="G8181">
        <v>0</v>
      </c>
      <c r="H8181">
        <v>0</v>
      </c>
      <c r="I8181">
        <v>1</v>
      </c>
      <c r="J8181">
        <v>0</v>
      </c>
      <c r="K8181">
        <v>0</v>
      </c>
      <c r="L8181">
        <f t="shared" si="254"/>
        <v>3.8</v>
      </c>
      <c r="M8181">
        <f t="shared" si="255"/>
        <v>1</v>
      </c>
    </row>
    <row r="8182" spans="1:13" x14ac:dyDescent="0.3">
      <c r="A8182">
        <v>8180</v>
      </c>
      <c r="B8182">
        <v>8181</v>
      </c>
      <c r="C8182" t="s">
        <v>8257</v>
      </c>
      <c r="D8182">
        <v>1976</v>
      </c>
      <c r="E8182" t="s">
        <v>11</v>
      </c>
      <c r="F8182" t="s">
        <v>3404</v>
      </c>
      <c r="G8182">
        <v>0</v>
      </c>
      <c r="H8182">
        <v>0</v>
      </c>
      <c r="I8182">
        <v>1</v>
      </c>
      <c r="J8182">
        <v>0</v>
      </c>
      <c r="K8182">
        <v>0</v>
      </c>
      <c r="L8182">
        <f t="shared" si="254"/>
        <v>3.8</v>
      </c>
      <c r="M8182">
        <f t="shared" si="255"/>
        <v>1</v>
      </c>
    </row>
    <row r="8183" spans="1:13" x14ac:dyDescent="0.3">
      <c r="A8183">
        <v>8181</v>
      </c>
      <c r="B8183">
        <v>8182</v>
      </c>
      <c r="C8183" t="s">
        <v>8258</v>
      </c>
      <c r="D8183">
        <v>2011</v>
      </c>
      <c r="E8183" t="s">
        <v>11</v>
      </c>
      <c r="F8183" t="s">
        <v>3404</v>
      </c>
      <c r="G8183">
        <v>0</v>
      </c>
      <c r="H8183">
        <v>0</v>
      </c>
      <c r="I8183">
        <v>1</v>
      </c>
      <c r="J8183">
        <v>0</v>
      </c>
      <c r="K8183">
        <v>0</v>
      </c>
      <c r="L8183">
        <f t="shared" si="254"/>
        <v>3.8</v>
      </c>
      <c r="M8183">
        <f t="shared" si="255"/>
        <v>1</v>
      </c>
    </row>
    <row r="8184" spans="1:13" x14ac:dyDescent="0.3">
      <c r="A8184">
        <v>8182</v>
      </c>
      <c r="B8184">
        <v>8183</v>
      </c>
      <c r="C8184" t="s">
        <v>8259</v>
      </c>
      <c r="D8184">
        <v>2000</v>
      </c>
      <c r="F8184" t="s">
        <v>3404</v>
      </c>
      <c r="G8184">
        <v>0</v>
      </c>
      <c r="H8184">
        <v>0</v>
      </c>
      <c r="I8184">
        <v>1</v>
      </c>
      <c r="J8184">
        <v>0</v>
      </c>
      <c r="K8184">
        <v>0</v>
      </c>
      <c r="L8184">
        <f t="shared" si="254"/>
        <v>3.8</v>
      </c>
      <c r="M8184">
        <f t="shared" si="255"/>
        <v>1</v>
      </c>
    </row>
    <row r="8185" spans="1:13" x14ac:dyDescent="0.3">
      <c r="A8185">
        <v>8183</v>
      </c>
      <c r="B8185">
        <v>8184</v>
      </c>
      <c r="C8185" t="s">
        <v>8260</v>
      </c>
      <c r="D8185">
        <v>2018</v>
      </c>
      <c r="F8185" t="s">
        <v>3404</v>
      </c>
      <c r="G8185">
        <v>0</v>
      </c>
      <c r="H8185">
        <v>0</v>
      </c>
      <c r="I8185">
        <v>1</v>
      </c>
      <c r="J8185">
        <v>0</v>
      </c>
      <c r="K8185">
        <v>0</v>
      </c>
      <c r="L8185">
        <f t="shared" si="254"/>
        <v>3.8</v>
      </c>
      <c r="M8185">
        <f t="shared" si="255"/>
        <v>1</v>
      </c>
    </row>
    <row r="8186" spans="1:13" x14ac:dyDescent="0.3">
      <c r="A8186">
        <v>8184</v>
      </c>
      <c r="B8186">
        <v>8185</v>
      </c>
      <c r="C8186" t="s">
        <v>8261</v>
      </c>
      <c r="D8186">
        <v>1971</v>
      </c>
      <c r="F8186" t="s">
        <v>3404</v>
      </c>
      <c r="G8186">
        <v>0</v>
      </c>
      <c r="H8186">
        <v>0</v>
      </c>
      <c r="I8186">
        <v>1</v>
      </c>
      <c r="J8186">
        <v>0</v>
      </c>
      <c r="K8186">
        <v>0</v>
      </c>
      <c r="L8186">
        <f t="shared" si="254"/>
        <v>3.8</v>
      </c>
      <c r="M8186">
        <f t="shared" si="255"/>
        <v>1</v>
      </c>
    </row>
    <row r="8187" spans="1:13" x14ac:dyDescent="0.3">
      <c r="A8187">
        <v>8185</v>
      </c>
      <c r="B8187">
        <v>8186</v>
      </c>
      <c r="C8187" t="s">
        <v>8262</v>
      </c>
      <c r="D8187">
        <v>1935</v>
      </c>
      <c r="F8187" t="s">
        <v>3404</v>
      </c>
      <c r="G8187">
        <v>0</v>
      </c>
      <c r="H8187">
        <v>0</v>
      </c>
      <c r="I8187">
        <v>1</v>
      </c>
      <c r="J8187">
        <v>0</v>
      </c>
      <c r="K8187">
        <v>0</v>
      </c>
      <c r="L8187">
        <f t="shared" si="254"/>
        <v>3.8</v>
      </c>
      <c r="M8187">
        <f t="shared" si="255"/>
        <v>1</v>
      </c>
    </row>
    <row r="8188" spans="1:13" x14ac:dyDescent="0.3">
      <c r="A8188">
        <v>8186</v>
      </c>
      <c r="B8188">
        <v>8187</v>
      </c>
      <c r="C8188" t="s">
        <v>8263</v>
      </c>
      <c r="D8188">
        <v>2009</v>
      </c>
      <c r="F8188" t="s">
        <v>3404</v>
      </c>
      <c r="G8188">
        <v>0</v>
      </c>
      <c r="H8188">
        <v>0</v>
      </c>
      <c r="I8188">
        <v>1</v>
      </c>
      <c r="J8188">
        <v>0</v>
      </c>
      <c r="K8188">
        <v>0</v>
      </c>
      <c r="L8188">
        <f t="shared" si="254"/>
        <v>3.8</v>
      </c>
      <c r="M8188">
        <f t="shared" si="255"/>
        <v>1</v>
      </c>
    </row>
    <row r="8189" spans="1:13" x14ac:dyDescent="0.3">
      <c r="A8189">
        <v>8187</v>
      </c>
      <c r="B8189">
        <v>8188</v>
      </c>
      <c r="C8189" t="s">
        <v>8264</v>
      </c>
      <c r="D8189">
        <v>1994</v>
      </c>
      <c r="E8189" t="s">
        <v>11</v>
      </c>
      <c r="F8189" t="s">
        <v>3404</v>
      </c>
      <c r="G8189">
        <v>0</v>
      </c>
      <c r="H8189">
        <v>0</v>
      </c>
      <c r="I8189">
        <v>1</v>
      </c>
      <c r="J8189">
        <v>0</v>
      </c>
      <c r="K8189">
        <v>0</v>
      </c>
      <c r="L8189">
        <f t="shared" si="254"/>
        <v>3.8</v>
      </c>
      <c r="M8189">
        <f t="shared" si="255"/>
        <v>1</v>
      </c>
    </row>
    <row r="8190" spans="1:13" x14ac:dyDescent="0.3">
      <c r="A8190">
        <v>8188</v>
      </c>
      <c r="B8190">
        <v>8189</v>
      </c>
      <c r="C8190" t="s">
        <v>8265</v>
      </c>
      <c r="D8190">
        <v>1969</v>
      </c>
      <c r="F8190" t="s">
        <v>3404</v>
      </c>
      <c r="G8190">
        <v>0</v>
      </c>
      <c r="H8190">
        <v>0</v>
      </c>
      <c r="I8190">
        <v>1</v>
      </c>
      <c r="J8190">
        <v>0</v>
      </c>
      <c r="K8190">
        <v>0</v>
      </c>
      <c r="L8190">
        <f t="shared" si="254"/>
        <v>3.8</v>
      </c>
      <c r="M8190">
        <f t="shared" si="255"/>
        <v>1</v>
      </c>
    </row>
    <row r="8191" spans="1:13" x14ac:dyDescent="0.3">
      <c r="A8191">
        <v>8189</v>
      </c>
      <c r="B8191">
        <v>8190</v>
      </c>
      <c r="C8191" t="s">
        <v>8266</v>
      </c>
      <c r="D8191">
        <v>1942</v>
      </c>
      <c r="F8191" t="s">
        <v>3404</v>
      </c>
      <c r="G8191">
        <v>0</v>
      </c>
      <c r="H8191">
        <v>0</v>
      </c>
      <c r="I8191">
        <v>1</v>
      </c>
      <c r="J8191">
        <v>0</v>
      </c>
      <c r="K8191">
        <v>0</v>
      </c>
      <c r="L8191">
        <f t="shared" si="254"/>
        <v>3.8</v>
      </c>
      <c r="M8191">
        <f t="shared" si="255"/>
        <v>1</v>
      </c>
    </row>
    <row r="8192" spans="1:13" x14ac:dyDescent="0.3">
      <c r="A8192">
        <v>8190</v>
      </c>
      <c r="B8192">
        <v>8191</v>
      </c>
      <c r="C8192" t="s">
        <v>8267</v>
      </c>
      <c r="D8192">
        <v>2018</v>
      </c>
      <c r="F8192" t="s">
        <v>3404</v>
      </c>
      <c r="G8192">
        <v>0</v>
      </c>
      <c r="H8192">
        <v>0</v>
      </c>
      <c r="I8192">
        <v>1</v>
      </c>
      <c r="J8192">
        <v>0</v>
      </c>
      <c r="K8192">
        <v>0</v>
      </c>
      <c r="L8192">
        <f t="shared" si="254"/>
        <v>3.8</v>
      </c>
      <c r="M8192">
        <f t="shared" si="255"/>
        <v>1</v>
      </c>
    </row>
    <row r="8193" spans="1:13" x14ac:dyDescent="0.3">
      <c r="A8193">
        <v>8191</v>
      </c>
      <c r="B8193">
        <v>8192</v>
      </c>
      <c r="C8193" t="s">
        <v>8268</v>
      </c>
      <c r="D8193">
        <v>2010</v>
      </c>
      <c r="F8193" t="s">
        <v>3404</v>
      </c>
      <c r="G8193">
        <v>0</v>
      </c>
      <c r="H8193">
        <v>0</v>
      </c>
      <c r="I8193">
        <v>1</v>
      </c>
      <c r="J8193">
        <v>0</v>
      </c>
      <c r="K8193">
        <v>0</v>
      </c>
      <c r="L8193">
        <f t="shared" si="254"/>
        <v>3.8</v>
      </c>
      <c r="M8193">
        <f t="shared" si="255"/>
        <v>1</v>
      </c>
    </row>
    <row r="8194" spans="1:13" x14ac:dyDescent="0.3">
      <c r="A8194">
        <v>8192</v>
      </c>
      <c r="B8194">
        <v>8193</v>
      </c>
      <c r="C8194" t="s">
        <v>8269</v>
      </c>
      <c r="D8194">
        <v>2015</v>
      </c>
      <c r="F8194" t="s">
        <v>3404</v>
      </c>
      <c r="G8194">
        <v>0</v>
      </c>
      <c r="H8194">
        <v>0</v>
      </c>
      <c r="I8194">
        <v>1</v>
      </c>
      <c r="J8194">
        <v>0</v>
      </c>
      <c r="K8194">
        <v>0</v>
      </c>
      <c r="L8194">
        <f t="shared" si="254"/>
        <v>3.8</v>
      </c>
      <c r="M8194">
        <f t="shared" si="255"/>
        <v>1</v>
      </c>
    </row>
    <row r="8195" spans="1:13" x14ac:dyDescent="0.3">
      <c r="A8195">
        <v>8193</v>
      </c>
      <c r="B8195">
        <v>8194</v>
      </c>
      <c r="C8195" t="s">
        <v>8270</v>
      </c>
      <c r="D8195">
        <v>2016</v>
      </c>
      <c r="F8195" t="s">
        <v>3404</v>
      </c>
      <c r="G8195">
        <v>0</v>
      </c>
      <c r="H8195">
        <v>0</v>
      </c>
      <c r="I8195">
        <v>1</v>
      </c>
      <c r="J8195">
        <v>0</v>
      </c>
      <c r="K8195">
        <v>0</v>
      </c>
      <c r="L8195">
        <f t="shared" ref="L8195:L8258" si="256">IFERROR(VALUE(LEFT(F8195,FIND("/",F8195)-1))/10,"")</f>
        <v>3.8</v>
      </c>
      <c r="M8195">
        <f t="shared" ref="M8195:M8258" si="257">SUM(G8195:J8195)</f>
        <v>1</v>
      </c>
    </row>
    <row r="8196" spans="1:13" x14ac:dyDescent="0.3">
      <c r="A8196">
        <v>8194</v>
      </c>
      <c r="B8196">
        <v>8195</v>
      </c>
      <c r="C8196" t="s">
        <v>8271</v>
      </c>
      <c r="D8196">
        <v>1944</v>
      </c>
      <c r="F8196" t="s">
        <v>3404</v>
      </c>
      <c r="G8196">
        <v>0</v>
      </c>
      <c r="H8196">
        <v>0</v>
      </c>
      <c r="I8196">
        <v>1</v>
      </c>
      <c r="J8196">
        <v>0</v>
      </c>
      <c r="K8196">
        <v>0</v>
      </c>
      <c r="L8196">
        <f t="shared" si="256"/>
        <v>3.8</v>
      </c>
      <c r="M8196">
        <f t="shared" si="257"/>
        <v>1</v>
      </c>
    </row>
    <row r="8197" spans="1:13" x14ac:dyDescent="0.3">
      <c r="A8197">
        <v>8195</v>
      </c>
      <c r="B8197">
        <v>8196</v>
      </c>
      <c r="C8197" t="s">
        <v>8272</v>
      </c>
      <c r="D8197">
        <v>2017</v>
      </c>
      <c r="E8197" t="s">
        <v>11</v>
      </c>
      <c r="F8197" t="s">
        <v>3404</v>
      </c>
      <c r="G8197">
        <v>0</v>
      </c>
      <c r="H8197">
        <v>0</v>
      </c>
      <c r="I8197">
        <v>1</v>
      </c>
      <c r="J8197">
        <v>0</v>
      </c>
      <c r="K8197">
        <v>0</v>
      </c>
      <c r="L8197">
        <f t="shared" si="256"/>
        <v>3.8</v>
      </c>
      <c r="M8197">
        <f t="shared" si="257"/>
        <v>1</v>
      </c>
    </row>
    <row r="8198" spans="1:13" x14ac:dyDescent="0.3">
      <c r="A8198">
        <v>8196</v>
      </c>
      <c r="B8198">
        <v>8197</v>
      </c>
      <c r="C8198" t="s">
        <v>8273</v>
      </c>
      <c r="D8198">
        <v>2000</v>
      </c>
      <c r="E8198" t="s">
        <v>22</v>
      </c>
      <c r="F8198" t="s">
        <v>3404</v>
      </c>
      <c r="G8198">
        <v>0</v>
      </c>
      <c r="H8198">
        <v>0</v>
      </c>
      <c r="I8198">
        <v>1</v>
      </c>
      <c r="J8198">
        <v>0</v>
      </c>
      <c r="K8198">
        <v>0</v>
      </c>
      <c r="L8198">
        <f t="shared" si="256"/>
        <v>3.8</v>
      </c>
      <c r="M8198">
        <f t="shared" si="257"/>
        <v>1</v>
      </c>
    </row>
    <row r="8199" spans="1:13" x14ac:dyDescent="0.3">
      <c r="A8199">
        <v>8197</v>
      </c>
      <c r="B8199">
        <v>8198</v>
      </c>
      <c r="C8199" t="s">
        <v>8274</v>
      </c>
      <c r="D8199">
        <v>2015</v>
      </c>
      <c r="F8199" t="s">
        <v>3404</v>
      </c>
      <c r="G8199">
        <v>0</v>
      </c>
      <c r="H8199">
        <v>0</v>
      </c>
      <c r="I8199">
        <v>1</v>
      </c>
      <c r="J8199">
        <v>0</v>
      </c>
      <c r="K8199">
        <v>0</v>
      </c>
      <c r="L8199">
        <f t="shared" si="256"/>
        <v>3.8</v>
      </c>
      <c r="M8199">
        <f t="shared" si="257"/>
        <v>1</v>
      </c>
    </row>
    <row r="8200" spans="1:13" x14ac:dyDescent="0.3">
      <c r="A8200">
        <v>8198</v>
      </c>
      <c r="B8200">
        <v>8199</v>
      </c>
      <c r="C8200" t="s">
        <v>8275</v>
      </c>
      <c r="D8200">
        <v>2016</v>
      </c>
      <c r="E8200" t="s">
        <v>11</v>
      </c>
      <c r="F8200" t="s">
        <v>3404</v>
      </c>
      <c r="G8200">
        <v>0</v>
      </c>
      <c r="H8200">
        <v>0</v>
      </c>
      <c r="I8200">
        <v>1</v>
      </c>
      <c r="J8200">
        <v>0</v>
      </c>
      <c r="K8200">
        <v>0</v>
      </c>
      <c r="L8200">
        <f t="shared" si="256"/>
        <v>3.8</v>
      </c>
      <c r="M8200">
        <f t="shared" si="257"/>
        <v>1</v>
      </c>
    </row>
    <row r="8201" spans="1:13" x14ac:dyDescent="0.3">
      <c r="A8201">
        <v>8199</v>
      </c>
      <c r="B8201">
        <v>8200</v>
      </c>
      <c r="C8201" t="s">
        <v>8276</v>
      </c>
      <c r="D8201">
        <v>2005</v>
      </c>
      <c r="F8201" t="s">
        <v>3404</v>
      </c>
      <c r="G8201">
        <v>0</v>
      </c>
      <c r="H8201">
        <v>0</v>
      </c>
      <c r="I8201">
        <v>1</v>
      </c>
      <c r="J8201">
        <v>0</v>
      </c>
      <c r="K8201">
        <v>0</v>
      </c>
      <c r="L8201">
        <f t="shared" si="256"/>
        <v>3.8</v>
      </c>
      <c r="M8201">
        <f t="shared" si="257"/>
        <v>1</v>
      </c>
    </row>
    <row r="8202" spans="1:13" x14ac:dyDescent="0.3">
      <c r="A8202">
        <v>8200</v>
      </c>
      <c r="B8202">
        <v>8201</v>
      </c>
      <c r="C8202" t="s">
        <v>8277</v>
      </c>
      <c r="D8202">
        <v>2016</v>
      </c>
      <c r="F8202" t="s">
        <v>3404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f t="shared" si="256"/>
        <v>3.8</v>
      </c>
      <c r="M8202">
        <f t="shared" si="257"/>
        <v>1</v>
      </c>
    </row>
    <row r="8203" spans="1:13" x14ac:dyDescent="0.3">
      <c r="A8203">
        <v>8201</v>
      </c>
      <c r="B8203">
        <v>8202</v>
      </c>
      <c r="C8203" t="s">
        <v>8278</v>
      </c>
      <c r="D8203">
        <v>2016</v>
      </c>
      <c r="F8203" t="s">
        <v>3404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f t="shared" si="256"/>
        <v>3.8</v>
      </c>
      <c r="M8203">
        <f t="shared" si="257"/>
        <v>1</v>
      </c>
    </row>
    <row r="8204" spans="1:13" x14ac:dyDescent="0.3">
      <c r="A8204">
        <v>8202</v>
      </c>
      <c r="B8204">
        <v>8203</v>
      </c>
      <c r="C8204" t="s">
        <v>8279</v>
      </c>
      <c r="D8204">
        <v>2010</v>
      </c>
      <c r="E8204" t="s">
        <v>36</v>
      </c>
      <c r="F8204" t="s">
        <v>3404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f t="shared" si="256"/>
        <v>3.8</v>
      </c>
      <c r="M8204">
        <f t="shared" si="257"/>
        <v>1</v>
      </c>
    </row>
    <row r="8205" spans="1:13" x14ac:dyDescent="0.3">
      <c r="A8205">
        <v>8203</v>
      </c>
      <c r="B8205">
        <v>8204</v>
      </c>
      <c r="C8205" t="s">
        <v>8280</v>
      </c>
      <c r="D8205">
        <v>2013</v>
      </c>
      <c r="E8205" t="s">
        <v>22</v>
      </c>
      <c r="F8205" t="s">
        <v>3404</v>
      </c>
      <c r="G8205">
        <v>0</v>
      </c>
      <c r="H8205">
        <v>0</v>
      </c>
      <c r="I8205">
        <v>1</v>
      </c>
      <c r="J8205">
        <v>0</v>
      </c>
      <c r="K8205">
        <v>0</v>
      </c>
      <c r="L8205">
        <f t="shared" si="256"/>
        <v>3.8</v>
      </c>
      <c r="M8205">
        <f t="shared" si="257"/>
        <v>1</v>
      </c>
    </row>
    <row r="8206" spans="1:13" x14ac:dyDescent="0.3">
      <c r="A8206">
        <v>8204</v>
      </c>
      <c r="B8206">
        <v>8205</v>
      </c>
      <c r="C8206" t="s">
        <v>8281</v>
      </c>
      <c r="D8206">
        <v>2019</v>
      </c>
      <c r="E8206" t="s">
        <v>11</v>
      </c>
      <c r="F8206" t="s">
        <v>3404</v>
      </c>
      <c r="G8206">
        <v>0</v>
      </c>
      <c r="H8206">
        <v>0</v>
      </c>
      <c r="I8206">
        <v>1</v>
      </c>
      <c r="J8206">
        <v>0</v>
      </c>
      <c r="K8206">
        <v>0</v>
      </c>
      <c r="L8206">
        <f t="shared" si="256"/>
        <v>3.8</v>
      </c>
      <c r="M8206">
        <f t="shared" si="257"/>
        <v>1</v>
      </c>
    </row>
    <row r="8207" spans="1:13" x14ac:dyDescent="0.3">
      <c r="A8207">
        <v>8205</v>
      </c>
      <c r="B8207">
        <v>8206</v>
      </c>
      <c r="C8207" t="s">
        <v>8282</v>
      </c>
      <c r="D8207">
        <v>2021</v>
      </c>
      <c r="F8207" t="s">
        <v>3404</v>
      </c>
      <c r="G8207">
        <v>0</v>
      </c>
      <c r="H8207">
        <v>0</v>
      </c>
      <c r="I8207">
        <v>1</v>
      </c>
      <c r="J8207">
        <v>0</v>
      </c>
      <c r="K8207">
        <v>0</v>
      </c>
      <c r="L8207">
        <f t="shared" si="256"/>
        <v>3.8</v>
      </c>
      <c r="M8207">
        <f t="shared" si="257"/>
        <v>1</v>
      </c>
    </row>
    <row r="8208" spans="1:13" x14ac:dyDescent="0.3">
      <c r="A8208">
        <v>8206</v>
      </c>
      <c r="B8208">
        <v>8207</v>
      </c>
      <c r="C8208" t="s">
        <v>8283</v>
      </c>
      <c r="D8208">
        <v>2009</v>
      </c>
      <c r="F8208" t="s">
        <v>3404</v>
      </c>
      <c r="G8208">
        <v>0</v>
      </c>
      <c r="H8208">
        <v>0</v>
      </c>
      <c r="I8208">
        <v>1</v>
      </c>
      <c r="J8208">
        <v>0</v>
      </c>
      <c r="K8208">
        <v>0</v>
      </c>
      <c r="L8208">
        <f t="shared" si="256"/>
        <v>3.8</v>
      </c>
      <c r="M8208">
        <f t="shared" si="257"/>
        <v>1</v>
      </c>
    </row>
    <row r="8209" spans="1:13" x14ac:dyDescent="0.3">
      <c r="A8209">
        <v>8207</v>
      </c>
      <c r="B8209">
        <v>8208</v>
      </c>
      <c r="C8209" t="s">
        <v>8284</v>
      </c>
      <c r="D8209">
        <v>1998</v>
      </c>
      <c r="E8209" t="s">
        <v>22</v>
      </c>
      <c r="F8209" t="s">
        <v>3404</v>
      </c>
      <c r="G8209">
        <v>0</v>
      </c>
      <c r="H8209">
        <v>0</v>
      </c>
      <c r="I8209">
        <v>1</v>
      </c>
      <c r="J8209">
        <v>0</v>
      </c>
      <c r="K8209">
        <v>0</v>
      </c>
      <c r="L8209">
        <f t="shared" si="256"/>
        <v>3.8</v>
      </c>
      <c r="M8209">
        <f t="shared" si="257"/>
        <v>1</v>
      </c>
    </row>
    <row r="8210" spans="1:13" x14ac:dyDescent="0.3">
      <c r="A8210">
        <v>8208</v>
      </c>
      <c r="B8210">
        <v>8209</v>
      </c>
      <c r="C8210" t="s">
        <v>8285</v>
      </c>
      <c r="D8210">
        <v>2017</v>
      </c>
      <c r="F8210" t="s">
        <v>3404</v>
      </c>
      <c r="G8210">
        <v>0</v>
      </c>
      <c r="H8210">
        <v>0</v>
      </c>
      <c r="I8210">
        <v>1</v>
      </c>
      <c r="J8210">
        <v>0</v>
      </c>
      <c r="K8210">
        <v>0</v>
      </c>
      <c r="L8210">
        <f t="shared" si="256"/>
        <v>3.8</v>
      </c>
      <c r="M8210">
        <f t="shared" si="257"/>
        <v>1</v>
      </c>
    </row>
    <row r="8211" spans="1:13" x14ac:dyDescent="0.3">
      <c r="A8211">
        <v>8209</v>
      </c>
      <c r="B8211">
        <v>8210</v>
      </c>
      <c r="C8211" t="s">
        <v>8286</v>
      </c>
      <c r="D8211">
        <v>1991</v>
      </c>
      <c r="E8211" t="s">
        <v>11</v>
      </c>
      <c r="F8211" t="s">
        <v>3404</v>
      </c>
      <c r="G8211">
        <v>0</v>
      </c>
      <c r="H8211">
        <v>0</v>
      </c>
      <c r="I8211">
        <v>1</v>
      </c>
      <c r="J8211">
        <v>0</v>
      </c>
      <c r="K8211">
        <v>0</v>
      </c>
      <c r="L8211">
        <f t="shared" si="256"/>
        <v>3.8</v>
      </c>
      <c r="M8211">
        <f t="shared" si="257"/>
        <v>1</v>
      </c>
    </row>
    <row r="8212" spans="1:13" x14ac:dyDescent="0.3">
      <c r="A8212">
        <v>8210</v>
      </c>
      <c r="B8212">
        <v>8211</v>
      </c>
      <c r="C8212" t="s">
        <v>8287</v>
      </c>
      <c r="D8212">
        <v>2018</v>
      </c>
      <c r="F8212" t="s">
        <v>3404</v>
      </c>
      <c r="G8212">
        <v>0</v>
      </c>
      <c r="H8212">
        <v>0</v>
      </c>
      <c r="I8212">
        <v>1</v>
      </c>
      <c r="J8212">
        <v>0</v>
      </c>
      <c r="K8212">
        <v>0</v>
      </c>
      <c r="L8212">
        <f t="shared" si="256"/>
        <v>3.8</v>
      </c>
      <c r="M8212">
        <f t="shared" si="257"/>
        <v>1</v>
      </c>
    </row>
    <row r="8213" spans="1:13" x14ac:dyDescent="0.3">
      <c r="A8213">
        <v>8211</v>
      </c>
      <c r="B8213">
        <v>8212</v>
      </c>
      <c r="C8213" t="s">
        <v>8288</v>
      </c>
      <c r="D8213">
        <v>1984</v>
      </c>
      <c r="F8213" t="s">
        <v>3404</v>
      </c>
      <c r="G8213">
        <v>0</v>
      </c>
      <c r="H8213">
        <v>0</v>
      </c>
      <c r="I8213">
        <v>1</v>
      </c>
      <c r="J8213">
        <v>0</v>
      </c>
      <c r="K8213">
        <v>0</v>
      </c>
      <c r="L8213">
        <f t="shared" si="256"/>
        <v>3.8</v>
      </c>
      <c r="M8213">
        <f t="shared" si="257"/>
        <v>1</v>
      </c>
    </row>
    <row r="8214" spans="1:13" x14ac:dyDescent="0.3">
      <c r="A8214">
        <v>8212</v>
      </c>
      <c r="B8214">
        <v>8213</v>
      </c>
      <c r="C8214" t="s">
        <v>8289</v>
      </c>
      <c r="D8214">
        <v>2015</v>
      </c>
      <c r="F8214" t="s">
        <v>3404</v>
      </c>
      <c r="G8214">
        <v>0</v>
      </c>
      <c r="H8214">
        <v>0</v>
      </c>
      <c r="I8214">
        <v>1</v>
      </c>
      <c r="J8214">
        <v>0</v>
      </c>
      <c r="K8214">
        <v>0</v>
      </c>
      <c r="L8214">
        <f t="shared" si="256"/>
        <v>3.8</v>
      </c>
      <c r="M8214">
        <f t="shared" si="257"/>
        <v>1</v>
      </c>
    </row>
    <row r="8215" spans="1:13" x14ac:dyDescent="0.3">
      <c r="A8215">
        <v>8213</v>
      </c>
      <c r="B8215">
        <v>8214</v>
      </c>
      <c r="C8215" t="s">
        <v>8290</v>
      </c>
      <c r="D8215">
        <v>1953</v>
      </c>
      <c r="F8215" t="s">
        <v>3404</v>
      </c>
      <c r="G8215">
        <v>0</v>
      </c>
      <c r="H8215">
        <v>0</v>
      </c>
      <c r="I8215">
        <v>1</v>
      </c>
      <c r="J8215">
        <v>0</v>
      </c>
      <c r="K8215">
        <v>0</v>
      </c>
      <c r="L8215">
        <f t="shared" si="256"/>
        <v>3.8</v>
      </c>
      <c r="M8215">
        <f t="shared" si="257"/>
        <v>1</v>
      </c>
    </row>
    <row r="8216" spans="1:13" x14ac:dyDescent="0.3">
      <c r="A8216">
        <v>8214</v>
      </c>
      <c r="B8216">
        <v>8215</v>
      </c>
      <c r="C8216" t="s">
        <v>8291</v>
      </c>
      <c r="D8216">
        <v>2011</v>
      </c>
      <c r="F8216" t="s">
        <v>3404</v>
      </c>
      <c r="G8216">
        <v>0</v>
      </c>
      <c r="H8216">
        <v>0</v>
      </c>
      <c r="I8216">
        <v>1</v>
      </c>
      <c r="J8216">
        <v>0</v>
      </c>
      <c r="K8216">
        <v>0</v>
      </c>
      <c r="L8216">
        <f t="shared" si="256"/>
        <v>3.8</v>
      </c>
      <c r="M8216">
        <f t="shared" si="257"/>
        <v>1</v>
      </c>
    </row>
    <row r="8217" spans="1:13" x14ac:dyDescent="0.3">
      <c r="A8217">
        <v>8215</v>
      </c>
      <c r="B8217">
        <v>8216</v>
      </c>
      <c r="C8217" t="s">
        <v>8292</v>
      </c>
      <c r="D8217">
        <v>1985</v>
      </c>
      <c r="E8217" t="s">
        <v>14</v>
      </c>
      <c r="F8217" t="s">
        <v>3404</v>
      </c>
      <c r="G8217">
        <v>0</v>
      </c>
      <c r="H8217">
        <v>0</v>
      </c>
      <c r="I8217">
        <v>1</v>
      </c>
      <c r="J8217">
        <v>0</v>
      </c>
      <c r="K8217">
        <v>0</v>
      </c>
      <c r="L8217">
        <f t="shared" si="256"/>
        <v>3.8</v>
      </c>
      <c r="M8217">
        <f t="shared" si="257"/>
        <v>1</v>
      </c>
    </row>
    <row r="8218" spans="1:13" x14ac:dyDescent="0.3">
      <c r="A8218">
        <v>8216</v>
      </c>
      <c r="B8218">
        <v>8217</v>
      </c>
      <c r="C8218" t="s">
        <v>8293</v>
      </c>
      <c r="D8218">
        <v>1978</v>
      </c>
      <c r="E8218" t="s">
        <v>14</v>
      </c>
      <c r="F8218" t="s">
        <v>3404</v>
      </c>
      <c r="G8218">
        <v>0</v>
      </c>
      <c r="H8218">
        <v>0</v>
      </c>
      <c r="I8218">
        <v>1</v>
      </c>
      <c r="J8218">
        <v>0</v>
      </c>
      <c r="K8218">
        <v>0</v>
      </c>
      <c r="L8218">
        <f t="shared" si="256"/>
        <v>3.8</v>
      </c>
      <c r="M8218">
        <f t="shared" si="257"/>
        <v>1</v>
      </c>
    </row>
    <row r="8219" spans="1:13" x14ac:dyDescent="0.3">
      <c r="A8219">
        <v>8217</v>
      </c>
      <c r="B8219">
        <v>8218</v>
      </c>
      <c r="C8219" t="s">
        <v>8294</v>
      </c>
      <c r="D8219">
        <v>2009</v>
      </c>
      <c r="F8219" t="s">
        <v>3404</v>
      </c>
      <c r="G8219">
        <v>0</v>
      </c>
      <c r="H8219">
        <v>0</v>
      </c>
      <c r="I8219">
        <v>1</v>
      </c>
      <c r="J8219">
        <v>0</v>
      </c>
      <c r="K8219">
        <v>0</v>
      </c>
      <c r="L8219">
        <f t="shared" si="256"/>
        <v>3.8</v>
      </c>
      <c r="M8219">
        <f t="shared" si="257"/>
        <v>1</v>
      </c>
    </row>
    <row r="8220" spans="1:13" x14ac:dyDescent="0.3">
      <c r="A8220">
        <v>8218</v>
      </c>
      <c r="B8220">
        <v>8219</v>
      </c>
      <c r="C8220" t="s">
        <v>8295</v>
      </c>
      <c r="D8220">
        <v>1971</v>
      </c>
      <c r="E8220" t="s">
        <v>11</v>
      </c>
      <c r="F8220" t="s">
        <v>3404</v>
      </c>
      <c r="G8220">
        <v>0</v>
      </c>
      <c r="H8220">
        <v>0</v>
      </c>
      <c r="I8220">
        <v>1</v>
      </c>
      <c r="J8220">
        <v>0</v>
      </c>
      <c r="K8220">
        <v>0</v>
      </c>
      <c r="L8220">
        <f t="shared" si="256"/>
        <v>3.8</v>
      </c>
      <c r="M8220">
        <f t="shared" si="257"/>
        <v>1</v>
      </c>
    </row>
    <row r="8221" spans="1:13" x14ac:dyDescent="0.3">
      <c r="A8221">
        <v>8219</v>
      </c>
      <c r="B8221">
        <v>8220</v>
      </c>
      <c r="C8221" t="s">
        <v>8296</v>
      </c>
      <c r="D8221">
        <v>1935</v>
      </c>
      <c r="F8221" t="s">
        <v>3404</v>
      </c>
      <c r="G8221">
        <v>0</v>
      </c>
      <c r="H8221">
        <v>0</v>
      </c>
      <c r="I8221">
        <v>1</v>
      </c>
      <c r="J8221">
        <v>0</v>
      </c>
      <c r="K8221">
        <v>0</v>
      </c>
      <c r="L8221">
        <f t="shared" si="256"/>
        <v>3.8</v>
      </c>
      <c r="M8221">
        <f t="shared" si="257"/>
        <v>1</v>
      </c>
    </row>
    <row r="8222" spans="1:13" x14ac:dyDescent="0.3">
      <c r="A8222">
        <v>8220</v>
      </c>
      <c r="B8222">
        <v>8221</v>
      </c>
      <c r="C8222" t="s">
        <v>8297</v>
      </c>
      <c r="D8222">
        <v>2005</v>
      </c>
      <c r="E8222" t="s">
        <v>11</v>
      </c>
      <c r="F8222" t="s">
        <v>3404</v>
      </c>
      <c r="G8222">
        <v>0</v>
      </c>
      <c r="H8222">
        <v>0</v>
      </c>
      <c r="I8222">
        <v>1</v>
      </c>
      <c r="J8222">
        <v>0</v>
      </c>
      <c r="K8222">
        <v>0</v>
      </c>
      <c r="L8222">
        <f t="shared" si="256"/>
        <v>3.8</v>
      </c>
      <c r="M8222">
        <f t="shared" si="257"/>
        <v>1</v>
      </c>
    </row>
    <row r="8223" spans="1:13" x14ac:dyDescent="0.3">
      <c r="A8223">
        <v>8221</v>
      </c>
      <c r="B8223">
        <v>8222</v>
      </c>
      <c r="C8223" t="s">
        <v>8298</v>
      </c>
      <c r="D8223">
        <v>2014</v>
      </c>
      <c r="E8223" t="s">
        <v>14</v>
      </c>
      <c r="F8223" t="s">
        <v>3404</v>
      </c>
      <c r="G8223">
        <v>0</v>
      </c>
      <c r="H8223">
        <v>0</v>
      </c>
      <c r="I8223">
        <v>1</v>
      </c>
      <c r="J8223">
        <v>0</v>
      </c>
      <c r="K8223">
        <v>0</v>
      </c>
      <c r="L8223">
        <f t="shared" si="256"/>
        <v>3.8</v>
      </c>
      <c r="M8223">
        <f t="shared" si="257"/>
        <v>1</v>
      </c>
    </row>
    <row r="8224" spans="1:13" x14ac:dyDescent="0.3">
      <c r="A8224">
        <v>8222</v>
      </c>
      <c r="B8224">
        <v>8223</v>
      </c>
      <c r="C8224" t="s">
        <v>8299</v>
      </c>
      <c r="D8224">
        <v>2008</v>
      </c>
      <c r="E8224" t="s">
        <v>22</v>
      </c>
      <c r="F8224" t="s">
        <v>3404</v>
      </c>
      <c r="G8224">
        <v>0</v>
      </c>
      <c r="H8224">
        <v>0</v>
      </c>
      <c r="I8224">
        <v>1</v>
      </c>
      <c r="J8224">
        <v>0</v>
      </c>
      <c r="K8224">
        <v>0</v>
      </c>
      <c r="L8224">
        <f t="shared" si="256"/>
        <v>3.8</v>
      </c>
      <c r="M8224">
        <f t="shared" si="257"/>
        <v>1</v>
      </c>
    </row>
    <row r="8225" spans="1:13" x14ac:dyDescent="0.3">
      <c r="A8225">
        <v>8223</v>
      </c>
      <c r="B8225">
        <v>8224</v>
      </c>
      <c r="C8225" t="s">
        <v>8300</v>
      </c>
      <c r="D8225">
        <v>1983</v>
      </c>
      <c r="E8225" t="s">
        <v>11</v>
      </c>
      <c r="F8225" t="s">
        <v>3404</v>
      </c>
      <c r="G8225">
        <v>0</v>
      </c>
      <c r="H8225">
        <v>0</v>
      </c>
      <c r="I8225">
        <v>1</v>
      </c>
      <c r="J8225">
        <v>0</v>
      </c>
      <c r="K8225">
        <v>0</v>
      </c>
      <c r="L8225">
        <f t="shared" si="256"/>
        <v>3.8</v>
      </c>
      <c r="M8225">
        <f t="shared" si="257"/>
        <v>1</v>
      </c>
    </row>
    <row r="8226" spans="1:13" x14ac:dyDescent="0.3">
      <c r="A8226">
        <v>8224</v>
      </c>
      <c r="B8226">
        <v>8225</v>
      </c>
      <c r="C8226" t="s">
        <v>8301</v>
      </c>
      <c r="D8226">
        <v>1973</v>
      </c>
      <c r="E8226" t="s">
        <v>36</v>
      </c>
      <c r="F8226" t="s">
        <v>3404</v>
      </c>
      <c r="G8226">
        <v>0</v>
      </c>
      <c r="H8226">
        <v>0</v>
      </c>
      <c r="I8226">
        <v>1</v>
      </c>
      <c r="J8226">
        <v>0</v>
      </c>
      <c r="K8226">
        <v>0</v>
      </c>
      <c r="L8226">
        <f t="shared" si="256"/>
        <v>3.8</v>
      </c>
      <c r="M8226">
        <f t="shared" si="257"/>
        <v>1</v>
      </c>
    </row>
    <row r="8227" spans="1:13" x14ac:dyDescent="0.3">
      <c r="A8227">
        <v>8225</v>
      </c>
      <c r="B8227">
        <v>8226</v>
      </c>
      <c r="C8227" t="s">
        <v>8302</v>
      </c>
      <c r="D8227">
        <v>2012</v>
      </c>
      <c r="E8227" t="s">
        <v>14</v>
      </c>
      <c r="F8227" t="s">
        <v>3404</v>
      </c>
      <c r="G8227">
        <v>0</v>
      </c>
      <c r="H8227">
        <v>0</v>
      </c>
      <c r="I8227">
        <v>1</v>
      </c>
      <c r="J8227">
        <v>0</v>
      </c>
      <c r="K8227">
        <v>0</v>
      </c>
      <c r="L8227">
        <f t="shared" si="256"/>
        <v>3.8</v>
      </c>
      <c r="M8227">
        <f t="shared" si="257"/>
        <v>1</v>
      </c>
    </row>
    <row r="8228" spans="1:13" x14ac:dyDescent="0.3">
      <c r="A8228">
        <v>8226</v>
      </c>
      <c r="B8228">
        <v>8227</v>
      </c>
      <c r="C8228" t="s">
        <v>8303</v>
      </c>
      <c r="D8228">
        <v>2017</v>
      </c>
      <c r="F8228" t="s">
        <v>3404</v>
      </c>
      <c r="G8228">
        <v>0</v>
      </c>
      <c r="H8228">
        <v>0</v>
      </c>
      <c r="I8228">
        <v>1</v>
      </c>
      <c r="J8228">
        <v>0</v>
      </c>
      <c r="K8228">
        <v>0</v>
      </c>
      <c r="L8228">
        <f t="shared" si="256"/>
        <v>3.8</v>
      </c>
      <c r="M8228">
        <f t="shared" si="257"/>
        <v>1</v>
      </c>
    </row>
    <row r="8229" spans="1:13" x14ac:dyDescent="0.3">
      <c r="A8229">
        <v>8227</v>
      </c>
      <c r="B8229">
        <v>8228</v>
      </c>
      <c r="C8229" t="s">
        <v>8304</v>
      </c>
      <c r="D8229">
        <v>2014</v>
      </c>
      <c r="F8229" t="s">
        <v>3404</v>
      </c>
      <c r="G8229">
        <v>0</v>
      </c>
      <c r="H8229">
        <v>0</v>
      </c>
      <c r="I8229">
        <v>1</v>
      </c>
      <c r="J8229">
        <v>0</v>
      </c>
      <c r="K8229">
        <v>0</v>
      </c>
      <c r="L8229">
        <f t="shared" si="256"/>
        <v>3.8</v>
      </c>
      <c r="M8229">
        <f t="shared" si="257"/>
        <v>1</v>
      </c>
    </row>
    <row r="8230" spans="1:13" x14ac:dyDescent="0.3">
      <c r="A8230">
        <v>8228</v>
      </c>
      <c r="B8230">
        <v>8229</v>
      </c>
      <c r="C8230" t="s">
        <v>8305</v>
      </c>
      <c r="D8230">
        <v>2019</v>
      </c>
      <c r="F8230" t="s">
        <v>3404</v>
      </c>
      <c r="G8230">
        <v>0</v>
      </c>
      <c r="H8230">
        <v>0</v>
      </c>
      <c r="I8230">
        <v>1</v>
      </c>
      <c r="J8230">
        <v>0</v>
      </c>
      <c r="K8230">
        <v>0</v>
      </c>
      <c r="L8230">
        <f t="shared" si="256"/>
        <v>3.8</v>
      </c>
      <c r="M8230">
        <f t="shared" si="257"/>
        <v>1</v>
      </c>
    </row>
    <row r="8231" spans="1:13" x14ac:dyDescent="0.3">
      <c r="A8231">
        <v>8229</v>
      </c>
      <c r="B8231">
        <v>8230</v>
      </c>
      <c r="C8231" t="s">
        <v>8306</v>
      </c>
      <c r="D8231">
        <v>1938</v>
      </c>
      <c r="F8231" t="s">
        <v>3404</v>
      </c>
      <c r="G8231">
        <v>0</v>
      </c>
      <c r="H8231">
        <v>0</v>
      </c>
      <c r="I8231">
        <v>1</v>
      </c>
      <c r="J8231">
        <v>0</v>
      </c>
      <c r="K8231">
        <v>0</v>
      </c>
      <c r="L8231">
        <f t="shared" si="256"/>
        <v>3.8</v>
      </c>
      <c r="M8231">
        <f t="shared" si="257"/>
        <v>1</v>
      </c>
    </row>
    <row r="8232" spans="1:13" x14ac:dyDescent="0.3">
      <c r="A8232">
        <v>8230</v>
      </c>
      <c r="B8232">
        <v>8231</v>
      </c>
      <c r="C8232" t="s">
        <v>8307</v>
      </c>
      <c r="D8232">
        <v>2018</v>
      </c>
      <c r="F8232" t="s">
        <v>3404</v>
      </c>
      <c r="G8232">
        <v>0</v>
      </c>
      <c r="H8232">
        <v>0</v>
      </c>
      <c r="I8232">
        <v>1</v>
      </c>
      <c r="J8232">
        <v>0</v>
      </c>
      <c r="K8232">
        <v>0</v>
      </c>
      <c r="L8232">
        <f t="shared" si="256"/>
        <v>3.8</v>
      </c>
      <c r="M8232">
        <f t="shared" si="257"/>
        <v>1</v>
      </c>
    </row>
    <row r="8233" spans="1:13" x14ac:dyDescent="0.3">
      <c r="A8233">
        <v>8231</v>
      </c>
      <c r="B8233">
        <v>8232</v>
      </c>
      <c r="C8233" t="s">
        <v>8308</v>
      </c>
      <c r="D8233">
        <v>2018</v>
      </c>
      <c r="F8233" t="s">
        <v>3404</v>
      </c>
      <c r="G8233">
        <v>0</v>
      </c>
      <c r="H8233">
        <v>0</v>
      </c>
      <c r="I8233">
        <v>1</v>
      </c>
      <c r="J8233">
        <v>0</v>
      </c>
      <c r="K8233">
        <v>0</v>
      </c>
      <c r="L8233">
        <f t="shared" si="256"/>
        <v>3.8</v>
      </c>
      <c r="M8233">
        <f t="shared" si="257"/>
        <v>1</v>
      </c>
    </row>
    <row r="8234" spans="1:13" x14ac:dyDescent="0.3">
      <c r="A8234">
        <v>8232</v>
      </c>
      <c r="B8234">
        <v>8233</v>
      </c>
      <c r="C8234" t="s">
        <v>8309</v>
      </c>
      <c r="D8234">
        <v>2014</v>
      </c>
      <c r="F8234" t="s">
        <v>3404</v>
      </c>
      <c r="G8234">
        <v>0</v>
      </c>
      <c r="H8234">
        <v>0</v>
      </c>
      <c r="I8234">
        <v>1</v>
      </c>
      <c r="J8234">
        <v>0</v>
      </c>
      <c r="K8234">
        <v>0</v>
      </c>
      <c r="L8234">
        <f t="shared" si="256"/>
        <v>3.8</v>
      </c>
      <c r="M8234">
        <f t="shared" si="257"/>
        <v>1</v>
      </c>
    </row>
    <row r="8235" spans="1:13" x14ac:dyDescent="0.3">
      <c r="A8235">
        <v>8233</v>
      </c>
      <c r="B8235">
        <v>8234</v>
      </c>
      <c r="C8235" t="s">
        <v>8310</v>
      </c>
      <c r="D8235">
        <v>2016</v>
      </c>
      <c r="F8235" t="s">
        <v>3404</v>
      </c>
      <c r="G8235">
        <v>0</v>
      </c>
      <c r="H8235">
        <v>0</v>
      </c>
      <c r="I8235">
        <v>1</v>
      </c>
      <c r="J8235">
        <v>0</v>
      </c>
      <c r="K8235">
        <v>0</v>
      </c>
      <c r="L8235">
        <f t="shared" si="256"/>
        <v>3.8</v>
      </c>
      <c r="M8235">
        <f t="shared" si="257"/>
        <v>1</v>
      </c>
    </row>
    <row r="8236" spans="1:13" x14ac:dyDescent="0.3">
      <c r="A8236">
        <v>8234</v>
      </c>
      <c r="B8236">
        <v>8235</v>
      </c>
      <c r="C8236" t="s">
        <v>8311</v>
      </c>
      <c r="D8236">
        <v>2014</v>
      </c>
      <c r="F8236" t="s">
        <v>3404</v>
      </c>
      <c r="G8236">
        <v>0</v>
      </c>
      <c r="H8236">
        <v>0</v>
      </c>
      <c r="I8236">
        <v>1</v>
      </c>
      <c r="J8236">
        <v>0</v>
      </c>
      <c r="K8236">
        <v>0</v>
      </c>
      <c r="L8236">
        <f t="shared" si="256"/>
        <v>3.8</v>
      </c>
      <c r="M8236">
        <f t="shared" si="257"/>
        <v>1</v>
      </c>
    </row>
    <row r="8237" spans="1:13" x14ac:dyDescent="0.3">
      <c r="A8237">
        <v>8235</v>
      </c>
      <c r="B8237">
        <v>8236</v>
      </c>
      <c r="C8237" t="s">
        <v>8312</v>
      </c>
      <c r="D8237">
        <v>1948</v>
      </c>
      <c r="F8237" t="s">
        <v>3404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f t="shared" si="256"/>
        <v>3.8</v>
      </c>
      <c r="M8237">
        <f t="shared" si="257"/>
        <v>1</v>
      </c>
    </row>
    <row r="8238" spans="1:13" x14ac:dyDescent="0.3">
      <c r="A8238">
        <v>8236</v>
      </c>
      <c r="B8238">
        <v>8237</v>
      </c>
      <c r="C8238" t="s">
        <v>8313</v>
      </c>
      <c r="D8238">
        <v>1936</v>
      </c>
      <c r="F8238" t="s">
        <v>3404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f t="shared" si="256"/>
        <v>3.8</v>
      </c>
      <c r="M8238">
        <f t="shared" si="257"/>
        <v>1</v>
      </c>
    </row>
    <row r="8239" spans="1:13" x14ac:dyDescent="0.3">
      <c r="A8239">
        <v>8237</v>
      </c>
      <c r="B8239">
        <v>8238</v>
      </c>
      <c r="C8239" t="s">
        <v>8314</v>
      </c>
      <c r="D8239">
        <v>1934</v>
      </c>
      <c r="F8239" t="s">
        <v>3404</v>
      </c>
      <c r="G8239">
        <v>0</v>
      </c>
      <c r="H8239">
        <v>0</v>
      </c>
      <c r="I8239">
        <v>1</v>
      </c>
      <c r="J8239">
        <v>0</v>
      </c>
      <c r="K8239">
        <v>0</v>
      </c>
      <c r="L8239">
        <f t="shared" si="256"/>
        <v>3.8</v>
      </c>
      <c r="M8239">
        <f t="shared" si="257"/>
        <v>1</v>
      </c>
    </row>
    <row r="8240" spans="1:13" x14ac:dyDescent="0.3">
      <c r="A8240">
        <v>8238</v>
      </c>
      <c r="B8240">
        <v>8239</v>
      </c>
      <c r="C8240" t="s">
        <v>8315</v>
      </c>
      <c r="D8240">
        <v>1937</v>
      </c>
      <c r="F8240" t="s">
        <v>3404</v>
      </c>
      <c r="G8240">
        <v>0</v>
      </c>
      <c r="H8240">
        <v>0</v>
      </c>
      <c r="I8240">
        <v>1</v>
      </c>
      <c r="J8240">
        <v>0</v>
      </c>
      <c r="K8240">
        <v>0</v>
      </c>
      <c r="L8240">
        <f t="shared" si="256"/>
        <v>3.8</v>
      </c>
      <c r="M8240">
        <f t="shared" si="257"/>
        <v>1</v>
      </c>
    </row>
    <row r="8241" spans="1:13" x14ac:dyDescent="0.3">
      <c r="A8241">
        <v>8239</v>
      </c>
      <c r="B8241">
        <v>8240</v>
      </c>
      <c r="C8241" t="s">
        <v>8316</v>
      </c>
      <c r="D8241">
        <v>2012</v>
      </c>
      <c r="F8241" t="s">
        <v>3404</v>
      </c>
      <c r="G8241">
        <v>0</v>
      </c>
      <c r="H8241">
        <v>0</v>
      </c>
      <c r="I8241">
        <v>1</v>
      </c>
      <c r="J8241">
        <v>0</v>
      </c>
      <c r="K8241">
        <v>0</v>
      </c>
      <c r="L8241">
        <f t="shared" si="256"/>
        <v>3.8</v>
      </c>
      <c r="M8241">
        <f t="shared" si="257"/>
        <v>1</v>
      </c>
    </row>
    <row r="8242" spans="1:13" x14ac:dyDescent="0.3">
      <c r="A8242">
        <v>8240</v>
      </c>
      <c r="B8242">
        <v>8241</v>
      </c>
      <c r="C8242" t="s">
        <v>8317</v>
      </c>
      <c r="D8242">
        <v>2008</v>
      </c>
      <c r="F8242" t="s">
        <v>3404</v>
      </c>
      <c r="G8242">
        <v>0</v>
      </c>
      <c r="H8242">
        <v>0</v>
      </c>
      <c r="I8242">
        <v>1</v>
      </c>
      <c r="J8242">
        <v>0</v>
      </c>
      <c r="K8242">
        <v>0</v>
      </c>
      <c r="L8242">
        <f t="shared" si="256"/>
        <v>3.8</v>
      </c>
      <c r="M8242">
        <f t="shared" si="257"/>
        <v>1</v>
      </c>
    </row>
    <row r="8243" spans="1:13" x14ac:dyDescent="0.3">
      <c r="A8243">
        <v>8241</v>
      </c>
      <c r="B8243">
        <v>8242</v>
      </c>
      <c r="C8243" t="s">
        <v>8318</v>
      </c>
      <c r="D8243">
        <v>2017</v>
      </c>
      <c r="F8243" t="s">
        <v>3404</v>
      </c>
      <c r="G8243">
        <v>0</v>
      </c>
      <c r="H8243">
        <v>0</v>
      </c>
      <c r="I8243">
        <v>1</v>
      </c>
      <c r="J8243">
        <v>0</v>
      </c>
      <c r="K8243">
        <v>0</v>
      </c>
      <c r="L8243">
        <f t="shared" si="256"/>
        <v>3.8</v>
      </c>
      <c r="M8243">
        <f t="shared" si="257"/>
        <v>1</v>
      </c>
    </row>
    <row r="8244" spans="1:13" x14ac:dyDescent="0.3">
      <c r="A8244">
        <v>8242</v>
      </c>
      <c r="B8244">
        <v>8243</v>
      </c>
      <c r="C8244" t="s">
        <v>8319</v>
      </c>
      <c r="D8244">
        <v>1967</v>
      </c>
      <c r="E8244" t="s">
        <v>36</v>
      </c>
      <c r="F8244" t="s">
        <v>3404</v>
      </c>
      <c r="G8244">
        <v>0</v>
      </c>
      <c r="H8244">
        <v>0</v>
      </c>
      <c r="I8244">
        <v>1</v>
      </c>
      <c r="J8244">
        <v>0</v>
      </c>
      <c r="K8244">
        <v>0</v>
      </c>
      <c r="L8244">
        <f t="shared" si="256"/>
        <v>3.8</v>
      </c>
      <c r="M8244">
        <f t="shared" si="257"/>
        <v>1</v>
      </c>
    </row>
    <row r="8245" spans="1:13" x14ac:dyDescent="0.3">
      <c r="A8245">
        <v>8243</v>
      </c>
      <c r="B8245">
        <v>8244</v>
      </c>
      <c r="C8245" t="s">
        <v>8320</v>
      </c>
      <c r="D8245">
        <v>2015</v>
      </c>
      <c r="E8245" t="s">
        <v>22</v>
      </c>
      <c r="F8245" t="s">
        <v>3404</v>
      </c>
      <c r="G8245">
        <v>0</v>
      </c>
      <c r="H8245">
        <v>0</v>
      </c>
      <c r="I8245">
        <v>1</v>
      </c>
      <c r="J8245">
        <v>0</v>
      </c>
      <c r="K8245">
        <v>0</v>
      </c>
      <c r="L8245">
        <f t="shared" si="256"/>
        <v>3.8</v>
      </c>
      <c r="M8245">
        <f t="shared" si="257"/>
        <v>1</v>
      </c>
    </row>
    <row r="8246" spans="1:13" x14ac:dyDescent="0.3">
      <c r="A8246">
        <v>8244</v>
      </c>
      <c r="B8246">
        <v>8245</v>
      </c>
      <c r="C8246" t="s">
        <v>8321</v>
      </c>
      <c r="D8246">
        <v>2021</v>
      </c>
      <c r="F8246" t="s">
        <v>3404</v>
      </c>
      <c r="G8246">
        <v>0</v>
      </c>
      <c r="H8246">
        <v>0</v>
      </c>
      <c r="I8246">
        <v>1</v>
      </c>
      <c r="J8246">
        <v>0</v>
      </c>
      <c r="K8246">
        <v>0</v>
      </c>
      <c r="L8246">
        <f t="shared" si="256"/>
        <v>3.8</v>
      </c>
      <c r="M8246">
        <f t="shared" si="257"/>
        <v>1</v>
      </c>
    </row>
    <row r="8247" spans="1:13" x14ac:dyDescent="0.3">
      <c r="A8247">
        <v>8245</v>
      </c>
      <c r="B8247">
        <v>8246</v>
      </c>
      <c r="C8247" t="s">
        <v>8322</v>
      </c>
      <c r="D8247">
        <v>2016</v>
      </c>
      <c r="F8247" t="s">
        <v>3404</v>
      </c>
      <c r="G8247">
        <v>0</v>
      </c>
      <c r="H8247">
        <v>0</v>
      </c>
      <c r="I8247">
        <v>1</v>
      </c>
      <c r="J8247">
        <v>0</v>
      </c>
      <c r="K8247">
        <v>0</v>
      </c>
      <c r="L8247">
        <f t="shared" si="256"/>
        <v>3.8</v>
      </c>
      <c r="M8247">
        <f t="shared" si="257"/>
        <v>1</v>
      </c>
    </row>
    <row r="8248" spans="1:13" x14ac:dyDescent="0.3">
      <c r="A8248">
        <v>8246</v>
      </c>
      <c r="B8248">
        <v>8247</v>
      </c>
      <c r="C8248" t="s">
        <v>8323</v>
      </c>
      <c r="D8248">
        <v>2009</v>
      </c>
      <c r="F8248" t="s">
        <v>3404</v>
      </c>
      <c r="G8248">
        <v>0</v>
      </c>
      <c r="H8248">
        <v>0</v>
      </c>
      <c r="I8248">
        <v>1</v>
      </c>
      <c r="J8248">
        <v>0</v>
      </c>
      <c r="K8248">
        <v>0</v>
      </c>
      <c r="L8248">
        <f t="shared" si="256"/>
        <v>3.8</v>
      </c>
      <c r="M8248">
        <f t="shared" si="257"/>
        <v>1</v>
      </c>
    </row>
    <row r="8249" spans="1:13" x14ac:dyDescent="0.3">
      <c r="A8249">
        <v>8247</v>
      </c>
      <c r="B8249">
        <v>8248</v>
      </c>
      <c r="C8249" t="s">
        <v>8324</v>
      </c>
      <c r="D8249">
        <v>1978</v>
      </c>
      <c r="E8249" t="s">
        <v>11</v>
      </c>
      <c r="F8249" t="s">
        <v>3404</v>
      </c>
      <c r="G8249">
        <v>0</v>
      </c>
      <c r="H8249">
        <v>0</v>
      </c>
      <c r="I8249">
        <v>1</v>
      </c>
      <c r="J8249">
        <v>0</v>
      </c>
      <c r="K8249">
        <v>0</v>
      </c>
      <c r="L8249">
        <f t="shared" si="256"/>
        <v>3.8</v>
      </c>
      <c r="M8249">
        <f t="shared" si="257"/>
        <v>1</v>
      </c>
    </row>
    <row r="8250" spans="1:13" x14ac:dyDescent="0.3">
      <c r="A8250">
        <v>8248</v>
      </c>
      <c r="B8250">
        <v>8249</v>
      </c>
      <c r="C8250" t="s">
        <v>8325</v>
      </c>
      <c r="D8250">
        <v>1992</v>
      </c>
      <c r="F8250" t="s">
        <v>3404</v>
      </c>
      <c r="G8250">
        <v>0</v>
      </c>
      <c r="H8250">
        <v>0</v>
      </c>
      <c r="I8250">
        <v>1</v>
      </c>
      <c r="J8250">
        <v>0</v>
      </c>
      <c r="K8250">
        <v>0</v>
      </c>
      <c r="L8250">
        <f t="shared" si="256"/>
        <v>3.8</v>
      </c>
      <c r="M8250">
        <f t="shared" si="257"/>
        <v>1</v>
      </c>
    </row>
    <row r="8251" spans="1:13" x14ac:dyDescent="0.3">
      <c r="A8251">
        <v>8249</v>
      </c>
      <c r="B8251">
        <v>8250</v>
      </c>
      <c r="C8251" t="s">
        <v>8326</v>
      </c>
      <c r="D8251">
        <v>1958</v>
      </c>
      <c r="F8251" t="s">
        <v>3404</v>
      </c>
      <c r="G8251">
        <v>0</v>
      </c>
      <c r="H8251">
        <v>0</v>
      </c>
      <c r="I8251">
        <v>1</v>
      </c>
      <c r="J8251">
        <v>0</v>
      </c>
      <c r="K8251">
        <v>0</v>
      </c>
      <c r="L8251">
        <f t="shared" si="256"/>
        <v>3.8</v>
      </c>
      <c r="M8251">
        <f t="shared" si="257"/>
        <v>1</v>
      </c>
    </row>
    <row r="8252" spans="1:13" x14ac:dyDescent="0.3">
      <c r="A8252">
        <v>8250</v>
      </c>
      <c r="B8252">
        <v>8251</v>
      </c>
      <c r="C8252" t="s">
        <v>8327</v>
      </c>
      <c r="D8252">
        <v>2020</v>
      </c>
      <c r="F8252" t="s">
        <v>3404</v>
      </c>
      <c r="G8252">
        <v>0</v>
      </c>
      <c r="H8252">
        <v>0</v>
      </c>
      <c r="I8252">
        <v>1</v>
      </c>
      <c r="J8252">
        <v>0</v>
      </c>
      <c r="K8252">
        <v>0</v>
      </c>
      <c r="L8252">
        <f t="shared" si="256"/>
        <v>3.8</v>
      </c>
      <c r="M8252">
        <f t="shared" si="257"/>
        <v>1</v>
      </c>
    </row>
    <row r="8253" spans="1:13" x14ac:dyDescent="0.3">
      <c r="A8253">
        <v>8251</v>
      </c>
      <c r="B8253">
        <v>8252</v>
      </c>
      <c r="C8253" t="s">
        <v>8328</v>
      </c>
      <c r="D8253">
        <v>2018</v>
      </c>
      <c r="F8253" t="s">
        <v>3404</v>
      </c>
      <c r="G8253">
        <v>0</v>
      </c>
      <c r="H8253">
        <v>0</v>
      </c>
      <c r="I8253">
        <v>1</v>
      </c>
      <c r="J8253">
        <v>0</v>
      </c>
      <c r="K8253">
        <v>0</v>
      </c>
      <c r="L8253">
        <f t="shared" si="256"/>
        <v>3.8</v>
      </c>
      <c r="M8253">
        <f t="shared" si="257"/>
        <v>1</v>
      </c>
    </row>
    <row r="8254" spans="1:13" x14ac:dyDescent="0.3">
      <c r="A8254">
        <v>8252</v>
      </c>
      <c r="B8254">
        <v>8253</v>
      </c>
      <c r="C8254" t="s">
        <v>8329</v>
      </c>
      <c r="D8254">
        <v>2017</v>
      </c>
      <c r="F8254" t="s">
        <v>3469</v>
      </c>
      <c r="G8254">
        <v>0</v>
      </c>
      <c r="H8254">
        <v>0</v>
      </c>
      <c r="I8254">
        <v>1</v>
      </c>
      <c r="J8254">
        <v>0</v>
      </c>
      <c r="K8254">
        <v>0</v>
      </c>
      <c r="L8254">
        <f t="shared" si="256"/>
        <v>3.7</v>
      </c>
      <c r="M8254">
        <f t="shared" si="257"/>
        <v>1</v>
      </c>
    </row>
    <row r="8255" spans="1:13" x14ac:dyDescent="0.3">
      <c r="A8255">
        <v>8253</v>
      </c>
      <c r="B8255">
        <v>8254</v>
      </c>
      <c r="C8255" t="s">
        <v>8330</v>
      </c>
      <c r="D8255">
        <v>2006</v>
      </c>
      <c r="E8255" t="s">
        <v>22</v>
      </c>
      <c r="F8255" t="s">
        <v>3469</v>
      </c>
      <c r="G8255">
        <v>0</v>
      </c>
      <c r="H8255">
        <v>0</v>
      </c>
      <c r="I8255">
        <v>1</v>
      </c>
      <c r="J8255">
        <v>0</v>
      </c>
      <c r="K8255">
        <v>0</v>
      </c>
      <c r="L8255">
        <f t="shared" si="256"/>
        <v>3.7</v>
      </c>
      <c r="M8255">
        <f t="shared" si="257"/>
        <v>1</v>
      </c>
    </row>
    <row r="8256" spans="1:13" x14ac:dyDescent="0.3">
      <c r="A8256">
        <v>8254</v>
      </c>
      <c r="B8256">
        <v>8255</v>
      </c>
      <c r="C8256" t="s">
        <v>8331</v>
      </c>
      <c r="D8256">
        <v>2020</v>
      </c>
      <c r="F8256" t="s">
        <v>3469</v>
      </c>
      <c r="G8256">
        <v>0</v>
      </c>
      <c r="H8256">
        <v>0</v>
      </c>
      <c r="I8256">
        <v>1</v>
      </c>
      <c r="J8256">
        <v>0</v>
      </c>
      <c r="K8256">
        <v>0</v>
      </c>
      <c r="L8256">
        <f t="shared" si="256"/>
        <v>3.7</v>
      </c>
      <c r="M8256">
        <f t="shared" si="257"/>
        <v>1</v>
      </c>
    </row>
    <row r="8257" spans="1:13" x14ac:dyDescent="0.3">
      <c r="A8257">
        <v>8255</v>
      </c>
      <c r="B8257">
        <v>8256</v>
      </c>
      <c r="C8257" t="s">
        <v>8332</v>
      </c>
      <c r="D8257">
        <v>2007</v>
      </c>
      <c r="F8257" t="s">
        <v>3469</v>
      </c>
      <c r="G8257">
        <v>0</v>
      </c>
      <c r="H8257">
        <v>0</v>
      </c>
      <c r="I8257">
        <v>1</v>
      </c>
      <c r="J8257">
        <v>0</v>
      </c>
      <c r="K8257">
        <v>0</v>
      </c>
      <c r="L8257">
        <f t="shared" si="256"/>
        <v>3.7</v>
      </c>
      <c r="M8257">
        <f t="shared" si="257"/>
        <v>1</v>
      </c>
    </row>
    <row r="8258" spans="1:13" x14ac:dyDescent="0.3">
      <c r="A8258">
        <v>8256</v>
      </c>
      <c r="B8258">
        <v>8257</v>
      </c>
      <c r="C8258" t="s">
        <v>8333</v>
      </c>
      <c r="D8258">
        <v>1977</v>
      </c>
      <c r="E8258" t="s">
        <v>14</v>
      </c>
      <c r="F8258" t="s">
        <v>3469</v>
      </c>
      <c r="G8258">
        <v>0</v>
      </c>
      <c r="H8258">
        <v>0</v>
      </c>
      <c r="I8258">
        <v>1</v>
      </c>
      <c r="J8258">
        <v>0</v>
      </c>
      <c r="K8258">
        <v>0</v>
      </c>
      <c r="L8258">
        <f t="shared" si="256"/>
        <v>3.7</v>
      </c>
      <c r="M8258">
        <f t="shared" si="257"/>
        <v>1</v>
      </c>
    </row>
    <row r="8259" spans="1:13" x14ac:dyDescent="0.3">
      <c r="A8259">
        <v>8257</v>
      </c>
      <c r="B8259">
        <v>8258</v>
      </c>
      <c r="C8259" t="s">
        <v>8334</v>
      </c>
      <c r="D8259">
        <v>2018</v>
      </c>
      <c r="F8259" t="s">
        <v>3469</v>
      </c>
      <c r="G8259">
        <v>0</v>
      </c>
      <c r="H8259">
        <v>0</v>
      </c>
      <c r="I8259">
        <v>1</v>
      </c>
      <c r="J8259">
        <v>0</v>
      </c>
      <c r="K8259">
        <v>0</v>
      </c>
      <c r="L8259">
        <f t="shared" ref="L8259:L8322" si="258">IFERROR(VALUE(LEFT(F8259,FIND("/",F8259)-1))/10,"")</f>
        <v>3.7</v>
      </c>
      <c r="M8259">
        <f t="shared" ref="M8259:M8322" si="259">SUM(G8259:J8259)</f>
        <v>1</v>
      </c>
    </row>
    <row r="8260" spans="1:13" x14ac:dyDescent="0.3">
      <c r="A8260">
        <v>8258</v>
      </c>
      <c r="B8260">
        <v>8259</v>
      </c>
      <c r="C8260" t="s">
        <v>8335</v>
      </c>
      <c r="D8260">
        <v>2021</v>
      </c>
      <c r="E8260" t="s">
        <v>22</v>
      </c>
      <c r="F8260" t="s">
        <v>3469</v>
      </c>
      <c r="G8260">
        <v>0</v>
      </c>
      <c r="H8260">
        <v>0</v>
      </c>
      <c r="I8260">
        <v>1</v>
      </c>
      <c r="J8260">
        <v>0</v>
      </c>
      <c r="K8260">
        <v>0</v>
      </c>
      <c r="L8260">
        <f t="shared" si="258"/>
        <v>3.7</v>
      </c>
      <c r="M8260">
        <f t="shared" si="259"/>
        <v>1</v>
      </c>
    </row>
    <row r="8261" spans="1:13" x14ac:dyDescent="0.3">
      <c r="A8261">
        <v>8259</v>
      </c>
      <c r="B8261">
        <v>8260</v>
      </c>
      <c r="C8261" t="s">
        <v>8336</v>
      </c>
      <c r="D8261">
        <v>2006</v>
      </c>
      <c r="E8261" t="s">
        <v>11</v>
      </c>
      <c r="F8261" t="s">
        <v>3469</v>
      </c>
      <c r="G8261">
        <v>0</v>
      </c>
      <c r="H8261">
        <v>0</v>
      </c>
      <c r="I8261">
        <v>1</v>
      </c>
      <c r="J8261">
        <v>0</v>
      </c>
      <c r="K8261">
        <v>0</v>
      </c>
      <c r="L8261">
        <f t="shared" si="258"/>
        <v>3.7</v>
      </c>
      <c r="M8261">
        <f t="shared" si="259"/>
        <v>1</v>
      </c>
    </row>
    <row r="8262" spans="1:13" x14ac:dyDescent="0.3">
      <c r="A8262">
        <v>8260</v>
      </c>
      <c r="B8262">
        <v>8261</v>
      </c>
      <c r="C8262" t="s">
        <v>8337</v>
      </c>
      <c r="D8262">
        <v>2018</v>
      </c>
      <c r="F8262" t="s">
        <v>3469</v>
      </c>
      <c r="G8262">
        <v>0</v>
      </c>
      <c r="H8262">
        <v>0</v>
      </c>
      <c r="I8262">
        <v>1</v>
      </c>
      <c r="J8262">
        <v>0</v>
      </c>
      <c r="K8262">
        <v>0</v>
      </c>
      <c r="L8262">
        <f t="shared" si="258"/>
        <v>3.7</v>
      </c>
      <c r="M8262">
        <f t="shared" si="259"/>
        <v>1</v>
      </c>
    </row>
    <row r="8263" spans="1:13" x14ac:dyDescent="0.3">
      <c r="A8263">
        <v>8261</v>
      </c>
      <c r="B8263">
        <v>8262</v>
      </c>
      <c r="C8263" t="s">
        <v>8338</v>
      </c>
      <c r="D8263">
        <v>1936</v>
      </c>
      <c r="F8263" t="s">
        <v>3469</v>
      </c>
      <c r="G8263">
        <v>0</v>
      </c>
      <c r="H8263">
        <v>0</v>
      </c>
      <c r="I8263">
        <v>1</v>
      </c>
      <c r="J8263">
        <v>0</v>
      </c>
      <c r="K8263">
        <v>0</v>
      </c>
      <c r="L8263">
        <f t="shared" si="258"/>
        <v>3.7</v>
      </c>
      <c r="M8263">
        <f t="shared" si="259"/>
        <v>1</v>
      </c>
    </row>
    <row r="8264" spans="1:13" x14ac:dyDescent="0.3">
      <c r="A8264">
        <v>8262</v>
      </c>
      <c r="B8264">
        <v>8263</v>
      </c>
      <c r="C8264" t="s">
        <v>8339</v>
      </c>
      <c r="D8264">
        <v>1955</v>
      </c>
      <c r="F8264" t="s">
        <v>3469</v>
      </c>
      <c r="G8264">
        <v>0</v>
      </c>
      <c r="H8264">
        <v>0</v>
      </c>
      <c r="I8264">
        <v>1</v>
      </c>
      <c r="J8264">
        <v>0</v>
      </c>
      <c r="K8264">
        <v>0</v>
      </c>
      <c r="L8264">
        <f t="shared" si="258"/>
        <v>3.7</v>
      </c>
      <c r="M8264">
        <f t="shared" si="259"/>
        <v>1</v>
      </c>
    </row>
    <row r="8265" spans="1:13" x14ac:dyDescent="0.3">
      <c r="A8265">
        <v>8263</v>
      </c>
      <c r="B8265">
        <v>8264</v>
      </c>
      <c r="C8265" t="s">
        <v>8340</v>
      </c>
      <c r="D8265">
        <v>1937</v>
      </c>
      <c r="E8265" t="s">
        <v>14</v>
      </c>
      <c r="F8265" t="s">
        <v>3469</v>
      </c>
      <c r="G8265">
        <v>0</v>
      </c>
      <c r="H8265">
        <v>0</v>
      </c>
      <c r="I8265">
        <v>1</v>
      </c>
      <c r="J8265">
        <v>0</v>
      </c>
      <c r="K8265">
        <v>0</v>
      </c>
      <c r="L8265">
        <f t="shared" si="258"/>
        <v>3.7</v>
      </c>
      <c r="M8265">
        <f t="shared" si="259"/>
        <v>1</v>
      </c>
    </row>
    <row r="8266" spans="1:13" x14ac:dyDescent="0.3">
      <c r="A8266">
        <v>8264</v>
      </c>
      <c r="B8266">
        <v>8265</v>
      </c>
      <c r="C8266" t="s">
        <v>8341</v>
      </c>
      <c r="D8266">
        <v>1997</v>
      </c>
      <c r="F8266" t="s">
        <v>3469</v>
      </c>
      <c r="G8266">
        <v>0</v>
      </c>
      <c r="H8266">
        <v>0</v>
      </c>
      <c r="I8266">
        <v>1</v>
      </c>
      <c r="J8266">
        <v>0</v>
      </c>
      <c r="K8266">
        <v>0</v>
      </c>
      <c r="L8266">
        <f t="shared" si="258"/>
        <v>3.7</v>
      </c>
      <c r="M8266">
        <f t="shared" si="259"/>
        <v>1</v>
      </c>
    </row>
    <row r="8267" spans="1:13" x14ac:dyDescent="0.3">
      <c r="A8267">
        <v>8265</v>
      </c>
      <c r="B8267">
        <v>8266</v>
      </c>
      <c r="C8267" t="s">
        <v>8342</v>
      </c>
      <c r="D8267">
        <v>1969</v>
      </c>
      <c r="F8267" t="s">
        <v>3469</v>
      </c>
      <c r="G8267">
        <v>0</v>
      </c>
      <c r="H8267">
        <v>0</v>
      </c>
      <c r="I8267">
        <v>1</v>
      </c>
      <c r="J8267">
        <v>0</v>
      </c>
      <c r="K8267">
        <v>0</v>
      </c>
      <c r="L8267">
        <f t="shared" si="258"/>
        <v>3.7</v>
      </c>
      <c r="M8267">
        <f t="shared" si="259"/>
        <v>1</v>
      </c>
    </row>
    <row r="8268" spans="1:13" x14ac:dyDescent="0.3">
      <c r="A8268">
        <v>8266</v>
      </c>
      <c r="B8268">
        <v>8267</v>
      </c>
      <c r="C8268" t="s">
        <v>8343</v>
      </c>
      <c r="D8268">
        <v>2008</v>
      </c>
      <c r="E8268" t="s">
        <v>11</v>
      </c>
      <c r="F8268" t="s">
        <v>3469</v>
      </c>
      <c r="G8268">
        <v>0</v>
      </c>
      <c r="H8268">
        <v>0</v>
      </c>
      <c r="I8268">
        <v>1</v>
      </c>
      <c r="J8268">
        <v>0</v>
      </c>
      <c r="K8268">
        <v>0</v>
      </c>
      <c r="L8268">
        <f t="shared" si="258"/>
        <v>3.7</v>
      </c>
      <c r="M8268">
        <f t="shared" si="259"/>
        <v>1</v>
      </c>
    </row>
    <row r="8269" spans="1:13" x14ac:dyDescent="0.3">
      <c r="A8269">
        <v>8267</v>
      </c>
      <c r="B8269">
        <v>8268</v>
      </c>
      <c r="C8269" t="s">
        <v>8344</v>
      </c>
      <c r="D8269">
        <v>2017</v>
      </c>
      <c r="F8269" t="s">
        <v>3469</v>
      </c>
      <c r="G8269">
        <v>0</v>
      </c>
      <c r="H8269">
        <v>0</v>
      </c>
      <c r="I8269">
        <v>1</v>
      </c>
      <c r="J8269">
        <v>0</v>
      </c>
      <c r="K8269">
        <v>0</v>
      </c>
      <c r="L8269">
        <f t="shared" si="258"/>
        <v>3.7</v>
      </c>
      <c r="M8269">
        <f t="shared" si="259"/>
        <v>1</v>
      </c>
    </row>
    <row r="8270" spans="1:13" x14ac:dyDescent="0.3">
      <c r="A8270">
        <v>8268</v>
      </c>
      <c r="B8270">
        <v>8269</v>
      </c>
      <c r="C8270" t="s">
        <v>8345</v>
      </c>
      <c r="D8270">
        <v>1996</v>
      </c>
      <c r="E8270" t="s">
        <v>14</v>
      </c>
      <c r="F8270" t="s">
        <v>3469</v>
      </c>
      <c r="G8270">
        <v>0</v>
      </c>
      <c r="H8270">
        <v>0</v>
      </c>
      <c r="I8270">
        <v>1</v>
      </c>
      <c r="J8270">
        <v>0</v>
      </c>
      <c r="K8270">
        <v>0</v>
      </c>
      <c r="L8270">
        <f t="shared" si="258"/>
        <v>3.7</v>
      </c>
      <c r="M8270">
        <f t="shared" si="259"/>
        <v>1</v>
      </c>
    </row>
    <row r="8271" spans="1:13" x14ac:dyDescent="0.3">
      <c r="A8271">
        <v>8269</v>
      </c>
      <c r="B8271">
        <v>8270</v>
      </c>
      <c r="C8271" t="s">
        <v>8346</v>
      </c>
      <c r="D8271">
        <v>1957</v>
      </c>
      <c r="F8271" t="s">
        <v>3469</v>
      </c>
      <c r="G8271">
        <v>0</v>
      </c>
      <c r="H8271">
        <v>0</v>
      </c>
      <c r="I8271">
        <v>1</v>
      </c>
      <c r="J8271">
        <v>0</v>
      </c>
      <c r="K8271">
        <v>0</v>
      </c>
      <c r="L8271">
        <f t="shared" si="258"/>
        <v>3.7</v>
      </c>
      <c r="M8271">
        <f t="shared" si="259"/>
        <v>1</v>
      </c>
    </row>
    <row r="8272" spans="1:13" x14ac:dyDescent="0.3">
      <c r="A8272">
        <v>8270</v>
      </c>
      <c r="B8272">
        <v>8271</v>
      </c>
      <c r="C8272" t="s">
        <v>8347</v>
      </c>
      <c r="D8272">
        <v>2014</v>
      </c>
      <c r="F8272" t="s">
        <v>3469</v>
      </c>
      <c r="G8272">
        <v>0</v>
      </c>
      <c r="H8272">
        <v>0</v>
      </c>
      <c r="I8272">
        <v>1</v>
      </c>
      <c r="J8272">
        <v>0</v>
      </c>
      <c r="K8272">
        <v>0</v>
      </c>
      <c r="L8272">
        <f t="shared" si="258"/>
        <v>3.7</v>
      </c>
      <c r="M8272">
        <f t="shared" si="259"/>
        <v>1</v>
      </c>
    </row>
    <row r="8273" spans="1:13" x14ac:dyDescent="0.3">
      <c r="A8273">
        <v>8271</v>
      </c>
      <c r="B8273">
        <v>8272</v>
      </c>
      <c r="C8273" t="s">
        <v>8348</v>
      </c>
      <c r="D8273">
        <v>2012</v>
      </c>
      <c r="E8273" t="s">
        <v>11</v>
      </c>
      <c r="F8273" t="s">
        <v>3469</v>
      </c>
      <c r="G8273">
        <v>0</v>
      </c>
      <c r="H8273">
        <v>0</v>
      </c>
      <c r="I8273">
        <v>1</v>
      </c>
      <c r="J8273">
        <v>0</v>
      </c>
      <c r="K8273">
        <v>0</v>
      </c>
      <c r="L8273">
        <f t="shared" si="258"/>
        <v>3.7</v>
      </c>
      <c r="M8273">
        <f t="shared" si="259"/>
        <v>1</v>
      </c>
    </row>
    <row r="8274" spans="1:13" x14ac:dyDescent="0.3">
      <c r="A8274">
        <v>8272</v>
      </c>
      <c r="B8274">
        <v>8273</v>
      </c>
      <c r="C8274" t="s">
        <v>8349</v>
      </c>
      <c r="D8274">
        <v>2009</v>
      </c>
      <c r="F8274" t="s">
        <v>3469</v>
      </c>
      <c r="G8274">
        <v>0</v>
      </c>
      <c r="H8274">
        <v>0</v>
      </c>
      <c r="I8274">
        <v>1</v>
      </c>
      <c r="J8274">
        <v>0</v>
      </c>
      <c r="K8274">
        <v>0</v>
      </c>
      <c r="L8274">
        <f t="shared" si="258"/>
        <v>3.7</v>
      </c>
      <c r="M8274">
        <f t="shared" si="259"/>
        <v>1</v>
      </c>
    </row>
    <row r="8275" spans="1:13" x14ac:dyDescent="0.3">
      <c r="A8275">
        <v>8273</v>
      </c>
      <c r="B8275">
        <v>8274</v>
      </c>
      <c r="C8275" t="s">
        <v>8350</v>
      </c>
      <c r="D8275">
        <v>2014</v>
      </c>
      <c r="F8275" t="s">
        <v>3469</v>
      </c>
      <c r="G8275">
        <v>0</v>
      </c>
      <c r="H8275">
        <v>0</v>
      </c>
      <c r="I8275">
        <v>1</v>
      </c>
      <c r="J8275">
        <v>0</v>
      </c>
      <c r="K8275">
        <v>0</v>
      </c>
      <c r="L8275">
        <f t="shared" si="258"/>
        <v>3.7</v>
      </c>
      <c r="M8275">
        <f t="shared" si="259"/>
        <v>1</v>
      </c>
    </row>
    <row r="8276" spans="1:13" x14ac:dyDescent="0.3">
      <c r="A8276">
        <v>8274</v>
      </c>
      <c r="B8276">
        <v>8275</v>
      </c>
      <c r="C8276" t="s">
        <v>8351</v>
      </c>
      <c r="D8276">
        <v>1947</v>
      </c>
      <c r="F8276" t="s">
        <v>3469</v>
      </c>
      <c r="G8276">
        <v>0</v>
      </c>
      <c r="H8276">
        <v>0</v>
      </c>
      <c r="I8276">
        <v>1</v>
      </c>
      <c r="J8276">
        <v>0</v>
      </c>
      <c r="K8276">
        <v>0</v>
      </c>
      <c r="L8276">
        <f t="shared" si="258"/>
        <v>3.7</v>
      </c>
      <c r="M8276">
        <f t="shared" si="259"/>
        <v>1</v>
      </c>
    </row>
    <row r="8277" spans="1:13" x14ac:dyDescent="0.3">
      <c r="A8277">
        <v>8275</v>
      </c>
      <c r="B8277">
        <v>8276</v>
      </c>
      <c r="C8277" t="s">
        <v>8352</v>
      </c>
      <c r="D8277">
        <v>2019</v>
      </c>
      <c r="F8277" t="s">
        <v>3469</v>
      </c>
      <c r="G8277">
        <v>0</v>
      </c>
      <c r="H8277">
        <v>0</v>
      </c>
      <c r="I8277">
        <v>1</v>
      </c>
      <c r="J8277">
        <v>0</v>
      </c>
      <c r="K8277">
        <v>0</v>
      </c>
      <c r="L8277">
        <f t="shared" si="258"/>
        <v>3.7</v>
      </c>
      <c r="M8277">
        <f t="shared" si="259"/>
        <v>1</v>
      </c>
    </row>
    <row r="8278" spans="1:13" x14ac:dyDescent="0.3">
      <c r="A8278">
        <v>8276</v>
      </c>
      <c r="B8278">
        <v>8277</v>
      </c>
      <c r="C8278" t="s">
        <v>8353</v>
      </c>
      <c r="D8278">
        <v>1980</v>
      </c>
      <c r="F8278" t="s">
        <v>3469</v>
      </c>
      <c r="G8278">
        <v>0</v>
      </c>
      <c r="H8278">
        <v>0</v>
      </c>
      <c r="I8278">
        <v>1</v>
      </c>
      <c r="J8278">
        <v>0</v>
      </c>
      <c r="K8278">
        <v>0</v>
      </c>
      <c r="L8278">
        <f t="shared" si="258"/>
        <v>3.7</v>
      </c>
      <c r="M8278">
        <f t="shared" si="259"/>
        <v>1</v>
      </c>
    </row>
    <row r="8279" spans="1:13" x14ac:dyDescent="0.3">
      <c r="A8279">
        <v>8277</v>
      </c>
      <c r="B8279">
        <v>8278</v>
      </c>
      <c r="C8279" t="s">
        <v>8354</v>
      </c>
      <c r="D8279">
        <v>2018</v>
      </c>
      <c r="F8279" t="s">
        <v>3469</v>
      </c>
      <c r="G8279">
        <v>0</v>
      </c>
      <c r="H8279">
        <v>0</v>
      </c>
      <c r="I8279">
        <v>1</v>
      </c>
      <c r="J8279">
        <v>0</v>
      </c>
      <c r="K8279">
        <v>0</v>
      </c>
      <c r="L8279">
        <f t="shared" si="258"/>
        <v>3.7</v>
      </c>
      <c r="M8279">
        <f t="shared" si="259"/>
        <v>1</v>
      </c>
    </row>
    <row r="8280" spans="1:13" x14ac:dyDescent="0.3">
      <c r="A8280">
        <v>8278</v>
      </c>
      <c r="B8280">
        <v>8279</v>
      </c>
      <c r="C8280" t="s">
        <v>8355</v>
      </c>
      <c r="D8280">
        <v>1936</v>
      </c>
      <c r="F8280" t="s">
        <v>3469</v>
      </c>
      <c r="G8280">
        <v>0</v>
      </c>
      <c r="H8280">
        <v>0</v>
      </c>
      <c r="I8280">
        <v>1</v>
      </c>
      <c r="J8280">
        <v>0</v>
      </c>
      <c r="K8280">
        <v>0</v>
      </c>
      <c r="L8280">
        <f t="shared" si="258"/>
        <v>3.7</v>
      </c>
      <c r="M8280">
        <f t="shared" si="259"/>
        <v>1</v>
      </c>
    </row>
    <row r="8281" spans="1:13" x14ac:dyDescent="0.3">
      <c r="A8281">
        <v>8279</v>
      </c>
      <c r="B8281">
        <v>8280</v>
      </c>
      <c r="C8281" t="s">
        <v>8356</v>
      </c>
      <c r="D8281">
        <v>2018</v>
      </c>
      <c r="E8281" t="s">
        <v>14</v>
      </c>
      <c r="F8281" t="s">
        <v>3469</v>
      </c>
      <c r="G8281">
        <v>0</v>
      </c>
      <c r="H8281">
        <v>0</v>
      </c>
      <c r="I8281">
        <v>1</v>
      </c>
      <c r="J8281">
        <v>0</v>
      </c>
      <c r="K8281">
        <v>0</v>
      </c>
      <c r="L8281">
        <f t="shared" si="258"/>
        <v>3.7</v>
      </c>
      <c r="M8281">
        <f t="shared" si="259"/>
        <v>1</v>
      </c>
    </row>
    <row r="8282" spans="1:13" x14ac:dyDescent="0.3">
      <c r="A8282">
        <v>8280</v>
      </c>
      <c r="B8282">
        <v>8281</v>
      </c>
      <c r="C8282" t="s">
        <v>8357</v>
      </c>
      <c r="D8282">
        <v>1971</v>
      </c>
      <c r="F8282" t="s">
        <v>3469</v>
      </c>
      <c r="G8282">
        <v>0</v>
      </c>
      <c r="H8282">
        <v>0</v>
      </c>
      <c r="I8282">
        <v>1</v>
      </c>
      <c r="J8282">
        <v>0</v>
      </c>
      <c r="K8282">
        <v>0</v>
      </c>
      <c r="L8282">
        <f t="shared" si="258"/>
        <v>3.7</v>
      </c>
      <c r="M8282">
        <f t="shared" si="259"/>
        <v>1</v>
      </c>
    </row>
    <row r="8283" spans="1:13" x14ac:dyDescent="0.3">
      <c r="A8283">
        <v>8281</v>
      </c>
      <c r="B8283">
        <v>8282</v>
      </c>
      <c r="C8283" t="s">
        <v>8358</v>
      </c>
      <c r="D8283">
        <v>2018</v>
      </c>
      <c r="E8283" t="s">
        <v>11</v>
      </c>
      <c r="F8283" t="s">
        <v>3469</v>
      </c>
      <c r="G8283">
        <v>0</v>
      </c>
      <c r="H8283">
        <v>0</v>
      </c>
      <c r="I8283">
        <v>1</v>
      </c>
      <c r="J8283">
        <v>0</v>
      </c>
      <c r="K8283">
        <v>0</v>
      </c>
      <c r="L8283">
        <f t="shared" si="258"/>
        <v>3.7</v>
      </c>
      <c r="M8283">
        <f t="shared" si="259"/>
        <v>1</v>
      </c>
    </row>
    <row r="8284" spans="1:13" x14ac:dyDescent="0.3">
      <c r="A8284">
        <v>8282</v>
      </c>
      <c r="B8284">
        <v>8283</v>
      </c>
      <c r="C8284" t="s">
        <v>8359</v>
      </c>
      <c r="D8284">
        <v>2017</v>
      </c>
      <c r="F8284" t="s">
        <v>3469</v>
      </c>
      <c r="G8284">
        <v>0</v>
      </c>
      <c r="H8284">
        <v>0</v>
      </c>
      <c r="I8284">
        <v>1</v>
      </c>
      <c r="J8284">
        <v>0</v>
      </c>
      <c r="K8284">
        <v>0</v>
      </c>
      <c r="L8284">
        <f t="shared" si="258"/>
        <v>3.7</v>
      </c>
      <c r="M8284">
        <f t="shared" si="259"/>
        <v>1</v>
      </c>
    </row>
    <row r="8285" spans="1:13" x14ac:dyDescent="0.3">
      <c r="A8285">
        <v>8283</v>
      </c>
      <c r="B8285">
        <v>8284</v>
      </c>
      <c r="C8285" t="s">
        <v>8360</v>
      </c>
      <c r="D8285">
        <v>2013</v>
      </c>
      <c r="F8285" t="s">
        <v>3469</v>
      </c>
      <c r="G8285">
        <v>0</v>
      </c>
      <c r="H8285">
        <v>0</v>
      </c>
      <c r="I8285">
        <v>1</v>
      </c>
      <c r="J8285">
        <v>0</v>
      </c>
      <c r="K8285">
        <v>0</v>
      </c>
      <c r="L8285">
        <f t="shared" si="258"/>
        <v>3.7</v>
      </c>
      <c r="M8285">
        <f t="shared" si="259"/>
        <v>1</v>
      </c>
    </row>
    <row r="8286" spans="1:13" x14ac:dyDescent="0.3">
      <c r="A8286">
        <v>8284</v>
      </c>
      <c r="B8286">
        <v>8285</v>
      </c>
      <c r="C8286" t="s">
        <v>8361</v>
      </c>
      <c r="D8286">
        <v>2006</v>
      </c>
      <c r="F8286" t="s">
        <v>3469</v>
      </c>
      <c r="G8286">
        <v>0</v>
      </c>
      <c r="H8286">
        <v>0</v>
      </c>
      <c r="I8286">
        <v>1</v>
      </c>
      <c r="J8286">
        <v>0</v>
      </c>
      <c r="K8286">
        <v>0</v>
      </c>
      <c r="L8286">
        <f t="shared" si="258"/>
        <v>3.7</v>
      </c>
      <c r="M8286">
        <f t="shared" si="259"/>
        <v>1</v>
      </c>
    </row>
    <row r="8287" spans="1:13" x14ac:dyDescent="0.3">
      <c r="A8287">
        <v>8285</v>
      </c>
      <c r="B8287">
        <v>8286</v>
      </c>
      <c r="C8287" t="s">
        <v>8362</v>
      </c>
      <c r="D8287">
        <v>2014</v>
      </c>
      <c r="E8287" t="s">
        <v>14</v>
      </c>
      <c r="F8287" t="s">
        <v>3469</v>
      </c>
      <c r="G8287">
        <v>0</v>
      </c>
      <c r="H8287">
        <v>0</v>
      </c>
      <c r="I8287">
        <v>1</v>
      </c>
      <c r="J8287">
        <v>0</v>
      </c>
      <c r="K8287">
        <v>0</v>
      </c>
      <c r="L8287">
        <f t="shared" si="258"/>
        <v>3.7</v>
      </c>
      <c r="M8287">
        <f t="shared" si="259"/>
        <v>1</v>
      </c>
    </row>
    <row r="8288" spans="1:13" x14ac:dyDescent="0.3">
      <c r="A8288">
        <v>8286</v>
      </c>
      <c r="B8288">
        <v>8287</v>
      </c>
      <c r="C8288" t="s">
        <v>8363</v>
      </c>
      <c r="D8288">
        <v>1975</v>
      </c>
      <c r="F8288" t="s">
        <v>3469</v>
      </c>
      <c r="G8288">
        <v>0</v>
      </c>
      <c r="H8288">
        <v>0</v>
      </c>
      <c r="I8288">
        <v>1</v>
      </c>
      <c r="J8288">
        <v>0</v>
      </c>
      <c r="K8288">
        <v>0</v>
      </c>
      <c r="L8288">
        <f t="shared" si="258"/>
        <v>3.7</v>
      </c>
      <c r="M8288">
        <f t="shared" si="259"/>
        <v>1</v>
      </c>
    </row>
    <row r="8289" spans="1:13" x14ac:dyDescent="0.3">
      <c r="A8289">
        <v>8287</v>
      </c>
      <c r="B8289">
        <v>8288</v>
      </c>
      <c r="C8289" t="s">
        <v>8364</v>
      </c>
      <c r="D8289">
        <v>2020</v>
      </c>
      <c r="F8289" t="s">
        <v>3469</v>
      </c>
      <c r="G8289">
        <v>0</v>
      </c>
      <c r="H8289">
        <v>0</v>
      </c>
      <c r="I8289">
        <v>1</v>
      </c>
      <c r="J8289">
        <v>0</v>
      </c>
      <c r="K8289">
        <v>0</v>
      </c>
      <c r="L8289">
        <f t="shared" si="258"/>
        <v>3.7</v>
      </c>
      <c r="M8289">
        <f t="shared" si="259"/>
        <v>1</v>
      </c>
    </row>
    <row r="8290" spans="1:13" x14ac:dyDescent="0.3">
      <c r="A8290">
        <v>8288</v>
      </c>
      <c r="B8290">
        <v>8289</v>
      </c>
      <c r="C8290" t="s">
        <v>8365</v>
      </c>
      <c r="D8290">
        <v>2011</v>
      </c>
      <c r="E8290" t="s">
        <v>14</v>
      </c>
      <c r="F8290" t="s">
        <v>3469</v>
      </c>
      <c r="G8290">
        <v>0</v>
      </c>
      <c r="H8290">
        <v>0</v>
      </c>
      <c r="I8290">
        <v>1</v>
      </c>
      <c r="J8290">
        <v>0</v>
      </c>
      <c r="K8290">
        <v>0</v>
      </c>
      <c r="L8290">
        <f t="shared" si="258"/>
        <v>3.7</v>
      </c>
      <c r="M8290">
        <f t="shared" si="259"/>
        <v>1</v>
      </c>
    </row>
    <row r="8291" spans="1:13" x14ac:dyDescent="0.3">
      <c r="A8291">
        <v>8289</v>
      </c>
      <c r="B8291">
        <v>8290</v>
      </c>
      <c r="C8291" t="s">
        <v>8366</v>
      </c>
      <c r="D8291">
        <v>1994</v>
      </c>
      <c r="F8291" t="s">
        <v>3469</v>
      </c>
      <c r="G8291">
        <v>0</v>
      </c>
      <c r="H8291">
        <v>0</v>
      </c>
      <c r="I8291">
        <v>1</v>
      </c>
      <c r="J8291">
        <v>0</v>
      </c>
      <c r="K8291">
        <v>0</v>
      </c>
      <c r="L8291">
        <f t="shared" si="258"/>
        <v>3.7</v>
      </c>
      <c r="M8291">
        <f t="shared" si="259"/>
        <v>1</v>
      </c>
    </row>
    <row r="8292" spans="1:13" x14ac:dyDescent="0.3">
      <c r="A8292">
        <v>8290</v>
      </c>
      <c r="B8292">
        <v>8291</v>
      </c>
      <c r="C8292" t="s">
        <v>8367</v>
      </c>
      <c r="D8292">
        <v>2018</v>
      </c>
      <c r="E8292" t="s">
        <v>36</v>
      </c>
      <c r="F8292" t="s">
        <v>3469</v>
      </c>
      <c r="G8292">
        <v>0</v>
      </c>
      <c r="H8292">
        <v>0</v>
      </c>
      <c r="I8292">
        <v>1</v>
      </c>
      <c r="J8292">
        <v>0</v>
      </c>
      <c r="K8292">
        <v>0</v>
      </c>
      <c r="L8292">
        <f t="shared" si="258"/>
        <v>3.7</v>
      </c>
      <c r="M8292">
        <f t="shared" si="259"/>
        <v>1</v>
      </c>
    </row>
    <row r="8293" spans="1:13" x14ac:dyDescent="0.3">
      <c r="A8293">
        <v>8291</v>
      </c>
      <c r="B8293">
        <v>8292</v>
      </c>
      <c r="C8293" t="s">
        <v>8368</v>
      </c>
      <c r="D8293">
        <v>2018</v>
      </c>
      <c r="F8293" t="s">
        <v>3469</v>
      </c>
      <c r="G8293">
        <v>0</v>
      </c>
      <c r="H8293">
        <v>0</v>
      </c>
      <c r="I8293">
        <v>1</v>
      </c>
      <c r="J8293">
        <v>0</v>
      </c>
      <c r="K8293">
        <v>0</v>
      </c>
      <c r="L8293">
        <f t="shared" si="258"/>
        <v>3.7</v>
      </c>
      <c r="M8293">
        <f t="shared" si="259"/>
        <v>1</v>
      </c>
    </row>
    <row r="8294" spans="1:13" x14ac:dyDescent="0.3">
      <c r="A8294">
        <v>8292</v>
      </c>
      <c r="B8294">
        <v>8293</v>
      </c>
      <c r="C8294" t="s">
        <v>8369</v>
      </c>
      <c r="D8294">
        <v>2004</v>
      </c>
      <c r="E8294" t="s">
        <v>22</v>
      </c>
      <c r="F8294" t="s">
        <v>3469</v>
      </c>
      <c r="G8294">
        <v>0</v>
      </c>
      <c r="H8294">
        <v>0</v>
      </c>
      <c r="I8294">
        <v>1</v>
      </c>
      <c r="J8294">
        <v>0</v>
      </c>
      <c r="K8294">
        <v>0</v>
      </c>
      <c r="L8294">
        <f t="shared" si="258"/>
        <v>3.7</v>
      </c>
      <c r="M8294">
        <f t="shared" si="259"/>
        <v>1</v>
      </c>
    </row>
    <row r="8295" spans="1:13" x14ac:dyDescent="0.3">
      <c r="A8295">
        <v>8293</v>
      </c>
      <c r="B8295">
        <v>8294</v>
      </c>
      <c r="C8295" t="s">
        <v>8370</v>
      </c>
      <c r="D8295">
        <v>2016</v>
      </c>
      <c r="E8295" t="s">
        <v>36</v>
      </c>
      <c r="F8295" t="s">
        <v>3469</v>
      </c>
      <c r="G8295">
        <v>0</v>
      </c>
      <c r="H8295">
        <v>0</v>
      </c>
      <c r="I8295">
        <v>1</v>
      </c>
      <c r="J8295">
        <v>0</v>
      </c>
      <c r="K8295">
        <v>0</v>
      </c>
      <c r="L8295">
        <f t="shared" si="258"/>
        <v>3.7</v>
      </c>
      <c r="M8295">
        <f t="shared" si="259"/>
        <v>1</v>
      </c>
    </row>
    <row r="8296" spans="1:13" x14ac:dyDescent="0.3">
      <c r="A8296">
        <v>8294</v>
      </c>
      <c r="B8296">
        <v>8295</v>
      </c>
      <c r="C8296" t="s">
        <v>8371</v>
      </c>
      <c r="D8296">
        <v>1944</v>
      </c>
      <c r="F8296" t="s">
        <v>3469</v>
      </c>
      <c r="G8296">
        <v>0</v>
      </c>
      <c r="H8296">
        <v>0</v>
      </c>
      <c r="I8296">
        <v>1</v>
      </c>
      <c r="J8296">
        <v>0</v>
      </c>
      <c r="K8296">
        <v>0</v>
      </c>
      <c r="L8296">
        <f t="shared" si="258"/>
        <v>3.7</v>
      </c>
      <c r="M8296">
        <f t="shared" si="259"/>
        <v>1</v>
      </c>
    </row>
    <row r="8297" spans="1:13" x14ac:dyDescent="0.3">
      <c r="A8297">
        <v>8295</v>
      </c>
      <c r="B8297">
        <v>8296</v>
      </c>
      <c r="C8297" t="s">
        <v>8372</v>
      </c>
      <c r="D8297">
        <v>2006</v>
      </c>
      <c r="E8297" t="s">
        <v>14</v>
      </c>
      <c r="F8297" t="s">
        <v>3469</v>
      </c>
      <c r="G8297">
        <v>0</v>
      </c>
      <c r="H8297">
        <v>0</v>
      </c>
      <c r="I8297">
        <v>1</v>
      </c>
      <c r="J8297">
        <v>0</v>
      </c>
      <c r="K8297">
        <v>0</v>
      </c>
      <c r="L8297">
        <f t="shared" si="258"/>
        <v>3.7</v>
      </c>
      <c r="M8297">
        <f t="shared" si="259"/>
        <v>1</v>
      </c>
    </row>
    <row r="8298" spans="1:13" x14ac:dyDescent="0.3">
      <c r="A8298">
        <v>8296</v>
      </c>
      <c r="B8298">
        <v>8297</v>
      </c>
      <c r="C8298" t="s">
        <v>8373</v>
      </c>
      <c r="D8298">
        <v>2021</v>
      </c>
      <c r="F8298" t="s">
        <v>3469</v>
      </c>
      <c r="G8298">
        <v>0</v>
      </c>
      <c r="H8298">
        <v>0</v>
      </c>
      <c r="I8298">
        <v>1</v>
      </c>
      <c r="J8298">
        <v>0</v>
      </c>
      <c r="K8298">
        <v>0</v>
      </c>
      <c r="L8298">
        <f t="shared" si="258"/>
        <v>3.7</v>
      </c>
      <c r="M8298">
        <f t="shared" si="259"/>
        <v>1</v>
      </c>
    </row>
    <row r="8299" spans="1:13" x14ac:dyDescent="0.3">
      <c r="A8299">
        <v>8297</v>
      </c>
      <c r="B8299">
        <v>8298</v>
      </c>
      <c r="C8299" t="s">
        <v>8374</v>
      </c>
      <c r="D8299">
        <v>2019</v>
      </c>
      <c r="F8299" t="s">
        <v>3469</v>
      </c>
      <c r="G8299">
        <v>0</v>
      </c>
      <c r="H8299">
        <v>0</v>
      </c>
      <c r="I8299">
        <v>1</v>
      </c>
      <c r="J8299">
        <v>0</v>
      </c>
      <c r="K8299">
        <v>0</v>
      </c>
      <c r="L8299">
        <f t="shared" si="258"/>
        <v>3.7</v>
      </c>
      <c r="M8299">
        <f t="shared" si="259"/>
        <v>1</v>
      </c>
    </row>
    <row r="8300" spans="1:13" x14ac:dyDescent="0.3">
      <c r="A8300">
        <v>8298</v>
      </c>
      <c r="B8300">
        <v>8299</v>
      </c>
      <c r="C8300" t="s">
        <v>8375</v>
      </c>
      <c r="D8300">
        <v>2017</v>
      </c>
      <c r="E8300" t="s">
        <v>22</v>
      </c>
      <c r="F8300" t="s">
        <v>3469</v>
      </c>
      <c r="G8300">
        <v>0</v>
      </c>
      <c r="H8300">
        <v>0</v>
      </c>
      <c r="I8300">
        <v>1</v>
      </c>
      <c r="J8300">
        <v>0</v>
      </c>
      <c r="K8300">
        <v>0</v>
      </c>
      <c r="L8300">
        <f t="shared" si="258"/>
        <v>3.7</v>
      </c>
      <c r="M8300">
        <f t="shared" si="259"/>
        <v>1</v>
      </c>
    </row>
    <row r="8301" spans="1:13" x14ac:dyDescent="0.3">
      <c r="A8301">
        <v>8299</v>
      </c>
      <c r="B8301">
        <v>8300</v>
      </c>
      <c r="C8301" t="s">
        <v>8376</v>
      </c>
      <c r="D8301">
        <v>2004</v>
      </c>
      <c r="F8301" t="s">
        <v>3469</v>
      </c>
      <c r="G8301">
        <v>0</v>
      </c>
      <c r="H8301">
        <v>0</v>
      </c>
      <c r="I8301">
        <v>1</v>
      </c>
      <c r="J8301">
        <v>0</v>
      </c>
      <c r="K8301">
        <v>0</v>
      </c>
      <c r="L8301">
        <f t="shared" si="258"/>
        <v>3.7</v>
      </c>
      <c r="M8301">
        <f t="shared" si="259"/>
        <v>1</v>
      </c>
    </row>
    <row r="8302" spans="1:13" x14ac:dyDescent="0.3">
      <c r="A8302">
        <v>8300</v>
      </c>
      <c r="B8302">
        <v>8301</v>
      </c>
      <c r="C8302" t="s">
        <v>8377</v>
      </c>
      <c r="D8302">
        <v>2011</v>
      </c>
      <c r="F8302" t="s">
        <v>3469</v>
      </c>
      <c r="G8302">
        <v>0</v>
      </c>
      <c r="H8302">
        <v>0</v>
      </c>
      <c r="I8302">
        <v>1</v>
      </c>
      <c r="J8302">
        <v>0</v>
      </c>
      <c r="K8302">
        <v>0</v>
      </c>
      <c r="L8302">
        <f t="shared" si="258"/>
        <v>3.7</v>
      </c>
      <c r="M8302">
        <f t="shared" si="259"/>
        <v>1</v>
      </c>
    </row>
    <row r="8303" spans="1:13" x14ac:dyDescent="0.3">
      <c r="A8303">
        <v>8301</v>
      </c>
      <c r="B8303">
        <v>8302</v>
      </c>
      <c r="C8303" t="s">
        <v>8378</v>
      </c>
      <c r="D8303">
        <v>2013</v>
      </c>
      <c r="F8303" t="s">
        <v>3469</v>
      </c>
      <c r="G8303">
        <v>0</v>
      </c>
      <c r="H8303">
        <v>0</v>
      </c>
      <c r="I8303">
        <v>1</v>
      </c>
      <c r="J8303">
        <v>0</v>
      </c>
      <c r="K8303">
        <v>0</v>
      </c>
      <c r="L8303">
        <f t="shared" si="258"/>
        <v>3.7</v>
      </c>
      <c r="M8303">
        <f t="shared" si="259"/>
        <v>1</v>
      </c>
    </row>
    <row r="8304" spans="1:13" x14ac:dyDescent="0.3">
      <c r="A8304">
        <v>8302</v>
      </c>
      <c r="B8304">
        <v>8303</v>
      </c>
      <c r="C8304" t="s">
        <v>8379</v>
      </c>
      <c r="D8304">
        <v>2009</v>
      </c>
      <c r="E8304" t="s">
        <v>11</v>
      </c>
      <c r="F8304" t="s">
        <v>3469</v>
      </c>
      <c r="G8304">
        <v>0</v>
      </c>
      <c r="H8304">
        <v>0</v>
      </c>
      <c r="I8304">
        <v>1</v>
      </c>
      <c r="J8304">
        <v>0</v>
      </c>
      <c r="K8304">
        <v>0</v>
      </c>
      <c r="L8304">
        <f t="shared" si="258"/>
        <v>3.7</v>
      </c>
      <c r="M8304">
        <f t="shared" si="259"/>
        <v>1</v>
      </c>
    </row>
    <row r="8305" spans="1:13" x14ac:dyDescent="0.3">
      <c r="A8305">
        <v>8303</v>
      </c>
      <c r="B8305">
        <v>8304</v>
      </c>
      <c r="C8305" t="s">
        <v>8380</v>
      </c>
      <c r="D8305">
        <v>2009</v>
      </c>
      <c r="F8305" t="s">
        <v>3469</v>
      </c>
      <c r="G8305">
        <v>0</v>
      </c>
      <c r="H8305">
        <v>0</v>
      </c>
      <c r="I8305">
        <v>1</v>
      </c>
      <c r="J8305">
        <v>0</v>
      </c>
      <c r="K8305">
        <v>0</v>
      </c>
      <c r="L8305">
        <f t="shared" si="258"/>
        <v>3.7</v>
      </c>
      <c r="M8305">
        <f t="shared" si="259"/>
        <v>1</v>
      </c>
    </row>
    <row r="8306" spans="1:13" x14ac:dyDescent="0.3">
      <c r="A8306">
        <v>8304</v>
      </c>
      <c r="B8306">
        <v>8305</v>
      </c>
      <c r="C8306" t="s">
        <v>8381</v>
      </c>
      <c r="D8306">
        <v>1940</v>
      </c>
      <c r="F8306" t="s">
        <v>3469</v>
      </c>
      <c r="G8306">
        <v>0</v>
      </c>
      <c r="H8306">
        <v>0</v>
      </c>
      <c r="I8306">
        <v>1</v>
      </c>
      <c r="J8306">
        <v>0</v>
      </c>
      <c r="K8306">
        <v>0</v>
      </c>
      <c r="L8306">
        <f t="shared" si="258"/>
        <v>3.7</v>
      </c>
      <c r="M8306">
        <f t="shared" si="259"/>
        <v>1</v>
      </c>
    </row>
    <row r="8307" spans="1:13" x14ac:dyDescent="0.3">
      <c r="A8307">
        <v>8305</v>
      </c>
      <c r="B8307">
        <v>8306</v>
      </c>
      <c r="C8307" t="s">
        <v>8382</v>
      </c>
      <c r="D8307">
        <v>1980</v>
      </c>
      <c r="F8307" t="s">
        <v>3469</v>
      </c>
      <c r="G8307">
        <v>0</v>
      </c>
      <c r="H8307">
        <v>0</v>
      </c>
      <c r="I8307">
        <v>1</v>
      </c>
      <c r="J8307">
        <v>0</v>
      </c>
      <c r="K8307">
        <v>0</v>
      </c>
      <c r="L8307">
        <f t="shared" si="258"/>
        <v>3.7</v>
      </c>
      <c r="M8307">
        <f t="shared" si="259"/>
        <v>1</v>
      </c>
    </row>
    <row r="8308" spans="1:13" x14ac:dyDescent="0.3">
      <c r="A8308">
        <v>8306</v>
      </c>
      <c r="B8308">
        <v>8307</v>
      </c>
      <c r="C8308" t="s">
        <v>8383</v>
      </c>
      <c r="D8308">
        <v>1941</v>
      </c>
      <c r="F8308" t="s">
        <v>3469</v>
      </c>
      <c r="G8308">
        <v>0</v>
      </c>
      <c r="H8308">
        <v>0</v>
      </c>
      <c r="I8308">
        <v>1</v>
      </c>
      <c r="J8308">
        <v>0</v>
      </c>
      <c r="K8308">
        <v>0</v>
      </c>
      <c r="L8308">
        <f t="shared" si="258"/>
        <v>3.7</v>
      </c>
      <c r="M8308">
        <f t="shared" si="259"/>
        <v>1</v>
      </c>
    </row>
    <row r="8309" spans="1:13" x14ac:dyDescent="0.3">
      <c r="A8309">
        <v>8307</v>
      </c>
      <c r="B8309">
        <v>8308</v>
      </c>
      <c r="C8309" t="s">
        <v>8384</v>
      </c>
      <c r="D8309">
        <v>2020</v>
      </c>
      <c r="F8309" t="s">
        <v>3469</v>
      </c>
      <c r="G8309">
        <v>0</v>
      </c>
      <c r="H8309">
        <v>0</v>
      </c>
      <c r="I8309">
        <v>1</v>
      </c>
      <c r="J8309">
        <v>0</v>
      </c>
      <c r="K8309">
        <v>0</v>
      </c>
      <c r="L8309">
        <f t="shared" si="258"/>
        <v>3.7</v>
      </c>
      <c r="M8309">
        <f t="shared" si="259"/>
        <v>1</v>
      </c>
    </row>
    <row r="8310" spans="1:13" x14ac:dyDescent="0.3">
      <c r="A8310">
        <v>8308</v>
      </c>
      <c r="B8310">
        <v>8309</v>
      </c>
      <c r="C8310" t="s">
        <v>8385</v>
      </c>
      <c r="D8310">
        <v>2009</v>
      </c>
      <c r="F8310" t="s">
        <v>3469</v>
      </c>
      <c r="G8310">
        <v>0</v>
      </c>
      <c r="H8310">
        <v>0</v>
      </c>
      <c r="I8310">
        <v>1</v>
      </c>
      <c r="J8310">
        <v>0</v>
      </c>
      <c r="K8310">
        <v>0</v>
      </c>
      <c r="L8310">
        <f t="shared" si="258"/>
        <v>3.7</v>
      </c>
      <c r="M8310">
        <f t="shared" si="259"/>
        <v>1</v>
      </c>
    </row>
    <row r="8311" spans="1:13" x14ac:dyDescent="0.3">
      <c r="A8311">
        <v>8309</v>
      </c>
      <c r="B8311">
        <v>8310</v>
      </c>
      <c r="C8311" t="s">
        <v>8386</v>
      </c>
      <c r="D8311">
        <v>1942</v>
      </c>
      <c r="E8311" t="s">
        <v>14</v>
      </c>
      <c r="F8311" t="s">
        <v>3469</v>
      </c>
      <c r="G8311">
        <v>0</v>
      </c>
      <c r="H8311">
        <v>0</v>
      </c>
      <c r="I8311">
        <v>1</v>
      </c>
      <c r="J8311">
        <v>0</v>
      </c>
      <c r="K8311">
        <v>0</v>
      </c>
      <c r="L8311">
        <f t="shared" si="258"/>
        <v>3.7</v>
      </c>
      <c r="M8311">
        <f t="shared" si="259"/>
        <v>1</v>
      </c>
    </row>
    <row r="8312" spans="1:13" x14ac:dyDescent="0.3">
      <c r="A8312">
        <v>8310</v>
      </c>
      <c r="B8312">
        <v>8311</v>
      </c>
      <c r="C8312" t="s">
        <v>8387</v>
      </c>
      <c r="D8312">
        <v>1981</v>
      </c>
      <c r="E8312" t="s">
        <v>14</v>
      </c>
      <c r="F8312" t="s">
        <v>3469</v>
      </c>
      <c r="G8312">
        <v>0</v>
      </c>
      <c r="H8312">
        <v>0</v>
      </c>
      <c r="I8312">
        <v>1</v>
      </c>
      <c r="J8312">
        <v>0</v>
      </c>
      <c r="K8312">
        <v>0</v>
      </c>
      <c r="L8312">
        <f t="shared" si="258"/>
        <v>3.7</v>
      </c>
      <c r="M8312">
        <f t="shared" si="259"/>
        <v>1</v>
      </c>
    </row>
    <row r="8313" spans="1:13" x14ac:dyDescent="0.3">
      <c r="A8313">
        <v>8311</v>
      </c>
      <c r="B8313">
        <v>8312</v>
      </c>
      <c r="C8313" t="s">
        <v>8388</v>
      </c>
      <c r="D8313">
        <v>1940</v>
      </c>
      <c r="F8313" t="s">
        <v>3469</v>
      </c>
      <c r="G8313">
        <v>0</v>
      </c>
      <c r="H8313">
        <v>0</v>
      </c>
      <c r="I8313">
        <v>1</v>
      </c>
      <c r="J8313">
        <v>0</v>
      </c>
      <c r="K8313">
        <v>0</v>
      </c>
      <c r="L8313">
        <f t="shared" si="258"/>
        <v>3.7</v>
      </c>
      <c r="M8313">
        <f t="shared" si="259"/>
        <v>1</v>
      </c>
    </row>
    <row r="8314" spans="1:13" x14ac:dyDescent="0.3">
      <c r="A8314">
        <v>8312</v>
      </c>
      <c r="B8314">
        <v>8313</v>
      </c>
      <c r="C8314" t="s">
        <v>8389</v>
      </c>
      <c r="D8314">
        <v>2018</v>
      </c>
      <c r="F8314" t="s">
        <v>3469</v>
      </c>
      <c r="G8314">
        <v>0</v>
      </c>
      <c r="H8314">
        <v>0</v>
      </c>
      <c r="I8314">
        <v>1</v>
      </c>
      <c r="J8314">
        <v>0</v>
      </c>
      <c r="K8314">
        <v>0</v>
      </c>
      <c r="L8314">
        <f t="shared" si="258"/>
        <v>3.7</v>
      </c>
      <c r="M8314">
        <f t="shared" si="259"/>
        <v>1</v>
      </c>
    </row>
    <row r="8315" spans="1:13" x14ac:dyDescent="0.3">
      <c r="A8315">
        <v>8313</v>
      </c>
      <c r="B8315">
        <v>8314</v>
      </c>
      <c r="C8315" t="s">
        <v>8390</v>
      </c>
      <c r="D8315">
        <v>2020</v>
      </c>
      <c r="F8315" t="s">
        <v>3469</v>
      </c>
      <c r="G8315">
        <v>0</v>
      </c>
      <c r="H8315">
        <v>0</v>
      </c>
      <c r="I8315">
        <v>1</v>
      </c>
      <c r="J8315">
        <v>0</v>
      </c>
      <c r="K8315">
        <v>0</v>
      </c>
      <c r="L8315">
        <f t="shared" si="258"/>
        <v>3.7</v>
      </c>
      <c r="M8315">
        <f t="shared" si="259"/>
        <v>1</v>
      </c>
    </row>
    <row r="8316" spans="1:13" x14ac:dyDescent="0.3">
      <c r="A8316">
        <v>8314</v>
      </c>
      <c r="B8316">
        <v>8315</v>
      </c>
      <c r="C8316" t="s">
        <v>8391</v>
      </c>
      <c r="D8316">
        <v>2018</v>
      </c>
      <c r="F8316" t="s">
        <v>3469</v>
      </c>
      <c r="G8316">
        <v>0</v>
      </c>
      <c r="H8316">
        <v>0</v>
      </c>
      <c r="I8316">
        <v>1</v>
      </c>
      <c r="J8316">
        <v>0</v>
      </c>
      <c r="K8316">
        <v>0</v>
      </c>
      <c r="L8316">
        <f t="shared" si="258"/>
        <v>3.7</v>
      </c>
      <c r="M8316">
        <f t="shared" si="259"/>
        <v>1</v>
      </c>
    </row>
    <row r="8317" spans="1:13" x14ac:dyDescent="0.3">
      <c r="A8317">
        <v>8315</v>
      </c>
      <c r="B8317">
        <v>8316</v>
      </c>
      <c r="C8317" t="s">
        <v>8392</v>
      </c>
      <c r="D8317">
        <v>2016</v>
      </c>
      <c r="F8317" t="s">
        <v>3469</v>
      </c>
      <c r="G8317">
        <v>0</v>
      </c>
      <c r="H8317">
        <v>0</v>
      </c>
      <c r="I8317">
        <v>1</v>
      </c>
      <c r="J8317">
        <v>0</v>
      </c>
      <c r="K8317">
        <v>0</v>
      </c>
      <c r="L8317">
        <f t="shared" si="258"/>
        <v>3.7</v>
      </c>
      <c r="M8317">
        <f t="shared" si="259"/>
        <v>1</v>
      </c>
    </row>
    <row r="8318" spans="1:13" x14ac:dyDescent="0.3">
      <c r="A8318">
        <v>8316</v>
      </c>
      <c r="B8318">
        <v>8317</v>
      </c>
      <c r="C8318" t="s">
        <v>8393</v>
      </c>
      <c r="D8318">
        <v>2012</v>
      </c>
      <c r="E8318" t="s">
        <v>11</v>
      </c>
      <c r="F8318" t="s">
        <v>3469</v>
      </c>
      <c r="G8318">
        <v>0</v>
      </c>
      <c r="H8318">
        <v>0</v>
      </c>
      <c r="I8318">
        <v>1</v>
      </c>
      <c r="J8318">
        <v>0</v>
      </c>
      <c r="K8318">
        <v>0</v>
      </c>
      <c r="L8318">
        <f t="shared" si="258"/>
        <v>3.7</v>
      </c>
      <c r="M8318">
        <f t="shared" si="259"/>
        <v>1</v>
      </c>
    </row>
    <row r="8319" spans="1:13" x14ac:dyDescent="0.3">
      <c r="A8319">
        <v>8317</v>
      </c>
      <c r="B8319">
        <v>8318</v>
      </c>
      <c r="C8319" t="s">
        <v>8394</v>
      </c>
      <c r="D8319">
        <v>1979</v>
      </c>
      <c r="F8319" t="s">
        <v>3469</v>
      </c>
      <c r="G8319">
        <v>0</v>
      </c>
      <c r="H8319">
        <v>0</v>
      </c>
      <c r="I8319">
        <v>1</v>
      </c>
      <c r="J8319">
        <v>0</v>
      </c>
      <c r="K8319">
        <v>0</v>
      </c>
      <c r="L8319">
        <f t="shared" si="258"/>
        <v>3.7</v>
      </c>
      <c r="M8319">
        <f t="shared" si="259"/>
        <v>1</v>
      </c>
    </row>
    <row r="8320" spans="1:13" x14ac:dyDescent="0.3">
      <c r="A8320">
        <v>8318</v>
      </c>
      <c r="B8320">
        <v>8319</v>
      </c>
      <c r="C8320" t="s">
        <v>8395</v>
      </c>
      <c r="D8320">
        <v>2016</v>
      </c>
      <c r="F8320" t="s">
        <v>3469</v>
      </c>
      <c r="G8320">
        <v>0</v>
      </c>
      <c r="H8320">
        <v>0</v>
      </c>
      <c r="I8320">
        <v>1</v>
      </c>
      <c r="J8320">
        <v>0</v>
      </c>
      <c r="K8320">
        <v>0</v>
      </c>
      <c r="L8320">
        <f t="shared" si="258"/>
        <v>3.7</v>
      </c>
      <c r="M8320">
        <f t="shared" si="259"/>
        <v>1</v>
      </c>
    </row>
    <row r="8321" spans="1:13" x14ac:dyDescent="0.3">
      <c r="A8321">
        <v>8319</v>
      </c>
      <c r="B8321">
        <v>8320</v>
      </c>
      <c r="C8321" t="s">
        <v>8396</v>
      </c>
      <c r="D8321">
        <v>2018</v>
      </c>
      <c r="F8321" t="s">
        <v>3469</v>
      </c>
      <c r="G8321">
        <v>0</v>
      </c>
      <c r="H8321">
        <v>0</v>
      </c>
      <c r="I8321">
        <v>1</v>
      </c>
      <c r="J8321">
        <v>0</v>
      </c>
      <c r="K8321">
        <v>0</v>
      </c>
      <c r="L8321">
        <f t="shared" si="258"/>
        <v>3.7</v>
      </c>
      <c r="M8321">
        <f t="shared" si="259"/>
        <v>1</v>
      </c>
    </row>
    <row r="8322" spans="1:13" x14ac:dyDescent="0.3">
      <c r="A8322">
        <v>8320</v>
      </c>
      <c r="B8322">
        <v>8321</v>
      </c>
      <c r="C8322" t="s">
        <v>8397</v>
      </c>
      <c r="D8322">
        <v>2002</v>
      </c>
      <c r="F8322" t="s">
        <v>3469</v>
      </c>
      <c r="G8322">
        <v>0</v>
      </c>
      <c r="H8322">
        <v>0</v>
      </c>
      <c r="I8322">
        <v>1</v>
      </c>
      <c r="J8322">
        <v>0</v>
      </c>
      <c r="K8322">
        <v>0</v>
      </c>
      <c r="L8322">
        <f t="shared" si="258"/>
        <v>3.7</v>
      </c>
      <c r="M8322">
        <f t="shared" si="259"/>
        <v>1</v>
      </c>
    </row>
    <row r="8323" spans="1:13" x14ac:dyDescent="0.3">
      <c r="A8323">
        <v>8321</v>
      </c>
      <c r="B8323">
        <v>8322</v>
      </c>
      <c r="C8323" t="s">
        <v>8398</v>
      </c>
      <c r="D8323">
        <v>1941</v>
      </c>
      <c r="F8323" t="s">
        <v>3469</v>
      </c>
      <c r="G8323">
        <v>0</v>
      </c>
      <c r="H8323">
        <v>0</v>
      </c>
      <c r="I8323">
        <v>1</v>
      </c>
      <c r="J8323">
        <v>0</v>
      </c>
      <c r="K8323">
        <v>0</v>
      </c>
      <c r="L8323">
        <f t="shared" ref="L8323:L8386" si="260">IFERROR(VALUE(LEFT(F8323,FIND("/",F8323)-1))/10,"")</f>
        <v>3.7</v>
      </c>
      <c r="M8323">
        <f t="shared" ref="M8323:M8386" si="261">SUM(G8323:J8323)</f>
        <v>1</v>
      </c>
    </row>
    <row r="8324" spans="1:13" x14ac:dyDescent="0.3">
      <c r="A8324">
        <v>8322</v>
      </c>
      <c r="B8324">
        <v>8323</v>
      </c>
      <c r="C8324" t="s">
        <v>8399</v>
      </c>
      <c r="D8324">
        <v>1937</v>
      </c>
      <c r="F8324" t="s">
        <v>3469</v>
      </c>
      <c r="G8324">
        <v>0</v>
      </c>
      <c r="H8324">
        <v>0</v>
      </c>
      <c r="I8324">
        <v>1</v>
      </c>
      <c r="J8324">
        <v>0</v>
      </c>
      <c r="K8324">
        <v>0</v>
      </c>
      <c r="L8324">
        <f t="shared" si="260"/>
        <v>3.7</v>
      </c>
      <c r="M8324">
        <f t="shared" si="261"/>
        <v>1</v>
      </c>
    </row>
    <row r="8325" spans="1:13" x14ac:dyDescent="0.3">
      <c r="A8325">
        <v>8323</v>
      </c>
      <c r="B8325">
        <v>8324</v>
      </c>
      <c r="C8325" t="s">
        <v>8400</v>
      </c>
      <c r="D8325">
        <v>2009</v>
      </c>
      <c r="F8325" t="s">
        <v>3469</v>
      </c>
      <c r="G8325">
        <v>0</v>
      </c>
      <c r="H8325">
        <v>0</v>
      </c>
      <c r="I8325">
        <v>1</v>
      </c>
      <c r="J8325">
        <v>0</v>
      </c>
      <c r="K8325">
        <v>0</v>
      </c>
      <c r="L8325">
        <f t="shared" si="260"/>
        <v>3.7</v>
      </c>
      <c r="M8325">
        <f t="shared" si="261"/>
        <v>1</v>
      </c>
    </row>
    <row r="8326" spans="1:13" x14ac:dyDescent="0.3">
      <c r="A8326">
        <v>8324</v>
      </c>
      <c r="B8326">
        <v>8325</v>
      </c>
      <c r="C8326" t="s">
        <v>8401</v>
      </c>
      <c r="D8326">
        <v>1941</v>
      </c>
      <c r="F8326" t="s">
        <v>3469</v>
      </c>
      <c r="G8326">
        <v>0</v>
      </c>
      <c r="H8326">
        <v>0</v>
      </c>
      <c r="I8326">
        <v>1</v>
      </c>
      <c r="J8326">
        <v>0</v>
      </c>
      <c r="K8326">
        <v>0</v>
      </c>
      <c r="L8326">
        <f t="shared" si="260"/>
        <v>3.7</v>
      </c>
      <c r="M8326">
        <f t="shared" si="261"/>
        <v>1</v>
      </c>
    </row>
    <row r="8327" spans="1:13" x14ac:dyDescent="0.3">
      <c r="A8327">
        <v>8325</v>
      </c>
      <c r="B8327">
        <v>8326</v>
      </c>
      <c r="C8327" t="s">
        <v>8402</v>
      </c>
      <c r="D8327">
        <v>2012</v>
      </c>
      <c r="E8327" t="s">
        <v>22</v>
      </c>
      <c r="F8327" t="s">
        <v>3469</v>
      </c>
      <c r="G8327">
        <v>0</v>
      </c>
      <c r="H8327">
        <v>0</v>
      </c>
      <c r="I8327">
        <v>1</v>
      </c>
      <c r="J8327">
        <v>0</v>
      </c>
      <c r="K8327">
        <v>0</v>
      </c>
      <c r="L8327">
        <f t="shared" si="260"/>
        <v>3.7</v>
      </c>
      <c r="M8327">
        <f t="shared" si="261"/>
        <v>1</v>
      </c>
    </row>
    <row r="8328" spans="1:13" x14ac:dyDescent="0.3">
      <c r="A8328">
        <v>8326</v>
      </c>
      <c r="B8328">
        <v>8327</v>
      </c>
      <c r="C8328" t="s">
        <v>8403</v>
      </c>
      <c r="D8328">
        <v>1996</v>
      </c>
      <c r="F8328" t="s">
        <v>3469</v>
      </c>
      <c r="G8328">
        <v>0</v>
      </c>
      <c r="H8328">
        <v>0</v>
      </c>
      <c r="I8328">
        <v>1</v>
      </c>
      <c r="J8328">
        <v>0</v>
      </c>
      <c r="K8328">
        <v>0</v>
      </c>
      <c r="L8328">
        <f t="shared" si="260"/>
        <v>3.7</v>
      </c>
      <c r="M8328">
        <f t="shared" si="261"/>
        <v>1</v>
      </c>
    </row>
    <row r="8329" spans="1:13" x14ac:dyDescent="0.3">
      <c r="A8329">
        <v>8327</v>
      </c>
      <c r="B8329">
        <v>8328</v>
      </c>
      <c r="C8329" t="s">
        <v>8404</v>
      </c>
      <c r="D8329">
        <v>2018</v>
      </c>
      <c r="F8329" t="s">
        <v>3469</v>
      </c>
      <c r="G8329">
        <v>0</v>
      </c>
      <c r="H8329">
        <v>0</v>
      </c>
      <c r="I8329">
        <v>1</v>
      </c>
      <c r="J8329">
        <v>0</v>
      </c>
      <c r="K8329">
        <v>0</v>
      </c>
      <c r="L8329">
        <f t="shared" si="260"/>
        <v>3.7</v>
      </c>
      <c r="M8329">
        <f t="shared" si="261"/>
        <v>1</v>
      </c>
    </row>
    <row r="8330" spans="1:13" x14ac:dyDescent="0.3">
      <c r="A8330">
        <v>8328</v>
      </c>
      <c r="B8330">
        <v>8329</v>
      </c>
      <c r="C8330" t="s">
        <v>8405</v>
      </c>
      <c r="D8330">
        <v>2014</v>
      </c>
      <c r="F8330" t="s">
        <v>3469</v>
      </c>
      <c r="G8330">
        <v>0</v>
      </c>
      <c r="H8330">
        <v>0</v>
      </c>
      <c r="I8330">
        <v>1</v>
      </c>
      <c r="J8330">
        <v>0</v>
      </c>
      <c r="K8330">
        <v>0</v>
      </c>
      <c r="L8330">
        <f t="shared" si="260"/>
        <v>3.7</v>
      </c>
      <c r="M8330">
        <f t="shared" si="261"/>
        <v>1</v>
      </c>
    </row>
    <row r="8331" spans="1:13" x14ac:dyDescent="0.3">
      <c r="A8331">
        <v>8329</v>
      </c>
      <c r="B8331">
        <v>8330</v>
      </c>
      <c r="C8331" t="s">
        <v>8406</v>
      </c>
      <c r="D8331">
        <v>2012</v>
      </c>
      <c r="E8331" t="s">
        <v>11</v>
      </c>
      <c r="F8331" t="s">
        <v>3469</v>
      </c>
      <c r="G8331">
        <v>0</v>
      </c>
      <c r="H8331">
        <v>0</v>
      </c>
      <c r="I8331">
        <v>1</v>
      </c>
      <c r="J8331">
        <v>0</v>
      </c>
      <c r="K8331">
        <v>0</v>
      </c>
      <c r="L8331">
        <f t="shared" si="260"/>
        <v>3.7</v>
      </c>
      <c r="M8331">
        <f t="shared" si="261"/>
        <v>1</v>
      </c>
    </row>
    <row r="8332" spans="1:13" x14ac:dyDescent="0.3">
      <c r="A8332">
        <v>8330</v>
      </c>
      <c r="B8332">
        <v>8331</v>
      </c>
      <c r="C8332" t="s">
        <v>8407</v>
      </c>
      <c r="D8332">
        <v>2017</v>
      </c>
      <c r="E8332" t="s">
        <v>14</v>
      </c>
      <c r="F8332" t="s">
        <v>3469</v>
      </c>
      <c r="G8332">
        <v>0</v>
      </c>
      <c r="H8332">
        <v>0</v>
      </c>
      <c r="I8332">
        <v>1</v>
      </c>
      <c r="J8332">
        <v>0</v>
      </c>
      <c r="K8332">
        <v>0</v>
      </c>
      <c r="L8332">
        <f t="shared" si="260"/>
        <v>3.7</v>
      </c>
      <c r="M8332">
        <f t="shared" si="261"/>
        <v>1</v>
      </c>
    </row>
    <row r="8333" spans="1:13" x14ac:dyDescent="0.3">
      <c r="A8333">
        <v>8331</v>
      </c>
      <c r="B8333">
        <v>8332</v>
      </c>
      <c r="C8333" t="s">
        <v>8408</v>
      </c>
      <c r="D8333">
        <v>2019</v>
      </c>
      <c r="F8333" t="s">
        <v>3469</v>
      </c>
      <c r="G8333">
        <v>0</v>
      </c>
      <c r="H8333">
        <v>0</v>
      </c>
      <c r="I8333">
        <v>1</v>
      </c>
      <c r="J8333">
        <v>0</v>
      </c>
      <c r="K8333">
        <v>0</v>
      </c>
      <c r="L8333">
        <f t="shared" si="260"/>
        <v>3.7</v>
      </c>
      <c r="M8333">
        <f t="shared" si="261"/>
        <v>1</v>
      </c>
    </row>
    <row r="8334" spans="1:13" x14ac:dyDescent="0.3">
      <c r="A8334">
        <v>8332</v>
      </c>
      <c r="B8334">
        <v>8333</v>
      </c>
      <c r="C8334" t="s">
        <v>8409</v>
      </c>
      <c r="D8334">
        <v>1987</v>
      </c>
      <c r="F8334" t="s">
        <v>3469</v>
      </c>
      <c r="G8334">
        <v>0</v>
      </c>
      <c r="H8334">
        <v>0</v>
      </c>
      <c r="I8334">
        <v>1</v>
      </c>
      <c r="J8334">
        <v>0</v>
      </c>
      <c r="K8334">
        <v>0</v>
      </c>
      <c r="L8334">
        <f t="shared" si="260"/>
        <v>3.7</v>
      </c>
      <c r="M8334">
        <f t="shared" si="261"/>
        <v>1</v>
      </c>
    </row>
    <row r="8335" spans="1:13" x14ac:dyDescent="0.3">
      <c r="A8335">
        <v>8333</v>
      </c>
      <c r="B8335">
        <v>8334</v>
      </c>
      <c r="C8335" t="s">
        <v>8410</v>
      </c>
      <c r="D8335">
        <v>2014</v>
      </c>
      <c r="F8335" t="s">
        <v>3469</v>
      </c>
      <c r="G8335">
        <v>0</v>
      </c>
      <c r="H8335">
        <v>0</v>
      </c>
      <c r="I8335">
        <v>1</v>
      </c>
      <c r="J8335">
        <v>0</v>
      </c>
      <c r="K8335">
        <v>0</v>
      </c>
      <c r="L8335">
        <f t="shared" si="260"/>
        <v>3.7</v>
      </c>
      <c r="M8335">
        <f t="shared" si="261"/>
        <v>1</v>
      </c>
    </row>
    <row r="8336" spans="1:13" x14ac:dyDescent="0.3">
      <c r="A8336">
        <v>8334</v>
      </c>
      <c r="B8336">
        <v>8335</v>
      </c>
      <c r="C8336" t="s">
        <v>8411</v>
      </c>
      <c r="D8336">
        <v>2002</v>
      </c>
      <c r="F8336" t="s">
        <v>3469</v>
      </c>
      <c r="G8336">
        <v>0</v>
      </c>
      <c r="H8336">
        <v>0</v>
      </c>
      <c r="I8336">
        <v>1</v>
      </c>
      <c r="J8336">
        <v>0</v>
      </c>
      <c r="K8336">
        <v>0</v>
      </c>
      <c r="L8336">
        <f t="shared" si="260"/>
        <v>3.7</v>
      </c>
      <c r="M8336">
        <f t="shared" si="261"/>
        <v>1</v>
      </c>
    </row>
    <row r="8337" spans="1:13" x14ac:dyDescent="0.3">
      <c r="A8337">
        <v>8335</v>
      </c>
      <c r="B8337">
        <v>8336</v>
      </c>
      <c r="C8337" t="s">
        <v>8412</v>
      </c>
      <c r="D8337">
        <v>2014</v>
      </c>
      <c r="F8337" t="s">
        <v>3469</v>
      </c>
      <c r="G8337">
        <v>0</v>
      </c>
      <c r="H8337">
        <v>0</v>
      </c>
      <c r="I8337">
        <v>1</v>
      </c>
      <c r="J8337">
        <v>0</v>
      </c>
      <c r="K8337">
        <v>0</v>
      </c>
      <c r="L8337">
        <f t="shared" si="260"/>
        <v>3.7</v>
      </c>
      <c r="M8337">
        <f t="shared" si="261"/>
        <v>1</v>
      </c>
    </row>
    <row r="8338" spans="1:13" x14ac:dyDescent="0.3">
      <c r="A8338">
        <v>8336</v>
      </c>
      <c r="B8338">
        <v>8337</v>
      </c>
      <c r="C8338" t="s">
        <v>8413</v>
      </c>
      <c r="D8338">
        <v>1931</v>
      </c>
      <c r="F8338" t="s">
        <v>3469</v>
      </c>
      <c r="G8338">
        <v>0</v>
      </c>
      <c r="H8338">
        <v>0</v>
      </c>
      <c r="I8338">
        <v>1</v>
      </c>
      <c r="J8338">
        <v>0</v>
      </c>
      <c r="K8338">
        <v>0</v>
      </c>
      <c r="L8338">
        <f t="shared" si="260"/>
        <v>3.7</v>
      </c>
      <c r="M8338">
        <f t="shared" si="261"/>
        <v>1</v>
      </c>
    </row>
    <row r="8339" spans="1:13" x14ac:dyDescent="0.3">
      <c r="A8339">
        <v>8337</v>
      </c>
      <c r="B8339">
        <v>8338</v>
      </c>
      <c r="C8339" t="s">
        <v>8414</v>
      </c>
      <c r="D8339">
        <v>1966</v>
      </c>
      <c r="F8339" t="s">
        <v>3469</v>
      </c>
      <c r="G8339">
        <v>0</v>
      </c>
      <c r="H8339">
        <v>0</v>
      </c>
      <c r="I8339">
        <v>1</v>
      </c>
      <c r="J8339">
        <v>0</v>
      </c>
      <c r="K8339">
        <v>0</v>
      </c>
      <c r="L8339">
        <f t="shared" si="260"/>
        <v>3.7</v>
      </c>
      <c r="M8339">
        <f t="shared" si="261"/>
        <v>1</v>
      </c>
    </row>
    <row r="8340" spans="1:13" x14ac:dyDescent="0.3">
      <c r="A8340">
        <v>8338</v>
      </c>
      <c r="B8340">
        <v>8339</v>
      </c>
      <c r="C8340" t="s">
        <v>8415</v>
      </c>
      <c r="D8340">
        <v>2014</v>
      </c>
      <c r="F8340" t="s">
        <v>3469</v>
      </c>
      <c r="G8340">
        <v>0</v>
      </c>
      <c r="H8340">
        <v>0</v>
      </c>
      <c r="I8340">
        <v>1</v>
      </c>
      <c r="J8340">
        <v>0</v>
      </c>
      <c r="K8340">
        <v>0</v>
      </c>
      <c r="L8340">
        <f t="shared" si="260"/>
        <v>3.7</v>
      </c>
      <c r="M8340">
        <f t="shared" si="261"/>
        <v>1</v>
      </c>
    </row>
    <row r="8341" spans="1:13" x14ac:dyDescent="0.3">
      <c r="A8341">
        <v>8339</v>
      </c>
      <c r="B8341">
        <v>8340</v>
      </c>
      <c r="C8341" t="s">
        <v>8416</v>
      </c>
      <c r="D8341">
        <v>2016</v>
      </c>
      <c r="F8341" t="s">
        <v>3469</v>
      </c>
      <c r="G8341">
        <v>0</v>
      </c>
      <c r="H8341">
        <v>0</v>
      </c>
      <c r="I8341">
        <v>1</v>
      </c>
      <c r="J8341">
        <v>0</v>
      </c>
      <c r="K8341">
        <v>0</v>
      </c>
      <c r="L8341">
        <f t="shared" si="260"/>
        <v>3.7</v>
      </c>
      <c r="M8341">
        <f t="shared" si="261"/>
        <v>1</v>
      </c>
    </row>
    <row r="8342" spans="1:13" x14ac:dyDescent="0.3">
      <c r="A8342">
        <v>8340</v>
      </c>
      <c r="B8342">
        <v>8341</v>
      </c>
      <c r="C8342" t="s">
        <v>8417</v>
      </c>
      <c r="D8342">
        <v>2017</v>
      </c>
      <c r="F8342" t="s">
        <v>3469</v>
      </c>
      <c r="G8342">
        <v>0</v>
      </c>
      <c r="H8342">
        <v>0</v>
      </c>
      <c r="I8342">
        <v>1</v>
      </c>
      <c r="J8342">
        <v>0</v>
      </c>
      <c r="K8342">
        <v>0</v>
      </c>
      <c r="L8342">
        <f t="shared" si="260"/>
        <v>3.7</v>
      </c>
      <c r="M8342">
        <f t="shared" si="261"/>
        <v>1</v>
      </c>
    </row>
    <row r="8343" spans="1:13" x14ac:dyDescent="0.3">
      <c r="A8343">
        <v>8341</v>
      </c>
      <c r="B8343">
        <v>8342</v>
      </c>
      <c r="C8343" t="s">
        <v>8418</v>
      </c>
      <c r="D8343">
        <v>2001</v>
      </c>
      <c r="F8343" t="s">
        <v>3469</v>
      </c>
      <c r="G8343">
        <v>0</v>
      </c>
      <c r="H8343">
        <v>0</v>
      </c>
      <c r="I8343">
        <v>1</v>
      </c>
      <c r="J8343">
        <v>0</v>
      </c>
      <c r="K8343">
        <v>0</v>
      </c>
      <c r="L8343">
        <f t="shared" si="260"/>
        <v>3.7</v>
      </c>
      <c r="M8343">
        <f t="shared" si="261"/>
        <v>1</v>
      </c>
    </row>
    <row r="8344" spans="1:13" x14ac:dyDescent="0.3">
      <c r="A8344">
        <v>8342</v>
      </c>
      <c r="B8344">
        <v>8343</v>
      </c>
      <c r="C8344" t="s">
        <v>8419</v>
      </c>
      <c r="D8344">
        <v>2018</v>
      </c>
      <c r="F8344" t="s">
        <v>3469</v>
      </c>
      <c r="G8344">
        <v>0</v>
      </c>
      <c r="H8344">
        <v>0</v>
      </c>
      <c r="I8344">
        <v>1</v>
      </c>
      <c r="J8344">
        <v>0</v>
      </c>
      <c r="K8344">
        <v>0</v>
      </c>
      <c r="L8344">
        <f t="shared" si="260"/>
        <v>3.7</v>
      </c>
      <c r="M8344">
        <f t="shared" si="261"/>
        <v>1</v>
      </c>
    </row>
    <row r="8345" spans="1:13" x14ac:dyDescent="0.3">
      <c r="A8345">
        <v>8343</v>
      </c>
      <c r="B8345">
        <v>8344</v>
      </c>
      <c r="C8345" t="s">
        <v>8420</v>
      </c>
      <c r="D8345">
        <v>1938</v>
      </c>
      <c r="F8345" t="s">
        <v>3469</v>
      </c>
      <c r="G8345">
        <v>0</v>
      </c>
      <c r="H8345">
        <v>0</v>
      </c>
      <c r="I8345">
        <v>1</v>
      </c>
      <c r="J8345">
        <v>0</v>
      </c>
      <c r="K8345">
        <v>0</v>
      </c>
      <c r="L8345">
        <f t="shared" si="260"/>
        <v>3.7</v>
      </c>
      <c r="M8345">
        <f t="shared" si="261"/>
        <v>1</v>
      </c>
    </row>
    <row r="8346" spans="1:13" x14ac:dyDescent="0.3">
      <c r="A8346">
        <v>8344</v>
      </c>
      <c r="B8346">
        <v>8345</v>
      </c>
      <c r="C8346" t="s">
        <v>8421</v>
      </c>
      <c r="D8346">
        <v>1971</v>
      </c>
      <c r="E8346" t="s">
        <v>36</v>
      </c>
      <c r="F8346" t="s">
        <v>3469</v>
      </c>
      <c r="G8346">
        <v>0</v>
      </c>
      <c r="H8346">
        <v>0</v>
      </c>
      <c r="I8346">
        <v>1</v>
      </c>
      <c r="J8346">
        <v>0</v>
      </c>
      <c r="K8346">
        <v>0</v>
      </c>
      <c r="L8346">
        <f t="shared" si="260"/>
        <v>3.7</v>
      </c>
      <c r="M8346">
        <f t="shared" si="261"/>
        <v>1</v>
      </c>
    </row>
    <row r="8347" spans="1:13" x14ac:dyDescent="0.3">
      <c r="A8347">
        <v>8345</v>
      </c>
      <c r="B8347">
        <v>8346</v>
      </c>
      <c r="C8347" t="s">
        <v>8422</v>
      </c>
      <c r="D8347">
        <v>2014</v>
      </c>
      <c r="F8347" t="s">
        <v>3469</v>
      </c>
      <c r="G8347">
        <v>0</v>
      </c>
      <c r="H8347">
        <v>0</v>
      </c>
      <c r="I8347">
        <v>1</v>
      </c>
      <c r="J8347">
        <v>0</v>
      </c>
      <c r="K8347">
        <v>0</v>
      </c>
      <c r="L8347">
        <f t="shared" si="260"/>
        <v>3.7</v>
      </c>
      <c r="M8347">
        <f t="shared" si="261"/>
        <v>1</v>
      </c>
    </row>
    <row r="8348" spans="1:13" x14ac:dyDescent="0.3">
      <c r="A8348">
        <v>8346</v>
      </c>
      <c r="B8348">
        <v>8347</v>
      </c>
      <c r="C8348" t="s">
        <v>8423</v>
      </c>
      <c r="D8348">
        <v>2000</v>
      </c>
      <c r="E8348" t="s">
        <v>11</v>
      </c>
      <c r="F8348" t="s">
        <v>3469</v>
      </c>
      <c r="G8348">
        <v>0</v>
      </c>
      <c r="H8348">
        <v>0</v>
      </c>
      <c r="I8348">
        <v>1</v>
      </c>
      <c r="J8348">
        <v>0</v>
      </c>
      <c r="K8348">
        <v>0</v>
      </c>
      <c r="L8348">
        <f t="shared" si="260"/>
        <v>3.7</v>
      </c>
      <c r="M8348">
        <f t="shared" si="261"/>
        <v>1</v>
      </c>
    </row>
    <row r="8349" spans="1:13" x14ac:dyDescent="0.3">
      <c r="A8349">
        <v>8347</v>
      </c>
      <c r="B8349">
        <v>8348</v>
      </c>
      <c r="C8349" t="s">
        <v>8424</v>
      </c>
      <c r="D8349">
        <v>2016</v>
      </c>
      <c r="F8349" t="s">
        <v>3469</v>
      </c>
      <c r="G8349">
        <v>0</v>
      </c>
      <c r="H8349">
        <v>0</v>
      </c>
      <c r="I8349">
        <v>1</v>
      </c>
      <c r="J8349">
        <v>0</v>
      </c>
      <c r="K8349">
        <v>0</v>
      </c>
      <c r="L8349">
        <f t="shared" si="260"/>
        <v>3.7</v>
      </c>
      <c r="M8349">
        <f t="shared" si="261"/>
        <v>1</v>
      </c>
    </row>
    <row r="8350" spans="1:13" x14ac:dyDescent="0.3">
      <c r="A8350">
        <v>8348</v>
      </c>
      <c r="B8350">
        <v>8349</v>
      </c>
      <c r="C8350" t="s">
        <v>8425</v>
      </c>
      <c r="D8350">
        <v>1987</v>
      </c>
      <c r="F8350" t="s">
        <v>3469</v>
      </c>
      <c r="G8350">
        <v>0</v>
      </c>
      <c r="H8350">
        <v>0</v>
      </c>
      <c r="I8350">
        <v>1</v>
      </c>
      <c r="J8350">
        <v>0</v>
      </c>
      <c r="K8350">
        <v>0</v>
      </c>
      <c r="L8350">
        <f t="shared" si="260"/>
        <v>3.7</v>
      </c>
      <c r="M8350">
        <f t="shared" si="261"/>
        <v>1</v>
      </c>
    </row>
    <row r="8351" spans="1:13" x14ac:dyDescent="0.3">
      <c r="A8351">
        <v>8349</v>
      </c>
      <c r="B8351">
        <v>8350</v>
      </c>
      <c r="C8351" t="s">
        <v>8426</v>
      </c>
      <c r="D8351">
        <v>2017</v>
      </c>
      <c r="E8351" t="s">
        <v>11</v>
      </c>
      <c r="F8351" t="s">
        <v>3469</v>
      </c>
      <c r="G8351">
        <v>0</v>
      </c>
      <c r="H8351">
        <v>0</v>
      </c>
      <c r="I8351">
        <v>1</v>
      </c>
      <c r="J8351">
        <v>0</v>
      </c>
      <c r="K8351">
        <v>0</v>
      </c>
      <c r="L8351">
        <f t="shared" si="260"/>
        <v>3.7</v>
      </c>
      <c r="M8351">
        <f t="shared" si="261"/>
        <v>1</v>
      </c>
    </row>
    <row r="8352" spans="1:13" x14ac:dyDescent="0.3">
      <c r="A8352">
        <v>8350</v>
      </c>
      <c r="B8352">
        <v>8351</v>
      </c>
      <c r="C8352" t="s">
        <v>8427</v>
      </c>
      <c r="D8352">
        <v>2018</v>
      </c>
      <c r="F8352" t="s">
        <v>3523</v>
      </c>
      <c r="G8352">
        <v>0</v>
      </c>
      <c r="H8352">
        <v>0</v>
      </c>
      <c r="I8352">
        <v>1</v>
      </c>
      <c r="J8352">
        <v>0</v>
      </c>
      <c r="K8352">
        <v>0</v>
      </c>
      <c r="L8352">
        <f t="shared" si="260"/>
        <v>3.6</v>
      </c>
      <c r="M8352">
        <f t="shared" si="261"/>
        <v>1</v>
      </c>
    </row>
    <row r="8353" spans="1:13" x14ac:dyDescent="0.3">
      <c r="A8353">
        <v>8351</v>
      </c>
      <c r="B8353">
        <v>8352</v>
      </c>
      <c r="C8353" t="s">
        <v>8428</v>
      </c>
      <c r="D8353">
        <v>2011</v>
      </c>
      <c r="E8353" t="s">
        <v>22</v>
      </c>
      <c r="F8353" t="s">
        <v>3523</v>
      </c>
      <c r="G8353">
        <v>0</v>
      </c>
      <c r="H8353">
        <v>0</v>
      </c>
      <c r="I8353">
        <v>1</v>
      </c>
      <c r="J8353">
        <v>0</v>
      </c>
      <c r="K8353">
        <v>0</v>
      </c>
      <c r="L8353">
        <f t="shared" si="260"/>
        <v>3.6</v>
      </c>
      <c r="M8353">
        <f t="shared" si="261"/>
        <v>1</v>
      </c>
    </row>
    <row r="8354" spans="1:13" x14ac:dyDescent="0.3">
      <c r="A8354">
        <v>8352</v>
      </c>
      <c r="B8354">
        <v>8353</v>
      </c>
      <c r="C8354" t="s">
        <v>8429</v>
      </c>
      <c r="D8354">
        <v>1939</v>
      </c>
      <c r="F8354" t="s">
        <v>3523</v>
      </c>
      <c r="G8354">
        <v>0</v>
      </c>
      <c r="H8354">
        <v>0</v>
      </c>
      <c r="I8354">
        <v>1</v>
      </c>
      <c r="J8354">
        <v>0</v>
      </c>
      <c r="K8354">
        <v>0</v>
      </c>
      <c r="L8354">
        <f t="shared" si="260"/>
        <v>3.6</v>
      </c>
      <c r="M8354">
        <f t="shared" si="261"/>
        <v>1</v>
      </c>
    </row>
    <row r="8355" spans="1:13" x14ac:dyDescent="0.3">
      <c r="A8355">
        <v>8353</v>
      </c>
      <c r="B8355">
        <v>8354</v>
      </c>
      <c r="C8355" t="s">
        <v>8430</v>
      </c>
      <c r="D8355">
        <v>2020</v>
      </c>
      <c r="F8355" t="s">
        <v>3523</v>
      </c>
      <c r="G8355">
        <v>0</v>
      </c>
      <c r="H8355">
        <v>0</v>
      </c>
      <c r="I8355">
        <v>1</v>
      </c>
      <c r="J8355">
        <v>0</v>
      </c>
      <c r="K8355">
        <v>0</v>
      </c>
      <c r="L8355">
        <f t="shared" si="260"/>
        <v>3.6</v>
      </c>
      <c r="M8355">
        <f t="shared" si="261"/>
        <v>1</v>
      </c>
    </row>
    <row r="8356" spans="1:13" x14ac:dyDescent="0.3">
      <c r="A8356">
        <v>8354</v>
      </c>
      <c r="B8356">
        <v>8355</v>
      </c>
      <c r="C8356" t="s">
        <v>8431</v>
      </c>
      <c r="D8356">
        <v>2017</v>
      </c>
      <c r="F8356" t="s">
        <v>3523</v>
      </c>
      <c r="G8356">
        <v>0</v>
      </c>
      <c r="H8356">
        <v>0</v>
      </c>
      <c r="I8356">
        <v>1</v>
      </c>
      <c r="J8356">
        <v>0</v>
      </c>
      <c r="K8356">
        <v>0</v>
      </c>
      <c r="L8356">
        <f t="shared" si="260"/>
        <v>3.6</v>
      </c>
      <c r="M8356">
        <f t="shared" si="261"/>
        <v>1</v>
      </c>
    </row>
    <row r="8357" spans="1:13" x14ac:dyDescent="0.3">
      <c r="A8357">
        <v>8355</v>
      </c>
      <c r="B8357">
        <v>8356</v>
      </c>
      <c r="C8357" t="s">
        <v>8432</v>
      </c>
      <c r="D8357">
        <v>2018</v>
      </c>
      <c r="F8357" t="s">
        <v>3523</v>
      </c>
      <c r="G8357">
        <v>0</v>
      </c>
      <c r="H8357">
        <v>0</v>
      </c>
      <c r="I8357">
        <v>1</v>
      </c>
      <c r="J8357">
        <v>0</v>
      </c>
      <c r="K8357">
        <v>0</v>
      </c>
      <c r="L8357">
        <f t="shared" si="260"/>
        <v>3.6</v>
      </c>
      <c r="M8357">
        <f t="shared" si="261"/>
        <v>1</v>
      </c>
    </row>
    <row r="8358" spans="1:13" x14ac:dyDescent="0.3">
      <c r="A8358">
        <v>8356</v>
      </c>
      <c r="B8358">
        <v>8357</v>
      </c>
      <c r="C8358" t="s">
        <v>8433</v>
      </c>
      <c r="D8358">
        <v>2018</v>
      </c>
      <c r="F8358" t="s">
        <v>3523</v>
      </c>
      <c r="G8358">
        <v>0</v>
      </c>
      <c r="H8358">
        <v>0</v>
      </c>
      <c r="I8358">
        <v>1</v>
      </c>
      <c r="J8358">
        <v>0</v>
      </c>
      <c r="K8358">
        <v>0</v>
      </c>
      <c r="L8358">
        <f t="shared" si="260"/>
        <v>3.6</v>
      </c>
      <c r="M8358">
        <f t="shared" si="261"/>
        <v>1</v>
      </c>
    </row>
    <row r="8359" spans="1:13" x14ac:dyDescent="0.3">
      <c r="A8359">
        <v>8357</v>
      </c>
      <c r="B8359">
        <v>8358</v>
      </c>
      <c r="C8359" t="s">
        <v>8434</v>
      </c>
      <c r="D8359">
        <v>2003</v>
      </c>
      <c r="F8359" t="s">
        <v>3523</v>
      </c>
      <c r="G8359">
        <v>0</v>
      </c>
      <c r="H8359">
        <v>0</v>
      </c>
      <c r="I8359">
        <v>1</v>
      </c>
      <c r="J8359">
        <v>0</v>
      </c>
      <c r="K8359">
        <v>0</v>
      </c>
      <c r="L8359">
        <f t="shared" si="260"/>
        <v>3.6</v>
      </c>
      <c r="M8359">
        <f t="shared" si="261"/>
        <v>1</v>
      </c>
    </row>
    <row r="8360" spans="1:13" x14ac:dyDescent="0.3">
      <c r="A8360">
        <v>8358</v>
      </c>
      <c r="B8360">
        <v>8359</v>
      </c>
      <c r="C8360" t="s">
        <v>8435</v>
      </c>
      <c r="D8360">
        <v>2017</v>
      </c>
      <c r="E8360" t="s">
        <v>28</v>
      </c>
      <c r="F8360" t="s">
        <v>3523</v>
      </c>
      <c r="G8360">
        <v>0</v>
      </c>
      <c r="H8360">
        <v>0</v>
      </c>
      <c r="I8360">
        <v>1</v>
      </c>
      <c r="J8360">
        <v>0</v>
      </c>
      <c r="K8360">
        <v>0</v>
      </c>
      <c r="L8360">
        <f t="shared" si="260"/>
        <v>3.6</v>
      </c>
      <c r="M8360">
        <f t="shared" si="261"/>
        <v>1</v>
      </c>
    </row>
    <row r="8361" spans="1:13" x14ac:dyDescent="0.3">
      <c r="A8361">
        <v>8359</v>
      </c>
      <c r="B8361">
        <v>8360</v>
      </c>
      <c r="C8361" t="s">
        <v>8436</v>
      </c>
      <c r="D8361">
        <v>1939</v>
      </c>
      <c r="F8361" t="s">
        <v>3523</v>
      </c>
      <c r="G8361">
        <v>0</v>
      </c>
      <c r="H8361">
        <v>0</v>
      </c>
      <c r="I8361">
        <v>1</v>
      </c>
      <c r="J8361">
        <v>0</v>
      </c>
      <c r="K8361">
        <v>0</v>
      </c>
      <c r="L8361">
        <f t="shared" si="260"/>
        <v>3.6</v>
      </c>
      <c r="M8361">
        <f t="shared" si="261"/>
        <v>1</v>
      </c>
    </row>
    <row r="8362" spans="1:13" x14ac:dyDescent="0.3">
      <c r="A8362">
        <v>8360</v>
      </c>
      <c r="B8362">
        <v>8361</v>
      </c>
      <c r="C8362" t="s">
        <v>8437</v>
      </c>
      <c r="D8362">
        <v>1978</v>
      </c>
      <c r="E8362" t="s">
        <v>14</v>
      </c>
      <c r="F8362" t="s">
        <v>3523</v>
      </c>
      <c r="G8362">
        <v>0</v>
      </c>
      <c r="H8362">
        <v>0</v>
      </c>
      <c r="I8362">
        <v>1</v>
      </c>
      <c r="J8362">
        <v>0</v>
      </c>
      <c r="K8362">
        <v>0</v>
      </c>
      <c r="L8362">
        <f t="shared" si="260"/>
        <v>3.6</v>
      </c>
      <c r="M8362">
        <f t="shared" si="261"/>
        <v>1</v>
      </c>
    </row>
    <row r="8363" spans="1:13" x14ac:dyDescent="0.3">
      <c r="A8363">
        <v>8361</v>
      </c>
      <c r="B8363">
        <v>8362</v>
      </c>
      <c r="C8363" t="s">
        <v>8438</v>
      </c>
      <c r="D8363">
        <v>2012</v>
      </c>
      <c r="E8363" t="s">
        <v>11</v>
      </c>
      <c r="F8363" t="s">
        <v>3523</v>
      </c>
      <c r="G8363">
        <v>0</v>
      </c>
      <c r="H8363">
        <v>0</v>
      </c>
      <c r="I8363">
        <v>1</v>
      </c>
      <c r="J8363">
        <v>0</v>
      </c>
      <c r="K8363">
        <v>0</v>
      </c>
      <c r="L8363">
        <f t="shared" si="260"/>
        <v>3.6</v>
      </c>
      <c r="M8363">
        <f t="shared" si="261"/>
        <v>1</v>
      </c>
    </row>
    <row r="8364" spans="1:13" x14ac:dyDescent="0.3">
      <c r="A8364">
        <v>8362</v>
      </c>
      <c r="B8364">
        <v>8363</v>
      </c>
      <c r="C8364" t="s">
        <v>8439</v>
      </c>
      <c r="D8364">
        <v>2018</v>
      </c>
      <c r="F8364" t="s">
        <v>3523</v>
      </c>
      <c r="G8364">
        <v>0</v>
      </c>
      <c r="H8364">
        <v>0</v>
      </c>
      <c r="I8364">
        <v>1</v>
      </c>
      <c r="J8364">
        <v>0</v>
      </c>
      <c r="K8364">
        <v>0</v>
      </c>
      <c r="L8364">
        <f t="shared" si="260"/>
        <v>3.6</v>
      </c>
      <c r="M8364">
        <f t="shared" si="261"/>
        <v>1</v>
      </c>
    </row>
    <row r="8365" spans="1:13" x14ac:dyDescent="0.3">
      <c r="A8365">
        <v>8363</v>
      </c>
      <c r="B8365">
        <v>8364</v>
      </c>
      <c r="C8365" t="s">
        <v>8440</v>
      </c>
      <c r="D8365">
        <v>2016</v>
      </c>
      <c r="E8365" t="s">
        <v>14</v>
      </c>
      <c r="F8365" t="s">
        <v>3523</v>
      </c>
      <c r="G8365">
        <v>0</v>
      </c>
      <c r="H8365">
        <v>0</v>
      </c>
      <c r="I8365">
        <v>1</v>
      </c>
      <c r="J8365">
        <v>0</v>
      </c>
      <c r="K8365">
        <v>0</v>
      </c>
      <c r="L8365">
        <f t="shared" si="260"/>
        <v>3.6</v>
      </c>
      <c r="M8365">
        <f t="shared" si="261"/>
        <v>1</v>
      </c>
    </row>
    <row r="8366" spans="1:13" x14ac:dyDescent="0.3">
      <c r="A8366">
        <v>8364</v>
      </c>
      <c r="B8366">
        <v>8365</v>
      </c>
      <c r="C8366" t="s">
        <v>8441</v>
      </c>
      <c r="D8366">
        <v>1943</v>
      </c>
      <c r="F8366" t="s">
        <v>3523</v>
      </c>
      <c r="G8366">
        <v>0</v>
      </c>
      <c r="H8366">
        <v>0</v>
      </c>
      <c r="I8366">
        <v>1</v>
      </c>
      <c r="J8366">
        <v>0</v>
      </c>
      <c r="K8366">
        <v>0</v>
      </c>
      <c r="L8366">
        <f t="shared" si="260"/>
        <v>3.6</v>
      </c>
      <c r="M8366">
        <f t="shared" si="261"/>
        <v>1</v>
      </c>
    </row>
    <row r="8367" spans="1:13" x14ac:dyDescent="0.3">
      <c r="A8367">
        <v>8365</v>
      </c>
      <c r="B8367">
        <v>8366</v>
      </c>
      <c r="C8367" t="s">
        <v>8442</v>
      </c>
      <c r="D8367">
        <v>2010</v>
      </c>
      <c r="F8367" t="s">
        <v>3523</v>
      </c>
      <c r="G8367">
        <v>0</v>
      </c>
      <c r="H8367">
        <v>0</v>
      </c>
      <c r="I8367">
        <v>1</v>
      </c>
      <c r="J8367">
        <v>0</v>
      </c>
      <c r="K8367">
        <v>0</v>
      </c>
      <c r="L8367">
        <f t="shared" si="260"/>
        <v>3.6</v>
      </c>
      <c r="M8367">
        <f t="shared" si="261"/>
        <v>1</v>
      </c>
    </row>
    <row r="8368" spans="1:13" x14ac:dyDescent="0.3">
      <c r="A8368">
        <v>8366</v>
      </c>
      <c r="B8368">
        <v>8367</v>
      </c>
      <c r="C8368" t="s">
        <v>8443</v>
      </c>
      <c r="D8368">
        <v>2008</v>
      </c>
      <c r="F8368" t="s">
        <v>3523</v>
      </c>
      <c r="G8368">
        <v>0</v>
      </c>
      <c r="H8368">
        <v>0</v>
      </c>
      <c r="I8368">
        <v>1</v>
      </c>
      <c r="J8368">
        <v>0</v>
      </c>
      <c r="K8368">
        <v>0</v>
      </c>
      <c r="L8368">
        <f t="shared" si="260"/>
        <v>3.6</v>
      </c>
      <c r="M8368">
        <f t="shared" si="261"/>
        <v>1</v>
      </c>
    </row>
    <row r="8369" spans="1:13" x14ac:dyDescent="0.3">
      <c r="A8369">
        <v>8367</v>
      </c>
      <c r="B8369">
        <v>8368</v>
      </c>
      <c r="C8369" t="s">
        <v>8444</v>
      </c>
      <c r="D8369">
        <v>2020</v>
      </c>
      <c r="F8369" t="s">
        <v>3523</v>
      </c>
      <c r="G8369">
        <v>0</v>
      </c>
      <c r="H8369">
        <v>0</v>
      </c>
      <c r="I8369">
        <v>1</v>
      </c>
      <c r="J8369">
        <v>0</v>
      </c>
      <c r="K8369">
        <v>0</v>
      </c>
      <c r="L8369">
        <f t="shared" si="260"/>
        <v>3.6</v>
      </c>
      <c r="M8369">
        <f t="shared" si="261"/>
        <v>1</v>
      </c>
    </row>
    <row r="8370" spans="1:13" x14ac:dyDescent="0.3">
      <c r="A8370">
        <v>8368</v>
      </c>
      <c r="B8370">
        <v>8369</v>
      </c>
      <c r="C8370" t="s">
        <v>8445</v>
      </c>
      <c r="D8370">
        <v>2015</v>
      </c>
      <c r="E8370" t="s">
        <v>11</v>
      </c>
      <c r="F8370" t="s">
        <v>3523</v>
      </c>
      <c r="G8370">
        <v>0</v>
      </c>
      <c r="H8370">
        <v>0</v>
      </c>
      <c r="I8370">
        <v>1</v>
      </c>
      <c r="J8370">
        <v>0</v>
      </c>
      <c r="K8370">
        <v>0</v>
      </c>
      <c r="L8370">
        <f t="shared" si="260"/>
        <v>3.6</v>
      </c>
      <c r="M8370">
        <f t="shared" si="261"/>
        <v>1</v>
      </c>
    </row>
    <row r="8371" spans="1:13" x14ac:dyDescent="0.3">
      <c r="A8371">
        <v>8369</v>
      </c>
      <c r="B8371">
        <v>8370</v>
      </c>
      <c r="C8371" t="s">
        <v>8446</v>
      </c>
      <c r="D8371">
        <v>2015</v>
      </c>
      <c r="F8371" t="s">
        <v>3523</v>
      </c>
      <c r="G8371">
        <v>0</v>
      </c>
      <c r="H8371">
        <v>0</v>
      </c>
      <c r="I8371">
        <v>1</v>
      </c>
      <c r="J8371">
        <v>0</v>
      </c>
      <c r="K8371">
        <v>0</v>
      </c>
      <c r="L8371">
        <f t="shared" si="260"/>
        <v>3.6</v>
      </c>
      <c r="M8371">
        <f t="shared" si="261"/>
        <v>1</v>
      </c>
    </row>
    <row r="8372" spans="1:13" x14ac:dyDescent="0.3">
      <c r="A8372">
        <v>8370</v>
      </c>
      <c r="B8372">
        <v>8371</v>
      </c>
      <c r="C8372" t="s">
        <v>8447</v>
      </c>
      <c r="D8372">
        <v>2016</v>
      </c>
      <c r="F8372" t="s">
        <v>3523</v>
      </c>
      <c r="G8372">
        <v>0</v>
      </c>
      <c r="H8372">
        <v>0</v>
      </c>
      <c r="I8372">
        <v>1</v>
      </c>
      <c r="J8372">
        <v>0</v>
      </c>
      <c r="K8372">
        <v>0</v>
      </c>
      <c r="L8372">
        <f t="shared" si="260"/>
        <v>3.6</v>
      </c>
      <c r="M8372">
        <f t="shared" si="261"/>
        <v>1</v>
      </c>
    </row>
    <row r="8373" spans="1:13" x14ac:dyDescent="0.3">
      <c r="A8373">
        <v>8371</v>
      </c>
      <c r="B8373">
        <v>8372</v>
      </c>
      <c r="C8373" t="s">
        <v>8448</v>
      </c>
      <c r="D8373">
        <v>2013</v>
      </c>
      <c r="F8373" t="s">
        <v>3523</v>
      </c>
      <c r="G8373">
        <v>0</v>
      </c>
      <c r="H8373">
        <v>0</v>
      </c>
      <c r="I8373">
        <v>1</v>
      </c>
      <c r="J8373">
        <v>0</v>
      </c>
      <c r="K8373">
        <v>0</v>
      </c>
      <c r="L8373">
        <f t="shared" si="260"/>
        <v>3.6</v>
      </c>
      <c r="M8373">
        <f t="shared" si="261"/>
        <v>1</v>
      </c>
    </row>
    <row r="8374" spans="1:13" x14ac:dyDescent="0.3">
      <c r="A8374">
        <v>8372</v>
      </c>
      <c r="B8374">
        <v>8373</v>
      </c>
      <c r="C8374" t="s">
        <v>8449</v>
      </c>
      <c r="D8374">
        <v>2016</v>
      </c>
      <c r="F8374" t="s">
        <v>3523</v>
      </c>
      <c r="G8374">
        <v>0</v>
      </c>
      <c r="H8374">
        <v>0</v>
      </c>
      <c r="I8374">
        <v>1</v>
      </c>
      <c r="J8374">
        <v>0</v>
      </c>
      <c r="K8374">
        <v>0</v>
      </c>
      <c r="L8374">
        <f t="shared" si="260"/>
        <v>3.6</v>
      </c>
      <c r="M8374">
        <f t="shared" si="261"/>
        <v>1</v>
      </c>
    </row>
    <row r="8375" spans="1:13" x14ac:dyDescent="0.3">
      <c r="A8375">
        <v>8373</v>
      </c>
      <c r="B8375">
        <v>8374</v>
      </c>
      <c r="C8375" t="s">
        <v>8450</v>
      </c>
      <c r="D8375">
        <v>2020</v>
      </c>
      <c r="E8375" t="s">
        <v>14</v>
      </c>
      <c r="F8375" t="s">
        <v>3523</v>
      </c>
      <c r="G8375">
        <v>0</v>
      </c>
      <c r="H8375">
        <v>0</v>
      </c>
      <c r="I8375">
        <v>1</v>
      </c>
      <c r="J8375">
        <v>0</v>
      </c>
      <c r="K8375">
        <v>0</v>
      </c>
      <c r="L8375">
        <f t="shared" si="260"/>
        <v>3.6</v>
      </c>
      <c r="M8375">
        <f t="shared" si="261"/>
        <v>1</v>
      </c>
    </row>
    <row r="8376" spans="1:13" x14ac:dyDescent="0.3">
      <c r="A8376">
        <v>8374</v>
      </c>
      <c r="B8376">
        <v>8375</v>
      </c>
      <c r="C8376" t="s">
        <v>8451</v>
      </c>
      <c r="D8376">
        <v>2013</v>
      </c>
      <c r="F8376" t="s">
        <v>3523</v>
      </c>
      <c r="G8376">
        <v>0</v>
      </c>
      <c r="H8376">
        <v>0</v>
      </c>
      <c r="I8376">
        <v>1</v>
      </c>
      <c r="J8376">
        <v>0</v>
      </c>
      <c r="K8376">
        <v>0</v>
      </c>
      <c r="L8376">
        <f t="shared" si="260"/>
        <v>3.6</v>
      </c>
      <c r="M8376">
        <f t="shared" si="261"/>
        <v>1</v>
      </c>
    </row>
    <row r="8377" spans="1:13" x14ac:dyDescent="0.3">
      <c r="A8377">
        <v>8375</v>
      </c>
      <c r="B8377">
        <v>8376</v>
      </c>
      <c r="C8377" t="s">
        <v>8452</v>
      </c>
      <c r="D8377">
        <v>2020</v>
      </c>
      <c r="E8377" t="s">
        <v>14</v>
      </c>
      <c r="F8377" t="s">
        <v>3523</v>
      </c>
      <c r="G8377">
        <v>0</v>
      </c>
      <c r="H8377">
        <v>0</v>
      </c>
      <c r="I8377">
        <v>1</v>
      </c>
      <c r="J8377">
        <v>0</v>
      </c>
      <c r="K8377">
        <v>0</v>
      </c>
      <c r="L8377">
        <f t="shared" si="260"/>
        <v>3.6</v>
      </c>
      <c r="M8377">
        <f t="shared" si="261"/>
        <v>1</v>
      </c>
    </row>
    <row r="8378" spans="1:13" x14ac:dyDescent="0.3">
      <c r="A8378">
        <v>8376</v>
      </c>
      <c r="B8378">
        <v>8377</v>
      </c>
      <c r="C8378" t="s">
        <v>8453</v>
      </c>
      <c r="D8378">
        <v>1976</v>
      </c>
      <c r="E8378" t="s">
        <v>11</v>
      </c>
      <c r="F8378" t="s">
        <v>3523</v>
      </c>
      <c r="G8378">
        <v>0</v>
      </c>
      <c r="H8378">
        <v>0</v>
      </c>
      <c r="I8378">
        <v>1</v>
      </c>
      <c r="J8378">
        <v>0</v>
      </c>
      <c r="K8378">
        <v>0</v>
      </c>
      <c r="L8378">
        <f t="shared" si="260"/>
        <v>3.6</v>
      </c>
      <c r="M8378">
        <f t="shared" si="261"/>
        <v>1</v>
      </c>
    </row>
    <row r="8379" spans="1:13" x14ac:dyDescent="0.3">
      <c r="A8379">
        <v>8377</v>
      </c>
      <c r="B8379">
        <v>8378</v>
      </c>
      <c r="C8379" t="s">
        <v>8454</v>
      </c>
      <c r="D8379">
        <v>1941</v>
      </c>
      <c r="F8379" t="s">
        <v>3523</v>
      </c>
      <c r="G8379">
        <v>0</v>
      </c>
      <c r="H8379">
        <v>0</v>
      </c>
      <c r="I8379">
        <v>1</v>
      </c>
      <c r="J8379">
        <v>0</v>
      </c>
      <c r="K8379">
        <v>0</v>
      </c>
      <c r="L8379">
        <f t="shared" si="260"/>
        <v>3.6</v>
      </c>
      <c r="M8379">
        <f t="shared" si="261"/>
        <v>1</v>
      </c>
    </row>
    <row r="8380" spans="1:13" x14ac:dyDescent="0.3">
      <c r="A8380">
        <v>8378</v>
      </c>
      <c r="B8380">
        <v>8379</v>
      </c>
      <c r="C8380" t="s">
        <v>8455</v>
      </c>
      <c r="D8380">
        <v>2007</v>
      </c>
      <c r="F8380" t="s">
        <v>3523</v>
      </c>
      <c r="G8380">
        <v>0</v>
      </c>
      <c r="H8380">
        <v>0</v>
      </c>
      <c r="I8380">
        <v>1</v>
      </c>
      <c r="J8380">
        <v>0</v>
      </c>
      <c r="K8380">
        <v>0</v>
      </c>
      <c r="L8380">
        <f t="shared" si="260"/>
        <v>3.6</v>
      </c>
      <c r="M8380">
        <f t="shared" si="261"/>
        <v>1</v>
      </c>
    </row>
    <row r="8381" spans="1:13" x14ac:dyDescent="0.3">
      <c r="A8381">
        <v>8379</v>
      </c>
      <c r="B8381">
        <v>8380</v>
      </c>
      <c r="C8381" t="s">
        <v>8456</v>
      </c>
      <c r="D8381">
        <v>1978</v>
      </c>
      <c r="E8381" t="s">
        <v>11</v>
      </c>
      <c r="F8381" t="s">
        <v>3523</v>
      </c>
      <c r="G8381">
        <v>0</v>
      </c>
      <c r="H8381">
        <v>0</v>
      </c>
      <c r="I8381">
        <v>1</v>
      </c>
      <c r="J8381">
        <v>0</v>
      </c>
      <c r="K8381">
        <v>0</v>
      </c>
      <c r="L8381">
        <f t="shared" si="260"/>
        <v>3.6</v>
      </c>
      <c r="M8381">
        <f t="shared" si="261"/>
        <v>1</v>
      </c>
    </row>
    <row r="8382" spans="1:13" x14ac:dyDescent="0.3">
      <c r="A8382">
        <v>8380</v>
      </c>
      <c r="B8382">
        <v>8381</v>
      </c>
      <c r="C8382" t="s">
        <v>8457</v>
      </c>
      <c r="D8382">
        <v>2014</v>
      </c>
      <c r="F8382" t="s">
        <v>3523</v>
      </c>
      <c r="G8382">
        <v>0</v>
      </c>
      <c r="H8382">
        <v>0</v>
      </c>
      <c r="I8382">
        <v>1</v>
      </c>
      <c r="J8382">
        <v>0</v>
      </c>
      <c r="K8382">
        <v>0</v>
      </c>
      <c r="L8382">
        <f t="shared" si="260"/>
        <v>3.6</v>
      </c>
      <c r="M8382">
        <f t="shared" si="261"/>
        <v>1</v>
      </c>
    </row>
    <row r="8383" spans="1:13" x14ac:dyDescent="0.3">
      <c r="A8383">
        <v>8381</v>
      </c>
      <c r="B8383">
        <v>8382</v>
      </c>
      <c r="C8383" t="s">
        <v>8458</v>
      </c>
      <c r="D8383">
        <v>2019</v>
      </c>
      <c r="F8383" t="s">
        <v>3523</v>
      </c>
      <c r="G8383">
        <v>0</v>
      </c>
      <c r="H8383">
        <v>0</v>
      </c>
      <c r="I8383">
        <v>1</v>
      </c>
      <c r="J8383">
        <v>0</v>
      </c>
      <c r="K8383">
        <v>0</v>
      </c>
      <c r="L8383">
        <f t="shared" si="260"/>
        <v>3.6</v>
      </c>
      <c r="M8383">
        <f t="shared" si="261"/>
        <v>1</v>
      </c>
    </row>
    <row r="8384" spans="1:13" x14ac:dyDescent="0.3">
      <c r="A8384">
        <v>8382</v>
      </c>
      <c r="B8384">
        <v>8383</v>
      </c>
      <c r="C8384" t="s">
        <v>8459</v>
      </c>
      <c r="D8384">
        <v>2006</v>
      </c>
      <c r="F8384" t="s">
        <v>3523</v>
      </c>
      <c r="G8384">
        <v>0</v>
      </c>
      <c r="H8384">
        <v>0</v>
      </c>
      <c r="I8384">
        <v>1</v>
      </c>
      <c r="J8384">
        <v>0</v>
      </c>
      <c r="K8384">
        <v>0</v>
      </c>
      <c r="L8384">
        <f t="shared" si="260"/>
        <v>3.6</v>
      </c>
      <c r="M8384">
        <f t="shared" si="261"/>
        <v>1</v>
      </c>
    </row>
    <row r="8385" spans="1:13" x14ac:dyDescent="0.3">
      <c r="A8385">
        <v>8383</v>
      </c>
      <c r="B8385">
        <v>8384</v>
      </c>
      <c r="C8385" t="s">
        <v>8460</v>
      </c>
      <c r="D8385">
        <v>2020</v>
      </c>
      <c r="F8385" t="s">
        <v>3523</v>
      </c>
      <c r="G8385">
        <v>0</v>
      </c>
      <c r="H8385">
        <v>0</v>
      </c>
      <c r="I8385">
        <v>1</v>
      </c>
      <c r="J8385">
        <v>0</v>
      </c>
      <c r="K8385">
        <v>0</v>
      </c>
      <c r="L8385">
        <f t="shared" si="260"/>
        <v>3.6</v>
      </c>
      <c r="M8385">
        <f t="shared" si="261"/>
        <v>1</v>
      </c>
    </row>
    <row r="8386" spans="1:13" x14ac:dyDescent="0.3">
      <c r="A8386">
        <v>8384</v>
      </c>
      <c r="B8386">
        <v>8385</v>
      </c>
      <c r="C8386" t="s">
        <v>8461</v>
      </c>
      <c r="D8386">
        <v>2020</v>
      </c>
      <c r="F8386" t="s">
        <v>3523</v>
      </c>
      <c r="G8386">
        <v>0</v>
      </c>
      <c r="H8386">
        <v>0</v>
      </c>
      <c r="I8386">
        <v>1</v>
      </c>
      <c r="J8386">
        <v>0</v>
      </c>
      <c r="K8386">
        <v>0</v>
      </c>
      <c r="L8386">
        <f t="shared" si="260"/>
        <v>3.6</v>
      </c>
      <c r="M8386">
        <f t="shared" si="261"/>
        <v>1</v>
      </c>
    </row>
    <row r="8387" spans="1:13" x14ac:dyDescent="0.3">
      <c r="A8387">
        <v>8385</v>
      </c>
      <c r="B8387">
        <v>8386</v>
      </c>
      <c r="C8387" t="s">
        <v>8462</v>
      </c>
      <c r="D8387">
        <v>2019</v>
      </c>
      <c r="F8387" t="s">
        <v>3523</v>
      </c>
      <c r="G8387">
        <v>0</v>
      </c>
      <c r="H8387">
        <v>0</v>
      </c>
      <c r="I8387">
        <v>1</v>
      </c>
      <c r="J8387">
        <v>0</v>
      </c>
      <c r="K8387">
        <v>0</v>
      </c>
      <c r="L8387">
        <f t="shared" ref="L8387:L8450" si="262">IFERROR(VALUE(LEFT(F8387,FIND("/",F8387)-1))/10,"")</f>
        <v>3.6</v>
      </c>
      <c r="M8387">
        <f t="shared" ref="M8387:M8450" si="263">SUM(G8387:J8387)</f>
        <v>1</v>
      </c>
    </row>
    <row r="8388" spans="1:13" x14ac:dyDescent="0.3">
      <c r="A8388">
        <v>8386</v>
      </c>
      <c r="B8388">
        <v>8387</v>
      </c>
      <c r="C8388" t="s">
        <v>8463</v>
      </c>
      <c r="D8388">
        <v>1962</v>
      </c>
      <c r="F8388" t="s">
        <v>3523</v>
      </c>
      <c r="G8388">
        <v>0</v>
      </c>
      <c r="H8388">
        <v>0</v>
      </c>
      <c r="I8388">
        <v>1</v>
      </c>
      <c r="J8388">
        <v>0</v>
      </c>
      <c r="K8388">
        <v>0</v>
      </c>
      <c r="L8388">
        <f t="shared" si="262"/>
        <v>3.6</v>
      </c>
      <c r="M8388">
        <f t="shared" si="263"/>
        <v>1</v>
      </c>
    </row>
    <row r="8389" spans="1:13" x14ac:dyDescent="0.3">
      <c r="A8389">
        <v>8387</v>
      </c>
      <c r="B8389">
        <v>8388</v>
      </c>
      <c r="C8389" t="s">
        <v>8464</v>
      </c>
      <c r="D8389">
        <v>1935</v>
      </c>
      <c r="F8389" t="s">
        <v>3523</v>
      </c>
      <c r="G8389">
        <v>0</v>
      </c>
      <c r="H8389">
        <v>0</v>
      </c>
      <c r="I8389">
        <v>1</v>
      </c>
      <c r="J8389">
        <v>0</v>
      </c>
      <c r="K8389">
        <v>0</v>
      </c>
      <c r="L8389">
        <f t="shared" si="262"/>
        <v>3.6</v>
      </c>
      <c r="M8389">
        <f t="shared" si="263"/>
        <v>1</v>
      </c>
    </row>
    <row r="8390" spans="1:13" x14ac:dyDescent="0.3">
      <c r="A8390">
        <v>8388</v>
      </c>
      <c r="B8390">
        <v>8389</v>
      </c>
      <c r="C8390" t="s">
        <v>8465</v>
      </c>
      <c r="D8390">
        <v>2018</v>
      </c>
      <c r="F8390" t="s">
        <v>3523</v>
      </c>
      <c r="G8390">
        <v>0</v>
      </c>
      <c r="H8390">
        <v>0</v>
      </c>
      <c r="I8390">
        <v>1</v>
      </c>
      <c r="J8390">
        <v>0</v>
      </c>
      <c r="K8390">
        <v>0</v>
      </c>
      <c r="L8390">
        <f t="shared" si="262"/>
        <v>3.6</v>
      </c>
      <c r="M8390">
        <f t="shared" si="263"/>
        <v>1</v>
      </c>
    </row>
    <row r="8391" spans="1:13" x14ac:dyDescent="0.3">
      <c r="A8391">
        <v>8389</v>
      </c>
      <c r="B8391">
        <v>8390</v>
      </c>
      <c r="C8391" t="s">
        <v>8466</v>
      </c>
      <c r="D8391">
        <v>1938</v>
      </c>
      <c r="F8391" t="s">
        <v>3523</v>
      </c>
      <c r="G8391">
        <v>0</v>
      </c>
      <c r="H8391">
        <v>0</v>
      </c>
      <c r="I8391">
        <v>1</v>
      </c>
      <c r="J8391">
        <v>0</v>
      </c>
      <c r="K8391">
        <v>0</v>
      </c>
      <c r="L8391">
        <f t="shared" si="262"/>
        <v>3.6</v>
      </c>
      <c r="M8391">
        <f t="shared" si="263"/>
        <v>1</v>
      </c>
    </row>
    <row r="8392" spans="1:13" x14ac:dyDescent="0.3">
      <c r="A8392">
        <v>8390</v>
      </c>
      <c r="B8392">
        <v>8391</v>
      </c>
      <c r="C8392" t="s">
        <v>8467</v>
      </c>
      <c r="D8392">
        <v>2018</v>
      </c>
      <c r="F8392" t="s">
        <v>3523</v>
      </c>
      <c r="G8392">
        <v>0</v>
      </c>
      <c r="H8392">
        <v>0</v>
      </c>
      <c r="I8392">
        <v>1</v>
      </c>
      <c r="J8392">
        <v>0</v>
      </c>
      <c r="K8392">
        <v>0</v>
      </c>
      <c r="L8392">
        <f t="shared" si="262"/>
        <v>3.6</v>
      </c>
      <c r="M8392">
        <f t="shared" si="263"/>
        <v>1</v>
      </c>
    </row>
    <row r="8393" spans="1:13" x14ac:dyDescent="0.3">
      <c r="A8393">
        <v>8391</v>
      </c>
      <c r="B8393">
        <v>8392</v>
      </c>
      <c r="C8393" t="s">
        <v>8468</v>
      </c>
      <c r="D8393">
        <v>2018</v>
      </c>
      <c r="E8393" t="s">
        <v>11</v>
      </c>
      <c r="F8393" t="s">
        <v>3523</v>
      </c>
      <c r="G8393">
        <v>0</v>
      </c>
      <c r="H8393">
        <v>0</v>
      </c>
      <c r="I8393">
        <v>1</v>
      </c>
      <c r="J8393">
        <v>0</v>
      </c>
      <c r="K8393">
        <v>0</v>
      </c>
      <c r="L8393">
        <f t="shared" si="262"/>
        <v>3.6</v>
      </c>
      <c r="M8393">
        <f t="shared" si="263"/>
        <v>1</v>
      </c>
    </row>
    <row r="8394" spans="1:13" x14ac:dyDescent="0.3">
      <c r="A8394">
        <v>8392</v>
      </c>
      <c r="B8394">
        <v>8393</v>
      </c>
      <c r="C8394" t="s">
        <v>8469</v>
      </c>
      <c r="D8394">
        <v>2016</v>
      </c>
      <c r="F8394" t="s">
        <v>3523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f t="shared" si="262"/>
        <v>3.6</v>
      </c>
      <c r="M8394">
        <f t="shared" si="263"/>
        <v>1</v>
      </c>
    </row>
    <row r="8395" spans="1:13" x14ac:dyDescent="0.3">
      <c r="A8395">
        <v>8393</v>
      </c>
      <c r="B8395">
        <v>8394</v>
      </c>
      <c r="C8395" t="s">
        <v>8470</v>
      </c>
      <c r="D8395">
        <v>2018</v>
      </c>
      <c r="F8395" t="s">
        <v>3523</v>
      </c>
      <c r="G8395">
        <v>0</v>
      </c>
      <c r="H8395">
        <v>0</v>
      </c>
      <c r="I8395">
        <v>1</v>
      </c>
      <c r="J8395">
        <v>0</v>
      </c>
      <c r="K8395">
        <v>0</v>
      </c>
      <c r="L8395">
        <f t="shared" si="262"/>
        <v>3.6</v>
      </c>
      <c r="M8395">
        <f t="shared" si="263"/>
        <v>1</v>
      </c>
    </row>
    <row r="8396" spans="1:13" x14ac:dyDescent="0.3">
      <c r="A8396">
        <v>8394</v>
      </c>
      <c r="B8396">
        <v>8395</v>
      </c>
      <c r="C8396" t="s">
        <v>8471</v>
      </c>
      <c r="D8396">
        <v>2020</v>
      </c>
      <c r="E8396" t="s">
        <v>36</v>
      </c>
      <c r="F8396" t="s">
        <v>3523</v>
      </c>
      <c r="G8396">
        <v>0</v>
      </c>
      <c r="H8396">
        <v>0</v>
      </c>
      <c r="I8396">
        <v>1</v>
      </c>
      <c r="J8396">
        <v>0</v>
      </c>
      <c r="K8396">
        <v>0</v>
      </c>
      <c r="L8396">
        <f t="shared" si="262"/>
        <v>3.6</v>
      </c>
      <c r="M8396">
        <f t="shared" si="263"/>
        <v>1</v>
      </c>
    </row>
    <row r="8397" spans="1:13" x14ac:dyDescent="0.3">
      <c r="A8397">
        <v>8395</v>
      </c>
      <c r="B8397">
        <v>8396</v>
      </c>
      <c r="C8397" t="s">
        <v>8472</v>
      </c>
      <c r="D8397">
        <v>2020</v>
      </c>
      <c r="F8397" t="s">
        <v>3523</v>
      </c>
      <c r="G8397">
        <v>0</v>
      </c>
      <c r="H8397">
        <v>0</v>
      </c>
      <c r="I8397">
        <v>1</v>
      </c>
      <c r="J8397">
        <v>0</v>
      </c>
      <c r="K8397">
        <v>0</v>
      </c>
      <c r="L8397">
        <f t="shared" si="262"/>
        <v>3.6</v>
      </c>
      <c r="M8397">
        <f t="shared" si="263"/>
        <v>1</v>
      </c>
    </row>
    <row r="8398" spans="1:13" x14ac:dyDescent="0.3">
      <c r="A8398">
        <v>8396</v>
      </c>
      <c r="B8398">
        <v>8397</v>
      </c>
      <c r="C8398" t="s">
        <v>8473</v>
      </c>
      <c r="D8398">
        <v>2016</v>
      </c>
      <c r="E8398" t="s">
        <v>14</v>
      </c>
      <c r="F8398" t="s">
        <v>3523</v>
      </c>
      <c r="G8398">
        <v>0</v>
      </c>
      <c r="H8398">
        <v>0</v>
      </c>
      <c r="I8398">
        <v>1</v>
      </c>
      <c r="J8398">
        <v>0</v>
      </c>
      <c r="K8398">
        <v>0</v>
      </c>
      <c r="L8398">
        <f t="shared" si="262"/>
        <v>3.6</v>
      </c>
      <c r="M8398">
        <f t="shared" si="263"/>
        <v>1</v>
      </c>
    </row>
    <row r="8399" spans="1:13" x14ac:dyDescent="0.3">
      <c r="A8399">
        <v>8397</v>
      </c>
      <c r="B8399">
        <v>8398</v>
      </c>
      <c r="C8399" t="s">
        <v>8474</v>
      </c>
      <c r="D8399">
        <v>2017</v>
      </c>
      <c r="E8399" t="s">
        <v>11</v>
      </c>
      <c r="F8399" t="s">
        <v>3523</v>
      </c>
      <c r="G8399">
        <v>0</v>
      </c>
      <c r="H8399">
        <v>0</v>
      </c>
      <c r="I8399">
        <v>1</v>
      </c>
      <c r="J8399">
        <v>0</v>
      </c>
      <c r="K8399">
        <v>0</v>
      </c>
      <c r="L8399">
        <f t="shared" si="262"/>
        <v>3.6</v>
      </c>
      <c r="M8399">
        <f t="shared" si="263"/>
        <v>1</v>
      </c>
    </row>
    <row r="8400" spans="1:13" x14ac:dyDescent="0.3">
      <c r="A8400">
        <v>8398</v>
      </c>
      <c r="B8400">
        <v>8399</v>
      </c>
      <c r="C8400" t="s">
        <v>8475</v>
      </c>
      <c r="D8400">
        <v>2015</v>
      </c>
      <c r="F8400" t="s">
        <v>3523</v>
      </c>
      <c r="G8400">
        <v>0</v>
      </c>
      <c r="H8400">
        <v>0</v>
      </c>
      <c r="I8400">
        <v>1</v>
      </c>
      <c r="J8400">
        <v>0</v>
      </c>
      <c r="K8400">
        <v>0</v>
      </c>
      <c r="L8400">
        <f t="shared" si="262"/>
        <v>3.6</v>
      </c>
      <c r="M8400">
        <f t="shared" si="263"/>
        <v>1</v>
      </c>
    </row>
    <row r="8401" spans="1:13" x14ac:dyDescent="0.3">
      <c r="A8401">
        <v>8399</v>
      </c>
      <c r="B8401">
        <v>8400</v>
      </c>
      <c r="C8401" t="s">
        <v>8476</v>
      </c>
      <c r="D8401">
        <v>2017</v>
      </c>
      <c r="F8401" t="s">
        <v>3523</v>
      </c>
      <c r="G8401">
        <v>0</v>
      </c>
      <c r="H8401">
        <v>0</v>
      </c>
      <c r="I8401">
        <v>1</v>
      </c>
      <c r="J8401">
        <v>0</v>
      </c>
      <c r="K8401">
        <v>0</v>
      </c>
      <c r="L8401">
        <f t="shared" si="262"/>
        <v>3.6</v>
      </c>
      <c r="M8401">
        <f t="shared" si="263"/>
        <v>1</v>
      </c>
    </row>
    <row r="8402" spans="1:13" x14ac:dyDescent="0.3">
      <c r="A8402">
        <v>8400</v>
      </c>
      <c r="B8402">
        <v>8401</v>
      </c>
      <c r="C8402" t="s">
        <v>8477</v>
      </c>
      <c r="D8402">
        <v>2020</v>
      </c>
      <c r="F8402" t="s">
        <v>3523</v>
      </c>
      <c r="G8402">
        <v>0</v>
      </c>
      <c r="H8402">
        <v>0</v>
      </c>
      <c r="I8402">
        <v>1</v>
      </c>
      <c r="J8402">
        <v>0</v>
      </c>
      <c r="K8402">
        <v>0</v>
      </c>
      <c r="L8402">
        <f t="shared" si="262"/>
        <v>3.6</v>
      </c>
      <c r="M8402">
        <f t="shared" si="263"/>
        <v>1</v>
      </c>
    </row>
    <row r="8403" spans="1:13" x14ac:dyDescent="0.3">
      <c r="A8403">
        <v>8401</v>
      </c>
      <c r="B8403">
        <v>8402</v>
      </c>
      <c r="C8403" t="s">
        <v>8478</v>
      </c>
      <c r="D8403">
        <v>1986</v>
      </c>
      <c r="F8403" t="s">
        <v>3523</v>
      </c>
      <c r="G8403">
        <v>0</v>
      </c>
      <c r="H8403">
        <v>0</v>
      </c>
      <c r="I8403">
        <v>1</v>
      </c>
      <c r="J8403">
        <v>0</v>
      </c>
      <c r="K8403">
        <v>0</v>
      </c>
      <c r="L8403">
        <f t="shared" si="262"/>
        <v>3.6</v>
      </c>
      <c r="M8403">
        <f t="shared" si="263"/>
        <v>1</v>
      </c>
    </row>
    <row r="8404" spans="1:13" x14ac:dyDescent="0.3">
      <c r="A8404">
        <v>8402</v>
      </c>
      <c r="B8404">
        <v>8403</v>
      </c>
      <c r="C8404" t="s">
        <v>8479</v>
      </c>
      <c r="D8404">
        <v>2016</v>
      </c>
      <c r="F8404" t="s">
        <v>3523</v>
      </c>
      <c r="G8404">
        <v>0</v>
      </c>
      <c r="H8404">
        <v>0</v>
      </c>
      <c r="I8404">
        <v>1</v>
      </c>
      <c r="J8404">
        <v>0</v>
      </c>
      <c r="K8404">
        <v>0</v>
      </c>
      <c r="L8404">
        <f t="shared" si="262"/>
        <v>3.6</v>
      </c>
      <c r="M8404">
        <f t="shared" si="263"/>
        <v>1</v>
      </c>
    </row>
    <row r="8405" spans="1:13" x14ac:dyDescent="0.3">
      <c r="A8405">
        <v>8403</v>
      </c>
      <c r="B8405">
        <v>8404</v>
      </c>
      <c r="C8405" t="s">
        <v>8480</v>
      </c>
      <c r="D8405">
        <v>1935</v>
      </c>
      <c r="F8405" t="s">
        <v>3523</v>
      </c>
      <c r="G8405">
        <v>0</v>
      </c>
      <c r="H8405">
        <v>0</v>
      </c>
      <c r="I8405">
        <v>1</v>
      </c>
      <c r="J8405">
        <v>0</v>
      </c>
      <c r="K8405">
        <v>0</v>
      </c>
      <c r="L8405">
        <f t="shared" si="262"/>
        <v>3.6</v>
      </c>
      <c r="M8405">
        <f t="shared" si="263"/>
        <v>1</v>
      </c>
    </row>
    <row r="8406" spans="1:13" x14ac:dyDescent="0.3">
      <c r="A8406">
        <v>8404</v>
      </c>
      <c r="B8406">
        <v>8405</v>
      </c>
      <c r="C8406" t="s">
        <v>8481</v>
      </c>
      <c r="D8406">
        <v>2016</v>
      </c>
      <c r="F8406" t="s">
        <v>3523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f t="shared" si="262"/>
        <v>3.6</v>
      </c>
      <c r="M8406">
        <f t="shared" si="263"/>
        <v>1</v>
      </c>
    </row>
    <row r="8407" spans="1:13" x14ac:dyDescent="0.3">
      <c r="A8407">
        <v>8405</v>
      </c>
      <c r="B8407">
        <v>8406</v>
      </c>
      <c r="C8407" t="s">
        <v>8482</v>
      </c>
      <c r="D8407">
        <v>1941</v>
      </c>
      <c r="F8407" t="s">
        <v>3523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f t="shared" si="262"/>
        <v>3.6</v>
      </c>
      <c r="M8407">
        <f t="shared" si="263"/>
        <v>1</v>
      </c>
    </row>
    <row r="8408" spans="1:13" x14ac:dyDescent="0.3">
      <c r="A8408">
        <v>8406</v>
      </c>
      <c r="B8408">
        <v>8407</v>
      </c>
      <c r="C8408" t="s">
        <v>8483</v>
      </c>
      <c r="D8408">
        <v>2013</v>
      </c>
      <c r="F8408" t="s">
        <v>3523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f t="shared" si="262"/>
        <v>3.6</v>
      </c>
      <c r="M8408">
        <f t="shared" si="263"/>
        <v>1</v>
      </c>
    </row>
    <row r="8409" spans="1:13" x14ac:dyDescent="0.3">
      <c r="A8409">
        <v>8407</v>
      </c>
      <c r="B8409">
        <v>8408</v>
      </c>
      <c r="C8409" t="s">
        <v>8484</v>
      </c>
      <c r="D8409">
        <v>2020</v>
      </c>
      <c r="F8409" t="s">
        <v>3523</v>
      </c>
      <c r="G8409">
        <v>0</v>
      </c>
      <c r="H8409">
        <v>0</v>
      </c>
      <c r="I8409">
        <v>1</v>
      </c>
      <c r="J8409">
        <v>0</v>
      </c>
      <c r="K8409">
        <v>0</v>
      </c>
      <c r="L8409">
        <f t="shared" si="262"/>
        <v>3.6</v>
      </c>
      <c r="M8409">
        <f t="shared" si="263"/>
        <v>1</v>
      </c>
    </row>
    <row r="8410" spans="1:13" x14ac:dyDescent="0.3">
      <c r="A8410">
        <v>8408</v>
      </c>
      <c r="B8410">
        <v>8409</v>
      </c>
      <c r="C8410" t="s">
        <v>8485</v>
      </c>
      <c r="D8410">
        <v>2013</v>
      </c>
      <c r="F8410" t="s">
        <v>3523</v>
      </c>
      <c r="G8410">
        <v>0</v>
      </c>
      <c r="H8410">
        <v>0</v>
      </c>
      <c r="I8410">
        <v>1</v>
      </c>
      <c r="J8410">
        <v>0</v>
      </c>
      <c r="K8410">
        <v>0</v>
      </c>
      <c r="L8410">
        <f t="shared" si="262"/>
        <v>3.6</v>
      </c>
      <c r="M8410">
        <f t="shared" si="263"/>
        <v>1</v>
      </c>
    </row>
    <row r="8411" spans="1:13" x14ac:dyDescent="0.3">
      <c r="A8411">
        <v>8409</v>
      </c>
      <c r="B8411">
        <v>8410</v>
      </c>
      <c r="C8411" t="s">
        <v>8486</v>
      </c>
      <c r="D8411">
        <v>2019</v>
      </c>
      <c r="F8411" t="s">
        <v>3523</v>
      </c>
      <c r="G8411">
        <v>0</v>
      </c>
      <c r="H8411">
        <v>0</v>
      </c>
      <c r="I8411">
        <v>1</v>
      </c>
      <c r="J8411">
        <v>0</v>
      </c>
      <c r="K8411">
        <v>0</v>
      </c>
      <c r="L8411">
        <f t="shared" si="262"/>
        <v>3.6</v>
      </c>
      <c r="M8411">
        <f t="shared" si="263"/>
        <v>1</v>
      </c>
    </row>
    <row r="8412" spans="1:13" x14ac:dyDescent="0.3">
      <c r="A8412">
        <v>8410</v>
      </c>
      <c r="B8412">
        <v>8411</v>
      </c>
      <c r="C8412" t="s">
        <v>8487</v>
      </c>
      <c r="D8412">
        <v>2018</v>
      </c>
      <c r="F8412" t="s">
        <v>3523</v>
      </c>
      <c r="G8412">
        <v>0</v>
      </c>
      <c r="H8412">
        <v>0</v>
      </c>
      <c r="I8412">
        <v>1</v>
      </c>
      <c r="J8412">
        <v>0</v>
      </c>
      <c r="K8412">
        <v>0</v>
      </c>
      <c r="L8412">
        <f t="shared" si="262"/>
        <v>3.6</v>
      </c>
      <c r="M8412">
        <f t="shared" si="263"/>
        <v>1</v>
      </c>
    </row>
    <row r="8413" spans="1:13" x14ac:dyDescent="0.3">
      <c r="A8413">
        <v>8411</v>
      </c>
      <c r="B8413">
        <v>8412</v>
      </c>
      <c r="C8413" t="s">
        <v>8488</v>
      </c>
      <c r="D8413">
        <v>2003</v>
      </c>
      <c r="E8413" t="s">
        <v>14</v>
      </c>
      <c r="F8413" t="s">
        <v>3523</v>
      </c>
      <c r="G8413">
        <v>0</v>
      </c>
      <c r="H8413">
        <v>0</v>
      </c>
      <c r="I8413">
        <v>1</v>
      </c>
      <c r="J8413">
        <v>0</v>
      </c>
      <c r="K8413">
        <v>0</v>
      </c>
      <c r="L8413">
        <f t="shared" si="262"/>
        <v>3.6</v>
      </c>
      <c r="M8413">
        <f t="shared" si="263"/>
        <v>1</v>
      </c>
    </row>
    <row r="8414" spans="1:13" x14ac:dyDescent="0.3">
      <c r="A8414">
        <v>8412</v>
      </c>
      <c r="B8414">
        <v>8413</v>
      </c>
      <c r="C8414" t="s">
        <v>8489</v>
      </c>
      <c r="D8414">
        <v>1936</v>
      </c>
      <c r="F8414" t="s">
        <v>3523</v>
      </c>
      <c r="G8414">
        <v>0</v>
      </c>
      <c r="H8414">
        <v>0</v>
      </c>
      <c r="I8414">
        <v>1</v>
      </c>
      <c r="J8414">
        <v>0</v>
      </c>
      <c r="K8414">
        <v>0</v>
      </c>
      <c r="L8414">
        <f t="shared" si="262"/>
        <v>3.6</v>
      </c>
      <c r="M8414">
        <f t="shared" si="263"/>
        <v>1</v>
      </c>
    </row>
    <row r="8415" spans="1:13" x14ac:dyDescent="0.3">
      <c r="A8415">
        <v>8413</v>
      </c>
      <c r="B8415">
        <v>8414</v>
      </c>
      <c r="C8415" t="s">
        <v>8490</v>
      </c>
      <c r="D8415">
        <v>2008</v>
      </c>
      <c r="E8415" t="s">
        <v>11</v>
      </c>
      <c r="F8415" t="s">
        <v>3523</v>
      </c>
      <c r="G8415">
        <v>0</v>
      </c>
      <c r="H8415">
        <v>0</v>
      </c>
      <c r="I8415">
        <v>1</v>
      </c>
      <c r="J8415">
        <v>0</v>
      </c>
      <c r="K8415">
        <v>0</v>
      </c>
      <c r="L8415">
        <f t="shared" si="262"/>
        <v>3.6</v>
      </c>
      <c r="M8415">
        <f t="shared" si="263"/>
        <v>1</v>
      </c>
    </row>
    <row r="8416" spans="1:13" x14ac:dyDescent="0.3">
      <c r="A8416">
        <v>8414</v>
      </c>
      <c r="B8416">
        <v>8415</v>
      </c>
      <c r="C8416" t="s">
        <v>8491</v>
      </c>
      <c r="D8416">
        <v>2009</v>
      </c>
      <c r="F8416" t="s">
        <v>3523</v>
      </c>
      <c r="G8416">
        <v>0</v>
      </c>
      <c r="H8416">
        <v>0</v>
      </c>
      <c r="I8416">
        <v>1</v>
      </c>
      <c r="J8416">
        <v>0</v>
      </c>
      <c r="K8416">
        <v>0</v>
      </c>
      <c r="L8416">
        <f t="shared" si="262"/>
        <v>3.6</v>
      </c>
      <c r="M8416">
        <f t="shared" si="263"/>
        <v>1</v>
      </c>
    </row>
    <row r="8417" spans="1:13" x14ac:dyDescent="0.3">
      <c r="A8417">
        <v>8415</v>
      </c>
      <c r="B8417">
        <v>8416</v>
      </c>
      <c r="C8417" t="s">
        <v>8492</v>
      </c>
      <c r="D8417">
        <v>1934</v>
      </c>
      <c r="F8417" t="s">
        <v>3523</v>
      </c>
      <c r="G8417">
        <v>0</v>
      </c>
      <c r="H8417">
        <v>0</v>
      </c>
      <c r="I8417">
        <v>1</v>
      </c>
      <c r="J8417">
        <v>0</v>
      </c>
      <c r="K8417">
        <v>0</v>
      </c>
      <c r="L8417">
        <f t="shared" si="262"/>
        <v>3.6</v>
      </c>
      <c r="M8417">
        <f t="shared" si="263"/>
        <v>1</v>
      </c>
    </row>
    <row r="8418" spans="1:13" x14ac:dyDescent="0.3">
      <c r="A8418">
        <v>8416</v>
      </c>
      <c r="B8418">
        <v>8417</v>
      </c>
      <c r="C8418" t="s">
        <v>8493</v>
      </c>
      <c r="D8418">
        <v>2014</v>
      </c>
      <c r="E8418" t="s">
        <v>22</v>
      </c>
      <c r="F8418" t="s">
        <v>3523</v>
      </c>
      <c r="G8418">
        <v>0</v>
      </c>
      <c r="H8418">
        <v>0</v>
      </c>
      <c r="I8418">
        <v>1</v>
      </c>
      <c r="J8418">
        <v>0</v>
      </c>
      <c r="K8418">
        <v>0</v>
      </c>
      <c r="L8418">
        <f t="shared" si="262"/>
        <v>3.6</v>
      </c>
      <c r="M8418">
        <f t="shared" si="263"/>
        <v>1</v>
      </c>
    </row>
    <row r="8419" spans="1:13" x14ac:dyDescent="0.3">
      <c r="A8419">
        <v>8417</v>
      </c>
      <c r="B8419">
        <v>8418</v>
      </c>
      <c r="C8419" t="s">
        <v>8494</v>
      </c>
      <c r="D8419">
        <v>2019</v>
      </c>
      <c r="F8419" t="s">
        <v>3523</v>
      </c>
      <c r="G8419">
        <v>0</v>
      </c>
      <c r="H8419">
        <v>0</v>
      </c>
      <c r="I8419">
        <v>1</v>
      </c>
      <c r="J8419">
        <v>0</v>
      </c>
      <c r="K8419">
        <v>0</v>
      </c>
      <c r="L8419">
        <f t="shared" si="262"/>
        <v>3.6</v>
      </c>
      <c r="M8419">
        <f t="shared" si="263"/>
        <v>1</v>
      </c>
    </row>
    <row r="8420" spans="1:13" x14ac:dyDescent="0.3">
      <c r="A8420">
        <v>8418</v>
      </c>
      <c r="B8420">
        <v>8419</v>
      </c>
      <c r="C8420" t="s">
        <v>8495</v>
      </c>
      <c r="D8420">
        <v>2015</v>
      </c>
      <c r="F8420" t="s">
        <v>3523</v>
      </c>
      <c r="G8420">
        <v>0</v>
      </c>
      <c r="H8420">
        <v>0</v>
      </c>
      <c r="I8420">
        <v>1</v>
      </c>
      <c r="J8420">
        <v>0</v>
      </c>
      <c r="K8420">
        <v>0</v>
      </c>
      <c r="L8420">
        <f t="shared" si="262"/>
        <v>3.6</v>
      </c>
      <c r="M8420">
        <f t="shared" si="263"/>
        <v>1</v>
      </c>
    </row>
    <row r="8421" spans="1:13" x14ac:dyDescent="0.3">
      <c r="A8421">
        <v>8419</v>
      </c>
      <c r="B8421">
        <v>8420</v>
      </c>
      <c r="C8421" t="s">
        <v>8496</v>
      </c>
      <c r="D8421">
        <v>2017</v>
      </c>
      <c r="F8421" t="s">
        <v>3523</v>
      </c>
      <c r="G8421">
        <v>0</v>
      </c>
      <c r="H8421">
        <v>0</v>
      </c>
      <c r="I8421">
        <v>1</v>
      </c>
      <c r="J8421">
        <v>0</v>
      </c>
      <c r="K8421">
        <v>0</v>
      </c>
      <c r="L8421">
        <f t="shared" si="262"/>
        <v>3.6</v>
      </c>
      <c r="M8421">
        <f t="shared" si="263"/>
        <v>1</v>
      </c>
    </row>
    <row r="8422" spans="1:13" x14ac:dyDescent="0.3">
      <c r="A8422">
        <v>8420</v>
      </c>
      <c r="B8422">
        <v>8421</v>
      </c>
      <c r="C8422" t="s">
        <v>8497</v>
      </c>
      <c r="D8422">
        <v>1940</v>
      </c>
      <c r="F8422" t="s">
        <v>3523</v>
      </c>
      <c r="G8422">
        <v>0</v>
      </c>
      <c r="H8422">
        <v>0</v>
      </c>
      <c r="I8422">
        <v>1</v>
      </c>
      <c r="J8422">
        <v>0</v>
      </c>
      <c r="K8422">
        <v>0</v>
      </c>
      <c r="L8422">
        <f t="shared" si="262"/>
        <v>3.6</v>
      </c>
      <c r="M8422">
        <f t="shared" si="263"/>
        <v>1</v>
      </c>
    </row>
    <row r="8423" spans="1:13" x14ac:dyDescent="0.3">
      <c r="A8423">
        <v>8421</v>
      </c>
      <c r="B8423">
        <v>8422</v>
      </c>
      <c r="C8423" t="s">
        <v>8498</v>
      </c>
      <c r="D8423">
        <v>2012</v>
      </c>
      <c r="F8423" t="s">
        <v>3523</v>
      </c>
      <c r="G8423">
        <v>0</v>
      </c>
      <c r="H8423">
        <v>0</v>
      </c>
      <c r="I8423">
        <v>1</v>
      </c>
      <c r="J8423">
        <v>0</v>
      </c>
      <c r="K8423">
        <v>0</v>
      </c>
      <c r="L8423">
        <f t="shared" si="262"/>
        <v>3.6</v>
      </c>
      <c r="M8423">
        <f t="shared" si="263"/>
        <v>1</v>
      </c>
    </row>
    <row r="8424" spans="1:13" x14ac:dyDescent="0.3">
      <c r="A8424">
        <v>8422</v>
      </c>
      <c r="B8424">
        <v>8423</v>
      </c>
      <c r="C8424" t="s">
        <v>8499</v>
      </c>
      <c r="D8424">
        <v>1944</v>
      </c>
      <c r="F8424" t="s">
        <v>3523</v>
      </c>
      <c r="G8424">
        <v>0</v>
      </c>
      <c r="H8424">
        <v>0</v>
      </c>
      <c r="I8424">
        <v>1</v>
      </c>
      <c r="J8424">
        <v>0</v>
      </c>
      <c r="K8424">
        <v>0</v>
      </c>
      <c r="L8424">
        <f t="shared" si="262"/>
        <v>3.6</v>
      </c>
      <c r="M8424">
        <f t="shared" si="263"/>
        <v>1</v>
      </c>
    </row>
    <row r="8425" spans="1:13" x14ac:dyDescent="0.3">
      <c r="A8425">
        <v>8423</v>
      </c>
      <c r="B8425">
        <v>8424</v>
      </c>
      <c r="C8425" t="s">
        <v>8500</v>
      </c>
      <c r="D8425">
        <v>1984</v>
      </c>
      <c r="F8425" t="s">
        <v>3523</v>
      </c>
      <c r="G8425">
        <v>0</v>
      </c>
      <c r="H8425">
        <v>0</v>
      </c>
      <c r="I8425">
        <v>1</v>
      </c>
      <c r="J8425">
        <v>0</v>
      </c>
      <c r="K8425">
        <v>0</v>
      </c>
      <c r="L8425">
        <f t="shared" si="262"/>
        <v>3.6</v>
      </c>
      <c r="M8425">
        <f t="shared" si="263"/>
        <v>1</v>
      </c>
    </row>
    <row r="8426" spans="1:13" x14ac:dyDescent="0.3">
      <c r="A8426">
        <v>8424</v>
      </c>
      <c r="B8426">
        <v>8425</v>
      </c>
      <c r="C8426" t="s">
        <v>8501</v>
      </c>
      <c r="D8426">
        <v>2013</v>
      </c>
      <c r="E8426" t="s">
        <v>11</v>
      </c>
      <c r="F8426" t="s">
        <v>3523</v>
      </c>
      <c r="G8426">
        <v>0</v>
      </c>
      <c r="H8426">
        <v>0</v>
      </c>
      <c r="I8426">
        <v>1</v>
      </c>
      <c r="J8426">
        <v>0</v>
      </c>
      <c r="K8426">
        <v>0</v>
      </c>
      <c r="L8426">
        <f t="shared" si="262"/>
        <v>3.6</v>
      </c>
      <c r="M8426">
        <f t="shared" si="263"/>
        <v>1</v>
      </c>
    </row>
    <row r="8427" spans="1:13" x14ac:dyDescent="0.3">
      <c r="A8427">
        <v>8425</v>
      </c>
      <c r="B8427">
        <v>8426</v>
      </c>
      <c r="C8427" t="s">
        <v>8502</v>
      </c>
      <c r="D8427">
        <v>2017</v>
      </c>
      <c r="F8427" t="s">
        <v>3523</v>
      </c>
      <c r="G8427">
        <v>0</v>
      </c>
      <c r="H8427">
        <v>0</v>
      </c>
      <c r="I8427">
        <v>1</v>
      </c>
      <c r="J8427">
        <v>0</v>
      </c>
      <c r="K8427">
        <v>0</v>
      </c>
      <c r="L8427">
        <f t="shared" si="262"/>
        <v>3.6</v>
      </c>
      <c r="M8427">
        <f t="shared" si="263"/>
        <v>1</v>
      </c>
    </row>
    <row r="8428" spans="1:13" x14ac:dyDescent="0.3">
      <c r="A8428">
        <v>8426</v>
      </c>
      <c r="B8428">
        <v>8427</v>
      </c>
      <c r="C8428" t="s">
        <v>8503</v>
      </c>
      <c r="D8428">
        <v>2011</v>
      </c>
      <c r="E8428" t="s">
        <v>28</v>
      </c>
      <c r="F8428" t="s">
        <v>3523</v>
      </c>
      <c r="G8428">
        <v>0</v>
      </c>
      <c r="H8428">
        <v>0</v>
      </c>
      <c r="I8428">
        <v>1</v>
      </c>
      <c r="J8428">
        <v>0</v>
      </c>
      <c r="K8428">
        <v>0</v>
      </c>
      <c r="L8428">
        <f t="shared" si="262"/>
        <v>3.6</v>
      </c>
      <c r="M8428">
        <f t="shared" si="263"/>
        <v>1</v>
      </c>
    </row>
    <row r="8429" spans="1:13" x14ac:dyDescent="0.3">
      <c r="A8429">
        <v>8427</v>
      </c>
      <c r="B8429">
        <v>8428</v>
      </c>
      <c r="C8429" t="s">
        <v>8504</v>
      </c>
      <c r="D8429">
        <v>2014</v>
      </c>
      <c r="F8429" t="s">
        <v>3523</v>
      </c>
      <c r="G8429">
        <v>0</v>
      </c>
      <c r="H8429">
        <v>0</v>
      </c>
      <c r="I8429">
        <v>1</v>
      </c>
      <c r="J8429">
        <v>0</v>
      </c>
      <c r="K8429">
        <v>0</v>
      </c>
      <c r="L8429">
        <f t="shared" si="262"/>
        <v>3.6</v>
      </c>
      <c r="M8429">
        <f t="shared" si="263"/>
        <v>1</v>
      </c>
    </row>
    <row r="8430" spans="1:13" x14ac:dyDescent="0.3">
      <c r="A8430">
        <v>8428</v>
      </c>
      <c r="B8430">
        <v>8429</v>
      </c>
      <c r="C8430" t="s">
        <v>8505</v>
      </c>
      <c r="D8430">
        <v>1935</v>
      </c>
      <c r="F8430" t="s">
        <v>3523</v>
      </c>
      <c r="G8430">
        <v>0</v>
      </c>
      <c r="H8430">
        <v>0</v>
      </c>
      <c r="I8430">
        <v>1</v>
      </c>
      <c r="J8430">
        <v>0</v>
      </c>
      <c r="K8430">
        <v>0</v>
      </c>
      <c r="L8430">
        <f t="shared" si="262"/>
        <v>3.6</v>
      </c>
      <c r="M8430">
        <f t="shared" si="263"/>
        <v>1</v>
      </c>
    </row>
    <row r="8431" spans="1:13" x14ac:dyDescent="0.3">
      <c r="A8431">
        <v>8429</v>
      </c>
      <c r="B8431">
        <v>8430</v>
      </c>
      <c r="C8431" t="s">
        <v>8506</v>
      </c>
      <c r="D8431">
        <v>2010</v>
      </c>
      <c r="E8431" t="s">
        <v>11</v>
      </c>
      <c r="F8431" t="s">
        <v>3523</v>
      </c>
      <c r="G8431">
        <v>0</v>
      </c>
      <c r="H8431">
        <v>0</v>
      </c>
      <c r="I8431">
        <v>1</v>
      </c>
      <c r="J8431">
        <v>0</v>
      </c>
      <c r="K8431">
        <v>0</v>
      </c>
      <c r="L8431">
        <f t="shared" si="262"/>
        <v>3.6</v>
      </c>
      <c r="M8431">
        <f t="shared" si="263"/>
        <v>1</v>
      </c>
    </row>
    <row r="8432" spans="1:13" x14ac:dyDescent="0.3">
      <c r="A8432">
        <v>8430</v>
      </c>
      <c r="B8432">
        <v>8431</v>
      </c>
      <c r="C8432" t="s">
        <v>8507</v>
      </c>
      <c r="D8432">
        <v>2019</v>
      </c>
      <c r="F8432" t="s">
        <v>3523</v>
      </c>
      <c r="G8432">
        <v>0</v>
      </c>
      <c r="H8432">
        <v>0</v>
      </c>
      <c r="I8432">
        <v>1</v>
      </c>
      <c r="J8432">
        <v>0</v>
      </c>
      <c r="K8432">
        <v>0</v>
      </c>
      <c r="L8432">
        <f t="shared" si="262"/>
        <v>3.6</v>
      </c>
      <c r="M8432">
        <f t="shared" si="263"/>
        <v>1</v>
      </c>
    </row>
    <row r="8433" spans="1:13" x14ac:dyDescent="0.3">
      <c r="A8433">
        <v>8431</v>
      </c>
      <c r="B8433">
        <v>8432</v>
      </c>
      <c r="C8433" t="s">
        <v>8508</v>
      </c>
      <c r="D8433">
        <v>1934</v>
      </c>
      <c r="F8433" t="s">
        <v>3523</v>
      </c>
      <c r="G8433">
        <v>0</v>
      </c>
      <c r="H8433">
        <v>0</v>
      </c>
      <c r="I8433">
        <v>1</v>
      </c>
      <c r="J8433">
        <v>0</v>
      </c>
      <c r="K8433">
        <v>0</v>
      </c>
      <c r="L8433">
        <f t="shared" si="262"/>
        <v>3.6</v>
      </c>
      <c r="M8433">
        <f t="shared" si="263"/>
        <v>1</v>
      </c>
    </row>
    <row r="8434" spans="1:13" x14ac:dyDescent="0.3">
      <c r="A8434">
        <v>8432</v>
      </c>
      <c r="B8434">
        <v>8433</v>
      </c>
      <c r="C8434" t="s">
        <v>8509</v>
      </c>
      <c r="D8434">
        <v>2020</v>
      </c>
      <c r="F8434" t="s">
        <v>3523</v>
      </c>
      <c r="G8434">
        <v>0</v>
      </c>
      <c r="H8434">
        <v>0</v>
      </c>
      <c r="I8434">
        <v>1</v>
      </c>
      <c r="J8434">
        <v>0</v>
      </c>
      <c r="K8434">
        <v>0</v>
      </c>
      <c r="L8434">
        <f t="shared" si="262"/>
        <v>3.6</v>
      </c>
      <c r="M8434">
        <f t="shared" si="263"/>
        <v>1</v>
      </c>
    </row>
    <row r="8435" spans="1:13" x14ac:dyDescent="0.3">
      <c r="A8435">
        <v>8433</v>
      </c>
      <c r="B8435">
        <v>8434</v>
      </c>
      <c r="C8435" t="s">
        <v>8510</v>
      </c>
      <c r="D8435">
        <v>1937</v>
      </c>
      <c r="F8435" t="s">
        <v>3523</v>
      </c>
      <c r="G8435">
        <v>0</v>
      </c>
      <c r="H8435">
        <v>0</v>
      </c>
      <c r="I8435">
        <v>1</v>
      </c>
      <c r="J8435">
        <v>0</v>
      </c>
      <c r="K8435">
        <v>0</v>
      </c>
      <c r="L8435">
        <f t="shared" si="262"/>
        <v>3.6</v>
      </c>
      <c r="M8435">
        <f t="shared" si="263"/>
        <v>1</v>
      </c>
    </row>
    <row r="8436" spans="1:13" x14ac:dyDescent="0.3">
      <c r="A8436">
        <v>8434</v>
      </c>
      <c r="B8436">
        <v>8435</v>
      </c>
      <c r="C8436" t="s">
        <v>8511</v>
      </c>
      <c r="D8436">
        <v>1982</v>
      </c>
      <c r="F8436" t="s">
        <v>3523</v>
      </c>
      <c r="G8436">
        <v>0</v>
      </c>
      <c r="H8436">
        <v>0</v>
      </c>
      <c r="I8436">
        <v>1</v>
      </c>
      <c r="J8436">
        <v>0</v>
      </c>
      <c r="K8436">
        <v>0</v>
      </c>
      <c r="L8436">
        <f t="shared" si="262"/>
        <v>3.6</v>
      </c>
      <c r="M8436">
        <f t="shared" si="263"/>
        <v>1</v>
      </c>
    </row>
    <row r="8437" spans="1:13" x14ac:dyDescent="0.3">
      <c r="A8437">
        <v>8435</v>
      </c>
      <c r="B8437">
        <v>8436</v>
      </c>
      <c r="C8437" t="s">
        <v>8512</v>
      </c>
      <c r="D8437">
        <v>2020</v>
      </c>
      <c r="F8437" t="s">
        <v>3523</v>
      </c>
      <c r="G8437">
        <v>0</v>
      </c>
      <c r="H8437">
        <v>0</v>
      </c>
      <c r="I8437">
        <v>1</v>
      </c>
      <c r="J8437">
        <v>0</v>
      </c>
      <c r="K8437">
        <v>0</v>
      </c>
      <c r="L8437">
        <f t="shared" si="262"/>
        <v>3.6</v>
      </c>
      <c r="M8437">
        <f t="shared" si="263"/>
        <v>1</v>
      </c>
    </row>
    <row r="8438" spans="1:13" x14ac:dyDescent="0.3">
      <c r="A8438">
        <v>8436</v>
      </c>
      <c r="B8438">
        <v>8437</v>
      </c>
      <c r="C8438" t="s">
        <v>8513</v>
      </c>
      <c r="D8438">
        <v>1950</v>
      </c>
      <c r="F8438" t="s">
        <v>3523</v>
      </c>
      <c r="G8438">
        <v>0</v>
      </c>
      <c r="H8438">
        <v>0</v>
      </c>
      <c r="I8438">
        <v>1</v>
      </c>
      <c r="J8438">
        <v>0</v>
      </c>
      <c r="K8438">
        <v>0</v>
      </c>
      <c r="L8438">
        <f t="shared" si="262"/>
        <v>3.6</v>
      </c>
      <c r="M8438">
        <f t="shared" si="263"/>
        <v>1</v>
      </c>
    </row>
    <row r="8439" spans="1:13" x14ac:dyDescent="0.3">
      <c r="A8439">
        <v>8437</v>
      </c>
      <c r="B8439">
        <v>8438</v>
      </c>
      <c r="C8439" t="s">
        <v>8514</v>
      </c>
      <c r="D8439">
        <v>2018</v>
      </c>
      <c r="F8439" t="s">
        <v>3579</v>
      </c>
      <c r="G8439">
        <v>0</v>
      </c>
      <c r="H8439">
        <v>0</v>
      </c>
      <c r="I8439">
        <v>1</v>
      </c>
      <c r="J8439">
        <v>0</v>
      </c>
      <c r="K8439">
        <v>0</v>
      </c>
      <c r="L8439">
        <f t="shared" si="262"/>
        <v>3.5</v>
      </c>
      <c r="M8439">
        <f t="shared" si="263"/>
        <v>1</v>
      </c>
    </row>
    <row r="8440" spans="1:13" x14ac:dyDescent="0.3">
      <c r="A8440">
        <v>8438</v>
      </c>
      <c r="B8440">
        <v>8439</v>
      </c>
      <c r="C8440" t="s">
        <v>8515</v>
      </c>
      <c r="D8440">
        <v>2003</v>
      </c>
      <c r="F8440" t="s">
        <v>3579</v>
      </c>
      <c r="G8440">
        <v>0</v>
      </c>
      <c r="H8440">
        <v>0</v>
      </c>
      <c r="I8440">
        <v>1</v>
      </c>
      <c r="J8440">
        <v>0</v>
      </c>
      <c r="K8440">
        <v>0</v>
      </c>
      <c r="L8440">
        <f t="shared" si="262"/>
        <v>3.5</v>
      </c>
      <c r="M8440">
        <f t="shared" si="263"/>
        <v>1</v>
      </c>
    </row>
    <row r="8441" spans="1:13" x14ac:dyDescent="0.3">
      <c r="A8441">
        <v>8439</v>
      </c>
      <c r="B8441">
        <v>8440</v>
      </c>
      <c r="C8441" t="s">
        <v>8516</v>
      </c>
      <c r="D8441">
        <v>1984</v>
      </c>
      <c r="F8441" t="s">
        <v>3579</v>
      </c>
      <c r="G8441">
        <v>0</v>
      </c>
      <c r="H8441">
        <v>0</v>
      </c>
      <c r="I8441">
        <v>1</v>
      </c>
      <c r="J8441">
        <v>0</v>
      </c>
      <c r="K8441">
        <v>0</v>
      </c>
      <c r="L8441">
        <f t="shared" si="262"/>
        <v>3.5</v>
      </c>
      <c r="M8441">
        <f t="shared" si="263"/>
        <v>1</v>
      </c>
    </row>
    <row r="8442" spans="1:13" x14ac:dyDescent="0.3">
      <c r="A8442">
        <v>8440</v>
      </c>
      <c r="B8442">
        <v>8441</v>
      </c>
      <c r="C8442" t="s">
        <v>8517</v>
      </c>
      <c r="D8442">
        <v>2020</v>
      </c>
      <c r="F8442" t="s">
        <v>3579</v>
      </c>
      <c r="G8442">
        <v>0</v>
      </c>
      <c r="H8442">
        <v>0</v>
      </c>
      <c r="I8442">
        <v>1</v>
      </c>
      <c r="J8442">
        <v>0</v>
      </c>
      <c r="K8442">
        <v>0</v>
      </c>
      <c r="L8442">
        <f t="shared" si="262"/>
        <v>3.5</v>
      </c>
      <c r="M8442">
        <f t="shared" si="263"/>
        <v>1</v>
      </c>
    </row>
    <row r="8443" spans="1:13" x14ac:dyDescent="0.3">
      <c r="A8443">
        <v>8441</v>
      </c>
      <c r="B8443">
        <v>8442</v>
      </c>
      <c r="C8443" t="s">
        <v>8518</v>
      </c>
      <c r="D8443">
        <v>2012</v>
      </c>
      <c r="F8443" t="s">
        <v>3579</v>
      </c>
      <c r="G8443">
        <v>0</v>
      </c>
      <c r="H8443">
        <v>0</v>
      </c>
      <c r="I8443">
        <v>1</v>
      </c>
      <c r="J8443">
        <v>0</v>
      </c>
      <c r="K8443">
        <v>0</v>
      </c>
      <c r="L8443">
        <f t="shared" si="262"/>
        <v>3.5</v>
      </c>
      <c r="M8443">
        <f t="shared" si="263"/>
        <v>1</v>
      </c>
    </row>
    <row r="8444" spans="1:13" x14ac:dyDescent="0.3">
      <c r="A8444">
        <v>8442</v>
      </c>
      <c r="B8444">
        <v>8443</v>
      </c>
      <c r="C8444" t="s">
        <v>8519</v>
      </c>
      <c r="D8444">
        <v>2018</v>
      </c>
      <c r="F8444" t="s">
        <v>3579</v>
      </c>
      <c r="G8444">
        <v>0</v>
      </c>
      <c r="H8444">
        <v>0</v>
      </c>
      <c r="I8444">
        <v>1</v>
      </c>
      <c r="J8444">
        <v>0</v>
      </c>
      <c r="K8444">
        <v>0</v>
      </c>
      <c r="L8444">
        <f t="shared" si="262"/>
        <v>3.5</v>
      </c>
      <c r="M8444">
        <f t="shared" si="263"/>
        <v>1</v>
      </c>
    </row>
    <row r="8445" spans="1:13" x14ac:dyDescent="0.3">
      <c r="A8445">
        <v>8443</v>
      </c>
      <c r="B8445">
        <v>8444</v>
      </c>
      <c r="C8445" t="s">
        <v>8520</v>
      </c>
      <c r="D8445">
        <v>2019</v>
      </c>
      <c r="F8445" t="s">
        <v>3579</v>
      </c>
      <c r="G8445">
        <v>0</v>
      </c>
      <c r="H8445">
        <v>0</v>
      </c>
      <c r="I8445">
        <v>1</v>
      </c>
      <c r="J8445">
        <v>0</v>
      </c>
      <c r="K8445">
        <v>0</v>
      </c>
      <c r="L8445">
        <f t="shared" si="262"/>
        <v>3.5</v>
      </c>
      <c r="M8445">
        <f t="shared" si="263"/>
        <v>1</v>
      </c>
    </row>
    <row r="8446" spans="1:13" x14ac:dyDescent="0.3">
      <c r="A8446">
        <v>8444</v>
      </c>
      <c r="B8446">
        <v>8445</v>
      </c>
      <c r="C8446" t="s">
        <v>8521</v>
      </c>
      <c r="D8446">
        <v>2015</v>
      </c>
      <c r="F8446" t="s">
        <v>3579</v>
      </c>
      <c r="G8446">
        <v>0</v>
      </c>
      <c r="H8446">
        <v>0</v>
      </c>
      <c r="I8446">
        <v>1</v>
      </c>
      <c r="J8446">
        <v>0</v>
      </c>
      <c r="K8446">
        <v>0</v>
      </c>
      <c r="L8446">
        <f t="shared" si="262"/>
        <v>3.5</v>
      </c>
      <c r="M8446">
        <f t="shared" si="263"/>
        <v>1</v>
      </c>
    </row>
    <row r="8447" spans="1:13" x14ac:dyDescent="0.3">
      <c r="A8447">
        <v>8445</v>
      </c>
      <c r="B8447">
        <v>8446</v>
      </c>
      <c r="C8447" t="s">
        <v>8522</v>
      </c>
      <c r="D8447">
        <v>2018</v>
      </c>
      <c r="F8447" t="s">
        <v>3579</v>
      </c>
      <c r="G8447">
        <v>0</v>
      </c>
      <c r="H8447">
        <v>0</v>
      </c>
      <c r="I8447">
        <v>1</v>
      </c>
      <c r="J8447">
        <v>0</v>
      </c>
      <c r="K8447">
        <v>0</v>
      </c>
      <c r="L8447">
        <f t="shared" si="262"/>
        <v>3.5</v>
      </c>
      <c r="M8447">
        <f t="shared" si="263"/>
        <v>1</v>
      </c>
    </row>
    <row r="8448" spans="1:13" x14ac:dyDescent="0.3">
      <c r="A8448">
        <v>8446</v>
      </c>
      <c r="B8448">
        <v>8447</v>
      </c>
      <c r="C8448" t="s">
        <v>8523</v>
      </c>
      <c r="D8448">
        <v>2016</v>
      </c>
      <c r="E8448" t="s">
        <v>14</v>
      </c>
      <c r="F8448" t="s">
        <v>3579</v>
      </c>
      <c r="G8448">
        <v>0</v>
      </c>
      <c r="H8448">
        <v>0</v>
      </c>
      <c r="I8448">
        <v>1</v>
      </c>
      <c r="J8448">
        <v>0</v>
      </c>
      <c r="K8448">
        <v>0</v>
      </c>
      <c r="L8448">
        <f t="shared" si="262"/>
        <v>3.5</v>
      </c>
      <c r="M8448">
        <f t="shared" si="263"/>
        <v>1</v>
      </c>
    </row>
    <row r="8449" spans="1:13" x14ac:dyDescent="0.3">
      <c r="A8449">
        <v>8447</v>
      </c>
      <c r="B8449">
        <v>8448</v>
      </c>
      <c r="C8449" t="s">
        <v>8524</v>
      </c>
      <c r="D8449">
        <v>2008</v>
      </c>
      <c r="F8449" t="s">
        <v>3579</v>
      </c>
      <c r="G8449">
        <v>0</v>
      </c>
      <c r="H8449">
        <v>0</v>
      </c>
      <c r="I8449">
        <v>1</v>
      </c>
      <c r="J8449">
        <v>0</v>
      </c>
      <c r="K8449">
        <v>0</v>
      </c>
      <c r="L8449">
        <f t="shared" si="262"/>
        <v>3.5</v>
      </c>
      <c r="M8449">
        <f t="shared" si="263"/>
        <v>1</v>
      </c>
    </row>
    <row r="8450" spans="1:13" x14ac:dyDescent="0.3">
      <c r="A8450">
        <v>8448</v>
      </c>
      <c r="B8450">
        <v>8449</v>
      </c>
      <c r="C8450" t="s">
        <v>8525</v>
      </c>
      <c r="D8450">
        <v>2001</v>
      </c>
      <c r="E8450" t="s">
        <v>11</v>
      </c>
      <c r="F8450" t="s">
        <v>3579</v>
      </c>
      <c r="G8450">
        <v>0</v>
      </c>
      <c r="H8450">
        <v>0</v>
      </c>
      <c r="I8450">
        <v>1</v>
      </c>
      <c r="J8450">
        <v>0</v>
      </c>
      <c r="K8450">
        <v>0</v>
      </c>
      <c r="L8450">
        <f t="shared" si="262"/>
        <v>3.5</v>
      </c>
      <c r="M8450">
        <f t="shared" si="263"/>
        <v>1</v>
      </c>
    </row>
    <row r="8451" spans="1:13" x14ac:dyDescent="0.3">
      <c r="A8451">
        <v>8449</v>
      </c>
      <c r="B8451">
        <v>8450</v>
      </c>
      <c r="C8451" t="s">
        <v>8526</v>
      </c>
      <c r="D8451">
        <v>2011</v>
      </c>
      <c r="F8451" t="s">
        <v>3579</v>
      </c>
      <c r="G8451">
        <v>0</v>
      </c>
      <c r="H8451">
        <v>0</v>
      </c>
      <c r="I8451">
        <v>1</v>
      </c>
      <c r="J8451">
        <v>0</v>
      </c>
      <c r="K8451">
        <v>0</v>
      </c>
      <c r="L8451">
        <f t="shared" ref="L8451:L8514" si="264">IFERROR(VALUE(LEFT(F8451,FIND("/",F8451)-1))/10,"")</f>
        <v>3.5</v>
      </c>
      <c r="M8451">
        <f t="shared" ref="M8451:M8514" si="265">SUM(G8451:J8451)</f>
        <v>1</v>
      </c>
    </row>
    <row r="8452" spans="1:13" x14ac:dyDescent="0.3">
      <c r="A8452">
        <v>8450</v>
      </c>
      <c r="B8452">
        <v>8451</v>
      </c>
      <c r="C8452" t="s">
        <v>8527</v>
      </c>
      <c r="D8452">
        <v>1941</v>
      </c>
      <c r="F8452" t="s">
        <v>3579</v>
      </c>
      <c r="G8452">
        <v>0</v>
      </c>
      <c r="H8452">
        <v>0</v>
      </c>
      <c r="I8452">
        <v>1</v>
      </c>
      <c r="J8452">
        <v>0</v>
      </c>
      <c r="K8452">
        <v>0</v>
      </c>
      <c r="L8452">
        <f t="shared" si="264"/>
        <v>3.5</v>
      </c>
      <c r="M8452">
        <f t="shared" si="265"/>
        <v>1</v>
      </c>
    </row>
    <row r="8453" spans="1:13" x14ac:dyDescent="0.3">
      <c r="A8453">
        <v>8451</v>
      </c>
      <c r="B8453">
        <v>8452</v>
      </c>
      <c r="C8453" t="s">
        <v>8528</v>
      </c>
      <c r="D8453">
        <v>1933</v>
      </c>
      <c r="F8453" t="s">
        <v>3579</v>
      </c>
      <c r="G8453">
        <v>0</v>
      </c>
      <c r="H8453">
        <v>0</v>
      </c>
      <c r="I8453">
        <v>1</v>
      </c>
      <c r="J8453">
        <v>0</v>
      </c>
      <c r="K8453">
        <v>0</v>
      </c>
      <c r="L8453">
        <f t="shared" si="264"/>
        <v>3.5</v>
      </c>
      <c r="M8453">
        <f t="shared" si="265"/>
        <v>1</v>
      </c>
    </row>
    <row r="8454" spans="1:13" x14ac:dyDescent="0.3">
      <c r="A8454">
        <v>8452</v>
      </c>
      <c r="B8454">
        <v>8453</v>
      </c>
      <c r="C8454" t="s">
        <v>8529</v>
      </c>
      <c r="D8454">
        <v>2009</v>
      </c>
      <c r="E8454" t="s">
        <v>14</v>
      </c>
      <c r="F8454" t="s">
        <v>3579</v>
      </c>
      <c r="G8454">
        <v>0</v>
      </c>
      <c r="H8454">
        <v>0</v>
      </c>
      <c r="I8454">
        <v>1</v>
      </c>
      <c r="J8454">
        <v>0</v>
      </c>
      <c r="K8454">
        <v>0</v>
      </c>
      <c r="L8454">
        <f t="shared" si="264"/>
        <v>3.5</v>
      </c>
      <c r="M8454">
        <f t="shared" si="265"/>
        <v>1</v>
      </c>
    </row>
    <row r="8455" spans="1:13" x14ac:dyDescent="0.3">
      <c r="A8455">
        <v>8453</v>
      </c>
      <c r="B8455">
        <v>8454</v>
      </c>
      <c r="C8455" t="s">
        <v>8530</v>
      </c>
      <c r="D8455">
        <v>1937</v>
      </c>
      <c r="F8455" t="s">
        <v>3579</v>
      </c>
      <c r="G8455">
        <v>0</v>
      </c>
      <c r="H8455">
        <v>0</v>
      </c>
      <c r="I8455">
        <v>1</v>
      </c>
      <c r="J8455">
        <v>0</v>
      </c>
      <c r="K8455">
        <v>0</v>
      </c>
      <c r="L8455">
        <f t="shared" si="264"/>
        <v>3.5</v>
      </c>
      <c r="M8455">
        <f t="shared" si="265"/>
        <v>1</v>
      </c>
    </row>
    <row r="8456" spans="1:13" x14ac:dyDescent="0.3">
      <c r="A8456">
        <v>8454</v>
      </c>
      <c r="B8456">
        <v>8455</v>
      </c>
      <c r="C8456" t="s">
        <v>8531</v>
      </c>
      <c r="D8456">
        <v>2020</v>
      </c>
      <c r="F8456" t="s">
        <v>3579</v>
      </c>
      <c r="G8456">
        <v>0</v>
      </c>
      <c r="H8456">
        <v>0</v>
      </c>
      <c r="I8456">
        <v>1</v>
      </c>
      <c r="J8456">
        <v>0</v>
      </c>
      <c r="K8456">
        <v>0</v>
      </c>
      <c r="L8456">
        <f t="shared" si="264"/>
        <v>3.5</v>
      </c>
      <c r="M8456">
        <f t="shared" si="265"/>
        <v>1</v>
      </c>
    </row>
    <row r="8457" spans="1:13" x14ac:dyDescent="0.3">
      <c r="A8457">
        <v>8455</v>
      </c>
      <c r="B8457">
        <v>8456</v>
      </c>
      <c r="C8457" t="s">
        <v>8532</v>
      </c>
      <c r="D8457">
        <v>2007</v>
      </c>
      <c r="E8457" t="s">
        <v>11</v>
      </c>
      <c r="F8457" t="s">
        <v>3579</v>
      </c>
      <c r="G8457">
        <v>0</v>
      </c>
      <c r="H8457">
        <v>0</v>
      </c>
      <c r="I8457">
        <v>1</v>
      </c>
      <c r="J8457">
        <v>0</v>
      </c>
      <c r="K8457">
        <v>0</v>
      </c>
      <c r="L8457">
        <f t="shared" si="264"/>
        <v>3.5</v>
      </c>
      <c r="M8457">
        <f t="shared" si="265"/>
        <v>1</v>
      </c>
    </row>
    <row r="8458" spans="1:13" x14ac:dyDescent="0.3">
      <c r="A8458">
        <v>8456</v>
      </c>
      <c r="B8458">
        <v>8457</v>
      </c>
      <c r="C8458" t="s">
        <v>8533</v>
      </c>
      <c r="D8458">
        <v>2012</v>
      </c>
      <c r="F8458" t="s">
        <v>3579</v>
      </c>
      <c r="G8458">
        <v>0</v>
      </c>
      <c r="H8458">
        <v>0</v>
      </c>
      <c r="I8458">
        <v>1</v>
      </c>
      <c r="J8458">
        <v>0</v>
      </c>
      <c r="K8458">
        <v>0</v>
      </c>
      <c r="L8458">
        <f t="shared" si="264"/>
        <v>3.5</v>
      </c>
      <c r="M8458">
        <f t="shared" si="265"/>
        <v>1</v>
      </c>
    </row>
    <row r="8459" spans="1:13" x14ac:dyDescent="0.3">
      <c r="A8459">
        <v>8457</v>
      </c>
      <c r="B8459">
        <v>8458</v>
      </c>
      <c r="C8459" t="s">
        <v>8534</v>
      </c>
      <c r="D8459">
        <v>2018</v>
      </c>
      <c r="F8459" t="s">
        <v>3579</v>
      </c>
      <c r="G8459">
        <v>0</v>
      </c>
      <c r="H8459">
        <v>0</v>
      </c>
      <c r="I8459">
        <v>1</v>
      </c>
      <c r="J8459">
        <v>0</v>
      </c>
      <c r="K8459">
        <v>0</v>
      </c>
      <c r="L8459">
        <f t="shared" si="264"/>
        <v>3.5</v>
      </c>
      <c r="M8459">
        <f t="shared" si="265"/>
        <v>1</v>
      </c>
    </row>
    <row r="8460" spans="1:13" x14ac:dyDescent="0.3">
      <c r="A8460">
        <v>8458</v>
      </c>
      <c r="B8460">
        <v>8459</v>
      </c>
      <c r="C8460" t="s">
        <v>8535</v>
      </c>
      <c r="D8460">
        <v>1935</v>
      </c>
      <c r="F8460" t="s">
        <v>3579</v>
      </c>
      <c r="G8460">
        <v>0</v>
      </c>
      <c r="H8460">
        <v>0</v>
      </c>
      <c r="I8460">
        <v>1</v>
      </c>
      <c r="J8460">
        <v>0</v>
      </c>
      <c r="K8460">
        <v>0</v>
      </c>
      <c r="L8460">
        <f t="shared" si="264"/>
        <v>3.5</v>
      </c>
      <c r="M8460">
        <f t="shared" si="265"/>
        <v>1</v>
      </c>
    </row>
    <row r="8461" spans="1:13" x14ac:dyDescent="0.3">
      <c r="A8461">
        <v>8459</v>
      </c>
      <c r="B8461">
        <v>8460</v>
      </c>
      <c r="C8461" t="s">
        <v>8536</v>
      </c>
      <c r="D8461">
        <v>1937</v>
      </c>
      <c r="F8461" t="s">
        <v>3579</v>
      </c>
      <c r="G8461">
        <v>0</v>
      </c>
      <c r="H8461">
        <v>0</v>
      </c>
      <c r="I8461">
        <v>1</v>
      </c>
      <c r="J8461">
        <v>0</v>
      </c>
      <c r="K8461">
        <v>0</v>
      </c>
      <c r="L8461">
        <f t="shared" si="264"/>
        <v>3.5</v>
      </c>
      <c r="M8461">
        <f t="shared" si="265"/>
        <v>1</v>
      </c>
    </row>
    <row r="8462" spans="1:13" x14ac:dyDescent="0.3">
      <c r="A8462">
        <v>8460</v>
      </c>
      <c r="B8462">
        <v>8461</v>
      </c>
      <c r="C8462" t="s">
        <v>8537</v>
      </c>
      <c r="D8462">
        <v>2021</v>
      </c>
      <c r="F8462" t="s">
        <v>3579</v>
      </c>
      <c r="G8462">
        <v>0</v>
      </c>
      <c r="H8462">
        <v>0</v>
      </c>
      <c r="I8462">
        <v>1</v>
      </c>
      <c r="J8462">
        <v>0</v>
      </c>
      <c r="K8462">
        <v>0</v>
      </c>
      <c r="L8462">
        <f t="shared" si="264"/>
        <v>3.5</v>
      </c>
      <c r="M8462">
        <f t="shared" si="265"/>
        <v>1</v>
      </c>
    </row>
    <row r="8463" spans="1:13" x14ac:dyDescent="0.3">
      <c r="A8463">
        <v>8461</v>
      </c>
      <c r="B8463">
        <v>8462</v>
      </c>
      <c r="C8463" t="s">
        <v>8538</v>
      </c>
      <c r="D8463">
        <v>1942</v>
      </c>
      <c r="F8463" t="s">
        <v>3579</v>
      </c>
      <c r="G8463">
        <v>0</v>
      </c>
      <c r="H8463">
        <v>0</v>
      </c>
      <c r="I8463">
        <v>1</v>
      </c>
      <c r="J8463">
        <v>0</v>
      </c>
      <c r="K8463">
        <v>0</v>
      </c>
      <c r="L8463">
        <f t="shared" si="264"/>
        <v>3.5</v>
      </c>
      <c r="M8463">
        <f t="shared" si="265"/>
        <v>1</v>
      </c>
    </row>
    <row r="8464" spans="1:13" x14ac:dyDescent="0.3">
      <c r="A8464">
        <v>8462</v>
      </c>
      <c r="B8464">
        <v>8463</v>
      </c>
      <c r="C8464" t="s">
        <v>8539</v>
      </c>
      <c r="D8464">
        <v>2017</v>
      </c>
      <c r="E8464" t="s">
        <v>11</v>
      </c>
      <c r="F8464" t="s">
        <v>3579</v>
      </c>
      <c r="G8464">
        <v>0</v>
      </c>
      <c r="H8464">
        <v>0</v>
      </c>
      <c r="I8464">
        <v>1</v>
      </c>
      <c r="J8464">
        <v>0</v>
      </c>
      <c r="K8464">
        <v>0</v>
      </c>
      <c r="L8464">
        <f t="shared" si="264"/>
        <v>3.5</v>
      </c>
      <c r="M8464">
        <f t="shared" si="265"/>
        <v>1</v>
      </c>
    </row>
    <row r="8465" spans="1:13" x14ac:dyDescent="0.3">
      <c r="A8465">
        <v>8463</v>
      </c>
      <c r="B8465">
        <v>8464</v>
      </c>
      <c r="C8465" t="s">
        <v>8540</v>
      </c>
      <c r="D8465">
        <v>1961</v>
      </c>
      <c r="F8465" t="s">
        <v>3579</v>
      </c>
      <c r="G8465">
        <v>0</v>
      </c>
      <c r="H8465">
        <v>0</v>
      </c>
      <c r="I8465">
        <v>1</v>
      </c>
      <c r="J8465">
        <v>0</v>
      </c>
      <c r="K8465">
        <v>0</v>
      </c>
      <c r="L8465">
        <f t="shared" si="264"/>
        <v>3.5</v>
      </c>
      <c r="M8465">
        <f t="shared" si="265"/>
        <v>1</v>
      </c>
    </row>
    <row r="8466" spans="1:13" x14ac:dyDescent="0.3">
      <c r="A8466">
        <v>8464</v>
      </c>
      <c r="B8466">
        <v>8465</v>
      </c>
      <c r="C8466" t="s">
        <v>8541</v>
      </c>
      <c r="D8466">
        <v>2015</v>
      </c>
      <c r="F8466" t="s">
        <v>3579</v>
      </c>
      <c r="G8466">
        <v>0</v>
      </c>
      <c r="H8466">
        <v>0</v>
      </c>
      <c r="I8466">
        <v>1</v>
      </c>
      <c r="J8466">
        <v>0</v>
      </c>
      <c r="K8466">
        <v>0</v>
      </c>
      <c r="L8466">
        <f t="shared" si="264"/>
        <v>3.5</v>
      </c>
      <c r="M8466">
        <f t="shared" si="265"/>
        <v>1</v>
      </c>
    </row>
    <row r="8467" spans="1:13" x14ac:dyDescent="0.3">
      <c r="A8467">
        <v>8465</v>
      </c>
      <c r="B8467">
        <v>8466</v>
      </c>
      <c r="C8467" t="s">
        <v>8542</v>
      </c>
      <c r="D8467">
        <v>2008</v>
      </c>
      <c r="F8467" t="s">
        <v>3579</v>
      </c>
      <c r="G8467">
        <v>0</v>
      </c>
      <c r="H8467">
        <v>0</v>
      </c>
      <c r="I8467">
        <v>1</v>
      </c>
      <c r="J8467">
        <v>0</v>
      </c>
      <c r="K8467">
        <v>0</v>
      </c>
      <c r="L8467">
        <f t="shared" si="264"/>
        <v>3.5</v>
      </c>
      <c r="M8467">
        <f t="shared" si="265"/>
        <v>1</v>
      </c>
    </row>
    <row r="8468" spans="1:13" x14ac:dyDescent="0.3">
      <c r="A8468">
        <v>8466</v>
      </c>
      <c r="B8468">
        <v>8467</v>
      </c>
      <c r="C8468" t="s">
        <v>8543</v>
      </c>
      <c r="D8468">
        <v>2019</v>
      </c>
      <c r="F8468" t="s">
        <v>3579</v>
      </c>
      <c r="G8468">
        <v>0</v>
      </c>
      <c r="H8468">
        <v>0</v>
      </c>
      <c r="I8468">
        <v>1</v>
      </c>
      <c r="J8468">
        <v>0</v>
      </c>
      <c r="K8468">
        <v>0</v>
      </c>
      <c r="L8468">
        <f t="shared" si="264"/>
        <v>3.5</v>
      </c>
      <c r="M8468">
        <f t="shared" si="265"/>
        <v>1</v>
      </c>
    </row>
    <row r="8469" spans="1:13" x14ac:dyDescent="0.3">
      <c r="A8469">
        <v>8467</v>
      </c>
      <c r="B8469">
        <v>8468</v>
      </c>
      <c r="C8469" t="s">
        <v>8544</v>
      </c>
      <c r="D8469">
        <v>2017</v>
      </c>
      <c r="F8469" t="s">
        <v>3579</v>
      </c>
      <c r="G8469">
        <v>0</v>
      </c>
      <c r="H8469">
        <v>0</v>
      </c>
      <c r="I8469">
        <v>1</v>
      </c>
      <c r="J8469">
        <v>0</v>
      </c>
      <c r="K8469">
        <v>0</v>
      </c>
      <c r="L8469">
        <f t="shared" si="264"/>
        <v>3.5</v>
      </c>
      <c r="M8469">
        <f t="shared" si="265"/>
        <v>1</v>
      </c>
    </row>
    <row r="8470" spans="1:13" x14ac:dyDescent="0.3">
      <c r="A8470">
        <v>8468</v>
      </c>
      <c r="B8470">
        <v>8469</v>
      </c>
      <c r="C8470" t="s">
        <v>8545</v>
      </c>
      <c r="D8470">
        <v>1973</v>
      </c>
      <c r="E8470" t="s">
        <v>14</v>
      </c>
      <c r="F8470" t="s">
        <v>3579</v>
      </c>
      <c r="G8470">
        <v>0</v>
      </c>
      <c r="H8470">
        <v>0</v>
      </c>
      <c r="I8470">
        <v>1</v>
      </c>
      <c r="J8470">
        <v>0</v>
      </c>
      <c r="K8470">
        <v>0</v>
      </c>
      <c r="L8470">
        <f t="shared" si="264"/>
        <v>3.5</v>
      </c>
      <c r="M8470">
        <f t="shared" si="265"/>
        <v>1</v>
      </c>
    </row>
    <row r="8471" spans="1:13" x14ac:dyDescent="0.3">
      <c r="A8471">
        <v>8469</v>
      </c>
      <c r="B8471">
        <v>8470</v>
      </c>
      <c r="C8471" t="s">
        <v>8546</v>
      </c>
      <c r="D8471">
        <v>1937</v>
      </c>
      <c r="F8471" t="s">
        <v>3579</v>
      </c>
      <c r="G8471">
        <v>0</v>
      </c>
      <c r="H8471">
        <v>0</v>
      </c>
      <c r="I8471">
        <v>1</v>
      </c>
      <c r="J8471">
        <v>0</v>
      </c>
      <c r="K8471">
        <v>0</v>
      </c>
      <c r="L8471">
        <f t="shared" si="264"/>
        <v>3.5</v>
      </c>
      <c r="M8471">
        <f t="shared" si="265"/>
        <v>1</v>
      </c>
    </row>
    <row r="8472" spans="1:13" x14ac:dyDescent="0.3">
      <c r="A8472">
        <v>8470</v>
      </c>
      <c r="B8472">
        <v>8471</v>
      </c>
      <c r="C8472" t="s">
        <v>8547</v>
      </c>
      <c r="D8472">
        <v>2014</v>
      </c>
      <c r="F8472" t="s">
        <v>3579</v>
      </c>
      <c r="G8472">
        <v>0</v>
      </c>
      <c r="H8472">
        <v>0</v>
      </c>
      <c r="I8472">
        <v>1</v>
      </c>
      <c r="J8472">
        <v>0</v>
      </c>
      <c r="K8472">
        <v>0</v>
      </c>
      <c r="L8472">
        <f t="shared" si="264"/>
        <v>3.5</v>
      </c>
      <c r="M8472">
        <f t="shared" si="265"/>
        <v>1</v>
      </c>
    </row>
    <row r="8473" spans="1:13" x14ac:dyDescent="0.3">
      <c r="A8473">
        <v>8471</v>
      </c>
      <c r="B8473">
        <v>8472</v>
      </c>
      <c r="C8473" t="s">
        <v>8548</v>
      </c>
      <c r="D8473">
        <v>1965</v>
      </c>
      <c r="F8473" t="s">
        <v>3579</v>
      </c>
      <c r="G8473">
        <v>0</v>
      </c>
      <c r="H8473">
        <v>0</v>
      </c>
      <c r="I8473">
        <v>1</v>
      </c>
      <c r="J8473">
        <v>0</v>
      </c>
      <c r="K8473">
        <v>0</v>
      </c>
      <c r="L8473">
        <f t="shared" si="264"/>
        <v>3.5</v>
      </c>
      <c r="M8473">
        <f t="shared" si="265"/>
        <v>1</v>
      </c>
    </row>
    <row r="8474" spans="1:13" x14ac:dyDescent="0.3">
      <c r="A8474">
        <v>8472</v>
      </c>
      <c r="B8474">
        <v>8473</v>
      </c>
      <c r="C8474" t="s">
        <v>8549</v>
      </c>
      <c r="D8474">
        <v>2005</v>
      </c>
      <c r="E8474" t="s">
        <v>11</v>
      </c>
      <c r="F8474" t="s">
        <v>3579</v>
      </c>
      <c r="G8474">
        <v>0</v>
      </c>
      <c r="H8474">
        <v>0</v>
      </c>
      <c r="I8474">
        <v>1</v>
      </c>
      <c r="J8474">
        <v>0</v>
      </c>
      <c r="K8474">
        <v>0</v>
      </c>
      <c r="L8474">
        <f t="shared" si="264"/>
        <v>3.5</v>
      </c>
      <c r="M8474">
        <f t="shared" si="265"/>
        <v>1</v>
      </c>
    </row>
    <row r="8475" spans="1:13" x14ac:dyDescent="0.3">
      <c r="A8475">
        <v>8473</v>
      </c>
      <c r="B8475">
        <v>8474</v>
      </c>
      <c r="C8475" t="s">
        <v>8550</v>
      </c>
      <c r="D8475">
        <v>2015</v>
      </c>
      <c r="F8475" t="s">
        <v>3579</v>
      </c>
      <c r="G8475">
        <v>0</v>
      </c>
      <c r="H8475">
        <v>0</v>
      </c>
      <c r="I8475">
        <v>1</v>
      </c>
      <c r="J8475">
        <v>0</v>
      </c>
      <c r="K8475">
        <v>0</v>
      </c>
      <c r="L8475">
        <f t="shared" si="264"/>
        <v>3.5</v>
      </c>
      <c r="M8475">
        <f t="shared" si="265"/>
        <v>1</v>
      </c>
    </row>
    <row r="8476" spans="1:13" x14ac:dyDescent="0.3">
      <c r="A8476">
        <v>8474</v>
      </c>
      <c r="B8476">
        <v>8475</v>
      </c>
      <c r="C8476" t="s">
        <v>8551</v>
      </c>
      <c r="D8476">
        <v>2012</v>
      </c>
      <c r="F8476" t="s">
        <v>3579</v>
      </c>
      <c r="G8476">
        <v>0</v>
      </c>
      <c r="H8476">
        <v>0</v>
      </c>
      <c r="I8476">
        <v>1</v>
      </c>
      <c r="J8476">
        <v>0</v>
      </c>
      <c r="K8476">
        <v>0</v>
      </c>
      <c r="L8476">
        <f t="shared" si="264"/>
        <v>3.5</v>
      </c>
      <c r="M8476">
        <f t="shared" si="265"/>
        <v>1</v>
      </c>
    </row>
    <row r="8477" spans="1:13" x14ac:dyDescent="0.3">
      <c r="A8477">
        <v>8475</v>
      </c>
      <c r="B8477">
        <v>8476</v>
      </c>
      <c r="C8477" t="s">
        <v>8552</v>
      </c>
      <c r="D8477">
        <v>2019</v>
      </c>
      <c r="F8477" t="s">
        <v>3579</v>
      </c>
      <c r="G8477">
        <v>0</v>
      </c>
      <c r="H8477">
        <v>0</v>
      </c>
      <c r="I8477">
        <v>1</v>
      </c>
      <c r="J8477">
        <v>0</v>
      </c>
      <c r="K8477">
        <v>0</v>
      </c>
      <c r="L8477">
        <f t="shared" si="264"/>
        <v>3.5</v>
      </c>
      <c r="M8477">
        <f t="shared" si="265"/>
        <v>1</v>
      </c>
    </row>
    <row r="8478" spans="1:13" x14ac:dyDescent="0.3">
      <c r="A8478">
        <v>8476</v>
      </c>
      <c r="B8478">
        <v>8477</v>
      </c>
      <c r="C8478" t="s">
        <v>8553</v>
      </c>
      <c r="D8478">
        <v>2018</v>
      </c>
      <c r="F8478" t="s">
        <v>3579</v>
      </c>
      <c r="G8478">
        <v>0</v>
      </c>
      <c r="H8478">
        <v>0</v>
      </c>
      <c r="I8478">
        <v>1</v>
      </c>
      <c r="J8478">
        <v>0</v>
      </c>
      <c r="K8478">
        <v>0</v>
      </c>
      <c r="L8478">
        <f t="shared" si="264"/>
        <v>3.5</v>
      </c>
      <c r="M8478">
        <f t="shared" si="265"/>
        <v>1</v>
      </c>
    </row>
    <row r="8479" spans="1:13" x14ac:dyDescent="0.3">
      <c r="A8479">
        <v>8477</v>
      </c>
      <c r="B8479">
        <v>8478</v>
      </c>
      <c r="C8479" t="s">
        <v>8554</v>
      </c>
      <c r="D8479">
        <v>2009</v>
      </c>
      <c r="F8479" t="s">
        <v>3579</v>
      </c>
      <c r="G8479">
        <v>0</v>
      </c>
      <c r="H8479">
        <v>0</v>
      </c>
      <c r="I8479">
        <v>1</v>
      </c>
      <c r="J8479">
        <v>0</v>
      </c>
      <c r="K8479">
        <v>0</v>
      </c>
      <c r="L8479">
        <f t="shared" si="264"/>
        <v>3.5</v>
      </c>
      <c r="M8479">
        <f t="shared" si="265"/>
        <v>1</v>
      </c>
    </row>
    <row r="8480" spans="1:13" x14ac:dyDescent="0.3">
      <c r="A8480">
        <v>8478</v>
      </c>
      <c r="B8480">
        <v>8479</v>
      </c>
      <c r="C8480" t="s">
        <v>8555</v>
      </c>
      <c r="D8480">
        <v>2021</v>
      </c>
      <c r="F8480" t="s">
        <v>3579</v>
      </c>
      <c r="G8480">
        <v>0</v>
      </c>
      <c r="H8480">
        <v>0</v>
      </c>
      <c r="I8480">
        <v>1</v>
      </c>
      <c r="J8480">
        <v>0</v>
      </c>
      <c r="K8480">
        <v>0</v>
      </c>
      <c r="L8480">
        <f t="shared" si="264"/>
        <v>3.5</v>
      </c>
      <c r="M8480">
        <f t="shared" si="265"/>
        <v>1</v>
      </c>
    </row>
    <row r="8481" spans="1:13" x14ac:dyDescent="0.3">
      <c r="A8481">
        <v>8479</v>
      </c>
      <c r="B8481">
        <v>8480</v>
      </c>
      <c r="C8481" t="s">
        <v>8556</v>
      </c>
      <c r="D8481">
        <v>2018</v>
      </c>
      <c r="F8481" t="s">
        <v>3579</v>
      </c>
      <c r="G8481">
        <v>0</v>
      </c>
      <c r="H8481">
        <v>0</v>
      </c>
      <c r="I8481">
        <v>1</v>
      </c>
      <c r="J8481">
        <v>0</v>
      </c>
      <c r="K8481">
        <v>0</v>
      </c>
      <c r="L8481">
        <f t="shared" si="264"/>
        <v>3.5</v>
      </c>
      <c r="M8481">
        <f t="shared" si="265"/>
        <v>1</v>
      </c>
    </row>
    <row r="8482" spans="1:13" x14ac:dyDescent="0.3">
      <c r="A8482">
        <v>8480</v>
      </c>
      <c r="B8482">
        <v>8481</v>
      </c>
      <c r="C8482" t="s">
        <v>8557</v>
      </c>
      <c r="D8482">
        <v>1976</v>
      </c>
      <c r="F8482" t="s">
        <v>3579</v>
      </c>
      <c r="G8482">
        <v>0</v>
      </c>
      <c r="H8482">
        <v>0</v>
      </c>
      <c r="I8482">
        <v>1</v>
      </c>
      <c r="J8482">
        <v>0</v>
      </c>
      <c r="K8482">
        <v>0</v>
      </c>
      <c r="L8482">
        <f t="shared" si="264"/>
        <v>3.5</v>
      </c>
      <c r="M8482">
        <f t="shared" si="265"/>
        <v>1</v>
      </c>
    </row>
    <row r="8483" spans="1:13" x14ac:dyDescent="0.3">
      <c r="A8483">
        <v>8481</v>
      </c>
      <c r="B8483">
        <v>8482</v>
      </c>
      <c r="C8483" t="s">
        <v>8558</v>
      </c>
      <c r="D8483">
        <v>2017</v>
      </c>
      <c r="E8483" t="s">
        <v>11</v>
      </c>
      <c r="F8483" t="s">
        <v>3579</v>
      </c>
      <c r="G8483">
        <v>0</v>
      </c>
      <c r="H8483">
        <v>0</v>
      </c>
      <c r="I8483">
        <v>1</v>
      </c>
      <c r="J8483">
        <v>0</v>
      </c>
      <c r="K8483">
        <v>0</v>
      </c>
      <c r="L8483">
        <f t="shared" si="264"/>
        <v>3.5</v>
      </c>
      <c r="M8483">
        <f t="shared" si="265"/>
        <v>1</v>
      </c>
    </row>
    <row r="8484" spans="1:13" x14ac:dyDescent="0.3">
      <c r="A8484">
        <v>8482</v>
      </c>
      <c r="B8484">
        <v>8483</v>
      </c>
      <c r="C8484" t="s">
        <v>8559</v>
      </c>
      <c r="D8484">
        <v>2019</v>
      </c>
      <c r="F8484" t="s">
        <v>3579</v>
      </c>
      <c r="G8484">
        <v>0</v>
      </c>
      <c r="H8484">
        <v>0</v>
      </c>
      <c r="I8484">
        <v>1</v>
      </c>
      <c r="J8484">
        <v>0</v>
      </c>
      <c r="K8484">
        <v>0</v>
      </c>
      <c r="L8484">
        <f t="shared" si="264"/>
        <v>3.5</v>
      </c>
      <c r="M8484">
        <f t="shared" si="265"/>
        <v>1</v>
      </c>
    </row>
    <row r="8485" spans="1:13" x14ac:dyDescent="0.3">
      <c r="A8485">
        <v>8483</v>
      </c>
      <c r="B8485">
        <v>8484</v>
      </c>
      <c r="C8485" t="s">
        <v>8560</v>
      </c>
      <c r="D8485">
        <v>2010</v>
      </c>
      <c r="F8485" t="s">
        <v>3579</v>
      </c>
      <c r="G8485">
        <v>0</v>
      </c>
      <c r="H8485">
        <v>0</v>
      </c>
      <c r="I8485">
        <v>1</v>
      </c>
      <c r="J8485">
        <v>0</v>
      </c>
      <c r="K8485">
        <v>0</v>
      </c>
      <c r="L8485">
        <f t="shared" si="264"/>
        <v>3.5</v>
      </c>
      <c r="M8485">
        <f t="shared" si="265"/>
        <v>1</v>
      </c>
    </row>
    <row r="8486" spans="1:13" x14ac:dyDescent="0.3">
      <c r="A8486">
        <v>8484</v>
      </c>
      <c r="B8486">
        <v>8485</v>
      </c>
      <c r="C8486" t="s">
        <v>8561</v>
      </c>
      <c r="D8486">
        <v>2005</v>
      </c>
      <c r="F8486" t="s">
        <v>3579</v>
      </c>
      <c r="G8486">
        <v>0</v>
      </c>
      <c r="H8486">
        <v>0</v>
      </c>
      <c r="I8486">
        <v>1</v>
      </c>
      <c r="J8486">
        <v>0</v>
      </c>
      <c r="K8486">
        <v>0</v>
      </c>
      <c r="L8486">
        <f t="shared" si="264"/>
        <v>3.5</v>
      </c>
      <c r="M8486">
        <f t="shared" si="265"/>
        <v>1</v>
      </c>
    </row>
    <row r="8487" spans="1:13" x14ac:dyDescent="0.3">
      <c r="A8487">
        <v>8485</v>
      </c>
      <c r="B8487">
        <v>8486</v>
      </c>
      <c r="C8487" t="s">
        <v>8562</v>
      </c>
      <c r="D8487">
        <v>2017</v>
      </c>
      <c r="F8487" t="s">
        <v>3579</v>
      </c>
      <c r="G8487">
        <v>0</v>
      </c>
      <c r="H8487">
        <v>0</v>
      </c>
      <c r="I8487">
        <v>1</v>
      </c>
      <c r="J8487">
        <v>0</v>
      </c>
      <c r="K8487">
        <v>0</v>
      </c>
      <c r="L8487">
        <f t="shared" si="264"/>
        <v>3.5</v>
      </c>
      <c r="M8487">
        <f t="shared" si="265"/>
        <v>1</v>
      </c>
    </row>
    <row r="8488" spans="1:13" x14ac:dyDescent="0.3">
      <c r="A8488">
        <v>8486</v>
      </c>
      <c r="B8488">
        <v>8487</v>
      </c>
      <c r="C8488" t="s">
        <v>8563</v>
      </c>
      <c r="D8488">
        <v>2010</v>
      </c>
      <c r="F8488" t="s">
        <v>3579</v>
      </c>
      <c r="G8488">
        <v>0</v>
      </c>
      <c r="H8488">
        <v>0</v>
      </c>
      <c r="I8488">
        <v>1</v>
      </c>
      <c r="J8488">
        <v>0</v>
      </c>
      <c r="K8488">
        <v>0</v>
      </c>
      <c r="L8488">
        <f t="shared" si="264"/>
        <v>3.5</v>
      </c>
      <c r="M8488">
        <f t="shared" si="265"/>
        <v>1</v>
      </c>
    </row>
    <row r="8489" spans="1:13" x14ac:dyDescent="0.3">
      <c r="A8489">
        <v>8487</v>
      </c>
      <c r="B8489">
        <v>8488</v>
      </c>
      <c r="C8489" t="s">
        <v>8564</v>
      </c>
      <c r="D8489">
        <v>1988</v>
      </c>
      <c r="F8489" t="s">
        <v>3579</v>
      </c>
      <c r="G8489">
        <v>0</v>
      </c>
      <c r="H8489">
        <v>0</v>
      </c>
      <c r="I8489">
        <v>1</v>
      </c>
      <c r="J8489">
        <v>0</v>
      </c>
      <c r="K8489">
        <v>0</v>
      </c>
      <c r="L8489">
        <f t="shared" si="264"/>
        <v>3.5</v>
      </c>
      <c r="M8489">
        <f t="shared" si="265"/>
        <v>1</v>
      </c>
    </row>
    <row r="8490" spans="1:13" x14ac:dyDescent="0.3">
      <c r="A8490">
        <v>8488</v>
      </c>
      <c r="B8490">
        <v>8489</v>
      </c>
      <c r="C8490" t="s">
        <v>8565</v>
      </c>
      <c r="D8490">
        <v>2013</v>
      </c>
      <c r="E8490" t="s">
        <v>22</v>
      </c>
      <c r="F8490" t="s">
        <v>3579</v>
      </c>
      <c r="G8490">
        <v>0</v>
      </c>
      <c r="H8490">
        <v>0</v>
      </c>
      <c r="I8490">
        <v>1</v>
      </c>
      <c r="J8490">
        <v>0</v>
      </c>
      <c r="K8490">
        <v>0</v>
      </c>
      <c r="L8490">
        <f t="shared" si="264"/>
        <v>3.5</v>
      </c>
      <c r="M8490">
        <f t="shared" si="265"/>
        <v>1</v>
      </c>
    </row>
    <row r="8491" spans="1:13" x14ac:dyDescent="0.3">
      <c r="A8491">
        <v>8489</v>
      </c>
      <c r="B8491">
        <v>8490</v>
      </c>
      <c r="C8491" t="s">
        <v>8566</v>
      </c>
      <c r="D8491">
        <v>1983</v>
      </c>
      <c r="F8491" t="s">
        <v>3579</v>
      </c>
      <c r="G8491">
        <v>0</v>
      </c>
      <c r="H8491">
        <v>0</v>
      </c>
      <c r="I8491">
        <v>1</v>
      </c>
      <c r="J8491">
        <v>0</v>
      </c>
      <c r="K8491">
        <v>0</v>
      </c>
      <c r="L8491">
        <f t="shared" si="264"/>
        <v>3.5</v>
      </c>
      <c r="M8491">
        <f t="shared" si="265"/>
        <v>1</v>
      </c>
    </row>
    <row r="8492" spans="1:13" x14ac:dyDescent="0.3">
      <c r="A8492">
        <v>8490</v>
      </c>
      <c r="B8492">
        <v>8491</v>
      </c>
      <c r="C8492" t="s">
        <v>8567</v>
      </c>
      <c r="D8492">
        <v>2014</v>
      </c>
      <c r="F8492" t="s">
        <v>3619</v>
      </c>
      <c r="G8492">
        <v>0</v>
      </c>
      <c r="H8492">
        <v>0</v>
      </c>
      <c r="I8492">
        <v>1</v>
      </c>
      <c r="J8492">
        <v>0</v>
      </c>
      <c r="K8492">
        <v>0</v>
      </c>
      <c r="L8492">
        <f t="shared" si="264"/>
        <v>3.4</v>
      </c>
      <c r="M8492">
        <f t="shared" si="265"/>
        <v>1</v>
      </c>
    </row>
    <row r="8493" spans="1:13" x14ac:dyDescent="0.3">
      <c r="A8493">
        <v>8491</v>
      </c>
      <c r="B8493">
        <v>8492</v>
      </c>
      <c r="C8493" t="s">
        <v>8568</v>
      </c>
      <c r="D8493">
        <v>2020</v>
      </c>
      <c r="F8493" t="s">
        <v>3619</v>
      </c>
      <c r="G8493">
        <v>0</v>
      </c>
      <c r="H8493">
        <v>0</v>
      </c>
      <c r="I8493">
        <v>1</v>
      </c>
      <c r="J8493">
        <v>0</v>
      </c>
      <c r="K8493">
        <v>0</v>
      </c>
      <c r="L8493">
        <f t="shared" si="264"/>
        <v>3.4</v>
      </c>
      <c r="M8493">
        <f t="shared" si="265"/>
        <v>1</v>
      </c>
    </row>
    <row r="8494" spans="1:13" x14ac:dyDescent="0.3">
      <c r="A8494">
        <v>8492</v>
      </c>
      <c r="B8494">
        <v>8493</v>
      </c>
      <c r="C8494" t="s">
        <v>8569</v>
      </c>
      <c r="D8494">
        <v>2017</v>
      </c>
      <c r="F8494" t="s">
        <v>3619</v>
      </c>
      <c r="G8494">
        <v>0</v>
      </c>
      <c r="H8494">
        <v>0</v>
      </c>
      <c r="I8494">
        <v>1</v>
      </c>
      <c r="J8494">
        <v>0</v>
      </c>
      <c r="K8494">
        <v>0</v>
      </c>
      <c r="L8494">
        <f t="shared" si="264"/>
        <v>3.4</v>
      </c>
      <c r="M8494">
        <f t="shared" si="265"/>
        <v>1</v>
      </c>
    </row>
    <row r="8495" spans="1:13" x14ac:dyDescent="0.3">
      <c r="A8495">
        <v>8493</v>
      </c>
      <c r="B8495">
        <v>8494</v>
      </c>
      <c r="C8495" t="s">
        <v>8570</v>
      </c>
      <c r="D8495">
        <v>2005</v>
      </c>
      <c r="F8495" t="s">
        <v>3619</v>
      </c>
      <c r="G8495">
        <v>0</v>
      </c>
      <c r="H8495">
        <v>0</v>
      </c>
      <c r="I8495">
        <v>1</v>
      </c>
      <c r="J8495">
        <v>0</v>
      </c>
      <c r="K8495">
        <v>0</v>
      </c>
      <c r="L8495">
        <f t="shared" si="264"/>
        <v>3.4</v>
      </c>
      <c r="M8495">
        <f t="shared" si="265"/>
        <v>1</v>
      </c>
    </row>
    <row r="8496" spans="1:13" x14ac:dyDescent="0.3">
      <c r="A8496">
        <v>8494</v>
      </c>
      <c r="B8496">
        <v>8495</v>
      </c>
      <c r="C8496" t="s">
        <v>8571</v>
      </c>
      <c r="D8496">
        <v>1996</v>
      </c>
      <c r="E8496" t="s">
        <v>11</v>
      </c>
      <c r="F8496" t="s">
        <v>3619</v>
      </c>
      <c r="G8496">
        <v>0</v>
      </c>
      <c r="H8496">
        <v>0</v>
      </c>
      <c r="I8496">
        <v>1</v>
      </c>
      <c r="J8496">
        <v>0</v>
      </c>
      <c r="K8496">
        <v>0</v>
      </c>
      <c r="L8496">
        <f t="shared" si="264"/>
        <v>3.4</v>
      </c>
      <c r="M8496">
        <f t="shared" si="265"/>
        <v>1</v>
      </c>
    </row>
    <row r="8497" spans="1:13" x14ac:dyDescent="0.3">
      <c r="A8497">
        <v>8495</v>
      </c>
      <c r="B8497">
        <v>8496</v>
      </c>
      <c r="C8497" t="s">
        <v>8572</v>
      </c>
      <c r="D8497">
        <v>2016</v>
      </c>
      <c r="F8497" t="s">
        <v>3619</v>
      </c>
      <c r="G8497">
        <v>0</v>
      </c>
      <c r="H8497">
        <v>0</v>
      </c>
      <c r="I8497">
        <v>1</v>
      </c>
      <c r="J8497">
        <v>0</v>
      </c>
      <c r="K8497">
        <v>0</v>
      </c>
      <c r="L8497">
        <f t="shared" si="264"/>
        <v>3.4</v>
      </c>
      <c r="M8497">
        <f t="shared" si="265"/>
        <v>1</v>
      </c>
    </row>
    <row r="8498" spans="1:13" x14ac:dyDescent="0.3">
      <c r="A8498">
        <v>8496</v>
      </c>
      <c r="B8498">
        <v>8497</v>
      </c>
      <c r="C8498" t="s">
        <v>8573</v>
      </c>
      <c r="D8498">
        <v>2014</v>
      </c>
      <c r="F8498" t="s">
        <v>3619</v>
      </c>
      <c r="G8498">
        <v>0</v>
      </c>
      <c r="H8498">
        <v>0</v>
      </c>
      <c r="I8498">
        <v>1</v>
      </c>
      <c r="J8498">
        <v>0</v>
      </c>
      <c r="K8498">
        <v>0</v>
      </c>
      <c r="L8498">
        <f t="shared" si="264"/>
        <v>3.4</v>
      </c>
      <c r="M8498">
        <f t="shared" si="265"/>
        <v>1</v>
      </c>
    </row>
    <row r="8499" spans="1:13" x14ac:dyDescent="0.3">
      <c r="A8499">
        <v>8497</v>
      </c>
      <c r="B8499">
        <v>8498</v>
      </c>
      <c r="C8499" t="s">
        <v>8574</v>
      </c>
      <c r="D8499">
        <v>2018</v>
      </c>
      <c r="F8499" t="s">
        <v>3619</v>
      </c>
      <c r="G8499">
        <v>0</v>
      </c>
      <c r="H8499">
        <v>0</v>
      </c>
      <c r="I8499">
        <v>1</v>
      </c>
      <c r="J8499">
        <v>0</v>
      </c>
      <c r="K8499">
        <v>0</v>
      </c>
      <c r="L8499">
        <f t="shared" si="264"/>
        <v>3.4</v>
      </c>
      <c r="M8499">
        <f t="shared" si="265"/>
        <v>1</v>
      </c>
    </row>
    <row r="8500" spans="1:13" x14ac:dyDescent="0.3">
      <c r="A8500">
        <v>8498</v>
      </c>
      <c r="B8500">
        <v>8499</v>
      </c>
      <c r="C8500" t="s">
        <v>8575</v>
      </c>
      <c r="D8500">
        <v>2007</v>
      </c>
      <c r="F8500" t="s">
        <v>3619</v>
      </c>
      <c r="G8500">
        <v>0</v>
      </c>
      <c r="H8500">
        <v>0</v>
      </c>
      <c r="I8500">
        <v>1</v>
      </c>
      <c r="J8500">
        <v>0</v>
      </c>
      <c r="K8500">
        <v>0</v>
      </c>
      <c r="L8500">
        <f t="shared" si="264"/>
        <v>3.4</v>
      </c>
      <c r="M8500">
        <f t="shared" si="265"/>
        <v>1</v>
      </c>
    </row>
    <row r="8501" spans="1:13" x14ac:dyDescent="0.3">
      <c r="A8501">
        <v>8499</v>
      </c>
      <c r="B8501">
        <v>8500</v>
      </c>
      <c r="C8501" t="s">
        <v>8576</v>
      </c>
      <c r="D8501">
        <v>2017</v>
      </c>
      <c r="E8501" t="s">
        <v>36</v>
      </c>
      <c r="F8501" t="s">
        <v>3619</v>
      </c>
      <c r="G8501">
        <v>0</v>
      </c>
      <c r="H8501">
        <v>0</v>
      </c>
      <c r="I8501">
        <v>1</v>
      </c>
      <c r="J8501">
        <v>0</v>
      </c>
      <c r="K8501">
        <v>0</v>
      </c>
      <c r="L8501">
        <f t="shared" si="264"/>
        <v>3.4</v>
      </c>
      <c r="M8501">
        <f t="shared" si="265"/>
        <v>1</v>
      </c>
    </row>
    <row r="8502" spans="1:13" x14ac:dyDescent="0.3">
      <c r="A8502">
        <v>8500</v>
      </c>
      <c r="B8502">
        <v>8501</v>
      </c>
      <c r="C8502" t="s">
        <v>8577</v>
      </c>
      <c r="D8502">
        <v>2009</v>
      </c>
      <c r="F8502" t="s">
        <v>3619</v>
      </c>
      <c r="G8502">
        <v>0</v>
      </c>
      <c r="H8502">
        <v>0</v>
      </c>
      <c r="I8502">
        <v>1</v>
      </c>
      <c r="J8502">
        <v>0</v>
      </c>
      <c r="K8502">
        <v>0</v>
      </c>
      <c r="L8502">
        <f t="shared" si="264"/>
        <v>3.4</v>
      </c>
      <c r="M8502">
        <f t="shared" si="265"/>
        <v>1</v>
      </c>
    </row>
    <row r="8503" spans="1:13" x14ac:dyDescent="0.3">
      <c r="A8503">
        <v>8501</v>
      </c>
      <c r="B8503">
        <v>8502</v>
      </c>
      <c r="C8503" t="s">
        <v>8578</v>
      </c>
      <c r="D8503">
        <v>2019</v>
      </c>
      <c r="F8503" t="s">
        <v>3619</v>
      </c>
      <c r="G8503">
        <v>0</v>
      </c>
      <c r="H8503">
        <v>0</v>
      </c>
      <c r="I8503">
        <v>1</v>
      </c>
      <c r="J8503">
        <v>0</v>
      </c>
      <c r="K8503">
        <v>0</v>
      </c>
      <c r="L8503">
        <f t="shared" si="264"/>
        <v>3.4</v>
      </c>
      <c r="M8503">
        <f t="shared" si="265"/>
        <v>1</v>
      </c>
    </row>
    <row r="8504" spans="1:13" x14ac:dyDescent="0.3">
      <c r="A8504">
        <v>8502</v>
      </c>
      <c r="B8504">
        <v>8503</v>
      </c>
      <c r="C8504" t="s">
        <v>8579</v>
      </c>
      <c r="D8504">
        <v>1937</v>
      </c>
      <c r="E8504" t="s">
        <v>36</v>
      </c>
      <c r="F8504" t="s">
        <v>3619</v>
      </c>
      <c r="G8504">
        <v>0</v>
      </c>
      <c r="H8504">
        <v>0</v>
      </c>
      <c r="I8504">
        <v>1</v>
      </c>
      <c r="J8504">
        <v>0</v>
      </c>
      <c r="K8504">
        <v>0</v>
      </c>
      <c r="L8504">
        <f t="shared" si="264"/>
        <v>3.4</v>
      </c>
      <c r="M8504">
        <f t="shared" si="265"/>
        <v>1</v>
      </c>
    </row>
    <row r="8505" spans="1:13" x14ac:dyDescent="0.3">
      <c r="A8505">
        <v>8503</v>
      </c>
      <c r="B8505">
        <v>8504</v>
      </c>
      <c r="C8505" t="s">
        <v>8580</v>
      </c>
      <c r="D8505">
        <v>2021</v>
      </c>
      <c r="F8505" t="s">
        <v>3619</v>
      </c>
      <c r="G8505">
        <v>0</v>
      </c>
      <c r="H8505">
        <v>0</v>
      </c>
      <c r="I8505">
        <v>1</v>
      </c>
      <c r="J8505">
        <v>0</v>
      </c>
      <c r="K8505">
        <v>0</v>
      </c>
      <c r="L8505">
        <f t="shared" si="264"/>
        <v>3.4</v>
      </c>
      <c r="M8505">
        <f t="shared" si="265"/>
        <v>1</v>
      </c>
    </row>
    <row r="8506" spans="1:13" x14ac:dyDescent="0.3">
      <c r="A8506">
        <v>8504</v>
      </c>
      <c r="B8506">
        <v>8505</v>
      </c>
      <c r="C8506" t="s">
        <v>8581</v>
      </c>
      <c r="D8506">
        <v>2019</v>
      </c>
      <c r="F8506" t="s">
        <v>3619</v>
      </c>
      <c r="G8506">
        <v>0</v>
      </c>
      <c r="H8506">
        <v>0</v>
      </c>
      <c r="I8506">
        <v>1</v>
      </c>
      <c r="J8506">
        <v>0</v>
      </c>
      <c r="K8506">
        <v>0</v>
      </c>
      <c r="L8506">
        <f t="shared" si="264"/>
        <v>3.4</v>
      </c>
      <c r="M8506">
        <f t="shared" si="265"/>
        <v>1</v>
      </c>
    </row>
    <row r="8507" spans="1:13" x14ac:dyDescent="0.3">
      <c r="A8507">
        <v>8505</v>
      </c>
      <c r="B8507">
        <v>8506</v>
      </c>
      <c r="C8507" t="s">
        <v>8582</v>
      </c>
      <c r="D8507">
        <v>1942</v>
      </c>
      <c r="E8507" t="s">
        <v>36</v>
      </c>
      <c r="F8507" t="s">
        <v>3619</v>
      </c>
      <c r="G8507">
        <v>0</v>
      </c>
      <c r="H8507">
        <v>0</v>
      </c>
      <c r="I8507">
        <v>1</v>
      </c>
      <c r="J8507">
        <v>0</v>
      </c>
      <c r="K8507">
        <v>0</v>
      </c>
      <c r="L8507">
        <f t="shared" si="264"/>
        <v>3.4</v>
      </c>
      <c r="M8507">
        <f t="shared" si="265"/>
        <v>1</v>
      </c>
    </row>
    <row r="8508" spans="1:13" x14ac:dyDescent="0.3">
      <c r="A8508">
        <v>8506</v>
      </c>
      <c r="B8508">
        <v>8507</v>
      </c>
      <c r="C8508" t="s">
        <v>8583</v>
      </c>
      <c r="D8508">
        <v>2010</v>
      </c>
      <c r="E8508" t="s">
        <v>22</v>
      </c>
      <c r="F8508" t="s">
        <v>3619</v>
      </c>
      <c r="G8508">
        <v>0</v>
      </c>
      <c r="H8508">
        <v>0</v>
      </c>
      <c r="I8508">
        <v>1</v>
      </c>
      <c r="J8508">
        <v>0</v>
      </c>
      <c r="K8508">
        <v>0</v>
      </c>
      <c r="L8508">
        <f t="shared" si="264"/>
        <v>3.4</v>
      </c>
      <c r="M8508">
        <f t="shared" si="265"/>
        <v>1</v>
      </c>
    </row>
    <row r="8509" spans="1:13" x14ac:dyDescent="0.3">
      <c r="A8509">
        <v>8507</v>
      </c>
      <c r="B8509">
        <v>8508</v>
      </c>
      <c r="C8509" t="s">
        <v>8584</v>
      </c>
      <c r="D8509">
        <v>2017</v>
      </c>
      <c r="F8509" t="s">
        <v>3619</v>
      </c>
      <c r="G8509">
        <v>0</v>
      </c>
      <c r="H8509">
        <v>0</v>
      </c>
      <c r="I8509">
        <v>1</v>
      </c>
      <c r="J8509">
        <v>0</v>
      </c>
      <c r="K8509">
        <v>0</v>
      </c>
      <c r="L8509">
        <f t="shared" si="264"/>
        <v>3.4</v>
      </c>
      <c r="M8509">
        <f t="shared" si="265"/>
        <v>1</v>
      </c>
    </row>
    <row r="8510" spans="1:13" x14ac:dyDescent="0.3">
      <c r="A8510">
        <v>8508</v>
      </c>
      <c r="B8510">
        <v>8509</v>
      </c>
      <c r="C8510" t="s">
        <v>8585</v>
      </c>
      <c r="D8510">
        <v>1936</v>
      </c>
      <c r="F8510" t="s">
        <v>3619</v>
      </c>
      <c r="G8510">
        <v>0</v>
      </c>
      <c r="H8510">
        <v>0</v>
      </c>
      <c r="I8510">
        <v>1</v>
      </c>
      <c r="J8510">
        <v>0</v>
      </c>
      <c r="K8510">
        <v>0</v>
      </c>
      <c r="L8510">
        <f t="shared" si="264"/>
        <v>3.4</v>
      </c>
      <c r="M8510">
        <f t="shared" si="265"/>
        <v>1</v>
      </c>
    </row>
    <row r="8511" spans="1:13" x14ac:dyDescent="0.3">
      <c r="A8511">
        <v>8509</v>
      </c>
      <c r="B8511">
        <v>8510</v>
      </c>
      <c r="C8511" t="s">
        <v>8586</v>
      </c>
      <c r="D8511">
        <v>1941</v>
      </c>
      <c r="F8511" t="s">
        <v>3619</v>
      </c>
      <c r="G8511">
        <v>0</v>
      </c>
      <c r="H8511">
        <v>0</v>
      </c>
      <c r="I8511">
        <v>1</v>
      </c>
      <c r="J8511">
        <v>0</v>
      </c>
      <c r="K8511">
        <v>0</v>
      </c>
      <c r="L8511">
        <f t="shared" si="264"/>
        <v>3.4</v>
      </c>
      <c r="M8511">
        <f t="shared" si="265"/>
        <v>1</v>
      </c>
    </row>
    <row r="8512" spans="1:13" x14ac:dyDescent="0.3">
      <c r="A8512">
        <v>8510</v>
      </c>
      <c r="B8512">
        <v>8511</v>
      </c>
      <c r="C8512" t="s">
        <v>8587</v>
      </c>
      <c r="D8512">
        <v>2019</v>
      </c>
      <c r="E8512" t="s">
        <v>14</v>
      </c>
      <c r="F8512" t="s">
        <v>3619</v>
      </c>
      <c r="G8512">
        <v>0</v>
      </c>
      <c r="H8512">
        <v>0</v>
      </c>
      <c r="I8512">
        <v>1</v>
      </c>
      <c r="J8512">
        <v>0</v>
      </c>
      <c r="K8512">
        <v>0</v>
      </c>
      <c r="L8512">
        <f t="shared" si="264"/>
        <v>3.4</v>
      </c>
      <c r="M8512">
        <f t="shared" si="265"/>
        <v>1</v>
      </c>
    </row>
    <row r="8513" spans="1:13" x14ac:dyDescent="0.3">
      <c r="A8513">
        <v>8511</v>
      </c>
      <c r="B8513">
        <v>8512</v>
      </c>
      <c r="C8513" t="s">
        <v>8588</v>
      </c>
      <c r="D8513">
        <v>2020</v>
      </c>
      <c r="E8513" t="s">
        <v>11</v>
      </c>
      <c r="F8513" t="s">
        <v>3619</v>
      </c>
      <c r="G8513">
        <v>0</v>
      </c>
      <c r="H8513">
        <v>0</v>
      </c>
      <c r="I8513">
        <v>1</v>
      </c>
      <c r="J8513">
        <v>0</v>
      </c>
      <c r="K8513">
        <v>0</v>
      </c>
      <c r="L8513">
        <f t="shared" si="264"/>
        <v>3.4</v>
      </c>
      <c r="M8513">
        <f t="shared" si="265"/>
        <v>1</v>
      </c>
    </row>
    <row r="8514" spans="1:13" x14ac:dyDescent="0.3">
      <c r="A8514">
        <v>8512</v>
      </c>
      <c r="B8514">
        <v>8513</v>
      </c>
      <c r="C8514" t="s">
        <v>8589</v>
      </c>
      <c r="D8514">
        <v>2003</v>
      </c>
      <c r="E8514" t="s">
        <v>11</v>
      </c>
      <c r="F8514" t="s">
        <v>3619</v>
      </c>
      <c r="G8514">
        <v>0</v>
      </c>
      <c r="H8514">
        <v>0</v>
      </c>
      <c r="I8514">
        <v>1</v>
      </c>
      <c r="J8514">
        <v>0</v>
      </c>
      <c r="K8514">
        <v>0</v>
      </c>
      <c r="L8514">
        <f t="shared" si="264"/>
        <v>3.4</v>
      </c>
      <c r="M8514">
        <f t="shared" si="265"/>
        <v>1</v>
      </c>
    </row>
    <row r="8515" spans="1:13" x14ac:dyDescent="0.3">
      <c r="A8515">
        <v>8513</v>
      </c>
      <c r="B8515">
        <v>8514</v>
      </c>
      <c r="C8515" t="s">
        <v>8590</v>
      </c>
      <c r="D8515">
        <v>2015</v>
      </c>
      <c r="F8515" t="s">
        <v>3619</v>
      </c>
      <c r="G8515">
        <v>0</v>
      </c>
      <c r="H8515">
        <v>0</v>
      </c>
      <c r="I8515">
        <v>1</v>
      </c>
      <c r="J8515">
        <v>0</v>
      </c>
      <c r="K8515">
        <v>0</v>
      </c>
      <c r="L8515">
        <f t="shared" ref="L8515:L8578" si="266">IFERROR(VALUE(LEFT(F8515,FIND("/",F8515)-1))/10,"")</f>
        <v>3.4</v>
      </c>
      <c r="M8515">
        <f t="shared" ref="M8515:M8578" si="267">SUM(G8515:J8515)</f>
        <v>1</v>
      </c>
    </row>
    <row r="8516" spans="1:13" x14ac:dyDescent="0.3">
      <c r="A8516">
        <v>8514</v>
      </c>
      <c r="B8516">
        <v>8515</v>
      </c>
      <c r="C8516" t="s">
        <v>8591</v>
      </c>
      <c r="D8516">
        <v>2013</v>
      </c>
      <c r="F8516" t="s">
        <v>3619</v>
      </c>
      <c r="G8516">
        <v>0</v>
      </c>
      <c r="H8516">
        <v>0</v>
      </c>
      <c r="I8516">
        <v>1</v>
      </c>
      <c r="J8516">
        <v>0</v>
      </c>
      <c r="K8516">
        <v>0</v>
      </c>
      <c r="L8516">
        <f t="shared" si="266"/>
        <v>3.4</v>
      </c>
      <c r="M8516">
        <f t="shared" si="267"/>
        <v>1</v>
      </c>
    </row>
    <row r="8517" spans="1:13" x14ac:dyDescent="0.3">
      <c r="A8517">
        <v>8515</v>
      </c>
      <c r="B8517">
        <v>8516</v>
      </c>
      <c r="C8517" t="s">
        <v>8592</v>
      </c>
      <c r="D8517">
        <v>2002</v>
      </c>
      <c r="E8517" t="s">
        <v>11</v>
      </c>
      <c r="F8517" t="s">
        <v>3619</v>
      </c>
      <c r="G8517">
        <v>0</v>
      </c>
      <c r="H8517">
        <v>0</v>
      </c>
      <c r="I8517">
        <v>1</v>
      </c>
      <c r="J8517">
        <v>0</v>
      </c>
      <c r="K8517">
        <v>0</v>
      </c>
      <c r="L8517">
        <f t="shared" si="266"/>
        <v>3.4</v>
      </c>
      <c r="M8517">
        <f t="shared" si="267"/>
        <v>1</v>
      </c>
    </row>
    <row r="8518" spans="1:13" x14ac:dyDescent="0.3">
      <c r="A8518">
        <v>8516</v>
      </c>
      <c r="B8518">
        <v>8517</v>
      </c>
      <c r="C8518" t="s">
        <v>8593</v>
      </c>
      <c r="D8518">
        <v>2020</v>
      </c>
      <c r="F8518" t="s">
        <v>3652</v>
      </c>
      <c r="G8518">
        <v>0</v>
      </c>
      <c r="H8518">
        <v>0</v>
      </c>
      <c r="I8518">
        <v>1</v>
      </c>
      <c r="J8518">
        <v>0</v>
      </c>
      <c r="K8518">
        <v>0</v>
      </c>
      <c r="L8518">
        <f t="shared" si="266"/>
        <v>3.3</v>
      </c>
      <c r="M8518">
        <f t="shared" si="267"/>
        <v>1</v>
      </c>
    </row>
    <row r="8519" spans="1:13" x14ac:dyDescent="0.3">
      <c r="A8519">
        <v>8517</v>
      </c>
      <c r="B8519">
        <v>8518</v>
      </c>
      <c r="C8519" t="s">
        <v>8594</v>
      </c>
      <c r="D8519">
        <v>2019</v>
      </c>
      <c r="F8519" t="s">
        <v>3652</v>
      </c>
      <c r="G8519">
        <v>0</v>
      </c>
      <c r="H8519">
        <v>0</v>
      </c>
      <c r="I8519">
        <v>1</v>
      </c>
      <c r="J8519">
        <v>0</v>
      </c>
      <c r="K8519">
        <v>0</v>
      </c>
      <c r="L8519">
        <f t="shared" si="266"/>
        <v>3.3</v>
      </c>
      <c r="M8519">
        <f t="shared" si="267"/>
        <v>1</v>
      </c>
    </row>
    <row r="8520" spans="1:13" x14ac:dyDescent="0.3">
      <c r="A8520">
        <v>8518</v>
      </c>
      <c r="B8520">
        <v>8519</v>
      </c>
      <c r="C8520" t="s">
        <v>8595</v>
      </c>
      <c r="D8520">
        <v>2012</v>
      </c>
      <c r="E8520" t="s">
        <v>14</v>
      </c>
      <c r="F8520" t="s">
        <v>3652</v>
      </c>
      <c r="G8520">
        <v>0</v>
      </c>
      <c r="H8520">
        <v>0</v>
      </c>
      <c r="I8520">
        <v>1</v>
      </c>
      <c r="J8520">
        <v>0</v>
      </c>
      <c r="K8520">
        <v>0</v>
      </c>
      <c r="L8520">
        <f t="shared" si="266"/>
        <v>3.3</v>
      </c>
      <c r="M8520">
        <f t="shared" si="267"/>
        <v>1</v>
      </c>
    </row>
    <row r="8521" spans="1:13" x14ac:dyDescent="0.3">
      <c r="A8521">
        <v>8519</v>
      </c>
      <c r="B8521">
        <v>8520</v>
      </c>
      <c r="C8521" t="s">
        <v>8596</v>
      </c>
      <c r="D8521">
        <v>2016</v>
      </c>
      <c r="F8521" t="s">
        <v>3652</v>
      </c>
      <c r="G8521">
        <v>0</v>
      </c>
      <c r="H8521">
        <v>0</v>
      </c>
      <c r="I8521">
        <v>1</v>
      </c>
      <c r="J8521">
        <v>0</v>
      </c>
      <c r="K8521">
        <v>0</v>
      </c>
      <c r="L8521">
        <f t="shared" si="266"/>
        <v>3.3</v>
      </c>
      <c r="M8521">
        <f t="shared" si="267"/>
        <v>1</v>
      </c>
    </row>
    <row r="8522" spans="1:13" x14ac:dyDescent="0.3">
      <c r="A8522">
        <v>8520</v>
      </c>
      <c r="B8522">
        <v>8521</v>
      </c>
      <c r="C8522" t="s">
        <v>8597</v>
      </c>
      <c r="D8522">
        <v>1935</v>
      </c>
      <c r="F8522" t="s">
        <v>3652</v>
      </c>
      <c r="G8522">
        <v>0</v>
      </c>
      <c r="H8522">
        <v>0</v>
      </c>
      <c r="I8522">
        <v>1</v>
      </c>
      <c r="J8522">
        <v>0</v>
      </c>
      <c r="K8522">
        <v>0</v>
      </c>
      <c r="L8522">
        <f t="shared" si="266"/>
        <v>3.3</v>
      </c>
      <c r="M8522">
        <f t="shared" si="267"/>
        <v>1</v>
      </c>
    </row>
    <row r="8523" spans="1:13" x14ac:dyDescent="0.3">
      <c r="A8523">
        <v>8521</v>
      </c>
      <c r="B8523">
        <v>8522</v>
      </c>
      <c r="C8523" t="s">
        <v>8598</v>
      </c>
      <c r="D8523">
        <v>2007</v>
      </c>
      <c r="F8523" t="s">
        <v>3652</v>
      </c>
      <c r="G8523">
        <v>0</v>
      </c>
      <c r="H8523">
        <v>0</v>
      </c>
      <c r="I8523">
        <v>1</v>
      </c>
      <c r="J8523">
        <v>0</v>
      </c>
      <c r="K8523">
        <v>0</v>
      </c>
      <c r="L8523">
        <f t="shared" si="266"/>
        <v>3.3</v>
      </c>
      <c r="M8523">
        <f t="shared" si="267"/>
        <v>1</v>
      </c>
    </row>
    <row r="8524" spans="1:13" x14ac:dyDescent="0.3">
      <c r="A8524">
        <v>8522</v>
      </c>
      <c r="B8524">
        <v>8523</v>
      </c>
      <c r="C8524" t="s">
        <v>8599</v>
      </c>
      <c r="D8524">
        <v>1971</v>
      </c>
      <c r="E8524" t="s">
        <v>11</v>
      </c>
      <c r="F8524" t="s">
        <v>3652</v>
      </c>
      <c r="G8524">
        <v>0</v>
      </c>
      <c r="H8524">
        <v>0</v>
      </c>
      <c r="I8524">
        <v>1</v>
      </c>
      <c r="J8524">
        <v>0</v>
      </c>
      <c r="K8524">
        <v>0</v>
      </c>
      <c r="L8524">
        <f t="shared" si="266"/>
        <v>3.3</v>
      </c>
      <c r="M8524">
        <f t="shared" si="267"/>
        <v>1</v>
      </c>
    </row>
    <row r="8525" spans="1:13" x14ac:dyDescent="0.3">
      <c r="A8525">
        <v>8523</v>
      </c>
      <c r="B8525">
        <v>8524</v>
      </c>
      <c r="C8525" t="s">
        <v>8600</v>
      </c>
      <c r="D8525">
        <v>2007</v>
      </c>
      <c r="F8525" t="s">
        <v>3652</v>
      </c>
      <c r="G8525">
        <v>0</v>
      </c>
      <c r="H8525">
        <v>0</v>
      </c>
      <c r="I8525">
        <v>1</v>
      </c>
      <c r="J8525">
        <v>0</v>
      </c>
      <c r="K8525">
        <v>0</v>
      </c>
      <c r="L8525">
        <f t="shared" si="266"/>
        <v>3.3</v>
      </c>
      <c r="M8525">
        <f t="shared" si="267"/>
        <v>1</v>
      </c>
    </row>
    <row r="8526" spans="1:13" x14ac:dyDescent="0.3">
      <c r="A8526">
        <v>8524</v>
      </c>
      <c r="B8526">
        <v>8525</v>
      </c>
      <c r="C8526" t="s">
        <v>8601</v>
      </c>
      <c r="D8526">
        <v>2018</v>
      </c>
      <c r="F8526" t="s">
        <v>3652</v>
      </c>
      <c r="G8526">
        <v>0</v>
      </c>
      <c r="H8526">
        <v>0</v>
      </c>
      <c r="I8526">
        <v>1</v>
      </c>
      <c r="J8526">
        <v>0</v>
      </c>
      <c r="K8526">
        <v>0</v>
      </c>
      <c r="L8526">
        <f t="shared" si="266"/>
        <v>3.3</v>
      </c>
      <c r="M8526">
        <f t="shared" si="267"/>
        <v>1</v>
      </c>
    </row>
    <row r="8527" spans="1:13" x14ac:dyDescent="0.3">
      <c r="A8527">
        <v>8525</v>
      </c>
      <c r="B8527">
        <v>8526</v>
      </c>
      <c r="C8527" t="s">
        <v>8602</v>
      </c>
      <c r="D8527">
        <v>1933</v>
      </c>
      <c r="F8527" t="s">
        <v>3652</v>
      </c>
      <c r="G8527">
        <v>0</v>
      </c>
      <c r="H8527">
        <v>0</v>
      </c>
      <c r="I8527">
        <v>1</v>
      </c>
      <c r="J8527">
        <v>0</v>
      </c>
      <c r="K8527">
        <v>0</v>
      </c>
      <c r="L8527">
        <f t="shared" si="266"/>
        <v>3.3</v>
      </c>
      <c r="M8527">
        <f t="shared" si="267"/>
        <v>1</v>
      </c>
    </row>
    <row r="8528" spans="1:13" x14ac:dyDescent="0.3">
      <c r="A8528">
        <v>8526</v>
      </c>
      <c r="B8528">
        <v>8527</v>
      </c>
      <c r="C8528" t="s">
        <v>8603</v>
      </c>
      <c r="D8528">
        <v>1988</v>
      </c>
      <c r="E8528" t="s">
        <v>11</v>
      </c>
      <c r="F8528" t="s">
        <v>3652</v>
      </c>
      <c r="G8528">
        <v>0</v>
      </c>
      <c r="H8528">
        <v>0</v>
      </c>
      <c r="I8528">
        <v>1</v>
      </c>
      <c r="J8528">
        <v>0</v>
      </c>
      <c r="K8528">
        <v>0</v>
      </c>
      <c r="L8528">
        <f t="shared" si="266"/>
        <v>3.3</v>
      </c>
      <c r="M8528">
        <f t="shared" si="267"/>
        <v>1</v>
      </c>
    </row>
    <row r="8529" spans="1:13" x14ac:dyDescent="0.3">
      <c r="A8529">
        <v>8527</v>
      </c>
      <c r="B8529">
        <v>8528</v>
      </c>
      <c r="C8529" t="s">
        <v>8604</v>
      </c>
      <c r="D8529">
        <v>1936</v>
      </c>
      <c r="F8529" t="s">
        <v>3652</v>
      </c>
      <c r="G8529">
        <v>0</v>
      </c>
      <c r="H8529">
        <v>0</v>
      </c>
      <c r="I8529">
        <v>1</v>
      </c>
      <c r="J8529">
        <v>0</v>
      </c>
      <c r="K8529">
        <v>0</v>
      </c>
      <c r="L8529">
        <f t="shared" si="266"/>
        <v>3.3</v>
      </c>
      <c r="M8529">
        <f t="shared" si="267"/>
        <v>1</v>
      </c>
    </row>
    <row r="8530" spans="1:13" x14ac:dyDescent="0.3">
      <c r="A8530">
        <v>8528</v>
      </c>
      <c r="B8530">
        <v>8529</v>
      </c>
      <c r="C8530" t="s">
        <v>8605</v>
      </c>
      <c r="D8530">
        <v>1959</v>
      </c>
      <c r="F8530" t="s">
        <v>3652</v>
      </c>
      <c r="G8530">
        <v>0</v>
      </c>
      <c r="H8530">
        <v>0</v>
      </c>
      <c r="I8530">
        <v>1</v>
      </c>
      <c r="J8530">
        <v>0</v>
      </c>
      <c r="K8530">
        <v>0</v>
      </c>
      <c r="L8530">
        <f t="shared" si="266"/>
        <v>3.3</v>
      </c>
      <c r="M8530">
        <f t="shared" si="267"/>
        <v>1</v>
      </c>
    </row>
    <row r="8531" spans="1:13" x14ac:dyDescent="0.3">
      <c r="A8531">
        <v>8529</v>
      </c>
      <c r="B8531">
        <v>8530</v>
      </c>
      <c r="C8531" t="s">
        <v>8606</v>
      </c>
      <c r="D8531">
        <v>2008</v>
      </c>
      <c r="E8531" t="s">
        <v>22</v>
      </c>
      <c r="F8531" t="s">
        <v>3652</v>
      </c>
      <c r="G8531">
        <v>0</v>
      </c>
      <c r="H8531">
        <v>0</v>
      </c>
      <c r="I8531">
        <v>1</v>
      </c>
      <c r="J8531">
        <v>0</v>
      </c>
      <c r="K8531">
        <v>0</v>
      </c>
      <c r="L8531">
        <f t="shared" si="266"/>
        <v>3.3</v>
      </c>
      <c r="M8531">
        <f t="shared" si="267"/>
        <v>1</v>
      </c>
    </row>
    <row r="8532" spans="1:13" x14ac:dyDescent="0.3">
      <c r="A8532">
        <v>8530</v>
      </c>
      <c r="B8532">
        <v>8531</v>
      </c>
      <c r="C8532" t="s">
        <v>8607</v>
      </c>
      <c r="D8532">
        <v>2021</v>
      </c>
      <c r="F8532" t="s">
        <v>3652</v>
      </c>
      <c r="G8532">
        <v>0</v>
      </c>
      <c r="H8532">
        <v>0</v>
      </c>
      <c r="I8532">
        <v>1</v>
      </c>
      <c r="J8532">
        <v>0</v>
      </c>
      <c r="K8532">
        <v>0</v>
      </c>
      <c r="L8532">
        <f t="shared" si="266"/>
        <v>3.3</v>
      </c>
      <c r="M8532">
        <f t="shared" si="267"/>
        <v>1</v>
      </c>
    </row>
    <row r="8533" spans="1:13" x14ac:dyDescent="0.3">
      <c r="A8533">
        <v>8531</v>
      </c>
      <c r="B8533">
        <v>8532</v>
      </c>
      <c r="C8533" t="s">
        <v>8608</v>
      </c>
      <c r="D8533">
        <v>2012</v>
      </c>
      <c r="E8533" t="s">
        <v>22</v>
      </c>
      <c r="F8533" t="s">
        <v>3652</v>
      </c>
      <c r="G8533">
        <v>0</v>
      </c>
      <c r="H8533">
        <v>0</v>
      </c>
      <c r="I8533">
        <v>1</v>
      </c>
      <c r="J8533">
        <v>0</v>
      </c>
      <c r="K8533">
        <v>0</v>
      </c>
      <c r="L8533">
        <f t="shared" si="266"/>
        <v>3.3</v>
      </c>
      <c r="M8533">
        <f t="shared" si="267"/>
        <v>1</v>
      </c>
    </row>
    <row r="8534" spans="1:13" x14ac:dyDescent="0.3">
      <c r="A8534">
        <v>8532</v>
      </c>
      <c r="B8534">
        <v>8533</v>
      </c>
      <c r="C8534" t="s">
        <v>8609</v>
      </c>
      <c r="D8534">
        <v>2019</v>
      </c>
      <c r="F8534" t="s">
        <v>3652</v>
      </c>
      <c r="G8534">
        <v>0</v>
      </c>
      <c r="H8534">
        <v>0</v>
      </c>
      <c r="I8534">
        <v>1</v>
      </c>
      <c r="J8534">
        <v>0</v>
      </c>
      <c r="K8534">
        <v>0</v>
      </c>
      <c r="L8534">
        <f t="shared" si="266"/>
        <v>3.3</v>
      </c>
      <c r="M8534">
        <f t="shared" si="267"/>
        <v>1</v>
      </c>
    </row>
    <row r="8535" spans="1:13" x14ac:dyDescent="0.3">
      <c r="A8535">
        <v>8533</v>
      </c>
      <c r="B8535">
        <v>8534</v>
      </c>
      <c r="C8535" t="s">
        <v>8610</v>
      </c>
      <c r="D8535">
        <v>2015</v>
      </c>
      <c r="E8535" t="s">
        <v>36</v>
      </c>
      <c r="F8535" t="s">
        <v>3652</v>
      </c>
      <c r="G8535">
        <v>0</v>
      </c>
      <c r="H8535">
        <v>0</v>
      </c>
      <c r="I8535">
        <v>1</v>
      </c>
      <c r="J8535">
        <v>0</v>
      </c>
      <c r="K8535">
        <v>0</v>
      </c>
      <c r="L8535">
        <f t="shared" si="266"/>
        <v>3.3</v>
      </c>
      <c r="M8535">
        <f t="shared" si="267"/>
        <v>1</v>
      </c>
    </row>
    <row r="8536" spans="1:13" x14ac:dyDescent="0.3">
      <c r="A8536">
        <v>8534</v>
      </c>
      <c r="B8536">
        <v>8535</v>
      </c>
      <c r="C8536" t="s">
        <v>8611</v>
      </c>
      <c r="D8536">
        <v>2007</v>
      </c>
      <c r="E8536" t="s">
        <v>11</v>
      </c>
      <c r="F8536" t="s">
        <v>3671</v>
      </c>
      <c r="G8536">
        <v>0</v>
      </c>
      <c r="H8536">
        <v>0</v>
      </c>
      <c r="I8536">
        <v>1</v>
      </c>
      <c r="J8536">
        <v>0</v>
      </c>
      <c r="K8536">
        <v>0</v>
      </c>
      <c r="L8536">
        <f t="shared" si="266"/>
        <v>3.2</v>
      </c>
      <c r="M8536">
        <f t="shared" si="267"/>
        <v>1</v>
      </c>
    </row>
    <row r="8537" spans="1:13" x14ac:dyDescent="0.3">
      <c r="A8537">
        <v>8535</v>
      </c>
      <c r="B8537">
        <v>8536</v>
      </c>
      <c r="C8537" t="s">
        <v>8612</v>
      </c>
      <c r="D8537">
        <v>2012</v>
      </c>
      <c r="F8537" t="s">
        <v>3671</v>
      </c>
      <c r="G8537">
        <v>0</v>
      </c>
      <c r="H8537">
        <v>0</v>
      </c>
      <c r="I8537">
        <v>1</v>
      </c>
      <c r="J8537">
        <v>0</v>
      </c>
      <c r="K8537">
        <v>0</v>
      </c>
      <c r="L8537">
        <f t="shared" si="266"/>
        <v>3.2</v>
      </c>
      <c r="M8537">
        <f t="shared" si="267"/>
        <v>1</v>
      </c>
    </row>
    <row r="8538" spans="1:13" x14ac:dyDescent="0.3">
      <c r="A8538">
        <v>8536</v>
      </c>
      <c r="B8538">
        <v>8537</v>
      </c>
      <c r="C8538" t="s">
        <v>8613</v>
      </c>
      <c r="D8538">
        <v>2020</v>
      </c>
      <c r="F8538" t="s">
        <v>3671</v>
      </c>
      <c r="G8538">
        <v>0</v>
      </c>
      <c r="H8538">
        <v>0</v>
      </c>
      <c r="I8538">
        <v>1</v>
      </c>
      <c r="J8538">
        <v>0</v>
      </c>
      <c r="K8538">
        <v>0</v>
      </c>
      <c r="L8538">
        <f t="shared" si="266"/>
        <v>3.2</v>
      </c>
      <c r="M8538">
        <f t="shared" si="267"/>
        <v>1</v>
      </c>
    </row>
    <row r="8539" spans="1:13" x14ac:dyDescent="0.3">
      <c r="A8539">
        <v>8537</v>
      </c>
      <c r="B8539">
        <v>8538</v>
      </c>
      <c r="C8539" t="s">
        <v>8614</v>
      </c>
      <c r="D8539">
        <v>2019</v>
      </c>
      <c r="E8539" t="s">
        <v>14</v>
      </c>
      <c r="F8539" t="s">
        <v>3671</v>
      </c>
      <c r="G8539">
        <v>0</v>
      </c>
      <c r="H8539">
        <v>0</v>
      </c>
      <c r="I8539">
        <v>1</v>
      </c>
      <c r="J8539">
        <v>0</v>
      </c>
      <c r="K8539">
        <v>0</v>
      </c>
      <c r="L8539">
        <f t="shared" si="266"/>
        <v>3.2</v>
      </c>
      <c r="M8539">
        <f t="shared" si="267"/>
        <v>1</v>
      </c>
    </row>
    <row r="8540" spans="1:13" x14ac:dyDescent="0.3">
      <c r="A8540">
        <v>8538</v>
      </c>
      <c r="B8540">
        <v>8539</v>
      </c>
      <c r="C8540" t="s">
        <v>8615</v>
      </c>
      <c r="D8540">
        <v>2017</v>
      </c>
      <c r="F8540" t="s">
        <v>3671</v>
      </c>
      <c r="G8540">
        <v>0</v>
      </c>
      <c r="H8540">
        <v>0</v>
      </c>
      <c r="I8540">
        <v>1</v>
      </c>
      <c r="J8540">
        <v>0</v>
      </c>
      <c r="K8540">
        <v>0</v>
      </c>
      <c r="L8540">
        <f t="shared" si="266"/>
        <v>3.2</v>
      </c>
      <c r="M8540">
        <f t="shared" si="267"/>
        <v>1</v>
      </c>
    </row>
    <row r="8541" spans="1:13" x14ac:dyDescent="0.3">
      <c r="A8541">
        <v>8539</v>
      </c>
      <c r="B8541">
        <v>8540</v>
      </c>
      <c r="C8541" t="s">
        <v>8616</v>
      </c>
      <c r="D8541">
        <v>2005</v>
      </c>
      <c r="E8541" t="s">
        <v>28</v>
      </c>
      <c r="F8541" t="s">
        <v>3671</v>
      </c>
      <c r="G8541">
        <v>0</v>
      </c>
      <c r="H8541">
        <v>0</v>
      </c>
      <c r="I8541">
        <v>1</v>
      </c>
      <c r="J8541">
        <v>0</v>
      </c>
      <c r="K8541">
        <v>0</v>
      </c>
      <c r="L8541">
        <f t="shared" si="266"/>
        <v>3.2</v>
      </c>
      <c r="M8541">
        <f t="shared" si="267"/>
        <v>1</v>
      </c>
    </row>
    <row r="8542" spans="1:13" x14ac:dyDescent="0.3">
      <c r="A8542">
        <v>8540</v>
      </c>
      <c r="B8542">
        <v>8541</v>
      </c>
      <c r="C8542" t="s">
        <v>8617</v>
      </c>
      <c r="D8542">
        <v>2009</v>
      </c>
      <c r="F8542" t="s">
        <v>3671</v>
      </c>
      <c r="G8542">
        <v>0</v>
      </c>
      <c r="H8542">
        <v>0</v>
      </c>
      <c r="I8542">
        <v>1</v>
      </c>
      <c r="J8542">
        <v>0</v>
      </c>
      <c r="K8542">
        <v>0</v>
      </c>
      <c r="L8542">
        <f t="shared" si="266"/>
        <v>3.2</v>
      </c>
      <c r="M8542">
        <f t="shared" si="267"/>
        <v>1</v>
      </c>
    </row>
    <row r="8543" spans="1:13" x14ac:dyDescent="0.3">
      <c r="A8543">
        <v>8541</v>
      </c>
      <c r="B8543">
        <v>8542</v>
      </c>
      <c r="C8543" t="s">
        <v>8618</v>
      </c>
      <c r="D8543">
        <v>2008</v>
      </c>
      <c r="E8543" t="s">
        <v>11</v>
      </c>
      <c r="F8543" t="s">
        <v>3671</v>
      </c>
      <c r="G8543">
        <v>0</v>
      </c>
      <c r="H8543">
        <v>0</v>
      </c>
      <c r="I8543">
        <v>1</v>
      </c>
      <c r="J8543">
        <v>0</v>
      </c>
      <c r="K8543">
        <v>0</v>
      </c>
      <c r="L8543">
        <f t="shared" si="266"/>
        <v>3.2</v>
      </c>
      <c r="M8543">
        <f t="shared" si="267"/>
        <v>1</v>
      </c>
    </row>
    <row r="8544" spans="1:13" x14ac:dyDescent="0.3">
      <c r="A8544">
        <v>8542</v>
      </c>
      <c r="B8544">
        <v>8543</v>
      </c>
      <c r="C8544" t="s">
        <v>8619</v>
      </c>
      <c r="D8544">
        <v>1938</v>
      </c>
      <c r="E8544" t="s">
        <v>36</v>
      </c>
      <c r="F8544" t="s">
        <v>3683</v>
      </c>
      <c r="G8544">
        <v>0</v>
      </c>
      <c r="H8544">
        <v>0</v>
      </c>
      <c r="I8544">
        <v>1</v>
      </c>
      <c r="J8544">
        <v>0</v>
      </c>
      <c r="K8544">
        <v>0</v>
      </c>
      <c r="L8544">
        <f t="shared" si="266"/>
        <v>3.1</v>
      </c>
      <c r="M8544">
        <f t="shared" si="267"/>
        <v>1</v>
      </c>
    </row>
    <row r="8545" spans="1:13" x14ac:dyDescent="0.3">
      <c r="A8545">
        <v>8543</v>
      </c>
      <c r="B8545">
        <v>8544</v>
      </c>
      <c r="C8545" t="s">
        <v>8620</v>
      </c>
      <c r="D8545">
        <v>2013</v>
      </c>
      <c r="F8545" t="s">
        <v>3683</v>
      </c>
      <c r="G8545">
        <v>0</v>
      </c>
      <c r="H8545">
        <v>0</v>
      </c>
      <c r="I8545">
        <v>1</v>
      </c>
      <c r="J8545">
        <v>0</v>
      </c>
      <c r="K8545">
        <v>0</v>
      </c>
      <c r="L8545">
        <f t="shared" si="266"/>
        <v>3.1</v>
      </c>
      <c r="M8545">
        <f t="shared" si="267"/>
        <v>1</v>
      </c>
    </row>
    <row r="8546" spans="1:13" x14ac:dyDescent="0.3">
      <c r="A8546">
        <v>8544</v>
      </c>
      <c r="B8546">
        <v>8545</v>
      </c>
      <c r="C8546" t="s">
        <v>8621</v>
      </c>
      <c r="D8546">
        <v>2020</v>
      </c>
      <c r="F8546" t="s">
        <v>3683</v>
      </c>
      <c r="G8546">
        <v>0</v>
      </c>
      <c r="H8546">
        <v>0</v>
      </c>
      <c r="I8546">
        <v>1</v>
      </c>
      <c r="J8546">
        <v>0</v>
      </c>
      <c r="K8546">
        <v>0</v>
      </c>
      <c r="L8546">
        <f t="shared" si="266"/>
        <v>3.1</v>
      </c>
      <c r="M8546">
        <f t="shared" si="267"/>
        <v>1</v>
      </c>
    </row>
    <row r="8547" spans="1:13" x14ac:dyDescent="0.3">
      <c r="A8547">
        <v>8545</v>
      </c>
      <c r="B8547">
        <v>8546</v>
      </c>
      <c r="C8547" t="s">
        <v>8622</v>
      </c>
      <c r="D8547">
        <v>2014</v>
      </c>
      <c r="F8547" t="s">
        <v>3692</v>
      </c>
      <c r="G8547">
        <v>0</v>
      </c>
      <c r="H8547">
        <v>0</v>
      </c>
      <c r="I8547">
        <v>1</v>
      </c>
      <c r="J8547">
        <v>0</v>
      </c>
      <c r="K8547">
        <v>0</v>
      </c>
      <c r="L8547">
        <f t="shared" si="266"/>
        <v>3</v>
      </c>
      <c r="M8547">
        <f t="shared" si="267"/>
        <v>1</v>
      </c>
    </row>
    <row r="8548" spans="1:13" x14ac:dyDescent="0.3">
      <c r="A8548">
        <v>8546</v>
      </c>
      <c r="B8548">
        <v>8547</v>
      </c>
      <c r="C8548" t="s">
        <v>8623</v>
      </c>
      <c r="D8548">
        <v>1977</v>
      </c>
      <c r="F8548" t="s">
        <v>3692</v>
      </c>
      <c r="G8548">
        <v>0</v>
      </c>
      <c r="H8548">
        <v>0</v>
      </c>
      <c r="I8548">
        <v>1</v>
      </c>
      <c r="J8548">
        <v>0</v>
      </c>
      <c r="K8548">
        <v>0</v>
      </c>
      <c r="L8548">
        <f t="shared" si="266"/>
        <v>3</v>
      </c>
      <c r="M8548">
        <f t="shared" si="267"/>
        <v>1</v>
      </c>
    </row>
    <row r="8549" spans="1:13" x14ac:dyDescent="0.3">
      <c r="A8549">
        <v>8547</v>
      </c>
      <c r="B8549">
        <v>8548</v>
      </c>
      <c r="C8549" t="s">
        <v>8624</v>
      </c>
      <c r="D8549">
        <v>2007</v>
      </c>
      <c r="E8549" t="s">
        <v>14</v>
      </c>
      <c r="F8549" t="s">
        <v>3692</v>
      </c>
      <c r="G8549">
        <v>0</v>
      </c>
      <c r="H8549">
        <v>0</v>
      </c>
      <c r="I8549">
        <v>1</v>
      </c>
      <c r="J8549">
        <v>0</v>
      </c>
      <c r="K8549">
        <v>0</v>
      </c>
      <c r="L8549">
        <f t="shared" si="266"/>
        <v>3</v>
      </c>
      <c r="M8549">
        <f t="shared" si="267"/>
        <v>1</v>
      </c>
    </row>
    <row r="8550" spans="1:13" x14ac:dyDescent="0.3">
      <c r="A8550">
        <v>8548</v>
      </c>
      <c r="B8550">
        <v>8549</v>
      </c>
      <c r="C8550" t="s">
        <v>8625</v>
      </c>
      <c r="D8550">
        <v>2003</v>
      </c>
      <c r="E8550" t="s">
        <v>11</v>
      </c>
      <c r="F8550" t="s">
        <v>3692</v>
      </c>
      <c r="G8550">
        <v>0</v>
      </c>
      <c r="H8550">
        <v>0</v>
      </c>
      <c r="I8550">
        <v>1</v>
      </c>
      <c r="J8550">
        <v>0</v>
      </c>
      <c r="K8550">
        <v>0</v>
      </c>
      <c r="L8550">
        <f t="shared" si="266"/>
        <v>3</v>
      </c>
      <c r="M8550">
        <f t="shared" si="267"/>
        <v>1</v>
      </c>
    </row>
    <row r="8551" spans="1:13" x14ac:dyDescent="0.3">
      <c r="A8551">
        <v>8549</v>
      </c>
      <c r="B8551">
        <v>8550</v>
      </c>
      <c r="C8551" t="s">
        <v>8626</v>
      </c>
      <c r="D8551">
        <v>2004</v>
      </c>
      <c r="E8551" t="s">
        <v>11</v>
      </c>
      <c r="F8551" t="s">
        <v>3692</v>
      </c>
      <c r="G8551">
        <v>0</v>
      </c>
      <c r="H8551">
        <v>0</v>
      </c>
      <c r="I8551">
        <v>1</v>
      </c>
      <c r="J8551">
        <v>0</v>
      </c>
      <c r="K8551">
        <v>0</v>
      </c>
      <c r="L8551">
        <f t="shared" si="266"/>
        <v>3</v>
      </c>
      <c r="M8551">
        <f t="shared" si="267"/>
        <v>1</v>
      </c>
    </row>
    <row r="8552" spans="1:13" x14ac:dyDescent="0.3">
      <c r="A8552">
        <v>8550</v>
      </c>
      <c r="B8552">
        <v>8551</v>
      </c>
      <c r="C8552" t="s">
        <v>8627</v>
      </c>
      <c r="D8552">
        <v>2018</v>
      </c>
      <c r="F8552" t="s">
        <v>3692</v>
      </c>
      <c r="G8552">
        <v>0</v>
      </c>
      <c r="H8552">
        <v>0</v>
      </c>
      <c r="I8552">
        <v>1</v>
      </c>
      <c r="J8552">
        <v>0</v>
      </c>
      <c r="K8552">
        <v>0</v>
      </c>
      <c r="L8552">
        <f t="shared" si="266"/>
        <v>3</v>
      </c>
      <c r="M8552">
        <f t="shared" si="267"/>
        <v>1</v>
      </c>
    </row>
    <row r="8553" spans="1:13" x14ac:dyDescent="0.3">
      <c r="A8553">
        <v>8551</v>
      </c>
      <c r="B8553">
        <v>8552</v>
      </c>
      <c r="C8553" t="s">
        <v>8628</v>
      </c>
      <c r="D8553">
        <v>2007</v>
      </c>
      <c r="E8553" t="s">
        <v>11</v>
      </c>
      <c r="F8553" t="s">
        <v>3692</v>
      </c>
      <c r="G8553">
        <v>0</v>
      </c>
      <c r="H8553">
        <v>0</v>
      </c>
      <c r="I8553">
        <v>1</v>
      </c>
      <c r="J8553">
        <v>0</v>
      </c>
      <c r="K8553">
        <v>0</v>
      </c>
      <c r="L8553">
        <f t="shared" si="266"/>
        <v>3</v>
      </c>
      <c r="M8553">
        <f t="shared" si="267"/>
        <v>1</v>
      </c>
    </row>
    <row r="8554" spans="1:13" x14ac:dyDescent="0.3">
      <c r="A8554">
        <v>8552</v>
      </c>
      <c r="B8554">
        <v>8553</v>
      </c>
      <c r="C8554" t="s">
        <v>8629</v>
      </c>
      <c r="D8554">
        <v>1976</v>
      </c>
      <c r="E8554" t="s">
        <v>11</v>
      </c>
      <c r="F8554" t="s">
        <v>3696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f t="shared" si="266"/>
        <v>2.9</v>
      </c>
      <c r="M8554">
        <f t="shared" si="267"/>
        <v>1</v>
      </c>
    </row>
    <row r="8555" spans="1:13" x14ac:dyDescent="0.3">
      <c r="A8555">
        <v>8553</v>
      </c>
      <c r="B8555">
        <v>8554</v>
      </c>
      <c r="C8555" t="s">
        <v>8630</v>
      </c>
      <c r="D8555">
        <v>2001</v>
      </c>
      <c r="E8555" t="s">
        <v>11</v>
      </c>
      <c r="F8555" t="s">
        <v>3696</v>
      </c>
      <c r="G8555">
        <v>0</v>
      </c>
      <c r="H8555">
        <v>0</v>
      </c>
      <c r="I8555">
        <v>1</v>
      </c>
      <c r="J8555">
        <v>0</v>
      </c>
      <c r="K8555">
        <v>0</v>
      </c>
      <c r="L8555">
        <f t="shared" si="266"/>
        <v>2.9</v>
      </c>
      <c r="M8555">
        <f t="shared" si="267"/>
        <v>1</v>
      </c>
    </row>
    <row r="8556" spans="1:13" x14ac:dyDescent="0.3">
      <c r="A8556">
        <v>8554</v>
      </c>
      <c r="B8556">
        <v>8555</v>
      </c>
      <c r="C8556" t="s">
        <v>8631</v>
      </c>
      <c r="D8556">
        <v>2008</v>
      </c>
      <c r="F8556" t="s">
        <v>3696</v>
      </c>
      <c r="G8556">
        <v>0</v>
      </c>
      <c r="H8556">
        <v>0</v>
      </c>
      <c r="I8556">
        <v>1</v>
      </c>
      <c r="J8556">
        <v>0</v>
      </c>
      <c r="K8556">
        <v>0</v>
      </c>
      <c r="L8556">
        <f t="shared" si="266"/>
        <v>2.9</v>
      </c>
      <c r="M8556">
        <f t="shared" si="267"/>
        <v>1</v>
      </c>
    </row>
    <row r="8557" spans="1:13" x14ac:dyDescent="0.3">
      <c r="A8557">
        <v>8555</v>
      </c>
      <c r="B8557">
        <v>8556</v>
      </c>
      <c r="C8557" t="s">
        <v>8632</v>
      </c>
      <c r="D8557">
        <v>2005</v>
      </c>
      <c r="E8557" t="s">
        <v>22</v>
      </c>
      <c r="F8557" t="s">
        <v>3696</v>
      </c>
      <c r="G8557">
        <v>0</v>
      </c>
      <c r="H8557">
        <v>0</v>
      </c>
      <c r="I8557">
        <v>1</v>
      </c>
      <c r="J8557">
        <v>0</v>
      </c>
      <c r="K8557">
        <v>0</v>
      </c>
      <c r="L8557">
        <f t="shared" si="266"/>
        <v>2.9</v>
      </c>
      <c r="M8557">
        <f t="shared" si="267"/>
        <v>1</v>
      </c>
    </row>
    <row r="8558" spans="1:13" x14ac:dyDescent="0.3">
      <c r="A8558">
        <v>8556</v>
      </c>
      <c r="B8558">
        <v>8557</v>
      </c>
      <c r="C8558" t="s">
        <v>8633</v>
      </c>
      <c r="D8558">
        <v>2001</v>
      </c>
      <c r="E8558" t="s">
        <v>11</v>
      </c>
      <c r="F8558" t="s">
        <v>3696</v>
      </c>
      <c r="G8558">
        <v>0</v>
      </c>
      <c r="H8558">
        <v>0</v>
      </c>
      <c r="I8558">
        <v>1</v>
      </c>
      <c r="J8558">
        <v>0</v>
      </c>
      <c r="K8558">
        <v>0</v>
      </c>
      <c r="L8558">
        <f t="shared" si="266"/>
        <v>2.9</v>
      </c>
      <c r="M8558">
        <f t="shared" si="267"/>
        <v>1</v>
      </c>
    </row>
    <row r="8559" spans="1:13" x14ac:dyDescent="0.3">
      <c r="A8559">
        <v>8557</v>
      </c>
      <c r="B8559">
        <v>8558</v>
      </c>
      <c r="C8559" t="s">
        <v>8634</v>
      </c>
      <c r="D8559">
        <v>2008</v>
      </c>
      <c r="F8559" t="s">
        <v>3703</v>
      </c>
      <c r="G8559">
        <v>0</v>
      </c>
      <c r="H8559">
        <v>0</v>
      </c>
      <c r="I8559">
        <v>1</v>
      </c>
      <c r="J8559">
        <v>0</v>
      </c>
      <c r="K8559">
        <v>0</v>
      </c>
      <c r="L8559">
        <f t="shared" si="266"/>
        <v>2.8</v>
      </c>
      <c r="M8559">
        <f t="shared" si="267"/>
        <v>1</v>
      </c>
    </row>
    <row r="8560" spans="1:13" x14ac:dyDescent="0.3">
      <c r="A8560">
        <v>8558</v>
      </c>
      <c r="B8560">
        <v>8559</v>
      </c>
      <c r="C8560" t="s">
        <v>8635</v>
      </c>
      <c r="D8560">
        <v>2007</v>
      </c>
      <c r="E8560" t="s">
        <v>36</v>
      </c>
      <c r="F8560" t="s">
        <v>3703</v>
      </c>
      <c r="G8560">
        <v>0</v>
      </c>
      <c r="H8560">
        <v>0</v>
      </c>
      <c r="I8560">
        <v>1</v>
      </c>
      <c r="J8560">
        <v>0</v>
      </c>
      <c r="K8560">
        <v>0</v>
      </c>
      <c r="L8560">
        <f t="shared" si="266"/>
        <v>2.8</v>
      </c>
      <c r="M8560">
        <f t="shared" si="267"/>
        <v>1</v>
      </c>
    </row>
    <row r="8561" spans="1:13" x14ac:dyDescent="0.3">
      <c r="A8561">
        <v>8559</v>
      </c>
      <c r="B8561">
        <v>8560</v>
      </c>
      <c r="C8561" t="s">
        <v>8636</v>
      </c>
      <c r="D8561">
        <v>1998</v>
      </c>
      <c r="E8561" t="s">
        <v>11</v>
      </c>
      <c r="F8561" t="s">
        <v>3703</v>
      </c>
      <c r="G8561">
        <v>0</v>
      </c>
      <c r="H8561">
        <v>0</v>
      </c>
      <c r="I8561">
        <v>1</v>
      </c>
      <c r="J8561">
        <v>0</v>
      </c>
      <c r="K8561">
        <v>0</v>
      </c>
      <c r="L8561">
        <f t="shared" si="266"/>
        <v>2.8</v>
      </c>
      <c r="M8561">
        <f t="shared" si="267"/>
        <v>1</v>
      </c>
    </row>
    <row r="8562" spans="1:13" x14ac:dyDescent="0.3">
      <c r="A8562">
        <v>8560</v>
      </c>
      <c r="B8562">
        <v>8561</v>
      </c>
      <c r="C8562" t="s">
        <v>8637</v>
      </c>
      <c r="D8562">
        <v>2013</v>
      </c>
      <c r="F8562" t="s">
        <v>3703</v>
      </c>
      <c r="G8562">
        <v>0</v>
      </c>
      <c r="H8562">
        <v>0</v>
      </c>
      <c r="I8562">
        <v>1</v>
      </c>
      <c r="J8562">
        <v>0</v>
      </c>
      <c r="K8562">
        <v>0</v>
      </c>
      <c r="L8562">
        <f t="shared" si="266"/>
        <v>2.8</v>
      </c>
      <c r="M8562">
        <f t="shared" si="267"/>
        <v>1</v>
      </c>
    </row>
    <row r="8563" spans="1:13" x14ac:dyDescent="0.3">
      <c r="A8563">
        <v>8561</v>
      </c>
      <c r="B8563">
        <v>8562</v>
      </c>
      <c r="C8563" t="s">
        <v>8638</v>
      </c>
      <c r="D8563">
        <v>1995</v>
      </c>
      <c r="E8563" t="s">
        <v>11</v>
      </c>
      <c r="F8563" t="s">
        <v>3705</v>
      </c>
      <c r="G8563">
        <v>0</v>
      </c>
      <c r="H8563">
        <v>0</v>
      </c>
      <c r="I8563">
        <v>1</v>
      </c>
      <c r="J8563">
        <v>0</v>
      </c>
      <c r="K8563">
        <v>0</v>
      </c>
      <c r="L8563">
        <f t="shared" si="266"/>
        <v>2.7</v>
      </c>
      <c r="M8563">
        <f t="shared" si="267"/>
        <v>1</v>
      </c>
    </row>
    <row r="8564" spans="1:13" x14ac:dyDescent="0.3">
      <c r="A8564">
        <v>8562</v>
      </c>
      <c r="B8564">
        <v>8563</v>
      </c>
      <c r="C8564" t="s">
        <v>8639</v>
      </c>
      <c r="D8564">
        <v>1992</v>
      </c>
      <c r="F8564" t="s">
        <v>3705</v>
      </c>
      <c r="G8564">
        <v>0</v>
      </c>
      <c r="H8564">
        <v>0</v>
      </c>
      <c r="I8564">
        <v>1</v>
      </c>
      <c r="J8564">
        <v>0</v>
      </c>
      <c r="K8564">
        <v>0</v>
      </c>
      <c r="L8564">
        <f t="shared" si="266"/>
        <v>2.7</v>
      </c>
      <c r="M8564">
        <f t="shared" si="267"/>
        <v>1</v>
      </c>
    </row>
    <row r="8565" spans="1:13" x14ac:dyDescent="0.3">
      <c r="A8565">
        <v>8563</v>
      </c>
      <c r="B8565">
        <v>8564</v>
      </c>
      <c r="C8565" t="s">
        <v>8640</v>
      </c>
      <c r="D8565">
        <v>1994</v>
      </c>
      <c r="E8565" t="s">
        <v>11</v>
      </c>
      <c r="F8565" t="s">
        <v>8641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f t="shared" si="266"/>
        <v>2.6</v>
      </c>
      <c r="M8565">
        <f t="shared" si="267"/>
        <v>1</v>
      </c>
    </row>
    <row r="8566" spans="1:13" x14ac:dyDescent="0.3">
      <c r="A8566">
        <v>8564</v>
      </c>
      <c r="B8566">
        <v>8565</v>
      </c>
      <c r="C8566" t="s">
        <v>8642</v>
      </c>
      <c r="D8566">
        <v>1937</v>
      </c>
      <c r="F8566" t="s">
        <v>8641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f t="shared" si="266"/>
        <v>2.6</v>
      </c>
      <c r="M8566">
        <f t="shared" si="267"/>
        <v>1</v>
      </c>
    </row>
    <row r="8567" spans="1:13" x14ac:dyDescent="0.3">
      <c r="A8567">
        <v>8565</v>
      </c>
      <c r="B8567">
        <v>8566</v>
      </c>
      <c r="C8567" t="s">
        <v>8643</v>
      </c>
      <c r="D8567">
        <v>2011</v>
      </c>
      <c r="E8567" t="s">
        <v>28</v>
      </c>
      <c r="F8567" t="s">
        <v>8641</v>
      </c>
      <c r="G8567">
        <v>0</v>
      </c>
      <c r="H8567">
        <v>0</v>
      </c>
      <c r="I8567">
        <v>1</v>
      </c>
      <c r="J8567">
        <v>0</v>
      </c>
      <c r="K8567">
        <v>0</v>
      </c>
      <c r="L8567">
        <f t="shared" si="266"/>
        <v>2.6</v>
      </c>
      <c r="M8567">
        <f t="shared" si="267"/>
        <v>1</v>
      </c>
    </row>
    <row r="8568" spans="1:13" x14ac:dyDescent="0.3">
      <c r="A8568">
        <v>8566</v>
      </c>
      <c r="B8568">
        <v>8567</v>
      </c>
      <c r="C8568" t="s">
        <v>8644</v>
      </c>
      <c r="D8568">
        <v>2016</v>
      </c>
      <c r="F8568" t="s">
        <v>8645</v>
      </c>
      <c r="G8568">
        <v>0</v>
      </c>
      <c r="H8568">
        <v>0</v>
      </c>
      <c r="I8568">
        <v>1</v>
      </c>
      <c r="J8568">
        <v>0</v>
      </c>
      <c r="K8568">
        <v>0</v>
      </c>
      <c r="L8568">
        <f t="shared" si="266"/>
        <v>1.9</v>
      </c>
      <c r="M8568">
        <f t="shared" si="267"/>
        <v>1</v>
      </c>
    </row>
    <row r="8569" spans="1:13" x14ac:dyDescent="0.3">
      <c r="A8569">
        <v>8567</v>
      </c>
      <c r="B8569">
        <v>8568</v>
      </c>
      <c r="C8569" t="s">
        <v>8646</v>
      </c>
      <c r="D8569">
        <v>2016</v>
      </c>
      <c r="F8569" t="s">
        <v>8645</v>
      </c>
      <c r="G8569">
        <v>0</v>
      </c>
      <c r="H8569">
        <v>0</v>
      </c>
      <c r="I8569">
        <v>1</v>
      </c>
      <c r="J8569">
        <v>0</v>
      </c>
      <c r="K8569">
        <v>0</v>
      </c>
      <c r="L8569">
        <f t="shared" si="266"/>
        <v>1.9</v>
      </c>
      <c r="M8569">
        <f t="shared" si="267"/>
        <v>1</v>
      </c>
    </row>
    <row r="8570" spans="1:13" x14ac:dyDescent="0.3">
      <c r="A8570">
        <v>8568</v>
      </c>
      <c r="B8570">
        <v>8569</v>
      </c>
      <c r="C8570" t="s">
        <v>8647</v>
      </c>
      <c r="D8570">
        <v>2019</v>
      </c>
      <c r="F8570" t="s">
        <v>3715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f t="shared" si="266"/>
        <v>1.7</v>
      </c>
      <c r="M8570">
        <f t="shared" si="267"/>
        <v>1</v>
      </c>
    </row>
    <row r="8571" spans="1:13" x14ac:dyDescent="0.3">
      <c r="A8571">
        <v>8569</v>
      </c>
      <c r="B8571">
        <v>8570</v>
      </c>
      <c r="C8571" t="s">
        <v>8648</v>
      </c>
      <c r="D8571">
        <v>1978</v>
      </c>
      <c r="F8571" t="s">
        <v>3718</v>
      </c>
      <c r="G8571">
        <v>0</v>
      </c>
      <c r="H8571">
        <v>0</v>
      </c>
      <c r="I8571">
        <v>1</v>
      </c>
      <c r="J8571">
        <v>0</v>
      </c>
      <c r="K8571">
        <v>0</v>
      </c>
      <c r="L8571">
        <f t="shared" si="266"/>
        <v>1.6</v>
      </c>
      <c r="M8571">
        <f t="shared" si="267"/>
        <v>1</v>
      </c>
    </row>
    <row r="8572" spans="1:13" x14ac:dyDescent="0.3">
      <c r="A8572">
        <v>8570</v>
      </c>
      <c r="B8572">
        <v>8571</v>
      </c>
      <c r="C8572" t="s">
        <v>8649</v>
      </c>
      <c r="D8572">
        <v>2014</v>
      </c>
      <c r="F8572" t="s">
        <v>3718</v>
      </c>
      <c r="G8572">
        <v>0</v>
      </c>
      <c r="H8572">
        <v>0</v>
      </c>
      <c r="I8572">
        <v>1</v>
      </c>
      <c r="J8572">
        <v>0</v>
      </c>
      <c r="K8572">
        <v>0</v>
      </c>
      <c r="L8572">
        <f t="shared" si="266"/>
        <v>1.6</v>
      </c>
      <c r="M8572">
        <f t="shared" si="267"/>
        <v>1</v>
      </c>
    </row>
    <row r="8573" spans="1:13" x14ac:dyDescent="0.3">
      <c r="A8573">
        <v>8571</v>
      </c>
      <c r="B8573">
        <v>8572</v>
      </c>
      <c r="C8573" t="s">
        <v>8650</v>
      </c>
      <c r="D8573">
        <v>1993</v>
      </c>
      <c r="F8573" t="s">
        <v>3718</v>
      </c>
      <c r="G8573">
        <v>0</v>
      </c>
      <c r="H8573">
        <v>0</v>
      </c>
      <c r="I8573">
        <v>1</v>
      </c>
      <c r="J8573">
        <v>0</v>
      </c>
      <c r="K8573">
        <v>0</v>
      </c>
      <c r="L8573">
        <f t="shared" si="266"/>
        <v>1.6</v>
      </c>
      <c r="M8573">
        <f t="shared" si="267"/>
        <v>1</v>
      </c>
    </row>
    <row r="8574" spans="1:13" x14ac:dyDescent="0.3">
      <c r="A8574">
        <v>8572</v>
      </c>
      <c r="B8574">
        <v>8573</v>
      </c>
      <c r="C8574" t="s">
        <v>8651</v>
      </c>
      <c r="D8574">
        <v>2014</v>
      </c>
      <c r="F8574" t="s">
        <v>3718</v>
      </c>
      <c r="G8574">
        <v>0</v>
      </c>
      <c r="H8574">
        <v>0</v>
      </c>
      <c r="I8574">
        <v>1</v>
      </c>
      <c r="J8574">
        <v>0</v>
      </c>
      <c r="K8574">
        <v>0</v>
      </c>
      <c r="L8574">
        <f t="shared" si="266"/>
        <v>1.6</v>
      </c>
      <c r="M8574">
        <f t="shared" si="267"/>
        <v>1</v>
      </c>
    </row>
    <row r="8575" spans="1:13" x14ac:dyDescent="0.3">
      <c r="A8575">
        <v>8573</v>
      </c>
      <c r="B8575">
        <v>8574</v>
      </c>
      <c r="C8575" t="s">
        <v>8652</v>
      </c>
      <c r="D8575">
        <v>2013</v>
      </c>
      <c r="F8575" t="s">
        <v>3718</v>
      </c>
      <c r="G8575">
        <v>0</v>
      </c>
      <c r="H8575">
        <v>0</v>
      </c>
      <c r="I8575">
        <v>1</v>
      </c>
      <c r="J8575">
        <v>0</v>
      </c>
      <c r="K8575">
        <v>0</v>
      </c>
      <c r="L8575">
        <f t="shared" si="266"/>
        <v>1.6</v>
      </c>
      <c r="M8575">
        <f t="shared" si="267"/>
        <v>1</v>
      </c>
    </row>
    <row r="8576" spans="1:13" x14ac:dyDescent="0.3">
      <c r="A8576">
        <v>8574</v>
      </c>
      <c r="B8576">
        <v>8575</v>
      </c>
      <c r="C8576" t="s">
        <v>8653</v>
      </c>
      <c r="D8576">
        <v>2017</v>
      </c>
      <c r="E8576" t="s">
        <v>14</v>
      </c>
      <c r="F8576" t="s">
        <v>3718</v>
      </c>
      <c r="G8576">
        <v>0</v>
      </c>
      <c r="H8576">
        <v>0</v>
      </c>
      <c r="I8576">
        <v>1</v>
      </c>
      <c r="J8576">
        <v>0</v>
      </c>
      <c r="K8576">
        <v>0</v>
      </c>
      <c r="L8576">
        <f t="shared" si="266"/>
        <v>1.6</v>
      </c>
      <c r="M8576">
        <f t="shared" si="267"/>
        <v>1</v>
      </c>
    </row>
    <row r="8577" spans="1:13" x14ac:dyDescent="0.3">
      <c r="A8577">
        <v>8575</v>
      </c>
      <c r="B8577">
        <v>8576</v>
      </c>
      <c r="C8577" t="s">
        <v>8654</v>
      </c>
      <c r="D8577">
        <v>2015</v>
      </c>
      <c r="E8577" t="s">
        <v>11</v>
      </c>
      <c r="F8577" t="s">
        <v>3718</v>
      </c>
      <c r="G8577">
        <v>0</v>
      </c>
      <c r="H8577">
        <v>0</v>
      </c>
      <c r="I8577">
        <v>1</v>
      </c>
      <c r="J8577">
        <v>0</v>
      </c>
      <c r="K8577">
        <v>0</v>
      </c>
      <c r="L8577">
        <f t="shared" si="266"/>
        <v>1.6</v>
      </c>
      <c r="M8577">
        <f t="shared" si="267"/>
        <v>1</v>
      </c>
    </row>
    <row r="8578" spans="1:13" x14ac:dyDescent="0.3">
      <c r="A8578">
        <v>8576</v>
      </c>
      <c r="B8578">
        <v>8577</v>
      </c>
      <c r="C8578" t="s">
        <v>8655</v>
      </c>
      <c r="D8578">
        <v>2012</v>
      </c>
      <c r="F8578" t="s">
        <v>3718</v>
      </c>
      <c r="G8578">
        <v>0</v>
      </c>
      <c r="H8578">
        <v>0</v>
      </c>
      <c r="I8578">
        <v>1</v>
      </c>
      <c r="J8578">
        <v>0</v>
      </c>
      <c r="K8578">
        <v>0</v>
      </c>
      <c r="L8578">
        <f t="shared" si="266"/>
        <v>1.6</v>
      </c>
      <c r="M8578">
        <f t="shared" si="267"/>
        <v>1</v>
      </c>
    </row>
    <row r="8579" spans="1:13" x14ac:dyDescent="0.3">
      <c r="A8579">
        <v>8577</v>
      </c>
      <c r="B8579">
        <v>8578</v>
      </c>
      <c r="C8579" t="s">
        <v>8656</v>
      </c>
      <c r="D8579">
        <v>2018</v>
      </c>
      <c r="F8579" t="s">
        <v>3718</v>
      </c>
      <c r="G8579">
        <v>0</v>
      </c>
      <c r="H8579">
        <v>0</v>
      </c>
      <c r="I8579">
        <v>1</v>
      </c>
      <c r="J8579">
        <v>0</v>
      </c>
      <c r="K8579">
        <v>0</v>
      </c>
      <c r="L8579">
        <f t="shared" ref="L8579:L8642" si="268">IFERROR(VALUE(LEFT(F8579,FIND("/",F8579)-1))/10,"")</f>
        <v>1.6</v>
      </c>
      <c r="M8579">
        <f t="shared" ref="M8579:M8642" si="269">SUM(G8579:J8579)</f>
        <v>1</v>
      </c>
    </row>
    <row r="8580" spans="1:13" x14ac:dyDescent="0.3">
      <c r="A8580">
        <v>8578</v>
      </c>
      <c r="B8580">
        <v>8579</v>
      </c>
      <c r="C8580" t="s">
        <v>8657</v>
      </c>
      <c r="D8580">
        <v>2018</v>
      </c>
      <c r="F8580" t="s">
        <v>3720</v>
      </c>
      <c r="G8580">
        <v>0</v>
      </c>
      <c r="H8580">
        <v>0</v>
      </c>
      <c r="I8580">
        <v>1</v>
      </c>
      <c r="J8580">
        <v>0</v>
      </c>
      <c r="K8580">
        <v>0</v>
      </c>
      <c r="L8580">
        <f t="shared" si="268"/>
        <v>1.5</v>
      </c>
      <c r="M8580">
        <f t="shared" si="269"/>
        <v>1</v>
      </c>
    </row>
    <row r="8581" spans="1:13" x14ac:dyDescent="0.3">
      <c r="A8581">
        <v>8579</v>
      </c>
      <c r="B8581">
        <v>8580</v>
      </c>
      <c r="C8581" t="s">
        <v>8658</v>
      </c>
      <c r="D8581">
        <v>2013</v>
      </c>
      <c r="F8581" t="s">
        <v>3720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f t="shared" si="268"/>
        <v>1.5</v>
      </c>
      <c r="M8581">
        <f t="shared" si="269"/>
        <v>1</v>
      </c>
    </row>
    <row r="8582" spans="1:13" x14ac:dyDescent="0.3">
      <c r="A8582">
        <v>8580</v>
      </c>
      <c r="B8582">
        <v>8581</v>
      </c>
      <c r="C8582" t="s">
        <v>8659</v>
      </c>
      <c r="D8582">
        <v>2013</v>
      </c>
      <c r="F8582" t="s">
        <v>3720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f t="shared" si="268"/>
        <v>1.5</v>
      </c>
      <c r="M8582">
        <f t="shared" si="269"/>
        <v>1</v>
      </c>
    </row>
    <row r="8583" spans="1:13" x14ac:dyDescent="0.3">
      <c r="A8583">
        <v>8581</v>
      </c>
      <c r="B8583">
        <v>8582</v>
      </c>
      <c r="C8583" t="s">
        <v>8660</v>
      </c>
      <c r="D8583">
        <v>2020</v>
      </c>
      <c r="F8583" t="s">
        <v>3720</v>
      </c>
      <c r="G8583">
        <v>0</v>
      </c>
      <c r="H8583">
        <v>0</v>
      </c>
      <c r="I8583">
        <v>1</v>
      </c>
      <c r="J8583">
        <v>0</v>
      </c>
      <c r="K8583">
        <v>0</v>
      </c>
      <c r="L8583">
        <f t="shared" si="268"/>
        <v>1.5</v>
      </c>
      <c r="M8583">
        <f t="shared" si="269"/>
        <v>1</v>
      </c>
    </row>
    <row r="8584" spans="1:13" x14ac:dyDescent="0.3">
      <c r="A8584">
        <v>8582</v>
      </c>
      <c r="B8584">
        <v>8583</v>
      </c>
      <c r="C8584" t="s">
        <v>8661</v>
      </c>
      <c r="D8584">
        <v>2018</v>
      </c>
      <c r="F8584" t="s">
        <v>3720</v>
      </c>
      <c r="G8584">
        <v>0</v>
      </c>
      <c r="H8584">
        <v>0</v>
      </c>
      <c r="I8584">
        <v>1</v>
      </c>
      <c r="J8584">
        <v>0</v>
      </c>
      <c r="K8584">
        <v>0</v>
      </c>
      <c r="L8584">
        <f t="shared" si="268"/>
        <v>1.5</v>
      </c>
      <c r="M8584">
        <f t="shared" si="269"/>
        <v>1</v>
      </c>
    </row>
    <row r="8585" spans="1:13" x14ac:dyDescent="0.3">
      <c r="A8585">
        <v>8583</v>
      </c>
      <c r="B8585">
        <v>8584</v>
      </c>
      <c r="C8585" t="s">
        <v>8662</v>
      </c>
      <c r="D8585">
        <v>2018</v>
      </c>
      <c r="F8585" t="s">
        <v>3720</v>
      </c>
      <c r="G8585">
        <v>0</v>
      </c>
      <c r="H8585">
        <v>0</v>
      </c>
      <c r="I8585">
        <v>1</v>
      </c>
      <c r="J8585">
        <v>0</v>
      </c>
      <c r="K8585">
        <v>0</v>
      </c>
      <c r="L8585">
        <f t="shared" si="268"/>
        <v>1.5</v>
      </c>
      <c r="M8585">
        <f t="shared" si="269"/>
        <v>1</v>
      </c>
    </row>
    <row r="8586" spans="1:13" x14ac:dyDescent="0.3">
      <c r="A8586">
        <v>8584</v>
      </c>
      <c r="B8586">
        <v>8585</v>
      </c>
      <c r="C8586" t="s">
        <v>8663</v>
      </c>
      <c r="D8586">
        <v>2016</v>
      </c>
      <c r="F8586" t="s">
        <v>3720</v>
      </c>
      <c r="G8586">
        <v>0</v>
      </c>
      <c r="H8586">
        <v>0</v>
      </c>
      <c r="I8586">
        <v>1</v>
      </c>
      <c r="J8586">
        <v>0</v>
      </c>
      <c r="K8586">
        <v>0</v>
      </c>
      <c r="L8586">
        <f t="shared" si="268"/>
        <v>1.5</v>
      </c>
      <c r="M8586">
        <f t="shared" si="269"/>
        <v>1</v>
      </c>
    </row>
    <row r="8587" spans="1:13" x14ac:dyDescent="0.3">
      <c r="A8587">
        <v>8585</v>
      </c>
      <c r="B8587">
        <v>8586</v>
      </c>
      <c r="C8587" t="s">
        <v>8664</v>
      </c>
      <c r="D8587">
        <v>2020</v>
      </c>
      <c r="F8587" t="s">
        <v>3720</v>
      </c>
      <c r="G8587">
        <v>0</v>
      </c>
      <c r="H8587">
        <v>0</v>
      </c>
      <c r="I8587">
        <v>1</v>
      </c>
      <c r="J8587">
        <v>0</v>
      </c>
      <c r="K8587">
        <v>0</v>
      </c>
      <c r="L8587">
        <f t="shared" si="268"/>
        <v>1.5</v>
      </c>
      <c r="M8587">
        <f t="shared" si="269"/>
        <v>1</v>
      </c>
    </row>
    <row r="8588" spans="1:13" x14ac:dyDescent="0.3">
      <c r="A8588">
        <v>8586</v>
      </c>
      <c r="B8588">
        <v>8587</v>
      </c>
      <c r="C8588" t="s">
        <v>8665</v>
      </c>
      <c r="D8588">
        <v>2011</v>
      </c>
      <c r="F8588" t="s">
        <v>3720</v>
      </c>
      <c r="G8588">
        <v>0</v>
      </c>
      <c r="H8588">
        <v>0</v>
      </c>
      <c r="I8588">
        <v>1</v>
      </c>
      <c r="J8588">
        <v>0</v>
      </c>
      <c r="K8588">
        <v>0</v>
      </c>
      <c r="L8588">
        <f t="shared" si="268"/>
        <v>1.5</v>
      </c>
      <c r="M8588">
        <f t="shared" si="269"/>
        <v>1</v>
      </c>
    </row>
    <row r="8589" spans="1:13" x14ac:dyDescent="0.3">
      <c r="A8589">
        <v>8587</v>
      </c>
      <c r="B8589">
        <v>8588</v>
      </c>
      <c r="C8589" t="s">
        <v>8666</v>
      </c>
      <c r="D8589">
        <v>2008</v>
      </c>
      <c r="F8589" t="s">
        <v>3727</v>
      </c>
      <c r="G8589">
        <v>0</v>
      </c>
      <c r="H8589">
        <v>0</v>
      </c>
      <c r="I8589">
        <v>1</v>
      </c>
      <c r="J8589">
        <v>0</v>
      </c>
      <c r="K8589">
        <v>0</v>
      </c>
      <c r="L8589">
        <f t="shared" si="268"/>
        <v>1.4</v>
      </c>
      <c r="M8589">
        <f t="shared" si="269"/>
        <v>1</v>
      </c>
    </row>
    <row r="8590" spans="1:13" x14ac:dyDescent="0.3">
      <c r="A8590">
        <v>8588</v>
      </c>
      <c r="B8590">
        <v>8589</v>
      </c>
      <c r="C8590" t="s">
        <v>8667</v>
      </c>
      <c r="D8590">
        <v>2017</v>
      </c>
      <c r="F8590" t="s">
        <v>3727</v>
      </c>
      <c r="G8590">
        <v>0</v>
      </c>
      <c r="H8590">
        <v>0</v>
      </c>
      <c r="I8590">
        <v>1</v>
      </c>
      <c r="J8590">
        <v>0</v>
      </c>
      <c r="K8590">
        <v>0</v>
      </c>
      <c r="L8590">
        <f t="shared" si="268"/>
        <v>1.4</v>
      </c>
      <c r="M8590">
        <f t="shared" si="269"/>
        <v>1</v>
      </c>
    </row>
    <row r="8591" spans="1:13" x14ac:dyDescent="0.3">
      <c r="A8591">
        <v>8589</v>
      </c>
      <c r="B8591">
        <v>8590</v>
      </c>
      <c r="C8591" t="s">
        <v>8668</v>
      </c>
      <c r="D8591">
        <v>2018</v>
      </c>
      <c r="F8591" t="s">
        <v>3727</v>
      </c>
      <c r="G8591">
        <v>0</v>
      </c>
      <c r="H8591">
        <v>0</v>
      </c>
      <c r="I8591">
        <v>1</v>
      </c>
      <c r="J8591">
        <v>0</v>
      </c>
      <c r="K8591">
        <v>0</v>
      </c>
      <c r="L8591">
        <f t="shared" si="268"/>
        <v>1.4</v>
      </c>
      <c r="M8591">
        <f t="shared" si="269"/>
        <v>1</v>
      </c>
    </row>
    <row r="8592" spans="1:13" x14ac:dyDescent="0.3">
      <c r="A8592">
        <v>8590</v>
      </c>
      <c r="B8592">
        <v>8591</v>
      </c>
      <c r="C8592" t="s">
        <v>8669</v>
      </c>
      <c r="D8592">
        <v>2017</v>
      </c>
      <c r="F8592" t="s">
        <v>3727</v>
      </c>
      <c r="G8592">
        <v>0</v>
      </c>
      <c r="H8592">
        <v>0</v>
      </c>
      <c r="I8592">
        <v>1</v>
      </c>
      <c r="J8592">
        <v>0</v>
      </c>
      <c r="K8592">
        <v>0</v>
      </c>
      <c r="L8592">
        <f t="shared" si="268"/>
        <v>1.4</v>
      </c>
      <c r="M8592">
        <f t="shared" si="269"/>
        <v>1</v>
      </c>
    </row>
    <row r="8593" spans="1:13" x14ac:dyDescent="0.3">
      <c r="A8593">
        <v>8591</v>
      </c>
      <c r="B8593">
        <v>8592</v>
      </c>
      <c r="C8593" t="s">
        <v>8670</v>
      </c>
      <c r="D8593">
        <v>2016</v>
      </c>
      <c r="F8593" t="s">
        <v>3727</v>
      </c>
      <c r="G8593">
        <v>0</v>
      </c>
      <c r="H8593">
        <v>0</v>
      </c>
      <c r="I8593">
        <v>1</v>
      </c>
      <c r="J8593">
        <v>0</v>
      </c>
      <c r="K8593">
        <v>0</v>
      </c>
      <c r="L8593">
        <f t="shared" si="268"/>
        <v>1.4</v>
      </c>
      <c r="M8593">
        <f t="shared" si="269"/>
        <v>1</v>
      </c>
    </row>
    <row r="8594" spans="1:13" x14ac:dyDescent="0.3">
      <c r="A8594">
        <v>8592</v>
      </c>
      <c r="B8594">
        <v>8593</v>
      </c>
      <c r="C8594" t="s">
        <v>8671</v>
      </c>
      <c r="D8594">
        <v>2012</v>
      </c>
      <c r="F8594" t="s">
        <v>3727</v>
      </c>
      <c r="G8594">
        <v>0</v>
      </c>
      <c r="H8594">
        <v>0</v>
      </c>
      <c r="I8594">
        <v>1</v>
      </c>
      <c r="J8594">
        <v>0</v>
      </c>
      <c r="K8594">
        <v>0</v>
      </c>
      <c r="L8594">
        <f t="shared" si="268"/>
        <v>1.4</v>
      </c>
      <c r="M8594">
        <f t="shared" si="269"/>
        <v>1</v>
      </c>
    </row>
    <row r="8595" spans="1:13" x14ac:dyDescent="0.3">
      <c r="A8595">
        <v>8593</v>
      </c>
      <c r="B8595">
        <v>8594</v>
      </c>
      <c r="C8595" t="s">
        <v>8672</v>
      </c>
      <c r="D8595">
        <v>2018</v>
      </c>
      <c r="F8595" t="s">
        <v>3727</v>
      </c>
      <c r="G8595">
        <v>0</v>
      </c>
      <c r="H8595">
        <v>0</v>
      </c>
      <c r="I8595">
        <v>1</v>
      </c>
      <c r="J8595">
        <v>0</v>
      </c>
      <c r="K8595">
        <v>0</v>
      </c>
      <c r="L8595">
        <f t="shared" si="268"/>
        <v>1.4</v>
      </c>
      <c r="M8595">
        <f t="shared" si="269"/>
        <v>1</v>
      </c>
    </row>
    <row r="8596" spans="1:13" x14ac:dyDescent="0.3">
      <c r="A8596">
        <v>8594</v>
      </c>
      <c r="B8596">
        <v>8595</v>
      </c>
      <c r="C8596" t="s">
        <v>8673</v>
      </c>
      <c r="D8596">
        <v>2018</v>
      </c>
      <c r="F8596" t="s">
        <v>3727</v>
      </c>
      <c r="G8596">
        <v>0</v>
      </c>
      <c r="H8596">
        <v>0</v>
      </c>
      <c r="I8596">
        <v>1</v>
      </c>
      <c r="J8596">
        <v>0</v>
      </c>
      <c r="K8596">
        <v>0</v>
      </c>
      <c r="L8596">
        <f t="shared" si="268"/>
        <v>1.4</v>
      </c>
      <c r="M8596">
        <f t="shared" si="269"/>
        <v>1</v>
      </c>
    </row>
    <row r="8597" spans="1:13" x14ac:dyDescent="0.3">
      <c r="A8597">
        <v>8595</v>
      </c>
      <c r="B8597">
        <v>8596</v>
      </c>
      <c r="C8597" t="s">
        <v>8674</v>
      </c>
      <c r="D8597">
        <v>2015</v>
      </c>
      <c r="F8597" t="s">
        <v>3727</v>
      </c>
      <c r="G8597">
        <v>0</v>
      </c>
      <c r="H8597">
        <v>0</v>
      </c>
      <c r="I8597">
        <v>1</v>
      </c>
      <c r="J8597">
        <v>0</v>
      </c>
      <c r="K8597">
        <v>0</v>
      </c>
      <c r="L8597">
        <f t="shared" si="268"/>
        <v>1.4</v>
      </c>
      <c r="M8597">
        <f t="shared" si="269"/>
        <v>1</v>
      </c>
    </row>
    <row r="8598" spans="1:13" x14ac:dyDescent="0.3">
      <c r="A8598">
        <v>8596</v>
      </c>
      <c r="B8598">
        <v>8597</v>
      </c>
      <c r="C8598" t="s">
        <v>8675</v>
      </c>
      <c r="D8598">
        <v>1986</v>
      </c>
      <c r="F8598" t="s">
        <v>3727</v>
      </c>
      <c r="G8598">
        <v>0</v>
      </c>
      <c r="H8598">
        <v>0</v>
      </c>
      <c r="I8598">
        <v>1</v>
      </c>
      <c r="J8598">
        <v>0</v>
      </c>
      <c r="K8598">
        <v>0</v>
      </c>
      <c r="L8598">
        <f t="shared" si="268"/>
        <v>1.4</v>
      </c>
      <c r="M8598">
        <f t="shared" si="269"/>
        <v>1</v>
      </c>
    </row>
    <row r="8599" spans="1:13" x14ac:dyDescent="0.3">
      <c r="A8599">
        <v>8597</v>
      </c>
      <c r="B8599">
        <v>8598</v>
      </c>
      <c r="C8599" t="s">
        <v>8676</v>
      </c>
      <c r="D8599">
        <v>2014</v>
      </c>
      <c r="F8599" t="s">
        <v>3727</v>
      </c>
      <c r="G8599">
        <v>0</v>
      </c>
      <c r="H8599">
        <v>0</v>
      </c>
      <c r="I8599">
        <v>1</v>
      </c>
      <c r="J8599">
        <v>0</v>
      </c>
      <c r="K8599">
        <v>0</v>
      </c>
      <c r="L8599">
        <f t="shared" si="268"/>
        <v>1.4</v>
      </c>
      <c r="M8599">
        <f t="shared" si="269"/>
        <v>1</v>
      </c>
    </row>
    <row r="8600" spans="1:13" x14ac:dyDescent="0.3">
      <c r="A8600">
        <v>8598</v>
      </c>
      <c r="B8600">
        <v>8599</v>
      </c>
      <c r="C8600" t="s">
        <v>8677</v>
      </c>
      <c r="D8600">
        <v>2013</v>
      </c>
      <c r="F8600" t="s">
        <v>3727</v>
      </c>
      <c r="G8600">
        <v>0</v>
      </c>
      <c r="H8600">
        <v>0</v>
      </c>
      <c r="I8600">
        <v>1</v>
      </c>
      <c r="J8600">
        <v>0</v>
      </c>
      <c r="K8600">
        <v>0</v>
      </c>
      <c r="L8600">
        <f t="shared" si="268"/>
        <v>1.4</v>
      </c>
      <c r="M8600">
        <f t="shared" si="269"/>
        <v>1</v>
      </c>
    </row>
    <row r="8601" spans="1:13" x14ac:dyDescent="0.3">
      <c r="A8601">
        <v>8599</v>
      </c>
      <c r="B8601">
        <v>8600</v>
      </c>
      <c r="C8601" t="s">
        <v>8678</v>
      </c>
      <c r="D8601">
        <v>2013</v>
      </c>
      <c r="F8601" t="s">
        <v>3732</v>
      </c>
      <c r="G8601">
        <v>0</v>
      </c>
      <c r="H8601">
        <v>0</v>
      </c>
      <c r="I8601">
        <v>1</v>
      </c>
      <c r="J8601">
        <v>0</v>
      </c>
      <c r="K8601">
        <v>0</v>
      </c>
      <c r="L8601">
        <f t="shared" si="268"/>
        <v>1.3</v>
      </c>
      <c r="M8601">
        <f t="shared" si="269"/>
        <v>1</v>
      </c>
    </row>
    <row r="8602" spans="1:13" x14ac:dyDescent="0.3">
      <c r="A8602">
        <v>8600</v>
      </c>
      <c r="B8602">
        <v>8601</v>
      </c>
      <c r="C8602" t="s">
        <v>8679</v>
      </c>
      <c r="D8602">
        <v>2020</v>
      </c>
      <c r="F8602" t="s">
        <v>3732</v>
      </c>
      <c r="G8602">
        <v>0</v>
      </c>
      <c r="H8602">
        <v>0</v>
      </c>
      <c r="I8602">
        <v>1</v>
      </c>
      <c r="J8602">
        <v>0</v>
      </c>
      <c r="K8602">
        <v>0</v>
      </c>
      <c r="L8602">
        <f t="shared" si="268"/>
        <v>1.3</v>
      </c>
      <c r="M8602">
        <f t="shared" si="269"/>
        <v>1</v>
      </c>
    </row>
    <row r="8603" spans="1:13" x14ac:dyDescent="0.3">
      <c r="A8603">
        <v>8601</v>
      </c>
      <c r="B8603">
        <v>8602</v>
      </c>
      <c r="C8603" t="s">
        <v>8680</v>
      </c>
      <c r="D8603">
        <v>2017</v>
      </c>
      <c r="F8603" t="s">
        <v>3732</v>
      </c>
      <c r="G8603">
        <v>0</v>
      </c>
      <c r="H8603">
        <v>0</v>
      </c>
      <c r="I8603">
        <v>1</v>
      </c>
      <c r="J8603">
        <v>0</v>
      </c>
      <c r="K8603">
        <v>0</v>
      </c>
      <c r="L8603">
        <f t="shared" si="268"/>
        <v>1.3</v>
      </c>
      <c r="M8603">
        <f t="shared" si="269"/>
        <v>1</v>
      </c>
    </row>
    <row r="8604" spans="1:13" x14ac:dyDescent="0.3">
      <c r="A8604">
        <v>8602</v>
      </c>
      <c r="B8604">
        <v>8603</v>
      </c>
      <c r="C8604" t="s">
        <v>8681</v>
      </c>
      <c r="D8604">
        <v>2015</v>
      </c>
      <c r="F8604" t="s">
        <v>3732</v>
      </c>
      <c r="G8604">
        <v>0</v>
      </c>
      <c r="H8604">
        <v>0</v>
      </c>
      <c r="I8604">
        <v>1</v>
      </c>
      <c r="J8604">
        <v>0</v>
      </c>
      <c r="K8604">
        <v>0</v>
      </c>
      <c r="L8604">
        <f t="shared" si="268"/>
        <v>1.3</v>
      </c>
      <c r="M8604">
        <f t="shared" si="269"/>
        <v>1</v>
      </c>
    </row>
    <row r="8605" spans="1:13" x14ac:dyDescent="0.3">
      <c r="A8605">
        <v>8603</v>
      </c>
      <c r="B8605">
        <v>8604</v>
      </c>
      <c r="C8605" t="s">
        <v>8682</v>
      </c>
      <c r="D8605">
        <v>2016</v>
      </c>
      <c r="F8605" t="s">
        <v>3732</v>
      </c>
      <c r="G8605">
        <v>0</v>
      </c>
      <c r="H8605">
        <v>0</v>
      </c>
      <c r="I8605">
        <v>1</v>
      </c>
      <c r="J8605">
        <v>0</v>
      </c>
      <c r="K8605">
        <v>0</v>
      </c>
      <c r="L8605">
        <f t="shared" si="268"/>
        <v>1.3</v>
      </c>
      <c r="M8605">
        <f t="shared" si="269"/>
        <v>1</v>
      </c>
    </row>
    <row r="8606" spans="1:13" x14ac:dyDescent="0.3">
      <c r="A8606">
        <v>8604</v>
      </c>
      <c r="B8606">
        <v>8605</v>
      </c>
      <c r="C8606" t="s">
        <v>8683</v>
      </c>
      <c r="D8606">
        <v>1983</v>
      </c>
      <c r="F8606" t="s">
        <v>3732</v>
      </c>
      <c r="G8606">
        <v>0</v>
      </c>
      <c r="H8606">
        <v>0</v>
      </c>
      <c r="I8606">
        <v>1</v>
      </c>
      <c r="J8606">
        <v>0</v>
      </c>
      <c r="K8606">
        <v>0</v>
      </c>
      <c r="L8606">
        <f t="shared" si="268"/>
        <v>1.3</v>
      </c>
      <c r="M8606">
        <f t="shared" si="269"/>
        <v>1</v>
      </c>
    </row>
    <row r="8607" spans="1:13" x14ac:dyDescent="0.3">
      <c r="A8607">
        <v>8605</v>
      </c>
      <c r="B8607">
        <v>8606</v>
      </c>
      <c r="C8607" t="s">
        <v>8684</v>
      </c>
      <c r="D8607">
        <v>2012</v>
      </c>
      <c r="F8607" t="s">
        <v>3732</v>
      </c>
      <c r="G8607">
        <v>0</v>
      </c>
      <c r="H8607">
        <v>0</v>
      </c>
      <c r="I8607">
        <v>1</v>
      </c>
      <c r="J8607">
        <v>0</v>
      </c>
      <c r="K8607">
        <v>0</v>
      </c>
      <c r="L8607">
        <f t="shared" si="268"/>
        <v>1.3</v>
      </c>
      <c r="M8607">
        <f t="shared" si="269"/>
        <v>1</v>
      </c>
    </row>
    <row r="8608" spans="1:13" x14ac:dyDescent="0.3">
      <c r="A8608">
        <v>8606</v>
      </c>
      <c r="B8608">
        <v>8607</v>
      </c>
      <c r="C8608" t="s">
        <v>8685</v>
      </c>
      <c r="D8608">
        <v>2008</v>
      </c>
      <c r="F8608" t="s">
        <v>3732</v>
      </c>
      <c r="G8608">
        <v>0</v>
      </c>
      <c r="H8608">
        <v>0</v>
      </c>
      <c r="I8608">
        <v>1</v>
      </c>
      <c r="J8608">
        <v>0</v>
      </c>
      <c r="K8608">
        <v>0</v>
      </c>
      <c r="L8608">
        <f t="shared" si="268"/>
        <v>1.3</v>
      </c>
      <c r="M8608">
        <f t="shared" si="269"/>
        <v>1</v>
      </c>
    </row>
    <row r="8609" spans="1:13" x14ac:dyDescent="0.3">
      <c r="A8609">
        <v>8607</v>
      </c>
      <c r="B8609">
        <v>8608</v>
      </c>
      <c r="C8609" t="s">
        <v>8686</v>
      </c>
      <c r="D8609">
        <v>2017</v>
      </c>
      <c r="F8609" t="s">
        <v>3732</v>
      </c>
      <c r="G8609">
        <v>0</v>
      </c>
      <c r="H8609">
        <v>0</v>
      </c>
      <c r="I8609">
        <v>1</v>
      </c>
      <c r="J8609">
        <v>0</v>
      </c>
      <c r="K8609">
        <v>0</v>
      </c>
      <c r="L8609">
        <f t="shared" si="268"/>
        <v>1.3</v>
      </c>
      <c r="M8609">
        <f t="shared" si="269"/>
        <v>1</v>
      </c>
    </row>
    <row r="8610" spans="1:13" x14ac:dyDescent="0.3">
      <c r="A8610">
        <v>8608</v>
      </c>
      <c r="B8610">
        <v>8609</v>
      </c>
      <c r="C8610" t="s">
        <v>8687</v>
      </c>
      <c r="D8610">
        <v>2014</v>
      </c>
      <c r="E8610" t="s">
        <v>36</v>
      </c>
      <c r="F8610" t="s">
        <v>3732</v>
      </c>
      <c r="G8610">
        <v>0</v>
      </c>
      <c r="H8610">
        <v>0</v>
      </c>
      <c r="I8610">
        <v>1</v>
      </c>
      <c r="J8610">
        <v>0</v>
      </c>
      <c r="K8610">
        <v>0</v>
      </c>
      <c r="L8610">
        <f t="shared" si="268"/>
        <v>1.3</v>
      </c>
      <c r="M8610">
        <f t="shared" si="269"/>
        <v>1</v>
      </c>
    </row>
    <row r="8611" spans="1:13" x14ac:dyDescent="0.3">
      <c r="A8611">
        <v>8609</v>
      </c>
      <c r="B8611">
        <v>8610</v>
      </c>
      <c r="C8611" t="s">
        <v>8688</v>
      </c>
      <c r="D8611">
        <v>2010</v>
      </c>
      <c r="F8611" t="s">
        <v>3732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f t="shared" si="268"/>
        <v>1.3</v>
      </c>
      <c r="M8611">
        <f t="shared" si="269"/>
        <v>1</v>
      </c>
    </row>
    <row r="8612" spans="1:13" x14ac:dyDescent="0.3">
      <c r="A8612">
        <v>8610</v>
      </c>
      <c r="B8612">
        <v>8611</v>
      </c>
      <c r="C8612" t="s">
        <v>8689</v>
      </c>
      <c r="D8612">
        <v>2017</v>
      </c>
      <c r="F8612" t="s">
        <v>3732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f t="shared" si="268"/>
        <v>1.3</v>
      </c>
      <c r="M8612">
        <f t="shared" si="269"/>
        <v>1</v>
      </c>
    </row>
    <row r="8613" spans="1:13" x14ac:dyDescent="0.3">
      <c r="A8613">
        <v>8611</v>
      </c>
      <c r="B8613">
        <v>8612</v>
      </c>
      <c r="C8613" t="s">
        <v>8690</v>
      </c>
      <c r="D8613">
        <v>2016</v>
      </c>
      <c r="F8613" t="s">
        <v>3732</v>
      </c>
      <c r="G8613">
        <v>0</v>
      </c>
      <c r="H8613">
        <v>0</v>
      </c>
      <c r="I8613">
        <v>1</v>
      </c>
      <c r="J8613">
        <v>0</v>
      </c>
      <c r="K8613">
        <v>0</v>
      </c>
      <c r="L8613">
        <f t="shared" si="268"/>
        <v>1.3</v>
      </c>
      <c r="M8613">
        <f t="shared" si="269"/>
        <v>1</v>
      </c>
    </row>
    <row r="8614" spans="1:13" x14ac:dyDescent="0.3">
      <c r="A8614">
        <v>8612</v>
      </c>
      <c r="B8614">
        <v>8613</v>
      </c>
      <c r="C8614" t="s">
        <v>8691</v>
      </c>
      <c r="D8614">
        <v>2007</v>
      </c>
      <c r="E8614" t="s">
        <v>36</v>
      </c>
      <c r="F8614" t="s">
        <v>3739</v>
      </c>
      <c r="G8614">
        <v>0</v>
      </c>
      <c r="H8614">
        <v>0</v>
      </c>
      <c r="I8614">
        <v>1</v>
      </c>
      <c r="J8614">
        <v>0</v>
      </c>
      <c r="K8614">
        <v>0</v>
      </c>
      <c r="L8614">
        <f t="shared" si="268"/>
        <v>1.2</v>
      </c>
      <c r="M8614">
        <f t="shared" si="269"/>
        <v>1</v>
      </c>
    </row>
    <row r="8615" spans="1:13" x14ac:dyDescent="0.3">
      <c r="A8615">
        <v>8613</v>
      </c>
      <c r="B8615">
        <v>8614</v>
      </c>
      <c r="C8615" t="s">
        <v>8692</v>
      </c>
      <c r="D8615">
        <v>2018</v>
      </c>
      <c r="F8615" t="s">
        <v>3739</v>
      </c>
      <c r="G8615">
        <v>0</v>
      </c>
      <c r="H8615">
        <v>0</v>
      </c>
      <c r="I8615">
        <v>1</v>
      </c>
      <c r="J8615">
        <v>0</v>
      </c>
      <c r="K8615">
        <v>0</v>
      </c>
      <c r="L8615">
        <f t="shared" si="268"/>
        <v>1.2</v>
      </c>
      <c r="M8615">
        <f t="shared" si="269"/>
        <v>1</v>
      </c>
    </row>
    <row r="8616" spans="1:13" x14ac:dyDescent="0.3">
      <c r="A8616">
        <v>8614</v>
      </c>
      <c r="B8616">
        <v>8615</v>
      </c>
      <c r="C8616" t="s">
        <v>8693</v>
      </c>
      <c r="D8616">
        <v>2014</v>
      </c>
      <c r="E8616" t="s">
        <v>22</v>
      </c>
      <c r="F8616" t="s">
        <v>3739</v>
      </c>
      <c r="G8616">
        <v>0</v>
      </c>
      <c r="H8616">
        <v>0</v>
      </c>
      <c r="I8616">
        <v>1</v>
      </c>
      <c r="J8616">
        <v>0</v>
      </c>
      <c r="K8616">
        <v>0</v>
      </c>
      <c r="L8616">
        <f t="shared" si="268"/>
        <v>1.2</v>
      </c>
      <c r="M8616">
        <f t="shared" si="269"/>
        <v>1</v>
      </c>
    </row>
    <row r="8617" spans="1:13" x14ac:dyDescent="0.3">
      <c r="A8617">
        <v>8615</v>
      </c>
      <c r="B8617">
        <v>8616</v>
      </c>
      <c r="C8617" t="s">
        <v>8694</v>
      </c>
      <c r="D8617">
        <v>1964</v>
      </c>
      <c r="E8617" t="s">
        <v>36</v>
      </c>
      <c r="F8617" t="s">
        <v>8695</v>
      </c>
      <c r="G8617">
        <v>0</v>
      </c>
      <c r="H8617">
        <v>0</v>
      </c>
      <c r="I8617">
        <v>0</v>
      </c>
      <c r="J8617">
        <v>1</v>
      </c>
      <c r="K8617">
        <v>0</v>
      </c>
      <c r="L8617">
        <f t="shared" si="268"/>
        <v>9.6</v>
      </c>
      <c r="M8617">
        <f t="shared" si="269"/>
        <v>1</v>
      </c>
    </row>
    <row r="8618" spans="1:13" x14ac:dyDescent="0.3">
      <c r="A8618">
        <v>8616</v>
      </c>
      <c r="B8618">
        <v>8617</v>
      </c>
      <c r="C8618" t="s">
        <v>8696</v>
      </c>
      <c r="D8618">
        <v>2019</v>
      </c>
      <c r="E8618" t="s">
        <v>22</v>
      </c>
      <c r="F8618" t="s">
        <v>39</v>
      </c>
      <c r="G8618">
        <v>0</v>
      </c>
      <c r="H8618">
        <v>0</v>
      </c>
      <c r="I8618">
        <v>0</v>
      </c>
      <c r="J8618">
        <v>1</v>
      </c>
      <c r="K8618">
        <v>0</v>
      </c>
      <c r="L8618">
        <f t="shared" si="268"/>
        <v>9</v>
      </c>
      <c r="M8618">
        <f t="shared" si="269"/>
        <v>1</v>
      </c>
    </row>
    <row r="8619" spans="1:13" x14ac:dyDescent="0.3">
      <c r="A8619">
        <v>8617</v>
      </c>
      <c r="B8619">
        <v>8618</v>
      </c>
      <c r="C8619" t="s">
        <v>8697</v>
      </c>
      <c r="D8619">
        <v>2018</v>
      </c>
      <c r="E8619" t="s">
        <v>22</v>
      </c>
      <c r="F8619" t="s">
        <v>39</v>
      </c>
      <c r="G8619">
        <v>0</v>
      </c>
      <c r="H8619">
        <v>0</v>
      </c>
      <c r="I8619">
        <v>0</v>
      </c>
      <c r="J8619">
        <v>1</v>
      </c>
      <c r="K8619">
        <v>0</v>
      </c>
      <c r="L8619">
        <f t="shared" si="268"/>
        <v>9</v>
      </c>
      <c r="M8619">
        <f t="shared" si="269"/>
        <v>1</v>
      </c>
    </row>
    <row r="8620" spans="1:13" x14ac:dyDescent="0.3">
      <c r="A8620">
        <v>8618</v>
      </c>
      <c r="B8620">
        <v>8619</v>
      </c>
      <c r="C8620" t="s">
        <v>8698</v>
      </c>
      <c r="D8620">
        <v>1977</v>
      </c>
      <c r="E8620" t="s">
        <v>14</v>
      </c>
      <c r="F8620" t="s">
        <v>45</v>
      </c>
      <c r="G8620">
        <v>0</v>
      </c>
      <c r="H8620">
        <v>0</v>
      </c>
      <c r="I8620">
        <v>0</v>
      </c>
      <c r="J8620">
        <v>1</v>
      </c>
      <c r="K8620">
        <v>0</v>
      </c>
      <c r="L8620">
        <f t="shared" si="268"/>
        <v>8.9</v>
      </c>
      <c r="M8620">
        <f t="shared" si="269"/>
        <v>1</v>
      </c>
    </row>
    <row r="8621" spans="1:13" x14ac:dyDescent="0.3">
      <c r="A8621">
        <v>8619</v>
      </c>
      <c r="B8621">
        <v>8620</v>
      </c>
      <c r="C8621" t="s">
        <v>8699</v>
      </c>
      <c r="D8621">
        <v>1980</v>
      </c>
      <c r="E8621" t="s">
        <v>14</v>
      </c>
      <c r="F8621" t="s">
        <v>45</v>
      </c>
      <c r="G8621">
        <v>0</v>
      </c>
      <c r="H8621">
        <v>0</v>
      </c>
      <c r="I8621">
        <v>0</v>
      </c>
      <c r="J8621">
        <v>1</v>
      </c>
      <c r="K8621">
        <v>0</v>
      </c>
      <c r="L8621">
        <f t="shared" si="268"/>
        <v>8.9</v>
      </c>
      <c r="M8621">
        <f t="shared" si="269"/>
        <v>1</v>
      </c>
    </row>
    <row r="8622" spans="1:13" x14ac:dyDescent="0.3">
      <c r="A8622">
        <v>8620</v>
      </c>
      <c r="B8622">
        <v>8621</v>
      </c>
      <c r="C8622" t="s">
        <v>8700</v>
      </c>
      <c r="D8622">
        <v>2020</v>
      </c>
      <c r="E8622" t="s">
        <v>14</v>
      </c>
      <c r="F8622" t="s">
        <v>45</v>
      </c>
      <c r="G8622">
        <v>0</v>
      </c>
      <c r="H8622">
        <v>0</v>
      </c>
      <c r="I8622">
        <v>0</v>
      </c>
      <c r="J8622">
        <v>1</v>
      </c>
      <c r="K8622">
        <v>0</v>
      </c>
      <c r="L8622">
        <f t="shared" si="268"/>
        <v>8.9</v>
      </c>
      <c r="M8622">
        <f t="shared" si="269"/>
        <v>1</v>
      </c>
    </row>
    <row r="8623" spans="1:13" x14ac:dyDescent="0.3">
      <c r="A8623">
        <v>8621</v>
      </c>
      <c r="B8623">
        <v>8622</v>
      </c>
      <c r="C8623" t="s">
        <v>8701</v>
      </c>
      <c r="D8623">
        <v>2014</v>
      </c>
      <c r="E8623" t="s">
        <v>22</v>
      </c>
      <c r="F8623" t="s">
        <v>45</v>
      </c>
      <c r="G8623">
        <v>0</v>
      </c>
      <c r="H8623">
        <v>0</v>
      </c>
      <c r="I8623">
        <v>0</v>
      </c>
      <c r="J8623">
        <v>1</v>
      </c>
      <c r="K8623">
        <v>0</v>
      </c>
      <c r="L8623">
        <f t="shared" si="268"/>
        <v>8.9</v>
      </c>
      <c r="M8623">
        <f t="shared" si="269"/>
        <v>1</v>
      </c>
    </row>
    <row r="8624" spans="1:13" x14ac:dyDescent="0.3">
      <c r="A8624">
        <v>8622</v>
      </c>
      <c r="B8624">
        <v>8623</v>
      </c>
      <c r="C8624" t="s">
        <v>8702</v>
      </c>
      <c r="D8624">
        <v>1994</v>
      </c>
      <c r="E8624" t="s">
        <v>36</v>
      </c>
      <c r="F8624" t="s">
        <v>45</v>
      </c>
      <c r="G8624">
        <v>0</v>
      </c>
      <c r="H8624">
        <v>0</v>
      </c>
      <c r="I8624">
        <v>0</v>
      </c>
      <c r="J8624">
        <v>1</v>
      </c>
      <c r="K8624">
        <v>0</v>
      </c>
      <c r="L8624">
        <f t="shared" si="268"/>
        <v>8.9</v>
      </c>
      <c r="M8624">
        <f t="shared" si="269"/>
        <v>1</v>
      </c>
    </row>
    <row r="8625" spans="1:13" x14ac:dyDescent="0.3">
      <c r="A8625">
        <v>8623</v>
      </c>
      <c r="B8625">
        <v>8624</v>
      </c>
      <c r="C8625" t="s">
        <v>8703</v>
      </c>
      <c r="D8625">
        <v>2008</v>
      </c>
      <c r="E8625" t="s">
        <v>36</v>
      </c>
      <c r="F8625" t="s">
        <v>58</v>
      </c>
      <c r="G8625">
        <v>0</v>
      </c>
      <c r="H8625">
        <v>0</v>
      </c>
      <c r="I8625">
        <v>0</v>
      </c>
      <c r="J8625">
        <v>1</v>
      </c>
      <c r="K8625">
        <v>0</v>
      </c>
      <c r="L8625">
        <f t="shared" si="268"/>
        <v>8.8000000000000007</v>
      </c>
      <c r="M8625">
        <f t="shared" si="269"/>
        <v>1</v>
      </c>
    </row>
    <row r="8626" spans="1:13" x14ac:dyDescent="0.3">
      <c r="A8626">
        <v>8624</v>
      </c>
      <c r="B8626">
        <v>8625</v>
      </c>
      <c r="C8626" t="s">
        <v>8704</v>
      </c>
      <c r="D8626">
        <v>2012</v>
      </c>
      <c r="E8626" t="s">
        <v>22</v>
      </c>
      <c r="F8626" t="s">
        <v>58</v>
      </c>
      <c r="G8626">
        <v>0</v>
      </c>
      <c r="H8626">
        <v>0</v>
      </c>
      <c r="I8626">
        <v>0</v>
      </c>
      <c r="J8626">
        <v>1</v>
      </c>
      <c r="K8626">
        <v>0</v>
      </c>
      <c r="L8626">
        <f t="shared" si="268"/>
        <v>8.8000000000000007</v>
      </c>
      <c r="M8626">
        <f t="shared" si="269"/>
        <v>1</v>
      </c>
    </row>
    <row r="8627" spans="1:13" x14ac:dyDescent="0.3">
      <c r="A8627">
        <v>8625</v>
      </c>
      <c r="B8627">
        <v>8626</v>
      </c>
      <c r="C8627" t="s">
        <v>8705</v>
      </c>
      <c r="D8627">
        <v>1977</v>
      </c>
      <c r="E8627" t="s">
        <v>36</v>
      </c>
      <c r="F8627" t="s">
        <v>58</v>
      </c>
      <c r="G8627">
        <v>0</v>
      </c>
      <c r="H8627">
        <v>0</v>
      </c>
      <c r="I8627">
        <v>0</v>
      </c>
      <c r="J8627">
        <v>1</v>
      </c>
      <c r="K8627">
        <v>0</v>
      </c>
      <c r="L8627">
        <f t="shared" si="268"/>
        <v>8.8000000000000007</v>
      </c>
      <c r="M8627">
        <f t="shared" si="269"/>
        <v>1</v>
      </c>
    </row>
    <row r="8628" spans="1:13" x14ac:dyDescent="0.3">
      <c r="A8628">
        <v>8626</v>
      </c>
      <c r="B8628">
        <v>8627</v>
      </c>
      <c r="C8628" t="s">
        <v>8706</v>
      </c>
      <c r="D8628">
        <v>1995</v>
      </c>
      <c r="E8628" t="s">
        <v>36</v>
      </c>
      <c r="F8628" t="s">
        <v>58</v>
      </c>
      <c r="G8628">
        <v>0</v>
      </c>
      <c r="H8628">
        <v>0</v>
      </c>
      <c r="I8628">
        <v>0</v>
      </c>
      <c r="J8628">
        <v>1</v>
      </c>
      <c r="K8628">
        <v>0</v>
      </c>
      <c r="L8628">
        <f t="shared" si="268"/>
        <v>8.8000000000000007</v>
      </c>
      <c r="M8628">
        <f t="shared" si="269"/>
        <v>1</v>
      </c>
    </row>
    <row r="8629" spans="1:13" x14ac:dyDescent="0.3">
      <c r="A8629">
        <v>8627</v>
      </c>
      <c r="B8629">
        <v>8628</v>
      </c>
      <c r="C8629" t="s">
        <v>8707</v>
      </c>
      <c r="D8629">
        <v>2009</v>
      </c>
      <c r="E8629" t="s">
        <v>14</v>
      </c>
      <c r="F8629" t="s">
        <v>58</v>
      </c>
      <c r="G8629">
        <v>0</v>
      </c>
      <c r="H8629">
        <v>0</v>
      </c>
      <c r="I8629">
        <v>0</v>
      </c>
      <c r="J8629">
        <v>1</v>
      </c>
      <c r="K8629">
        <v>0</v>
      </c>
      <c r="L8629">
        <f t="shared" si="268"/>
        <v>8.8000000000000007</v>
      </c>
      <c r="M8629">
        <f t="shared" si="269"/>
        <v>1</v>
      </c>
    </row>
    <row r="8630" spans="1:13" x14ac:dyDescent="0.3">
      <c r="A8630">
        <v>8628</v>
      </c>
      <c r="B8630">
        <v>8629</v>
      </c>
      <c r="C8630" t="s">
        <v>8708</v>
      </c>
      <c r="D8630">
        <v>1983</v>
      </c>
      <c r="E8630" t="s">
        <v>14</v>
      </c>
      <c r="F8630" t="s">
        <v>65</v>
      </c>
      <c r="G8630">
        <v>0</v>
      </c>
      <c r="H8630">
        <v>0</v>
      </c>
      <c r="I8630">
        <v>0</v>
      </c>
      <c r="J8630">
        <v>1</v>
      </c>
      <c r="K8630">
        <v>0</v>
      </c>
      <c r="L8630">
        <f t="shared" si="268"/>
        <v>8.6999999999999993</v>
      </c>
      <c r="M8630">
        <f t="shared" si="269"/>
        <v>1</v>
      </c>
    </row>
    <row r="8631" spans="1:13" x14ac:dyDescent="0.3">
      <c r="A8631">
        <v>8629</v>
      </c>
      <c r="B8631">
        <v>8630</v>
      </c>
      <c r="C8631" t="s">
        <v>8709</v>
      </c>
      <c r="D8631">
        <v>2003</v>
      </c>
      <c r="E8631" t="s">
        <v>36</v>
      </c>
      <c r="F8631" t="s">
        <v>65</v>
      </c>
      <c r="G8631">
        <v>0</v>
      </c>
      <c r="H8631">
        <v>0</v>
      </c>
      <c r="I8631">
        <v>0</v>
      </c>
      <c r="J8631">
        <v>1</v>
      </c>
      <c r="K8631">
        <v>0</v>
      </c>
      <c r="L8631">
        <f t="shared" si="268"/>
        <v>8.6999999999999993</v>
      </c>
      <c r="M8631">
        <f t="shared" si="269"/>
        <v>1</v>
      </c>
    </row>
    <row r="8632" spans="1:13" x14ac:dyDescent="0.3">
      <c r="A8632">
        <v>8630</v>
      </c>
      <c r="B8632">
        <v>8631</v>
      </c>
      <c r="C8632" t="s">
        <v>8710</v>
      </c>
      <c r="D8632">
        <v>2001</v>
      </c>
      <c r="E8632" t="s">
        <v>36</v>
      </c>
      <c r="F8632" t="s">
        <v>65</v>
      </c>
      <c r="G8632">
        <v>0</v>
      </c>
      <c r="H8632">
        <v>0</v>
      </c>
      <c r="I8632">
        <v>0</v>
      </c>
      <c r="J8632">
        <v>1</v>
      </c>
      <c r="K8632">
        <v>0</v>
      </c>
      <c r="L8632">
        <f t="shared" si="268"/>
        <v>8.6999999999999993</v>
      </c>
      <c r="M8632">
        <f t="shared" si="269"/>
        <v>1</v>
      </c>
    </row>
    <row r="8633" spans="1:13" x14ac:dyDescent="0.3">
      <c r="A8633">
        <v>8631</v>
      </c>
      <c r="B8633">
        <v>8632</v>
      </c>
      <c r="C8633" t="s">
        <v>8711</v>
      </c>
      <c r="D8633">
        <v>2017</v>
      </c>
      <c r="E8633" t="s">
        <v>14</v>
      </c>
      <c r="F8633" t="s">
        <v>65</v>
      </c>
      <c r="G8633">
        <v>0</v>
      </c>
      <c r="H8633">
        <v>0</v>
      </c>
      <c r="I8633">
        <v>0</v>
      </c>
      <c r="J8633">
        <v>1</v>
      </c>
      <c r="K8633">
        <v>0</v>
      </c>
      <c r="L8633">
        <f t="shared" si="268"/>
        <v>8.6999999999999993</v>
      </c>
      <c r="M8633">
        <f t="shared" si="269"/>
        <v>1</v>
      </c>
    </row>
    <row r="8634" spans="1:13" x14ac:dyDescent="0.3">
      <c r="A8634">
        <v>8632</v>
      </c>
      <c r="B8634">
        <v>8633</v>
      </c>
      <c r="C8634" t="s">
        <v>8712</v>
      </c>
      <c r="D8634">
        <v>2009</v>
      </c>
      <c r="E8634" t="s">
        <v>22</v>
      </c>
      <c r="F8634" t="s">
        <v>80</v>
      </c>
      <c r="G8634">
        <v>0</v>
      </c>
      <c r="H8634">
        <v>0</v>
      </c>
      <c r="I8634">
        <v>0</v>
      </c>
      <c r="J8634">
        <v>1</v>
      </c>
      <c r="K8634">
        <v>0</v>
      </c>
      <c r="L8634">
        <f t="shared" si="268"/>
        <v>8.6</v>
      </c>
      <c r="M8634">
        <f t="shared" si="269"/>
        <v>1</v>
      </c>
    </row>
    <row r="8635" spans="1:13" x14ac:dyDescent="0.3">
      <c r="A8635">
        <v>8633</v>
      </c>
      <c r="B8635">
        <v>8634</v>
      </c>
      <c r="C8635" t="s">
        <v>8713</v>
      </c>
      <c r="D8635">
        <v>2010</v>
      </c>
      <c r="E8635" t="s">
        <v>36</v>
      </c>
      <c r="F8635" t="s">
        <v>80</v>
      </c>
      <c r="G8635">
        <v>0</v>
      </c>
      <c r="H8635">
        <v>0</v>
      </c>
      <c r="I8635">
        <v>0</v>
      </c>
      <c r="J8635">
        <v>1</v>
      </c>
      <c r="K8635">
        <v>0</v>
      </c>
      <c r="L8635">
        <f t="shared" si="268"/>
        <v>8.6</v>
      </c>
      <c r="M8635">
        <f t="shared" si="269"/>
        <v>1</v>
      </c>
    </row>
    <row r="8636" spans="1:13" x14ac:dyDescent="0.3">
      <c r="A8636">
        <v>8634</v>
      </c>
      <c r="B8636">
        <v>8635</v>
      </c>
      <c r="C8636" t="s">
        <v>8714</v>
      </c>
      <c r="D8636">
        <v>2017</v>
      </c>
      <c r="E8636" t="s">
        <v>22</v>
      </c>
      <c r="F8636" t="s">
        <v>80</v>
      </c>
      <c r="G8636">
        <v>0</v>
      </c>
      <c r="H8636">
        <v>0</v>
      </c>
      <c r="I8636">
        <v>0</v>
      </c>
      <c r="J8636">
        <v>1</v>
      </c>
      <c r="K8636">
        <v>0</v>
      </c>
      <c r="L8636">
        <f t="shared" si="268"/>
        <v>8.6</v>
      </c>
      <c r="M8636">
        <f t="shared" si="269"/>
        <v>1</v>
      </c>
    </row>
    <row r="8637" spans="1:13" x14ac:dyDescent="0.3">
      <c r="A8637">
        <v>8635</v>
      </c>
      <c r="B8637">
        <v>8636</v>
      </c>
      <c r="C8637" t="s">
        <v>8715</v>
      </c>
      <c r="D8637">
        <v>2003</v>
      </c>
      <c r="E8637" t="s">
        <v>22</v>
      </c>
      <c r="F8637" t="s">
        <v>80</v>
      </c>
      <c r="G8637">
        <v>0</v>
      </c>
      <c r="H8637">
        <v>0</v>
      </c>
      <c r="I8637">
        <v>0</v>
      </c>
      <c r="J8637">
        <v>1</v>
      </c>
      <c r="K8637">
        <v>0</v>
      </c>
      <c r="L8637">
        <f t="shared" si="268"/>
        <v>8.6</v>
      </c>
      <c r="M8637">
        <f t="shared" si="269"/>
        <v>1</v>
      </c>
    </row>
    <row r="8638" spans="1:13" x14ac:dyDescent="0.3">
      <c r="A8638">
        <v>8636</v>
      </c>
      <c r="B8638">
        <v>8637</v>
      </c>
      <c r="C8638" t="s">
        <v>8716</v>
      </c>
      <c r="D8638">
        <v>2016</v>
      </c>
      <c r="E8638" t="s">
        <v>22</v>
      </c>
      <c r="F8638" t="s">
        <v>80</v>
      </c>
      <c r="G8638">
        <v>0</v>
      </c>
      <c r="H8638">
        <v>0</v>
      </c>
      <c r="I8638">
        <v>0</v>
      </c>
      <c r="J8638">
        <v>1</v>
      </c>
      <c r="K8638">
        <v>0</v>
      </c>
      <c r="L8638">
        <f t="shared" si="268"/>
        <v>8.6</v>
      </c>
      <c r="M8638">
        <f t="shared" si="269"/>
        <v>1</v>
      </c>
    </row>
    <row r="8639" spans="1:13" x14ac:dyDescent="0.3">
      <c r="A8639">
        <v>8637</v>
      </c>
      <c r="B8639">
        <v>8638</v>
      </c>
      <c r="C8639" t="s">
        <v>8717</v>
      </c>
      <c r="D8639">
        <v>2015</v>
      </c>
      <c r="E8639" t="s">
        <v>22</v>
      </c>
      <c r="F8639" t="s">
        <v>80</v>
      </c>
      <c r="G8639">
        <v>0</v>
      </c>
      <c r="H8639">
        <v>0</v>
      </c>
      <c r="I8639">
        <v>0</v>
      </c>
      <c r="J8639">
        <v>1</v>
      </c>
      <c r="K8639">
        <v>0</v>
      </c>
      <c r="L8639">
        <f t="shared" si="268"/>
        <v>8.6</v>
      </c>
      <c r="M8639">
        <f t="shared" si="269"/>
        <v>1</v>
      </c>
    </row>
    <row r="8640" spans="1:13" x14ac:dyDescent="0.3">
      <c r="A8640">
        <v>8638</v>
      </c>
      <c r="B8640">
        <v>8639</v>
      </c>
      <c r="C8640" t="s">
        <v>8718</v>
      </c>
      <c r="D8640">
        <v>2004</v>
      </c>
      <c r="E8640" t="s">
        <v>14</v>
      </c>
      <c r="F8640" t="s">
        <v>80</v>
      </c>
      <c r="G8640">
        <v>0</v>
      </c>
      <c r="H8640">
        <v>0</v>
      </c>
      <c r="I8640">
        <v>0</v>
      </c>
      <c r="J8640">
        <v>1</v>
      </c>
      <c r="K8640">
        <v>0</v>
      </c>
      <c r="L8640">
        <f t="shared" si="268"/>
        <v>8.6</v>
      </c>
      <c r="M8640">
        <f t="shared" si="269"/>
        <v>1</v>
      </c>
    </row>
    <row r="8641" spans="1:13" x14ac:dyDescent="0.3">
      <c r="A8641">
        <v>8639</v>
      </c>
      <c r="B8641">
        <v>8640</v>
      </c>
      <c r="C8641" t="s">
        <v>8719</v>
      </c>
      <c r="D8641">
        <v>2014</v>
      </c>
      <c r="E8641" t="s">
        <v>22</v>
      </c>
      <c r="F8641" t="s">
        <v>80</v>
      </c>
      <c r="G8641">
        <v>0</v>
      </c>
      <c r="H8641">
        <v>0</v>
      </c>
      <c r="I8641">
        <v>0</v>
      </c>
      <c r="J8641">
        <v>1</v>
      </c>
      <c r="K8641">
        <v>0</v>
      </c>
      <c r="L8641">
        <f t="shared" si="268"/>
        <v>8.6</v>
      </c>
      <c r="M8641">
        <f t="shared" si="269"/>
        <v>1</v>
      </c>
    </row>
    <row r="8642" spans="1:13" x14ac:dyDescent="0.3">
      <c r="A8642">
        <v>8640</v>
      </c>
      <c r="B8642">
        <v>8641</v>
      </c>
      <c r="C8642" t="s">
        <v>8720</v>
      </c>
      <c r="D8642">
        <v>2016</v>
      </c>
      <c r="E8642" t="s">
        <v>22</v>
      </c>
      <c r="F8642" t="s">
        <v>92</v>
      </c>
      <c r="G8642">
        <v>0</v>
      </c>
      <c r="H8642">
        <v>0</v>
      </c>
      <c r="I8642">
        <v>0</v>
      </c>
      <c r="J8642">
        <v>1</v>
      </c>
      <c r="K8642">
        <v>0</v>
      </c>
      <c r="L8642">
        <f t="shared" si="268"/>
        <v>8.5</v>
      </c>
      <c r="M8642">
        <f t="shared" si="269"/>
        <v>1</v>
      </c>
    </row>
    <row r="8643" spans="1:13" x14ac:dyDescent="0.3">
      <c r="A8643">
        <v>8641</v>
      </c>
      <c r="B8643">
        <v>8642</v>
      </c>
      <c r="C8643" t="s">
        <v>8721</v>
      </c>
      <c r="D8643">
        <v>2017</v>
      </c>
      <c r="E8643" t="s">
        <v>22</v>
      </c>
      <c r="F8643" t="s">
        <v>92</v>
      </c>
      <c r="G8643">
        <v>0</v>
      </c>
      <c r="H8643">
        <v>0</v>
      </c>
      <c r="I8643">
        <v>0</v>
      </c>
      <c r="J8643">
        <v>1</v>
      </c>
      <c r="K8643">
        <v>0</v>
      </c>
      <c r="L8643">
        <f t="shared" ref="L8643:L8706" si="270">IFERROR(VALUE(LEFT(F8643,FIND("/",F8643)-1))/10,"")</f>
        <v>8.5</v>
      </c>
      <c r="M8643">
        <f t="shared" ref="M8643:M8706" si="271">SUM(G8643:J8643)</f>
        <v>1</v>
      </c>
    </row>
    <row r="8644" spans="1:13" x14ac:dyDescent="0.3">
      <c r="A8644">
        <v>8642</v>
      </c>
      <c r="B8644">
        <v>8643</v>
      </c>
      <c r="C8644" t="s">
        <v>8722</v>
      </c>
      <c r="D8644">
        <v>2016</v>
      </c>
      <c r="E8644" t="s">
        <v>14</v>
      </c>
      <c r="F8644" t="s">
        <v>92</v>
      </c>
      <c r="G8644">
        <v>0</v>
      </c>
      <c r="H8644">
        <v>0</v>
      </c>
      <c r="I8644">
        <v>0</v>
      </c>
      <c r="J8644">
        <v>1</v>
      </c>
      <c r="K8644">
        <v>0</v>
      </c>
      <c r="L8644">
        <f t="shared" si="270"/>
        <v>8.5</v>
      </c>
      <c r="M8644">
        <f t="shared" si="271"/>
        <v>1</v>
      </c>
    </row>
    <row r="8645" spans="1:13" x14ac:dyDescent="0.3">
      <c r="A8645">
        <v>8643</v>
      </c>
      <c r="B8645">
        <v>8644</v>
      </c>
      <c r="C8645" t="s">
        <v>8723</v>
      </c>
      <c r="D8645">
        <v>2007</v>
      </c>
      <c r="E8645" t="s">
        <v>36</v>
      </c>
      <c r="F8645" t="s">
        <v>92</v>
      </c>
      <c r="G8645">
        <v>0</v>
      </c>
      <c r="H8645">
        <v>0</v>
      </c>
      <c r="I8645">
        <v>0</v>
      </c>
      <c r="J8645">
        <v>1</v>
      </c>
      <c r="K8645">
        <v>0</v>
      </c>
      <c r="L8645">
        <f t="shared" si="270"/>
        <v>8.5</v>
      </c>
      <c r="M8645">
        <f t="shared" si="271"/>
        <v>1</v>
      </c>
    </row>
    <row r="8646" spans="1:13" x14ac:dyDescent="0.3">
      <c r="A8646">
        <v>8644</v>
      </c>
      <c r="B8646">
        <v>8645</v>
      </c>
      <c r="C8646" t="s">
        <v>8724</v>
      </c>
      <c r="D8646">
        <v>2016</v>
      </c>
      <c r="E8646" t="s">
        <v>22</v>
      </c>
      <c r="F8646" t="s">
        <v>92</v>
      </c>
      <c r="G8646">
        <v>0</v>
      </c>
      <c r="H8646">
        <v>0</v>
      </c>
      <c r="I8646">
        <v>0</v>
      </c>
      <c r="J8646">
        <v>1</v>
      </c>
      <c r="K8646">
        <v>0</v>
      </c>
      <c r="L8646">
        <f t="shared" si="270"/>
        <v>8.5</v>
      </c>
      <c r="M8646">
        <f t="shared" si="271"/>
        <v>1</v>
      </c>
    </row>
    <row r="8647" spans="1:13" x14ac:dyDescent="0.3">
      <c r="A8647">
        <v>8645</v>
      </c>
      <c r="B8647">
        <v>8646</v>
      </c>
      <c r="C8647" t="s">
        <v>8725</v>
      </c>
      <c r="D8647">
        <v>2014</v>
      </c>
      <c r="E8647" t="s">
        <v>22</v>
      </c>
      <c r="F8647" t="s">
        <v>92</v>
      </c>
      <c r="G8647">
        <v>0</v>
      </c>
      <c r="H8647">
        <v>0</v>
      </c>
      <c r="I8647">
        <v>0</v>
      </c>
      <c r="J8647">
        <v>1</v>
      </c>
      <c r="K8647">
        <v>0</v>
      </c>
      <c r="L8647">
        <f t="shared" si="270"/>
        <v>8.5</v>
      </c>
      <c r="M8647">
        <f t="shared" si="271"/>
        <v>1</v>
      </c>
    </row>
    <row r="8648" spans="1:13" x14ac:dyDescent="0.3">
      <c r="A8648">
        <v>8646</v>
      </c>
      <c r="B8648">
        <v>8647</v>
      </c>
      <c r="C8648" t="s">
        <v>8726</v>
      </c>
      <c r="D8648">
        <v>2018</v>
      </c>
      <c r="E8648" t="s">
        <v>22</v>
      </c>
      <c r="F8648" t="s">
        <v>101</v>
      </c>
      <c r="G8648">
        <v>0</v>
      </c>
      <c r="H8648">
        <v>0</v>
      </c>
      <c r="I8648">
        <v>0</v>
      </c>
      <c r="J8648">
        <v>1</v>
      </c>
      <c r="K8648">
        <v>0</v>
      </c>
      <c r="L8648">
        <f t="shared" si="270"/>
        <v>8.4</v>
      </c>
      <c r="M8648">
        <f t="shared" si="271"/>
        <v>1</v>
      </c>
    </row>
    <row r="8649" spans="1:13" x14ac:dyDescent="0.3">
      <c r="A8649">
        <v>8647</v>
      </c>
      <c r="B8649">
        <v>8648</v>
      </c>
      <c r="C8649" t="s">
        <v>8727</v>
      </c>
      <c r="D8649">
        <v>2015</v>
      </c>
      <c r="E8649" t="s">
        <v>22</v>
      </c>
      <c r="F8649" t="s">
        <v>101</v>
      </c>
      <c r="G8649">
        <v>0</v>
      </c>
      <c r="H8649">
        <v>0</v>
      </c>
      <c r="I8649">
        <v>0</v>
      </c>
      <c r="J8649">
        <v>1</v>
      </c>
      <c r="K8649">
        <v>0</v>
      </c>
      <c r="L8649">
        <f t="shared" si="270"/>
        <v>8.4</v>
      </c>
      <c r="M8649">
        <f t="shared" si="271"/>
        <v>1</v>
      </c>
    </row>
    <row r="8650" spans="1:13" x14ac:dyDescent="0.3">
      <c r="A8650">
        <v>8648</v>
      </c>
      <c r="B8650">
        <v>8649</v>
      </c>
      <c r="C8650" t="s">
        <v>8728</v>
      </c>
      <c r="D8650">
        <v>1987</v>
      </c>
      <c r="E8650" t="s">
        <v>14</v>
      </c>
      <c r="F8650" t="s">
        <v>101</v>
      </c>
      <c r="G8650">
        <v>0</v>
      </c>
      <c r="H8650">
        <v>0</v>
      </c>
      <c r="I8650">
        <v>0</v>
      </c>
      <c r="J8650">
        <v>1</v>
      </c>
      <c r="K8650">
        <v>0</v>
      </c>
      <c r="L8650">
        <f t="shared" si="270"/>
        <v>8.4</v>
      </c>
      <c r="M8650">
        <f t="shared" si="271"/>
        <v>1</v>
      </c>
    </row>
    <row r="8651" spans="1:13" x14ac:dyDescent="0.3">
      <c r="A8651">
        <v>8649</v>
      </c>
      <c r="B8651">
        <v>8650</v>
      </c>
      <c r="C8651" t="s">
        <v>8729</v>
      </c>
      <c r="D8651">
        <v>2014</v>
      </c>
      <c r="E8651" t="s">
        <v>14</v>
      </c>
      <c r="F8651" t="s">
        <v>101</v>
      </c>
      <c r="G8651">
        <v>0</v>
      </c>
      <c r="H8651">
        <v>0</v>
      </c>
      <c r="I8651">
        <v>0</v>
      </c>
      <c r="J8651">
        <v>1</v>
      </c>
      <c r="K8651">
        <v>0</v>
      </c>
      <c r="L8651">
        <f t="shared" si="270"/>
        <v>8.4</v>
      </c>
      <c r="M8651">
        <f t="shared" si="271"/>
        <v>1</v>
      </c>
    </row>
    <row r="8652" spans="1:13" x14ac:dyDescent="0.3">
      <c r="A8652">
        <v>8650</v>
      </c>
      <c r="B8652">
        <v>8651</v>
      </c>
      <c r="C8652" t="s">
        <v>8730</v>
      </c>
      <c r="D8652">
        <v>1999</v>
      </c>
      <c r="E8652" t="s">
        <v>36</v>
      </c>
      <c r="F8652" t="s">
        <v>101</v>
      </c>
      <c r="G8652">
        <v>0</v>
      </c>
      <c r="H8652">
        <v>0</v>
      </c>
      <c r="I8652">
        <v>0</v>
      </c>
      <c r="J8652">
        <v>1</v>
      </c>
      <c r="K8652">
        <v>0</v>
      </c>
      <c r="L8652">
        <f t="shared" si="270"/>
        <v>8.4</v>
      </c>
      <c r="M8652">
        <f t="shared" si="271"/>
        <v>1</v>
      </c>
    </row>
    <row r="8653" spans="1:13" x14ac:dyDescent="0.3">
      <c r="A8653">
        <v>8651</v>
      </c>
      <c r="B8653">
        <v>8652</v>
      </c>
      <c r="C8653" t="s">
        <v>8731</v>
      </c>
      <c r="D8653">
        <v>1992</v>
      </c>
      <c r="E8653" t="s">
        <v>36</v>
      </c>
      <c r="F8653" t="s">
        <v>101</v>
      </c>
      <c r="G8653">
        <v>0</v>
      </c>
      <c r="H8653">
        <v>0</v>
      </c>
      <c r="I8653">
        <v>0</v>
      </c>
      <c r="J8653">
        <v>1</v>
      </c>
      <c r="K8653">
        <v>0</v>
      </c>
      <c r="L8653">
        <f t="shared" si="270"/>
        <v>8.4</v>
      </c>
      <c r="M8653">
        <f t="shared" si="271"/>
        <v>1</v>
      </c>
    </row>
    <row r="8654" spans="1:13" x14ac:dyDescent="0.3">
      <c r="A8654">
        <v>8652</v>
      </c>
      <c r="B8654">
        <v>8653</v>
      </c>
      <c r="C8654" t="s">
        <v>8732</v>
      </c>
      <c r="D8654">
        <v>2015</v>
      </c>
      <c r="E8654" t="s">
        <v>22</v>
      </c>
      <c r="F8654" t="s">
        <v>101</v>
      </c>
      <c r="G8654">
        <v>0</v>
      </c>
      <c r="H8654">
        <v>0</v>
      </c>
      <c r="I8654">
        <v>0</v>
      </c>
      <c r="J8654">
        <v>1</v>
      </c>
      <c r="K8654">
        <v>0</v>
      </c>
      <c r="L8654">
        <f t="shared" si="270"/>
        <v>8.4</v>
      </c>
      <c r="M8654">
        <f t="shared" si="271"/>
        <v>1</v>
      </c>
    </row>
    <row r="8655" spans="1:13" x14ac:dyDescent="0.3">
      <c r="A8655">
        <v>8653</v>
      </c>
      <c r="B8655">
        <v>8654</v>
      </c>
      <c r="C8655" t="s">
        <v>8733</v>
      </c>
      <c r="D8655">
        <v>2016</v>
      </c>
      <c r="E8655" t="s">
        <v>14</v>
      </c>
      <c r="F8655" t="s">
        <v>122</v>
      </c>
      <c r="G8655">
        <v>0</v>
      </c>
      <c r="H8655">
        <v>0</v>
      </c>
      <c r="I8655">
        <v>0</v>
      </c>
      <c r="J8655">
        <v>1</v>
      </c>
      <c r="K8655">
        <v>0</v>
      </c>
      <c r="L8655">
        <f t="shared" si="270"/>
        <v>8.3000000000000007</v>
      </c>
      <c r="M8655">
        <f t="shared" si="271"/>
        <v>1</v>
      </c>
    </row>
    <row r="8656" spans="1:13" x14ac:dyDescent="0.3">
      <c r="A8656">
        <v>8654</v>
      </c>
      <c r="B8656">
        <v>8655</v>
      </c>
      <c r="C8656" t="s">
        <v>8734</v>
      </c>
      <c r="D8656">
        <v>2016</v>
      </c>
      <c r="E8656" t="s">
        <v>14</v>
      </c>
      <c r="F8656" t="s">
        <v>122</v>
      </c>
      <c r="G8656">
        <v>0</v>
      </c>
      <c r="H8656">
        <v>0</v>
      </c>
      <c r="I8656">
        <v>0</v>
      </c>
      <c r="J8656">
        <v>1</v>
      </c>
      <c r="K8656">
        <v>0</v>
      </c>
      <c r="L8656">
        <f t="shared" si="270"/>
        <v>8.3000000000000007</v>
      </c>
      <c r="M8656">
        <f t="shared" si="271"/>
        <v>1</v>
      </c>
    </row>
    <row r="8657" spans="1:13" x14ac:dyDescent="0.3">
      <c r="A8657">
        <v>8655</v>
      </c>
      <c r="B8657">
        <v>8656</v>
      </c>
      <c r="C8657" t="s">
        <v>8735</v>
      </c>
      <c r="D8657">
        <v>2013</v>
      </c>
      <c r="E8657" t="s">
        <v>14</v>
      </c>
      <c r="F8657" t="s">
        <v>122</v>
      </c>
      <c r="G8657">
        <v>0</v>
      </c>
      <c r="H8657">
        <v>0</v>
      </c>
      <c r="I8657">
        <v>0</v>
      </c>
      <c r="J8657">
        <v>1</v>
      </c>
      <c r="K8657">
        <v>0</v>
      </c>
      <c r="L8657">
        <f t="shared" si="270"/>
        <v>8.3000000000000007</v>
      </c>
      <c r="M8657">
        <f t="shared" si="271"/>
        <v>1</v>
      </c>
    </row>
    <row r="8658" spans="1:13" x14ac:dyDescent="0.3">
      <c r="A8658">
        <v>8656</v>
      </c>
      <c r="B8658">
        <v>8657</v>
      </c>
      <c r="C8658" t="s">
        <v>8736</v>
      </c>
      <c r="D8658">
        <v>2005</v>
      </c>
      <c r="E8658" t="s">
        <v>22</v>
      </c>
      <c r="F8658" t="s">
        <v>122</v>
      </c>
      <c r="G8658">
        <v>0</v>
      </c>
      <c r="H8658">
        <v>0</v>
      </c>
      <c r="I8658">
        <v>0</v>
      </c>
      <c r="J8658">
        <v>1</v>
      </c>
      <c r="K8658">
        <v>0</v>
      </c>
      <c r="L8658">
        <f t="shared" si="270"/>
        <v>8.3000000000000007</v>
      </c>
      <c r="M8658">
        <f t="shared" si="271"/>
        <v>1</v>
      </c>
    </row>
    <row r="8659" spans="1:13" x14ac:dyDescent="0.3">
      <c r="A8659">
        <v>8657</v>
      </c>
      <c r="B8659">
        <v>8658</v>
      </c>
      <c r="C8659" t="s">
        <v>8737</v>
      </c>
      <c r="D8659">
        <v>2012</v>
      </c>
      <c r="E8659" t="s">
        <v>14</v>
      </c>
      <c r="F8659" t="s">
        <v>122</v>
      </c>
      <c r="G8659">
        <v>0</v>
      </c>
      <c r="H8659">
        <v>0</v>
      </c>
      <c r="I8659">
        <v>0</v>
      </c>
      <c r="J8659">
        <v>1</v>
      </c>
      <c r="K8659">
        <v>0</v>
      </c>
      <c r="L8659">
        <f t="shared" si="270"/>
        <v>8.3000000000000007</v>
      </c>
      <c r="M8659">
        <f t="shared" si="271"/>
        <v>1</v>
      </c>
    </row>
    <row r="8660" spans="1:13" x14ac:dyDescent="0.3">
      <c r="A8660">
        <v>8658</v>
      </c>
      <c r="B8660">
        <v>8659</v>
      </c>
      <c r="C8660" t="s">
        <v>8738</v>
      </c>
      <c r="D8660">
        <v>2018</v>
      </c>
      <c r="E8660" t="s">
        <v>14</v>
      </c>
      <c r="F8660" t="s">
        <v>122</v>
      </c>
      <c r="G8660">
        <v>0</v>
      </c>
      <c r="H8660">
        <v>0</v>
      </c>
      <c r="I8660">
        <v>0</v>
      </c>
      <c r="J8660">
        <v>1</v>
      </c>
      <c r="K8660">
        <v>0</v>
      </c>
      <c r="L8660">
        <f t="shared" si="270"/>
        <v>8.3000000000000007</v>
      </c>
      <c r="M8660">
        <f t="shared" si="271"/>
        <v>1</v>
      </c>
    </row>
    <row r="8661" spans="1:13" x14ac:dyDescent="0.3">
      <c r="A8661">
        <v>8659</v>
      </c>
      <c r="B8661">
        <v>8660</v>
      </c>
      <c r="C8661" t="s">
        <v>8739</v>
      </c>
      <c r="D8661">
        <v>2010</v>
      </c>
      <c r="E8661" t="s">
        <v>14</v>
      </c>
      <c r="F8661" t="s">
        <v>122</v>
      </c>
      <c r="G8661">
        <v>0</v>
      </c>
      <c r="H8661">
        <v>0</v>
      </c>
      <c r="I8661">
        <v>0</v>
      </c>
      <c r="J8661">
        <v>1</v>
      </c>
      <c r="K8661">
        <v>0</v>
      </c>
      <c r="L8661">
        <f t="shared" si="270"/>
        <v>8.3000000000000007</v>
      </c>
      <c r="M8661">
        <f t="shared" si="271"/>
        <v>1</v>
      </c>
    </row>
    <row r="8662" spans="1:13" x14ac:dyDescent="0.3">
      <c r="A8662">
        <v>8660</v>
      </c>
      <c r="B8662">
        <v>8661</v>
      </c>
      <c r="C8662" t="s">
        <v>8740</v>
      </c>
      <c r="D8662">
        <v>2013</v>
      </c>
      <c r="E8662" t="s">
        <v>22</v>
      </c>
      <c r="F8662" t="s">
        <v>122</v>
      </c>
      <c r="G8662">
        <v>0</v>
      </c>
      <c r="H8662">
        <v>0</v>
      </c>
      <c r="I8662">
        <v>0</v>
      </c>
      <c r="J8662">
        <v>1</v>
      </c>
      <c r="K8662">
        <v>0</v>
      </c>
      <c r="L8662">
        <f t="shared" si="270"/>
        <v>8.3000000000000007</v>
      </c>
      <c r="M8662">
        <f t="shared" si="271"/>
        <v>1</v>
      </c>
    </row>
    <row r="8663" spans="1:13" x14ac:dyDescent="0.3">
      <c r="A8663">
        <v>8661</v>
      </c>
      <c r="B8663">
        <v>8662</v>
      </c>
      <c r="C8663" t="s">
        <v>8741</v>
      </c>
      <c r="D8663">
        <v>1993</v>
      </c>
      <c r="E8663" t="s">
        <v>14</v>
      </c>
      <c r="F8663" t="s">
        <v>122</v>
      </c>
      <c r="G8663">
        <v>0</v>
      </c>
      <c r="H8663">
        <v>0</v>
      </c>
      <c r="I8663">
        <v>0</v>
      </c>
      <c r="J8663">
        <v>1</v>
      </c>
      <c r="K8663">
        <v>0</v>
      </c>
      <c r="L8663">
        <f t="shared" si="270"/>
        <v>8.3000000000000007</v>
      </c>
      <c r="M8663">
        <f t="shared" si="271"/>
        <v>1</v>
      </c>
    </row>
    <row r="8664" spans="1:13" x14ac:dyDescent="0.3">
      <c r="A8664">
        <v>8662</v>
      </c>
      <c r="B8664">
        <v>8663</v>
      </c>
      <c r="C8664" t="s">
        <v>8742</v>
      </c>
      <c r="D8664">
        <v>2021</v>
      </c>
      <c r="E8664" t="s">
        <v>14</v>
      </c>
      <c r="F8664" t="s">
        <v>140</v>
      </c>
      <c r="G8664">
        <v>0</v>
      </c>
      <c r="H8664">
        <v>0</v>
      </c>
      <c r="I8664">
        <v>0</v>
      </c>
      <c r="J8664">
        <v>1</v>
      </c>
      <c r="K8664">
        <v>0</v>
      </c>
      <c r="L8664">
        <f t="shared" si="270"/>
        <v>8.1999999999999993</v>
      </c>
      <c r="M8664">
        <f t="shared" si="271"/>
        <v>1</v>
      </c>
    </row>
    <row r="8665" spans="1:13" x14ac:dyDescent="0.3">
      <c r="A8665">
        <v>8663</v>
      </c>
      <c r="B8665">
        <v>8664</v>
      </c>
      <c r="C8665" t="s">
        <v>8743</v>
      </c>
      <c r="D8665">
        <v>1990</v>
      </c>
      <c r="E8665" t="s">
        <v>14</v>
      </c>
      <c r="F8665" t="s">
        <v>140</v>
      </c>
      <c r="G8665">
        <v>0</v>
      </c>
      <c r="H8665">
        <v>0</v>
      </c>
      <c r="I8665">
        <v>0</v>
      </c>
      <c r="J8665">
        <v>1</v>
      </c>
      <c r="K8665">
        <v>0</v>
      </c>
      <c r="L8665">
        <f t="shared" si="270"/>
        <v>8.1999999999999993</v>
      </c>
      <c r="M8665">
        <f t="shared" si="271"/>
        <v>1</v>
      </c>
    </row>
    <row r="8666" spans="1:13" x14ac:dyDescent="0.3">
      <c r="A8666">
        <v>8664</v>
      </c>
      <c r="B8666">
        <v>8665</v>
      </c>
      <c r="C8666" t="s">
        <v>8744</v>
      </c>
      <c r="D8666">
        <v>2011</v>
      </c>
      <c r="E8666" t="s">
        <v>22</v>
      </c>
      <c r="F8666" t="s">
        <v>140</v>
      </c>
      <c r="G8666">
        <v>0</v>
      </c>
      <c r="H8666">
        <v>0</v>
      </c>
      <c r="I8666">
        <v>0</v>
      </c>
      <c r="J8666">
        <v>1</v>
      </c>
      <c r="K8666">
        <v>0</v>
      </c>
      <c r="L8666">
        <f t="shared" si="270"/>
        <v>8.1999999999999993</v>
      </c>
      <c r="M8666">
        <f t="shared" si="271"/>
        <v>1</v>
      </c>
    </row>
    <row r="8667" spans="1:13" x14ac:dyDescent="0.3">
      <c r="A8667">
        <v>8665</v>
      </c>
      <c r="B8667">
        <v>8666</v>
      </c>
      <c r="C8667" t="s">
        <v>8745</v>
      </c>
      <c r="D8667">
        <v>2011</v>
      </c>
      <c r="E8667" t="s">
        <v>22</v>
      </c>
      <c r="F8667" t="s">
        <v>140</v>
      </c>
      <c r="G8667">
        <v>0</v>
      </c>
      <c r="H8667">
        <v>0</v>
      </c>
      <c r="I8667">
        <v>0</v>
      </c>
      <c r="J8667">
        <v>1</v>
      </c>
      <c r="K8667">
        <v>0</v>
      </c>
      <c r="L8667">
        <f t="shared" si="270"/>
        <v>8.1999999999999993</v>
      </c>
      <c r="M8667">
        <f t="shared" si="271"/>
        <v>1</v>
      </c>
    </row>
    <row r="8668" spans="1:13" x14ac:dyDescent="0.3">
      <c r="A8668">
        <v>8666</v>
      </c>
      <c r="B8668">
        <v>8667</v>
      </c>
      <c r="C8668" t="s">
        <v>8746</v>
      </c>
      <c r="D8668">
        <v>2003</v>
      </c>
      <c r="E8668" t="s">
        <v>22</v>
      </c>
      <c r="F8668" t="s">
        <v>140</v>
      </c>
      <c r="G8668">
        <v>0</v>
      </c>
      <c r="H8668">
        <v>0</v>
      </c>
      <c r="I8668">
        <v>0</v>
      </c>
      <c r="J8668">
        <v>1</v>
      </c>
      <c r="K8668">
        <v>0</v>
      </c>
      <c r="L8668">
        <f t="shared" si="270"/>
        <v>8.1999999999999993</v>
      </c>
      <c r="M8668">
        <f t="shared" si="271"/>
        <v>1</v>
      </c>
    </row>
    <row r="8669" spans="1:13" x14ac:dyDescent="0.3">
      <c r="A8669">
        <v>8667</v>
      </c>
      <c r="B8669">
        <v>8668</v>
      </c>
      <c r="C8669" t="s">
        <v>8747</v>
      </c>
      <c r="D8669">
        <v>2010</v>
      </c>
      <c r="E8669" t="s">
        <v>22</v>
      </c>
      <c r="F8669" t="s">
        <v>140</v>
      </c>
      <c r="G8669">
        <v>0</v>
      </c>
      <c r="H8669">
        <v>0</v>
      </c>
      <c r="I8669">
        <v>0</v>
      </c>
      <c r="J8669">
        <v>1</v>
      </c>
      <c r="K8669">
        <v>0</v>
      </c>
      <c r="L8669">
        <f t="shared" si="270"/>
        <v>8.1999999999999993</v>
      </c>
      <c r="M8669">
        <f t="shared" si="271"/>
        <v>1</v>
      </c>
    </row>
    <row r="8670" spans="1:13" x14ac:dyDescent="0.3">
      <c r="A8670">
        <v>8668</v>
      </c>
      <c r="B8670">
        <v>8669</v>
      </c>
      <c r="C8670" t="s">
        <v>8748</v>
      </c>
      <c r="D8670">
        <v>2017</v>
      </c>
      <c r="E8670" t="s">
        <v>14</v>
      </c>
      <c r="F8670" t="s">
        <v>140</v>
      </c>
      <c r="G8670">
        <v>0</v>
      </c>
      <c r="H8670">
        <v>0</v>
      </c>
      <c r="I8670">
        <v>0</v>
      </c>
      <c r="J8670">
        <v>1</v>
      </c>
      <c r="K8670">
        <v>0</v>
      </c>
      <c r="L8670">
        <f t="shared" si="270"/>
        <v>8.1999999999999993</v>
      </c>
      <c r="M8670">
        <f t="shared" si="271"/>
        <v>1</v>
      </c>
    </row>
    <row r="8671" spans="1:13" x14ac:dyDescent="0.3">
      <c r="A8671">
        <v>8669</v>
      </c>
      <c r="B8671">
        <v>8670</v>
      </c>
      <c r="C8671" t="s">
        <v>8749</v>
      </c>
      <c r="D8671">
        <v>2006</v>
      </c>
      <c r="E8671" t="s">
        <v>22</v>
      </c>
      <c r="F8671" t="s">
        <v>140</v>
      </c>
      <c r="G8671">
        <v>0</v>
      </c>
      <c r="H8671">
        <v>0</v>
      </c>
      <c r="I8671">
        <v>0</v>
      </c>
      <c r="J8671">
        <v>1</v>
      </c>
      <c r="K8671">
        <v>0</v>
      </c>
      <c r="L8671">
        <f t="shared" si="270"/>
        <v>8.1999999999999993</v>
      </c>
      <c r="M8671">
        <f t="shared" si="271"/>
        <v>1</v>
      </c>
    </row>
    <row r="8672" spans="1:13" x14ac:dyDescent="0.3">
      <c r="A8672">
        <v>8670</v>
      </c>
      <c r="B8672">
        <v>8671</v>
      </c>
      <c r="C8672" t="s">
        <v>8750</v>
      </c>
      <c r="D8672">
        <v>2019</v>
      </c>
      <c r="E8672" t="s">
        <v>36</v>
      </c>
      <c r="F8672" t="s">
        <v>140</v>
      </c>
      <c r="G8672">
        <v>0</v>
      </c>
      <c r="H8672">
        <v>0</v>
      </c>
      <c r="I8672">
        <v>0</v>
      </c>
      <c r="J8672">
        <v>1</v>
      </c>
      <c r="K8672">
        <v>0</v>
      </c>
      <c r="L8672">
        <f t="shared" si="270"/>
        <v>8.1999999999999993</v>
      </c>
      <c r="M8672">
        <f t="shared" si="271"/>
        <v>1</v>
      </c>
    </row>
    <row r="8673" spans="1:13" x14ac:dyDescent="0.3">
      <c r="A8673">
        <v>8671</v>
      </c>
      <c r="B8673">
        <v>8672</v>
      </c>
      <c r="C8673" t="s">
        <v>8751</v>
      </c>
      <c r="D8673">
        <v>2017</v>
      </c>
      <c r="E8673" t="s">
        <v>22</v>
      </c>
      <c r="F8673" t="s">
        <v>140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f t="shared" si="270"/>
        <v>8.1999999999999993</v>
      </c>
      <c r="M8673">
        <f t="shared" si="271"/>
        <v>1</v>
      </c>
    </row>
    <row r="8674" spans="1:13" x14ac:dyDescent="0.3">
      <c r="A8674">
        <v>8672</v>
      </c>
      <c r="B8674">
        <v>8673</v>
      </c>
      <c r="C8674" t="s">
        <v>8752</v>
      </c>
      <c r="D8674">
        <v>2009</v>
      </c>
      <c r="E8674" t="s">
        <v>36</v>
      </c>
      <c r="F8674" t="s">
        <v>159</v>
      </c>
      <c r="G8674">
        <v>0</v>
      </c>
      <c r="H8674">
        <v>0</v>
      </c>
      <c r="I8674">
        <v>0</v>
      </c>
      <c r="J8674">
        <v>1</v>
      </c>
      <c r="K8674">
        <v>0</v>
      </c>
      <c r="L8674">
        <f t="shared" si="270"/>
        <v>8.1</v>
      </c>
      <c r="M8674">
        <f t="shared" si="271"/>
        <v>1</v>
      </c>
    </row>
    <row r="8675" spans="1:13" x14ac:dyDescent="0.3">
      <c r="A8675">
        <v>8673</v>
      </c>
      <c r="B8675">
        <v>8674</v>
      </c>
      <c r="C8675" t="s">
        <v>8753</v>
      </c>
      <c r="D8675">
        <v>2020</v>
      </c>
      <c r="E8675" t="s">
        <v>22</v>
      </c>
      <c r="F8675" t="s">
        <v>159</v>
      </c>
      <c r="G8675">
        <v>0</v>
      </c>
      <c r="H8675">
        <v>0</v>
      </c>
      <c r="I8675">
        <v>0</v>
      </c>
      <c r="J8675">
        <v>1</v>
      </c>
      <c r="K8675">
        <v>0</v>
      </c>
      <c r="L8675">
        <f t="shared" si="270"/>
        <v>8.1</v>
      </c>
      <c r="M8675">
        <f t="shared" si="271"/>
        <v>1</v>
      </c>
    </row>
    <row r="8676" spans="1:13" x14ac:dyDescent="0.3">
      <c r="A8676">
        <v>8674</v>
      </c>
      <c r="B8676">
        <v>8675</v>
      </c>
      <c r="C8676" t="s">
        <v>8754</v>
      </c>
      <c r="D8676">
        <v>2019</v>
      </c>
      <c r="E8676" t="s">
        <v>22</v>
      </c>
      <c r="F8676" t="s">
        <v>159</v>
      </c>
      <c r="G8676">
        <v>0</v>
      </c>
      <c r="H8676">
        <v>0</v>
      </c>
      <c r="I8676">
        <v>0</v>
      </c>
      <c r="J8676">
        <v>1</v>
      </c>
      <c r="K8676">
        <v>0</v>
      </c>
      <c r="L8676">
        <f t="shared" si="270"/>
        <v>8.1</v>
      </c>
      <c r="M8676">
        <f t="shared" si="271"/>
        <v>1</v>
      </c>
    </row>
    <row r="8677" spans="1:13" x14ac:dyDescent="0.3">
      <c r="A8677">
        <v>8675</v>
      </c>
      <c r="B8677">
        <v>8676</v>
      </c>
      <c r="C8677" t="s">
        <v>8755</v>
      </c>
      <c r="D8677">
        <v>2013</v>
      </c>
      <c r="E8677" t="s">
        <v>22</v>
      </c>
      <c r="F8677" t="s">
        <v>159</v>
      </c>
      <c r="G8677">
        <v>0</v>
      </c>
      <c r="H8677">
        <v>0</v>
      </c>
      <c r="I8677">
        <v>0</v>
      </c>
      <c r="J8677">
        <v>1</v>
      </c>
      <c r="K8677">
        <v>0</v>
      </c>
      <c r="L8677">
        <f t="shared" si="270"/>
        <v>8.1</v>
      </c>
      <c r="M8677">
        <f t="shared" si="271"/>
        <v>1</v>
      </c>
    </row>
    <row r="8678" spans="1:13" x14ac:dyDescent="0.3">
      <c r="A8678">
        <v>8676</v>
      </c>
      <c r="B8678">
        <v>8677</v>
      </c>
      <c r="C8678" t="s">
        <v>8756</v>
      </c>
      <c r="D8678">
        <v>2021</v>
      </c>
      <c r="E8678" t="s">
        <v>14</v>
      </c>
      <c r="F8678" t="s">
        <v>159</v>
      </c>
      <c r="G8678">
        <v>0</v>
      </c>
      <c r="H8678">
        <v>0</v>
      </c>
      <c r="I8678">
        <v>0</v>
      </c>
      <c r="J8678">
        <v>1</v>
      </c>
      <c r="K8678">
        <v>0</v>
      </c>
      <c r="L8678">
        <f t="shared" si="270"/>
        <v>8.1</v>
      </c>
      <c r="M8678">
        <f t="shared" si="271"/>
        <v>1</v>
      </c>
    </row>
    <row r="8679" spans="1:13" x14ac:dyDescent="0.3">
      <c r="A8679">
        <v>8677</v>
      </c>
      <c r="B8679">
        <v>8678</v>
      </c>
      <c r="C8679" t="s">
        <v>8757</v>
      </c>
      <c r="D8679">
        <v>2018</v>
      </c>
      <c r="E8679" t="s">
        <v>22</v>
      </c>
      <c r="F8679" t="s">
        <v>159</v>
      </c>
      <c r="G8679">
        <v>0</v>
      </c>
      <c r="H8679">
        <v>0</v>
      </c>
      <c r="I8679">
        <v>0</v>
      </c>
      <c r="J8679">
        <v>1</v>
      </c>
      <c r="K8679">
        <v>0</v>
      </c>
      <c r="L8679">
        <f t="shared" si="270"/>
        <v>8.1</v>
      </c>
      <c r="M8679">
        <f t="shared" si="271"/>
        <v>1</v>
      </c>
    </row>
    <row r="8680" spans="1:13" x14ac:dyDescent="0.3">
      <c r="A8680">
        <v>8678</v>
      </c>
      <c r="B8680">
        <v>8679</v>
      </c>
      <c r="C8680" t="s">
        <v>8758</v>
      </c>
      <c r="D8680">
        <v>2009</v>
      </c>
      <c r="E8680" t="s">
        <v>14</v>
      </c>
      <c r="F8680" t="s">
        <v>159</v>
      </c>
      <c r="G8680">
        <v>0</v>
      </c>
      <c r="H8680">
        <v>0</v>
      </c>
      <c r="I8680">
        <v>0</v>
      </c>
      <c r="J8680">
        <v>1</v>
      </c>
      <c r="K8680">
        <v>0</v>
      </c>
      <c r="L8680">
        <f t="shared" si="270"/>
        <v>8.1</v>
      </c>
      <c r="M8680">
        <f t="shared" si="271"/>
        <v>1</v>
      </c>
    </row>
    <row r="8681" spans="1:13" x14ac:dyDescent="0.3">
      <c r="A8681">
        <v>8679</v>
      </c>
      <c r="B8681">
        <v>8680</v>
      </c>
      <c r="C8681" t="s">
        <v>8759</v>
      </c>
      <c r="D8681">
        <v>2016</v>
      </c>
      <c r="E8681" t="s">
        <v>14</v>
      </c>
      <c r="F8681" t="s">
        <v>159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f t="shared" si="270"/>
        <v>8.1</v>
      </c>
      <c r="M8681">
        <f t="shared" si="271"/>
        <v>1</v>
      </c>
    </row>
    <row r="8682" spans="1:13" x14ac:dyDescent="0.3">
      <c r="A8682">
        <v>8680</v>
      </c>
      <c r="B8682">
        <v>8681</v>
      </c>
      <c r="C8682" t="s">
        <v>8760</v>
      </c>
      <c r="D8682">
        <v>1998</v>
      </c>
      <c r="E8682" t="s">
        <v>36</v>
      </c>
      <c r="F8682" t="s">
        <v>159</v>
      </c>
      <c r="G8682">
        <v>0</v>
      </c>
      <c r="H8682">
        <v>0</v>
      </c>
      <c r="I8682">
        <v>0</v>
      </c>
      <c r="J8682">
        <v>1</v>
      </c>
      <c r="K8682">
        <v>0</v>
      </c>
      <c r="L8682">
        <f t="shared" si="270"/>
        <v>8.1</v>
      </c>
      <c r="M8682">
        <f t="shared" si="271"/>
        <v>1</v>
      </c>
    </row>
    <row r="8683" spans="1:13" x14ac:dyDescent="0.3">
      <c r="A8683">
        <v>8681</v>
      </c>
      <c r="B8683">
        <v>8682</v>
      </c>
      <c r="C8683" t="s">
        <v>8761</v>
      </c>
      <c r="D8683">
        <v>2007</v>
      </c>
      <c r="E8683" t="s">
        <v>22</v>
      </c>
      <c r="F8683" t="s">
        <v>159</v>
      </c>
      <c r="G8683">
        <v>0</v>
      </c>
      <c r="H8683">
        <v>0</v>
      </c>
      <c r="I8683">
        <v>0</v>
      </c>
      <c r="J8683">
        <v>1</v>
      </c>
      <c r="K8683">
        <v>0</v>
      </c>
      <c r="L8683">
        <f t="shared" si="270"/>
        <v>8.1</v>
      </c>
      <c r="M8683">
        <f t="shared" si="271"/>
        <v>1</v>
      </c>
    </row>
    <row r="8684" spans="1:13" x14ac:dyDescent="0.3">
      <c r="A8684">
        <v>8682</v>
      </c>
      <c r="B8684">
        <v>8683</v>
      </c>
      <c r="C8684" t="s">
        <v>8762</v>
      </c>
      <c r="D8684">
        <v>2006</v>
      </c>
      <c r="E8684" t="s">
        <v>36</v>
      </c>
      <c r="F8684" t="s">
        <v>159</v>
      </c>
      <c r="G8684">
        <v>0</v>
      </c>
      <c r="H8684">
        <v>0</v>
      </c>
      <c r="I8684">
        <v>0</v>
      </c>
      <c r="J8684">
        <v>1</v>
      </c>
      <c r="K8684">
        <v>0</v>
      </c>
      <c r="L8684">
        <f t="shared" si="270"/>
        <v>8.1</v>
      </c>
      <c r="M8684">
        <f t="shared" si="271"/>
        <v>1</v>
      </c>
    </row>
    <row r="8685" spans="1:13" x14ac:dyDescent="0.3">
      <c r="A8685">
        <v>8683</v>
      </c>
      <c r="B8685">
        <v>8684</v>
      </c>
      <c r="C8685" t="s">
        <v>8763</v>
      </c>
      <c r="D8685">
        <v>2016</v>
      </c>
      <c r="E8685" t="s">
        <v>22</v>
      </c>
      <c r="F8685" t="s">
        <v>178</v>
      </c>
      <c r="G8685">
        <v>0</v>
      </c>
      <c r="H8685">
        <v>0</v>
      </c>
      <c r="I8685">
        <v>0</v>
      </c>
      <c r="J8685">
        <v>1</v>
      </c>
      <c r="K8685">
        <v>0</v>
      </c>
      <c r="L8685">
        <f t="shared" si="270"/>
        <v>8</v>
      </c>
      <c r="M8685">
        <f t="shared" si="271"/>
        <v>1</v>
      </c>
    </row>
    <row r="8686" spans="1:13" x14ac:dyDescent="0.3">
      <c r="A8686">
        <v>8684</v>
      </c>
      <c r="B8686">
        <v>8685</v>
      </c>
      <c r="C8686" t="s">
        <v>8764</v>
      </c>
      <c r="D8686">
        <v>2013</v>
      </c>
      <c r="E8686" t="s">
        <v>36</v>
      </c>
      <c r="F8686" t="s">
        <v>178</v>
      </c>
      <c r="G8686">
        <v>0</v>
      </c>
      <c r="H8686">
        <v>0</v>
      </c>
      <c r="I8686">
        <v>0</v>
      </c>
      <c r="J8686">
        <v>1</v>
      </c>
      <c r="K8686">
        <v>0</v>
      </c>
      <c r="L8686">
        <f t="shared" si="270"/>
        <v>8</v>
      </c>
      <c r="M8686">
        <f t="shared" si="271"/>
        <v>1</v>
      </c>
    </row>
    <row r="8687" spans="1:13" x14ac:dyDescent="0.3">
      <c r="A8687">
        <v>8685</v>
      </c>
      <c r="B8687">
        <v>8686</v>
      </c>
      <c r="C8687" t="s">
        <v>8765</v>
      </c>
      <c r="D8687">
        <v>2012</v>
      </c>
      <c r="E8687" t="s">
        <v>14</v>
      </c>
      <c r="F8687" t="s">
        <v>178</v>
      </c>
      <c r="G8687">
        <v>0</v>
      </c>
      <c r="H8687">
        <v>0</v>
      </c>
      <c r="I8687">
        <v>0</v>
      </c>
      <c r="J8687">
        <v>1</v>
      </c>
      <c r="K8687">
        <v>0</v>
      </c>
      <c r="L8687">
        <f t="shared" si="270"/>
        <v>8</v>
      </c>
      <c r="M8687">
        <f t="shared" si="271"/>
        <v>1</v>
      </c>
    </row>
    <row r="8688" spans="1:13" x14ac:dyDescent="0.3">
      <c r="A8688">
        <v>8686</v>
      </c>
      <c r="B8688">
        <v>8687</v>
      </c>
      <c r="C8688" t="s">
        <v>8766</v>
      </c>
      <c r="D8688">
        <v>2020</v>
      </c>
      <c r="E8688" t="s">
        <v>14</v>
      </c>
      <c r="F8688" t="s">
        <v>178</v>
      </c>
      <c r="G8688">
        <v>0</v>
      </c>
      <c r="H8688">
        <v>0</v>
      </c>
      <c r="I8688">
        <v>0</v>
      </c>
      <c r="J8688">
        <v>1</v>
      </c>
      <c r="K8688">
        <v>0</v>
      </c>
      <c r="L8688">
        <f t="shared" si="270"/>
        <v>8</v>
      </c>
      <c r="M8688">
        <f t="shared" si="271"/>
        <v>1</v>
      </c>
    </row>
    <row r="8689" spans="1:13" x14ac:dyDescent="0.3">
      <c r="A8689">
        <v>8687</v>
      </c>
      <c r="B8689">
        <v>8688</v>
      </c>
      <c r="C8689" t="s">
        <v>8767</v>
      </c>
      <c r="D8689">
        <v>1965</v>
      </c>
      <c r="E8689" t="s">
        <v>36</v>
      </c>
      <c r="F8689" t="s">
        <v>178</v>
      </c>
      <c r="G8689">
        <v>0</v>
      </c>
      <c r="H8689">
        <v>0</v>
      </c>
      <c r="I8689">
        <v>0</v>
      </c>
      <c r="J8689">
        <v>1</v>
      </c>
      <c r="K8689">
        <v>0</v>
      </c>
      <c r="L8689">
        <f t="shared" si="270"/>
        <v>8</v>
      </c>
      <c r="M8689">
        <f t="shared" si="271"/>
        <v>1</v>
      </c>
    </row>
    <row r="8690" spans="1:13" x14ac:dyDescent="0.3">
      <c r="A8690">
        <v>8688</v>
      </c>
      <c r="B8690">
        <v>8689</v>
      </c>
      <c r="C8690" t="s">
        <v>8768</v>
      </c>
      <c r="D8690">
        <v>2018</v>
      </c>
      <c r="E8690" t="s">
        <v>22</v>
      </c>
      <c r="F8690" t="s">
        <v>178</v>
      </c>
      <c r="G8690">
        <v>0</v>
      </c>
      <c r="H8690">
        <v>0</v>
      </c>
      <c r="I8690">
        <v>0</v>
      </c>
      <c r="J8690">
        <v>1</v>
      </c>
      <c r="K8690">
        <v>0</v>
      </c>
      <c r="L8690">
        <f t="shared" si="270"/>
        <v>8</v>
      </c>
      <c r="M8690">
        <f t="shared" si="271"/>
        <v>1</v>
      </c>
    </row>
    <row r="8691" spans="1:13" x14ac:dyDescent="0.3">
      <c r="A8691">
        <v>8689</v>
      </c>
      <c r="B8691">
        <v>8690</v>
      </c>
      <c r="C8691" t="s">
        <v>8769</v>
      </c>
      <c r="D8691">
        <v>1988</v>
      </c>
      <c r="E8691" t="s">
        <v>14</v>
      </c>
      <c r="F8691" t="s">
        <v>178</v>
      </c>
      <c r="G8691">
        <v>0</v>
      </c>
      <c r="H8691">
        <v>0</v>
      </c>
      <c r="I8691">
        <v>0</v>
      </c>
      <c r="J8691">
        <v>1</v>
      </c>
      <c r="K8691">
        <v>0</v>
      </c>
      <c r="L8691">
        <f t="shared" si="270"/>
        <v>8</v>
      </c>
      <c r="M8691">
        <f t="shared" si="271"/>
        <v>1</v>
      </c>
    </row>
    <row r="8692" spans="1:13" x14ac:dyDescent="0.3">
      <c r="A8692">
        <v>8690</v>
      </c>
      <c r="B8692">
        <v>8691</v>
      </c>
      <c r="C8692" t="s">
        <v>8770</v>
      </c>
      <c r="D8692">
        <v>1993</v>
      </c>
      <c r="E8692" t="s">
        <v>14</v>
      </c>
      <c r="F8692" t="s">
        <v>200</v>
      </c>
      <c r="G8692">
        <v>0</v>
      </c>
      <c r="H8692">
        <v>0</v>
      </c>
      <c r="I8692">
        <v>0</v>
      </c>
      <c r="J8692">
        <v>1</v>
      </c>
      <c r="K8692">
        <v>0</v>
      </c>
      <c r="L8692">
        <f t="shared" si="270"/>
        <v>7.9</v>
      </c>
      <c r="M8692">
        <f t="shared" si="271"/>
        <v>1</v>
      </c>
    </row>
    <row r="8693" spans="1:13" x14ac:dyDescent="0.3">
      <c r="A8693">
        <v>8691</v>
      </c>
      <c r="B8693">
        <v>8692</v>
      </c>
      <c r="C8693" t="s">
        <v>8771</v>
      </c>
      <c r="D8693">
        <v>2018</v>
      </c>
      <c r="E8693" t="s">
        <v>22</v>
      </c>
      <c r="F8693" t="s">
        <v>200</v>
      </c>
      <c r="G8693">
        <v>0</v>
      </c>
      <c r="H8693">
        <v>0</v>
      </c>
      <c r="I8693">
        <v>0</v>
      </c>
      <c r="J8693">
        <v>1</v>
      </c>
      <c r="K8693">
        <v>0</v>
      </c>
      <c r="L8693">
        <f t="shared" si="270"/>
        <v>7.9</v>
      </c>
      <c r="M8693">
        <f t="shared" si="271"/>
        <v>1</v>
      </c>
    </row>
    <row r="8694" spans="1:13" x14ac:dyDescent="0.3">
      <c r="A8694">
        <v>8692</v>
      </c>
      <c r="B8694">
        <v>8693</v>
      </c>
      <c r="C8694" t="s">
        <v>8772</v>
      </c>
      <c r="D8694">
        <v>1998</v>
      </c>
      <c r="E8694" t="s">
        <v>36</v>
      </c>
      <c r="F8694" t="s">
        <v>200</v>
      </c>
      <c r="G8694">
        <v>0</v>
      </c>
      <c r="H8694">
        <v>0</v>
      </c>
      <c r="I8694">
        <v>0</v>
      </c>
      <c r="J8694">
        <v>1</v>
      </c>
      <c r="K8694">
        <v>0</v>
      </c>
      <c r="L8694">
        <f t="shared" si="270"/>
        <v>7.9</v>
      </c>
      <c r="M8694">
        <f t="shared" si="271"/>
        <v>1</v>
      </c>
    </row>
    <row r="8695" spans="1:13" x14ac:dyDescent="0.3">
      <c r="A8695">
        <v>8693</v>
      </c>
      <c r="B8695">
        <v>8694</v>
      </c>
      <c r="C8695" t="s">
        <v>8773</v>
      </c>
      <c r="D8695">
        <v>1999</v>
      </c>
      <c r="E8695" t="s">
        <v>14</v>
      </c>
      <c r="F8695" t="s">
        <v>200</v>
      </c>
      <c r="G8695">
        <v>0</v>
      </c>
      <c r="H8695">
        <v>0</v>
      </c>
      <c r="I8695">
        <v>0</v>
      </c>
      <c r="J8695">
        <v>1</v>
      </c>
      <c r="K8695">
        <v>0</v>
      </c>
      <c r="L8695">
        <f t="shared" si="270"/>
        <v>7.9</v>
      </c>
      <c r="M8695">
        <f t="shared" si="271"/>
        <v>1</v>
      </c>
    </row>
    <row r="8696" spans="1:13" x14ac:dyDescent="0.3">
      <c r="A8696">
        <v>8694</v>
      </c>
      <c r="B8696">
        <v>8695</v>
      </c>
      <c r="C8696" t="s">
        <v>8774</v>
      </c>
      <c r="D8696">
        <v>2000</v>
      </c>
      <c r="E8696" t="s">
        <v>14</v>
      </c>
      <c r="F8696" t="s">
        <v>200</v>
      </c>
      <c r="G8696">
        <v>0</v>
      </c>
      <c r="H8696">
        <v>0</v>
      </c>
      <c r="I8696">
        <v>0</v>
      </c>
      <c r="J8696">
        <v>1</v>
      </c>
      <c r="K8696">
        <v>0</v>
      </c>
      <c r="L8696">
        <f t="shared" si="270"/>
        <v>7.9</v>
      </c>
      <c r="M8696">
        <f t="shared" si="271"/>
        <v>1</v>
      </c>
    </row>
    <row r="8697" spans="1:13" x14ac:dyDescent="0.3">
      <c r="A8697">
        <v>8695</v>
      </c>
      <c r="B8697">
        <v>8696</v>
      </c>
      <c r="C8697" t="s">
        <v>8775</v>
      </c>
      <c r="D8697">
        <v>2018</v>
      </c>
      <c r="E8697" t="s">
        <v>14</v>
      </c>
      <c r="F8697" t="s">
        <v>200</v>
      </c>
      <c r="G8697">
        <v>0</v>
      </c>
      <c r="H8697">
        <v>0</v>
      </c>
      <c r="I8697">
        <v>0</v>
      </c>
      <c r="J8697">
        <v>1</v>
      </c>
      <c r="K8697">
        <v>0</v>
      </c>
      <c r="L8697">
        <f t="shared" si="270"/>
        <v>7.9</v>
      </c>
      <c r="M8697">
        <f t="shared" si="271"/>
        <v>1</v>
      </c>
    </row>
    <row r="8698" spans="1:13" x14ac:dyDescent="0.3">
      <c r="A8698">
        <v>8696</v>
      </c>
      <c r="B8698">
        <v>8697</v>
      </c>
      <c r="C8698" t="s">
        <v>8776</v>
      </c>
      <c r="D8698">
        <v>2020</v>
      </c>
      <c r="E8698" t="s">
        <v>28</v>
      </c>
      <c r="F8698" t="s">
        <v>200</v>
      </c>
      <c r="G8698">
        <v>0</v>
      </c>
      <c r="H8698">
        <v>0</v>
      </c>
      <c r="I8698">
        <v>0</v>
      </c>
      <c r="J8698">
        <v>1</v>
      </c>
      <c r="K8698">
        <v>0</v>
      </c>
      <c r="L8698">
        <f t="shared" si="270"/>
        <v>7.9</v>
      </c>
      <c r="M8698">
        <f t="shared" si="271"/>
        <v>1</v>
      </c>
    </row>
    <row r="8699" spans="1:13" x14ac:dyDescent="0.3">
      <c r="A8699">
        <v>8697</v>
      </c>
      <c r="B8699">
        <v>8698</v>
      </c>
      <c r="C8699" t="s">
        <v>8777</v>
      </c>
      <c r="D8699">
        <v>2002</v>
      </c>
      <c r="E8699" t="s">
        <v>14</v>
      </c>
      <c r="F8699" t="s">
        <v>200</v>
      </c>
      <c r="G8699">
        <v>0</v>
      </c>
      <c r="H8699">
        <v>0</v>
      </c>
      <c r="I8699">
        <v>0</v>
      </c>
      <c r="J8699">
        <v>1</v>
      </c>
      <c r="K8699">
        <v>0</v>
      </c>
      <c r="L8699">
        <f t="shared" si="270"/>
        <v>7.9</v>
      </c>
      <c r="M8699">
        <f t="shared" si="271"/>
        <v>1</v>
      </c>
    </row>
    <row r="8700" spans="1:13" x14ac:dyDescent="0.3">
      <c r="A8700">
        <v>8698</v>
      </c>
      <c r="B8700">
        <v>8699</v>
      </c>
      <c r="C8700" t="s">
        <v>8778</v>
      </c>
      <c r="D8700">
        <v>2000</v>
      </c>
      <c r="E8700" t="s">
        <v>36</v>
      </c>
      <c r="F8700" t="s">
        <v>226</v>
      </c>
      <c r="G8700">
        <v>0</v>
      </c>
      <c r="H8700">
        <v>0</v>
      </c>
      <c r="I8700">
        <v>0</v>
      </c>
      <c r="J8700">
        <v>1</v>
      </c>
      <c r="K8700">
        <v>0</v>
      </c>
      <c r="L8700">
        <f t="shared" si="270"/>
        <v>7.8</v>
      </c>
      <c r="M8700">
        <f t="shared" si="271"/>
        <v>1</v>
      </c>
    </row>
    <row r="8701" spans="1:13" x14ac:dyDescent="0.3">
      <c r="A8701">
        <v>8699</v>
      </c>
      <c r="B8701">
        <v>8700</v>
      </c>
      <c r="C8701" t="s">
        <v>8779</v>
      </c>
      <c r="D8701">
        <v>2019</v>
      </c>
      <c r="E8701" t="s">
        <v>22</v>
      </c>
      <c r="F8701" t="s">
        <v>226</v>
      </c>
      <c r="G8701">
        <v>0</v>
      </c>
      <c r="H8701">
        <v>0</v>
      </c>
      <c r="I8701">
        <v>0</v>
      </c>
      <c r="J8701">
        <v>1</v>
      </c>
      <c r="K8701">
        <v>0</v>
      </c>
      <c r="L8701">
        <f t="shared" si="270"/>
        <v>7.8</v>
      </c>
      <c r="M8701">
        <f t="shared" si="271"/>
        <v>1</v>
      </c>
    </row>
    <row r="8702" spans="1:13" x14ac:dyDescent="0.3">
      <c r="A8702">
        <v>8700</v>
      </c>
      <c r="B8702">
        <v>8701</v>
      </c>
      <c r="C8702" t="s">
        <v>8780</v>
      </c>
      <c r="D8702">
        <v>2002</v>
      </c>
      <c r="E8702" t="s">
        <v>14</v>
      </c>
      <c r="F8702" t="s">
        <v>226</v>
      </c>
      <c r="G8702">
        <v>0</v>
      </c>
      <c r="H8702">
        <v>0</v>
      </c>
      <c r="I8702">
        <v>0</v>
      </c>
      <c r="J8702">
        <v>1</v>
      </c>
      <c r="K8702">
        <v>0</v>
      </c>
      <c r="L8702">
        <f t="shared" si="270"/>
        <v>7.8</v>
      </c>
      <c r="M8702">
        <f t="shared" si="271"/>
        <v>1</v>
      </c>
    </row>
    <row r="8703" spans="1:13" x14ac:dyDescent="0.3">
      <c r="A8703">
        <v>8701</v>
      </c>
      <c r="B8703">
        <v>8702</v>
      </c>
      <c r="C8703" t="s">
        <v>8781</v>
      </c>
      <c r="D8703">
        <v>2007</v>
      </c>
      <c r="E8703" t="s">
        <v>22</v>
      </c>
      <c r="F8703" t="s">
        <v>226</v>
      </c>
      <c r="G8703">
        <v>0</v>
      </c>
      <c r="H8703">
        <v>0</v>
      </c>
      <c r="I8703">
        <v>0</v>
      </c>
      <c r="J8703">
        <v>1</v>
      </c>
      <c r="K8703">
        <v>0</v>
      </c>
      <c r="L8703">
        <f t="shared" si="270"/>
        <v>7.8</v>
      </c>
      <c r="M8703">
        <f t="shared" si="271"/>
        <v>1</v>
      </c>
    </row>
    <row r="8704" spans="1:13" x14ac:dyDescent="0.3">
      <c r="A8704">
        <v>8702</v>
      </c>
      <c r="B8704">
        <v>8703</v>
      </c>
      <c r="C8704" t="s">
        <v>8782</v>
      </c>
      <c r="D8704">
        <v>2019</v>
      </c>
      <c r="E8704" t="s">
        <v>14</v>
      </c>
      <c r="F8704" t="s">
        <v>226</v>
      </c>
      <c r="G8704">
        <v>0</v>
      </c>
      <c r="H8704">
        <v>0</v>
      </c>
      <c r="I8704">
        <v>0</v>
      </c>
      <c r="J8704">
        <v>1</v>
      </c>
      <c r="K8704">
        <v>0</v>
      </c>
      <c r="L8704">
        <f t="shared" si="270"/>
        <v>7.8</v>
      </c>
      <c r="M8704">
        <f t="shared" si="271"/>
        <v>1</v>
      </c>
    </row>
    <row r="8705" spans="1:13" x14ac:dyDescent="0.3">
      <c r="A8705">
        <v>8703</v>
      </c>
      <c r="B8705">
        <v>8704</v>
      </c>
      <c r="C8705" t="s">
        <v>8783</v>
      </c>
      <c r="D8705">
        <v>2005</v>
      </c>
      <c r="E8705" t="s">
        <v>14</v>
      </c>
      <c r="F8705" t="s">
        <v>226</v>
      </c>
      <c r="G8705">
        <v>0</v>
      </c>
      <c r="H8705">
        <v>0</v>
      </c>
      <c r="I8705">
        <v>0</v>
      </c>
      <c r="J8705">
        <v>1</v>
      </c>
      <c r="K8705">
        <v>0</v>
      </c>
      <c r="L8705">
        <f t="shared" si="270"/>
        <v>7.8</v>
      </c>
      <c r="M8705">
        <f t="shared" si="271"/>
        <v>1</v>
      </c>
    </row>
    <row r="8706" spans="1:13" x14ac:dyDescent="0.3">
      <c r="A8706">
        <v>8704</v>
      </c>
      <c r="B8706">
        <v>8705</v>
      </c>
      <c r="C8706" t="s">
        <v>8784</v>
      </c>
      <c r="D8706">
        <v>2006</v>
      </c>
      <c r="E8706" t="s">
        <v>22</v>
      </c>
      <c r="F8706" t="s">
        <v>226</v>
      </c>
      <c r="G8706">
        <v>0</v>
      </c>
      <c r="H8706">
        <v>0</v>
      </c>
      <c r="I8706">
        <v>0</v>
      </c>
      <c r="J8706">
        <v>1</v>
      </c>
      <c r="K8706">
        <v>0</v>
      </c>
      <c r="L8706">
        <f t="shared" si="270"/>
        <v>7.8</v>
      </c>
      <c r="M8706">
        <f t="shared" si="271"/>
        <v>1</v>
      </c>
    </row>
    <row r="8707" spans="1:13" x14ac:dyDescent="0.3">
      <c r="A8707">
        <v>8705</v>
      </c>
      <c r="B8707">
        <v>8706</v>
      </c>
      <c r="C8707" t="s">
        <v>8785</v>
      </c>
      <c r="D8707">
        <v>1937</v>
      </c>
      <c r="E8707" t="s">
        <v>36</v>
      </c>
      <c r="F8707" t="s">
        <v>226</v>
      </c>
      <c r="G8707">
        <v>0</v>
      </c>
      <c r="H8707">
        <v>0</v>
      </c>
      <c r="I8707">
        <v>0</v>
      </c>
      <c r="J8707">
        <v>1</v>
      </c>
      <c r="K8707">
        <v>0</v>
      </c>
      <c r="L8707">
        <f t="shared" ref="L8707:L8770" si="272">IFERROR(VALUE(LEFT(F8707,FIND("/",F8707)-1))/10,"")</f>
        <v>7.8</v>
      </c>
      <c r="M8707">
        <f t="shared" ref="M8707:M8770" si="273">SUM(G8707:J8707)</f>
        <v>1</v>
      </c>
    </row>
    <row r="8708" spans="1:13" x14ac:dyDescent="0.3">
      <c r="A8708">
        <v>8706</v>
      </c>
      <c r="B8708">
        <v>8707</v>
      </c>
      <c r="C8708" t="s">
        <v>8786</v>
      </c>
      <c r="D8708">
        <v>2009</v>
      </c>
      <c r="E8708" t="s">
        <v>22</v>
      </c>
      <c r="F8708" t="s">
        <v>226</v>
      </c>
      <c r="G8708">
        <v>0</v>
      </c>
      <c r="H8708">
        <v>0</v>
      </c>
      <c r="I8708">
        <v>0</v>
      </c>
      <c r="J8708">
        <v>1</v>
      </c>
      <c r="K8708">
        <v>0</v>
      </c>
      <c r="L8708">
        <f t="shared" si="272"/>
        <v>7.8</v>
      </c>
      <c r="M8708">
        <f t="shared" si="273"/>
        <v>1</v>
      </c>
    </row>
    <row r="8709" spans="1:13" x14ac:dyDescent="0.3">
      <c r="A8709">
        <v>8707</v>
      </c>
      <c r="B8709">
        <v>8708</v>
      </c>
      <c r="C8709" t="s">
        <v>8787</v>
      </c>
      <c r="D8709">
        <v>2015</v>
      </c>
      <c r="E8709" t="s">
        <v>14</v>
      </c>
      <c r="F8709" t="s">
        <v>226</v>
      </c>
      <c r="G8709">
        <v>0</v>
      </c>
      <c r="H8709">
        <v>0</v>
      </c>
      <c r="I8709">
        <v>0</v>
      </c>
      <c r="J8709">
        <v>1</v>
      </c>
      <c r="K8709">
        <v>0</v>
      </c>
      <c r="L8709">
        <f t="shared" si="272"/>
        <v>7.8</v>
      </c>
      <c r="M8709">
        <f t="shared" si="273"/>
        <v>1</v>
      </c>
    </row>
    <row r="8710" spans="1:13" x14ac:dyDescent="0.3">
      <c r="A8710">
        <v>8708</v>
      </c>
      <c r="B8710">
        <v>8709</v>
      </c>
      <c r="C8710" t="s">
        <v>8788</v>
      </c>
      <c r="D8710">
        <v>2017</v>
      </c>
      <c r="E8710" t="s">
        <v>22</v>
      </c>
      <c r="F8710" t="s">
        <v>226</v>
      </c>
      <c r="G8710">
        <v>0</v>
      </c>
      <c r="H8710">
        <v>0</v>
      </c>
      <c r="I8710">
        <v>0</v>
      </c>
      <c r="J8710">
        <v>1</v>
      </c>
      <c r="K8710">
        <v>0</v>
      </c>
      <c r="L8710">
        <f t="shared" si="272"/>
        <v>7.8</v>
      </c>
      <c r="M8710">
        <f t="shared" si="273"/>
        <v>1</v>
      </c>
    </row>
    <row r="8711" spans="1:13" x14ac:dyDescent="0.3">
      <c r="A8711">
        <v>8709</v>
      </c>
      <c r="B8711">
        <v>8710</v>
      </c>
      <c r="C8711" t="s">
        <v>8789</v>
      </c>
      <c r="D8711">
        <v>1992</v>
      </c>
      <c r="E8711" t="s">
        <v>14</v>
      </c>
      <c r="F8711" t="s">
        <v>251</v>
      </c>
      <c r="G8711">
        <v>0</v>
      </c>
      <c r="H8711">
        <v>0</v>
      </c>
      <c r="I8711">
        <v>0</v>
      </c>
      <c r="J8711">
        <v>1</v>
      </c>
      <c r="K8711">
        <v>0</v>
      </c>
      <c r="L8711">
        <f t="shared" si="272"/>
        <v>7.7</v>
      </c>
      <c r="M8711">
        <f t="shared" si="273"/>
        <v>1</v>
      </c>
    </row>
    <row r="8712" spans="1:13" x14ac:dyDescent="0.3">
      <c r="A8712">
        <v>8710</v>
      </c>
      <c r="B8712">
        <v>8711</v>
      </c>
      <c r="C8712" t="s">
        <v>8790</v>
      </c>
      <c r="D8712">
        <v>2000</v>
      </c>
      <c r="E8712" t="s">
        <v>14</v>
      </c>
      <c r="F8712" t="s">
        <v>251</v>
      </c>
      <c r="G8712">
        <v>0</v>
      </c>
      <c r="H8712">
        <v>0</v>
      </c>
      <c r="I8712">
        <v>0</v>
      </c>
      <c r="J8712">
        <v>1</v>
      </c>
      <c r="K8712">
        <v>0</v>
      </c>
      <c r="L8712">
        <f t="shared" si="272"/>
        <v>7.7</v>
      </c>
      <c r="M8712">
        <f t="shared" si="273"/>
        <v>1</v>
      </c>
    </row>
    <row r="8713" spans="1:13" x14ac:dyDescent="0.3">
      <c r="A8713">
        <v>8711</v>
      </c>
      <c r="B8713">
        <v>8712</v>
      </c>
      <c r="C8713" t="s">
        <v>8791</v>
      </c>
      <c r="D8713">
        <v>2018</v>
      </c>
      <c r="E8713" t="s">
        <v>22</v>
      </c>
      <c r="F8713" t="s">
        <v>251</v>
      </c>
      <c r="G8713">
        <v>0</v>
      </c>
      <c r="H8713">
        <v>0</v>
      </c>
      <c r="I8713">
        <v>0</v>
      </c>
      <c r="J8713">
        <v>1</v>
      </c>
      <c r="K8713">
        <v>0</v>
      </c>
      <c r="L8713">
        <f t="shared" si="272"/>
        <v>7.7</v>
      </c>
      <c r="M8713">
        <f t="shared" si="273"/>
        <v>1</v>
      </c>
    </row>
    <row r="8714" spans="1:13" x14ac:dyDescent="0.3">
      <c r="A8714">
        <v>8712</v>
      </c>
      <c r="B8714">
        <v>8713</v>
      </c>
      <c r="C8714" t="s">
        <v>8792</v>
      </c>
      <c r="D8714">
        <v>2009</v>
      </c>
      <c r="E8714" t="s">
        <v>36</v>
      </c>
      <c r="F8714" t="s">
        <v>251</v>
      </c>
      <c r="G8714">
        <v>0</v>
      </c>
      <c r="H8714">
        <v>0</v>
      </c>
      <c r="I8714">
        <v>0</v>
      </c>
      <c r="J8714">
        <v>1</v>
      </c>
      <c r="K8714">
        <v>0</v>
      </c>
      <c r="L8714">
        <f t="shared" si="272"/>
        <v>7.7</v>
      </c>
      <c r="M8714">
        <f t="shared" si="273"/>
        <v>1</v>
      </c>
    </row>
    <row r="8715" spans="1:13" x14ac:dyDescent="0.3">
      <c r="A8715">
        <v>8713</v>
      </c>
      <c r="B8715">
        <v>8714</v>
      </c>
      <c r="C8715" t="s">
        <v>8793</v>
      </c>
      <c r="D8715">
        <v>1951</v>
      </c>
      <c r="E8715" t="s">
        <v>36</v>
      </c>
      <c r="F8715" t="s">
        <v>251</v>
      </c>
      <c r="G8715">
        <v>0</v>
      </c>
      <c r="H8715">
        <v>0</v>
      </c>
      <c r="I8715">
        <v>0</v>
      </c>
      <c r="J8715">
        <v>1</v>
      </c>
      <c r="K8715">
        <v>0</v>
      </c>
      <c r="L8715">
        <f t="shared" si="272"/>
        <v>7.7</v>
      </c>
      <c r="M8715">
        <f t="shared" si="273"/>
        <v>1</v>
      </c>
    </row>
    <row r="8716" spans="1:13" x14ac:dyDescent="0.3">
      <c r="A8716">
        <v>8714</v>
      </c>
      <c r="B8716">
        <v>8715</v>
      </c>
      <c r="C8716" t="s">
        <v>8794</v>
      </c>
      <c r="D8716">
        <v>2011</v>
      </c>
      <c r="E8716" t="s">
        <v>36</v>
      </c>
      <c r="F8716" t="s">
        <v>251</v>
      </c>
      <c r="G8716">
        <v>0</v>
      </c>
      <c r="H8716">
        <v>0</v>
      </c>
      <c r="I8716">
        <v>0</v>
      </c>
      <c r="J8716">
        <v>1</v>
      </c>
      <c r="K8716">
        <v>0</v>
      </c>
      <c r="L8716">
        <f t="shared" si="272"/>
        <v>7.7</v>
      </c>
      <c r="M8716">
        <f t="shared" si="273"/>
        <v>1</v>
      </c>
    </row>
    <row r="8717" spans="1:13" x14ac:dyDescent="0.3">
      <c r="A8717">
        <v>8715</v>
      </c>
      <c r="B8717">
        <v>8716</v>
      </c>
      <c r="C8717" t="s">
        <v>8795</v>
      </c>
      <c r="D8717">
        <v>2013</v>
      </c>
      <c r="E8717" t="s">
        <v>22</v>
      </c>
      <c r="F8717" t="s">
        <v>251</v>
      </c>
      <c r="G8717">
        <v>0</v>
      </c>
      <c r="H8717">
        <v>0</v>
      </c>
      <c r="I8717">
        <v>0</v>
      </c>
      <c r="J8717">
        <v>1</v>
      </c>
      <c r="K8717">
        <v>0</v>
      </c>
      <c r="L8717">
        <f t="shared" si="272"/>
        <v>7.7</v>
      </c>
      <c r="M8717">
        <f t="shared" si="273"/>
        <v>1</v>
      </c>
    </row>
    <row r="8718" spans="1:13" x14ac:dyDescent="0.3">
      <c r="A8718">
        <v>8716</v>
      </c>
      <c r="B8718">
        <v>8717</v>
      </c>
      <c r="C8718" t="s">
        <v>8796</v>
      </c>
      <c r="D8718">
        <v>2009</v>
      </c>
      <c r="E8718" t="s">
        <v>14</v>
      </c>
      <c r="F8718" t="s">
        <v>278</v>
      </c>
      <c r="G8718">
        <v>0</v>
      </c>
      <c r="H8718">
        <v>0</v>
      </c>
      <c r="I8718">
        <v>0</v>
      </c>
      <c r="J8718">
        <v>1</v>
      </c>
      <c r="K8718">
        <v>0</v>
      </c>
      <c r="L8718">
        <f t="shared" si="272"/>
        <v>7.6</v>
      </c>
      <c r="M8718">
        <f t="shared" si="273"/>
        <v>1</v>
      </c>
    </row>
    <row r="8719" spans="1:13" x14ac:dyDescent="0.3">
      <c r="A8719">
        <v>8717</v>
      </c>
      <c r="B8719">
        <v>8718</v>
      </c>
      <c r="C8719" t="s">
        <v>8797</v>
      </c>
      <c r="D8719">
        <v>2016</v>
      </c>
      <c r="E8719" t="s">
        <v>22</v>
      </c>
      <c r="F8719" t="s">
        <v>278</v>
      </c>
      <c r="G8719">
        <v>0</v>
      </c>
      <c r="H8719">
        <v>0</v>
      </c>
      <c r="I8719">
        <v>0</v>
      </c>
      <c r="J8719">
        <v>1</v>
      </c>
      <c r="K8719">
        <v>0</v>
      </c>
      <c r="L8719">
        <f t="shared" si="272"/>
        <v>7.6</v>
      </c>
      <c r="M8719">
        <f t="shared" si="273"/>
        <v>1</v>
      </c>
    </row>
    <row r="8720" spans="1:13" x14ac:dyDescent="0.3">
      <c r="A8720">
        <v>8718</v>
      </c>
      <c r="B8720">
        <v>8719</v>
      </c>
      <c r="C8720" t="s">
        <v>8798</v>
      </c>
      <c r="D8720">
        <v>2008</v>
      </c>
      <c r="E8720" t="s">
        <v>14</v>
      </c>
      <c r="F8720" t="s">
        <v>278</v>
      </c>
      <c r="G8720">
        <v>0</v>
      </c>
      <c r="H8720">
        <v>0</v>
      </c>
      <c r="I8720">
        <v>0</v>
      </c>
      <c r="J8720">
        <v>1</v>
      </c>
      <c r="K8720">
        <v>0</v>
      </c>
      <c r="L8720">
        <f t="shared" si="272"/>
        <v>7.6</v>
      </c>
      <c r="M8720">
        <f t="shared" si="273"/>
        <v>1</v>
      </c>
    </row>
    <row r="8721" spans="1:13" x14ac:dyDescent="0.3">
      <c r="A8721">
        <v>8719</v>
      </c>
      <c r="B8721">
        <v>8720</v>
      </c>
      <c r="C8721" t="s">
        <v>8799</v>
      </c>
      <c r="D8721">
        <v>1965</v>
      </c>
      <c r="E8721" t="s">
        <v>36</v>
      </c>
      <c r="F8721" t="s">
        <v>278</v>
      </c>
      <c r="G8721">
        <v>0</v>
      </c>
      <c r="H8721">
        <v>0</v>
      </c>
      <c r="I8721">
        <v>0</v>
      </c>
      <c r="J8721">
        <v>1</v>
      </c>
      <c r="K8721">
        <v>0</v>
      </c>
      <c r="L8721">
        <f t="shared" si="272"/>
        <v>7.6</v>
      </c>
      <c r="M8721">
        <f t="shared" si="273"/>
        <v>1</v>
      </c>
    </row>
    <row r="8722" spans="1:13" x14ac:dyDescent="0.3">
      <c r="A8722">
        <v>8720</v>
      </c>
      <c r="B8722">
        <v>8721</v>
      </c>
      <c r="C8722" t="s">
        <v>8800</v>
      </c>
      <c r="D8722">
        <v>2006</v>
      </c>
      <c r="E8722" t="s">
        <v>14</v>
      </c>
      <c r="F8722" t="s">
        <v>278</v>
      </c>
      <c r="G8722">
        <v>0</v>
      </c>
      <c r="H8722">
        <v>0</v>
      </c>
      <c r="I8722">
        <v>0</v>
      </c>
      <c r="J8722">
        <v>1</v>
      </c>
      <c r="K8722">
        <v>0</v>
      </c>
      <c r="L8722">
        <f t="shared" si="272"/>
        <v>7.6</v>
      </c>
      <c r="M8722">
        <f t="shared" si="273"/>
        <v>1</v>
      </c>
    </row>
    <row r="8723" spans="1:13" x14ac:dyDescent="0.3">
      <c r="A8723">
        <v>8721</v>
      </c>
      <c r="B8723">
        <v>8722</v>
      </c>
      <c r="C8723" t="s">
        <v>8801</v>
      </c>
      <c r="D8723">
        <v>1961</v>
      </c>
      <c r="E8723" t="s">
        <v>36</v>
      </c>
      <c r="F8723" t="s">
        <v>278</v>
      </c>
      <c r="G8723">
        <v>0</v>
      </c>
      <c r="H8723">
        <v>0</v>
      </c>
      <c r="I8723">
        <v>0</v>
      </c>
      <c r="J8723">
        <v>1</v>
      </c>
      <c r="K8723">
        <v>0</v>
      </c>
      <c r="L8723">
        <f t="shared" si="272"/>
        <v>7.6</v>
      </c>
      <c r="M8723">
        <f t="shared" si="273"/>
        <v>1</v>
      </c>
    </row>
    <row r="8724" spans="1:13" x14ac:dyDescent="0.3">
      <c r="A8724">
        <v>8722</v>
      </c>
      <c r="B8724">
        <v>8723</v>
      </c>
      <c r="C8724" t="s">
        <v>8802</v>
      </c>
      <c r="D8724">
        <v>1955</v>
      </c>
      <c r="E8724" t="s">
        <v>36</v>
      </c>
      <c r="F8724" t="s">
        <v>278</v>
      </c>
      <c r="G8724">
        <v>0</v>
      </c>
      <c r="H8724">
        <v>0</v>
      </c>
      <c r="I8724">
        <v>0</v>
      </c>
      <c r="J8724">
        <v>1</v>
      </c>
      <c r="K8724">
        <v>0</v>
      </c>
      <c r="L8724">
        <f t="shared" si="272"/>
        <v>7.6</v>
      </c>
      <c r="M8724">
        <f t="shared" si="273"/>
        <v>1</v>
      </c>
    </row>
    <row r="8725" spans="1:13" x14ac:dyDescent="0.3">
      <c r="A8725">
        <v>8723</v>
      </c>
      <c r="B8725">
        <v>8724</v>
      </c>
      <c r="C8725" t="s">
        <v>8803</v>
      </c>
      <c r="D8725">
        <v>1942</v>
      </c>
      <c r="E8725" t="s">
        <v>36</v>
      </c>
      <c r="F8725" t="s">
        <v>278</v>
      </c>
      <c r="G8725">
        <v>0</v>
      </c>
      <c r="H8725">
        <v>0</v>
      </c>
      <c r="I8725">
        <v>0</v>
      </c>
      <c r="J8725">
        <v>1</v>
      </c>
      <c r="K8725">
        <v>0</v>
      </c>
      <c r="L8725">
        <f t="shared" si="272"/>
        <v>7.6</v>
      </c>
      <c r="M8725">
        <f t="shared" si="273"/>
        <v>1</v>
      </c>
    </row>
    <row r="8726" spans="1:13" x14ac:dyDescent="0.3">
      <c r="A8726">
        <v>8724</v>
      </c>
      <c r="B8726">
        <v>8725</v>
      </c>
      <c r="C8726" t="s">
        <v>8804</v>
      </c>
      <c r="D8726">
        <v>2019</v>
      </c>
      <c r="E8726" t="s">
        <v>14</v>
      </c>
      <c r="F8726" t="s">
        <v>278</v>
      </c>
      <c r="G8726">
        <v>0</v>
      </c>
      <c r="H8726">
        <v>0</v>
      </c>
      <c r="I8726">
        <v>0</v>
      </c>
      <c r="J8726">
        <v>1</v>
      </c>
      <c r="K8726">
        <v>0</v>
      </c>
      <c r="L8726">
        <f t="shared" si="272"/>
        <v>7.6</v>
      </c>
      <c r="M8726">
        <f t="shared" si="273"/>
        <v>1</v>
      </c>
    </row>
    <row r="8727" spans="1:13" x14ac:dyDescent="0.3">
      <c r="A8727">
        <v>8725</v>
      </c>
      <c r="B8727">
        <v>8726</v>
      </c>
      <c r="C8727" t="s">
        <v>8805</v>
      </c>
      <c r="D8727">
        <v>1999</v>
      </c>
      <c r="E8727" t="s">
        <v>36</v>
      </c>
      <c r="F8727" t="s">
        <v>278</v>
      </c>
      <c r="G8727">
        <v>0</v>
      </c>
      <c r="H8727">
        <v>0</v>
      </c>
      <c r="I8727">
        <v>0</v>
      </c>
      <c r="J8727">
        <v>1</v>
      </c>
      <c r="K8727">
        <v>0</v>
      </c>
      <c r="L8727">
        <f t="shared" si="272"/>
        <v>7.6</v>
      </c>
      <c r="M8727">
        <f t="shared" si="273"/>
        <v>1</v>
      </c>
    </row>
    <row r="8728" spans="1:13" x14ac:dyDescent="0.3">
      <c r="A8728">
        <v>8726</v>
      </c>
      <c r="B8728">
        <v>8727</v>
      </c>
      <c r="C8728" t="s">
        <v>8806</v>
      </c>
      <c r="D8728">
        <v>1953</v>
      </c>
      <c r="E8728" t="s">
        <v>36</v>
      </c>
      <c r="F8728" t="s">
        <v>278</v>
      </c>
      <c r="G8728">
        <v>0</v>
      </c>
      <c r="H8728">
        <v>0</v>
      </c>
      <c r="I8728">
        <v>0</v>
      </c>
      <c r="J8728">
        <v>1</v>
      </c>
      <c r="K8728">
        <v>0</v>
      </c>
      <c r="L8728">
        <f t="shared" si="272"/>
        <v>7.6</v>
      </c>
      <c r="M8728">
        <f t="shared" si="273"/>
        <v>1</v>
      </c>
    </row>
    <row r="8729" spans="1:13" x14ac:dyDescent="0.3">
      <c r="A8729">
        <v>8727</v>
      </c>
      <c r="B8729">
        <v>8728</v>
      </c>
      <c r="C8729" t="s">
        <v>8807</v>
      </c>
      <c r="D8729">
        <v>2017</v>
      </c>
      <c r="E8729" t="s">
        <v>36</v>
      </c>
      <c r="F8729" t="s">
        <v>278</v>
      </c>
      <c r="G8729">
        <v>0</v>
      </c>
      <c r="H8729">
        <v>0</v>
      </c>
      <c r="I8729">
        <v>0</v>
      </c>
      <c r="J8729">
        <v>1</v>
      </c>
      <c r="K8729">
        <v>0</v>
      </c>
      <c r="L8729">
        <f t="shared" si="272"/>
        <v>7.6</v>
      </c>
      <c r="M8729">
        <f t="shared" si="273"/>
        <v>1</v>
      </c>
    </row>
    <row r="8730" spans="1:13" x14ac:dyDescent="0.3">
      <c r="A8730">
        <v>8728</v>
      </c>
      <c r="B8730">
        <v>8729</v>
      </c>
      <c r="C8730" t="s">
        <v>8808</v>
      </c>
      <c r="D8730">
        <v>1940</v>
      </c>
      <c r="E8730" t="s">
        <v>36</v>
      </c>
      <c r="F8730" t="s">
        <v>278</v>
      </c>
      <c r="G8730">
        <v>0</v>
      </c>
      <c r="H8730">
        <v>0</v>
      </c>
      <c r="I8730">
        <v>0</v>
      </c>
      <c r="J8730">
        <v>1</v>
      </c>
      <c r="K8730">
        <v>0</v>
      </c>
      <c r="L8730">
        <f t="shared" si="272"/>
        <v>7.6</v>
      </c>
      <c r="M8730">
        <f t="shared" si="273"/>
        <v>1</v>
      </c>
    </row>
    <row r="8731" spans="1:13" x14ac:dyDescent="0.3">
      <c r="A8731">
        <v>8729</v>
      </c>
      <c r="B8731">
        <v>8730</v>
      </c>
      <c r="C8731" t="s">
        <v>8809</v>
      </c>
      <c r="D8731">
        <v>2019</v>
      </c>
      <c r="E8731" t="s">
        <v>14</v>
      </c>
      <c r="F8731" t="s">
        <v>278</v>
      </c>
      <c r="G8731">
        <v>0</v>
      </c>
      <c r="H8731">
        <v>0</v>
      </c>
      <c r="I8731">
        <v>0</v>
      </c>
      <c r="J8731">
        <v>1</v>
      </c>
      <c r="K8731">
        <v>0</v>
      </c>
      <c r="L8731">
        <f t="shared" si="272"/>
        <v>7.6</v>
      </c>
      <c r="M8731">
        <f t="shared" si="273"/>
        <v>1</v>
      </c>
    </row>
    <row r="8732" spans="1:13" x14ac:dyDescent="0.3">
      <c r="A8732">
        <v>8730</v>
      </c>
      <c r="B8732">
        <v>8731</v>
      </c>
      <c r="C8732" t="s">
        <v>8810</v>
      </c>
      <c r="D8732">
        <v>2006</v>
      </c>
      <c r="E8732" t="s">
        <v>14</v>
      </c>
      <c r="F8732" t="s">
        <v>278</v>
      </c>
      <c r="G8732">
        <v>0</v>
      </c>
      <c r="H8732">
        <v>0</v>
      </c>
      <c r="I8732">
        <v>0</v>
      </c>
      <c r="J8732">
        <v>1</v>
      </c>
      <c r="K8732">
        <v>0</v>
      </c>
      <c r="L8732">
        <f t="shared" si="272"/>
        <v>7.6</v>
      </c>
      <c r="M8732">
        <f t="shared" si="273"/>
        <v>1</v>
      </c>
    </row>
    <row r="8733" spans="1:13" x14ac:dyDescent="0.3">
      <c r="A8733">
        <v>8731</v>
      </c>
      <c r="B8733">
        <v>8732</v>
      </c>
      <c r="C8733" t="s">
        <v>8811</v>
      </c>
      <c r="D8733">
        <v>2002</v>
      </c>
      <c r="E8733" t="s">
        <v>14</v>
      </c>
      <c r="F8733" t="s">
        <v>315</v>
      </c>
      <c r="G8733">
        <v>0</v>
      </c>
      <c r="H8733">
        <v>0</v>
      </c>
      <c r="I8733">
        <v>0</v>
      </c>
      <c r="J8733">
        <v>1</v>
      </c>
      <c r="K8733">
        <v>0</v>
      </c>
      <c r="L8733">
        <f t="shared" si="272"/>
        <v>7.5</v>
      </c>
      <c r="M8733">
        <f t="shared" si="273"/>
        <v>1</v>
      </c>
    </row>
    <row r="8734" spans="1:13" x14ac:dyDescent="0.3">
      <c r="A8734">
        <v>8732</v>
      </c>
      <c r="B8734">
        <v>8733</v>
      </c>
      <c r="C8734" t="s">
        <v>8812</v>
      </c>
      <c r="D8734">
        <v>1997</v>
      </c>
      <c r="E8734" t="s">
        <v>36</v>
      </c>
      <c r="F8734" t="s">
        <v>315</v>
      </c>
      <c r="G8734">
        <v>0</v>
      </c>
      <c r="H8734">
        <v>0</v>
      </c>
      <c r="I8734">
        <v>0</v>
      </c>
      <c r="J8734">
        <v>1</v>
      </c>
      <c r="K8734">
        <v>0</v>
      </c>
      <c r="L8734">
        <f t="shared" si="272"/>
        <v>7.5</v>
      </c>
      <c r="M8734">
        <f t="shared" si="273"/>
        <v>1</v>
      </c>
    </row>
    <row r="8735" spans="1:13" x14ac:dyDescent="0.3">
      <c r="A8735">
        <v>8733</v>
      </c>
      <c r="B8735">
        <v>8734</v>
      </c>
      <c r="C8735" t="s">
        <v>8813</v>
      </c>
      <c r="D8735">
        <v>2005</v>
      </c>
      <c r="E8735" t="s">
        <v>36</v>
      </c>
      <c r="F8735" t="s">
        <v>315</v>
      </c>
      <c r="G8735">
        <v>0</v>
      </c>
      <c r="H8735">
        <v>0</v>
      </c>
      <c r="I8735">
        <v>0</v>
      </c>
      <c r="J8735">
        <v>1</v>
      </c>
      <c r="K8735">
        <v>0</v>
      </c>
      <c r="L8735">
        <f t="shared" si="272"/>
        <v>7.5</v>
      </c>
      <c r="M8735">
        <f t="shared" si="273"/>
        <v>1</v>
      </c>
    </row>
    <row r="8736" spans="1:13" x14ac:dyDescent="0.3">
      <c r="A8736">
        <v>8734</v>
      </c>
      <c r="B8736">
        <v>8735</v>
      </c>
      <c r="C8736" t="s">
        <v>8814</v>
      </c>
      <c r="D8736">
        <v>2012</v>
      </c>
      <c r="E8736" t="s">
        <v>22</v>
      </c>
      <c r="F8736" t="s">
        <v>315</v>
      </c>
      <c r="G8736">
        <v>0</v>
      </c>
      <c r="H8736">
        <v>0</v>
      </c>
      <c r="I8736">
        <v>0</v>
      </c>
      <c r="J8736">
        <v>1</v>
      </c>
      <c r="K8736">
        <v>0</v>
      </c>
      <c r="L8736">
        <f t="shared" si="272"/>
        <v>7.5</v>
      </c>
      <c r="M8736">
        <f t="shared" si="273"/>
        <v>1</v>
      </c>
    </row>
    <row r="8737" spans="1:13" x14ac:dyDescent="0.3">
      <c r="A8737">
        <v>8735</v>
      </c>
      <c r="B8737">
        <v>8736</v>
      </c>
      <c r="C8737" t="s">
        <v>8815</v>
      </c>
      <c r="D8737">
        <v>1988</v>
      </c>
      <c r="E8737" t="s">
        <v>14</v>
      </c>
      <c r="F8737" t="s">
        <v>315</v>
      </c>
      <c r="G8737">
        <v>0</v>
      </c>
      <c r="H8737">
        <v>0</v>
      </c>
      <c r="I8737">
        <v>0</v>
      </c>
      <c r="J8737">
        <v>1</v>
      </c>
      <c r="K8737">
        <v>0</v>
      </c>
      <c r="L8737">
        <f t="shared" si="272"/>
        <v>7.5</v>
      </c>
      <c r="M8737">
        <f t="shared" si="273"/>
        <v>1</v>
      </c>
    </row>
    <row r="8738" spans="1:13" x14ac:dyDescent="0.3">
      <c r="A8738">
        <v>8736</v>
      </c>
      <c r="B8738">
        <v>8737</v>
      </c>
      <c r="C8738" t="s">
        <v>8816</v>
      </c>
      <c r="D8738">
        <v>1941</v>
      </c>
      <c r="E8738" t="s">
        <v>36</v>
      </c>
      <c r="F8738" t="s">
        <v>315</v>
      </c>
      <c r="G8738">
        <v>0</v>
      </c>
      <c r="H8738">
        <v>0</v>
      </c>
      <c r="I8738">
        <v>0</v>
      </c>
      <c r="J8738">
        <v>1</v>
      </c>
      <c r="K8738">
        <v>0</v>
      </c>
      <c r="L8738">
        <f t="shared" si="272"/>
        <v>7.5</v>
      </c>
      <c r="M8738">
        <f t="shared" si="273"/>
        <v>1</v>
      </c>
    </row>
    <row r="8739" spans="1:13" x14ac:dyDescent="0.3">
      <c r="A8739">
        <v>8737</v>
      </c>
      <c r="B8739">
        <v>8738</v>
      </c>
      <c r="C8739" t="s">
        <v>8817</v>
      </c>
      <c r="D8739">
        <v>1959</v>
      </c>
      <c r="E8739" t="s">
        <v>36</v>
      </c>
      <c r="F8739" t="s">
        <v>315</v>
      </c>
      <c r="G8739">
        <v>0</v>
      </c>
      <c r="H8739">
        <v>0</v>
      </c>
      <c r="I8739">
        <v>0</v>
      </c>
      <c r="J8739">
        <v>1</v>
      </c>
      <c r="K8739">
        <v>0</v>
      </c>
      <c r="L8739">
        <f t="shared" si="272"/>
        <v>7.5</v>
      </c>
      <c r="M8739">
        <f t="shared" si="273"/>
        <v>1</v>
      </c>
    </row>
    <row r="8740" spans="1:13" x14ac:dyDescent="0.3">
      <c r="A8740">
        <v>8738</v>
      </c>
      <c r="B8740">
        <v>8739</v>
      </c>
      <c r="C8740" t="s">
        <v>8818</v>
      </c>
      <c r="D8740">
        <v>2011</v>
      </c>
      <c r="E8740" t="s">
        <v>14</v>
      </c>
      <c r="F8740" t="s">
        <v>315</v>
      </c>
      <c r="G8740">
        <v>0</v>
      </c>
      <c r="H8740">
        <v>0</v>
      </c>
      <c r="I8740">
        <v>0</v>
      </c>
      <c r="J8740">
        <v>1</v>
      </c>
      <c r="K8740">
        <v>0</v>
      </c>
      <c r="L8740">
        <f t="shared" si="272"/>
        <v>7.5</v>
      </c>
      <c r="M8740">
        <f t="shared" si="273"/>
        <v>1</v>
      </c>
    </row>
    <row r="8741" spans="1:13" x14ac:dyDescent="0.3">
      <c r="A8741">
        <v>8739</v>
      </c>
      <c r="B8741">
        <v>8740</v>
      </c>
      <c r="C8741" t="s">
        <v>8819</v>
      </c>
      <c r="D8741">
        <v>1995</v>
      </c>
      <c r="E8741" t="s">
        <v>36</v>
      </c>
      <c r="F8741" t="s">
        <v>315</v>
      </c>
      <c r="G8741">
        <v>0</v>
      </c>
      <c r="H8741">
        <v>0</v>
      </c>
      <c r="I8741">
        <v>0</v>
      </c>
      <c r="J8741">
        <v>1</v>
      </c>
      <c r="K8741">
        <v>0</v>
      </c>
      <c r="L8741">
        <f t="shared" si="272"/>
        <v>7.5</v>
      </c>
      <c r="M8741">
        <f t="shared" si="273"/>
        <v>1</v>
      </c>
    </row>
    <row r="8742" spans="1:13" x14ac:dyDescent="0.3">
      <c r="A8742">
        <v>8740</v>
      </c>
      <c r="B8742">
        <v>8741</v>
      </c>
      <c r="C8742" t="s">
        <v>8820</v>
      </c>
      <c r="D8742">
        <v>2015</v>
      </c>
      <c r="E8742" t="s">
        <v>14</v>
      </c>
      <c r="F8742" t="s">
        <v>315</v>
      </c>
      <c r="G8742">
        <v>0</v>
      </c>
      <c r="H8742">
        <v>0</v>
      </c>
      <c r="I8742">
        <v>0</v>
      </c>
      <c r="J8742">
        <v>1</v>
      </c>
      <c r="K8742">
        <v>0</v>
      </c>
      <c r="L8742">
        <f t="shared" si="272"/>
        <v>7.5</v>
      </c>
      <c r="M8742">
        <f t="shared" si="273"/>
        <v>1</v>
      </c>
    </row>
    <row r="8743" spans="1:13" x14ac:dyDescent="0.3">
      <c r="A8743">
        <v>8741</v>
      </c>
      <c r="B8743">
        <v>8742</v>
      </c>
      <c r="C8743" t="s">
        <v>8821</v>
      </c>
      <c r="D8743">
        <v>1970</v>
      </c>
      <c r="E8743" t="s">
        <v>36</v>
      </c>
      <c r="F8743" t="s">
        <v>315</v>
      </c>
      <c r="G8743">
        <v>0</v>
      </c>
      <c r="H8743">
        <v>0</v>
      </c>
      <c r="I8743">
        <v>0</v>
      </c>
      <c r="J8743">
        <v>1</v>
      </c>
      <c r="K8743">
        <v>0</v>
      </c>
      <c r="L8743">
        <f t="shared" si="272"/>
        <v>7.5</v>
      </c>
      <c r="M8743">
        <f t="shared" si="273"/>
        <v>1</v>
      </c>
    </row>
    <row r="8744" spans="1:13" x14ac:dyDescent="0.3">
      <c r="A8744">
        <v>8742</v>
      </c>
      <c r="B8744">
        <v>8743</v>
      </c>
      <c r="C8744" t="s">
        <v>8822</v>
      </c>
      <c r="D8744">
        <v>2007</v>
      </c>
      <c r="E8744" t="s">
        <v>14</v>
      </c>
      <c r="F8744" t="s">
        <v>315</v>
      </c>
      <c r="G8744">
        <v>0</v>
      </c>
      <c r="H8744">
        <v>0</v>
      </c>
      <c r="I8744">
        <v>0</v>
      </c>
      <c r="J8744">
        <v>1</v>
      </c>
      <c r="K8744">
        <v>0</v>
      </c>
      <c r="L8744">
        <f t="shared" si="272"/>
        <v>7.5</v>
      </c>
      <c r="M8744">
        <f t="shared" si="273"/>
        <v>1</v>
      </c>
    </row>
    <row r="8745" spans="1:13" x14ac:dyDescent="0.3">
      <c r="A8745">
        <v>8743</v>
      </c>
      <c r="B8745">
        <v>8744</v>
      </c>
      <c r="C8745" t="s">
        <v>8823</v>
      </c>
      <c r="D8745">
        <v>1993</v>
      </c>
      <c r="E8745" t="s">
        <v>14</v>
      </c>
      <c r="F8745" t="s">
        <v>315</v>
      </c>
      <c r="G8745">
        <v>0</v>
      </c>
      <c r="H8745">
        <v>0</v>
      </c>
      <c r="I8745">
        <v>0</v>
      </c>
      <c r="J8745">
        <v>1</v>
      </c>
      <c r="K8745">
        <v>0</v>
      </c>
      <c r="L8745">
        <f t="shared" si="272"/>
        <v>7.5</v>
      </c>
      <c r="M8745">
        <f t="shared" si="273"/>
        <v>1</v>
      </c>
    </row>
    <row r="8746" spans="1:13" x14ac:dyDescent="0.3">
      <c r="A8746">
        <v>8744</v>
      </c>
      <c r="B8746">
        <v>8745</v>
      </c>
      <c r="C8746" t="s">
        <v>8824</v>
      </c>
      <c r="D8746">
        <v>1993</v>
      </c>
      <c r="E8746" t="s">
        <v>14</v>
      </c>
      <c r="F8746" t="s">
        <v>315</v>
      </c>
      <c r="G8746">
        <v>0</v>
      </c>
      <c r="H8746">
        <v>0</v>
      </c>
      <c r="I8746">
        <v>0</v>
      </c>
      <c r="J8746">
        <v>1</v>
      </c>
      <c r="K8746">
        <v>0</v>
      </c>
      <c r="L8746">
        <f t="shared" si="272"/>
        <v>7.5</v>
      </c>
      <c r="M8746">
        <f t="shared" si="273"/>
        <v>1</v>
      </c>
    </row>
    <row r="8747" spans="1:13" x14ac:dyDescent="0.3">
      <c r="A8747">
        <v>8745</v>
      </c>
      <c r="B8747">
        <v>8746</v>
      </c>
      <c r="C8747" t="s">
        <v>8825</v>
      </c>
      <c r="D8747">
        <v>2018</v>
      </c>
      <c r="E8747" t="s">
        <v>14</v>
      </c>
      <c r="F8747" t="s">
        <v>315</v>
      </c>
      <c r="G8747">
        <v>0</v>
      </c>
      <c r="H8747">
        <v>0</v>
      </c>
      <c r="I8747">
        <v>0</v>
      </c>
      <c r="J8747">
        <v>1</v>
      </c>
      <c r="K8747">
        <v>0</v>
      </c>
      <c r="L8747">
        <f t="shared" si="272"/>
        <v>7.5</v>
      </c>
      <c r="M8747">
        <f t="shared" si="273"/>
        <v>1</v>
      </c>
    </row>
    <row r="8748" spans="1:13" x14ac:dyDescent="0.3">
      <c r="A8748">
        <v>8746</v>
      </c>
      <c r="B8748">
        <v>8747</v>
      </c>
      <c r="C8748" t="s">
        <v>8826</v>
      </c>
      <c r="D8748">
        <v>2020</v>
      </c>
      <c r="E8748" t="s">
        <v>14</v>
      </c>
      <c r="F8748" t="s">
        <v>354</v>
      </c>
      <c r="G8748">
        <v>0</v>
      </c>
      <c r="H8748">
        <v>0</v>
      </c>
      <c r="I8748">
        <v>0</v>
      </c>
      <c r="J8748">
        <v>1</v>
      </c>
      <c r="K8748">
        <v>0</v>
      </c>
      <c r="L8748">
        <f t="shared" si="272"/>
        <v>7.4</v>
      </c>
      <c r="M8748">
        <f t="shared" si="273"/>
        <v>1</v>
      </c>
    </row>
    <row r="8749" spans="1:13" x14ac:dyDescent="0.3">
      <c r="A8749">
        <v>8747</v>
      </c>
      <c r="B8749">
        <v>8748</v>
      </c>
      <c r="C8749" t="s">
        <v>8827</v>
      </c>
      <c r="D8749">
        <v>2016</v>
      </c>
      <c r="E8749" t="s">
        <v>22</v>
      </c>
      <c r="F8749" t="s">
        <v>354</v>
      </c>
      <c r="G8749">
        <v>0</v>
      </c>
      <c r="H8749">
        <v>0</v>
      </c>
      <c r="I8749">
        <v>0</v>
      </c>
      <c r="J8749">
        <v>1</v>
      </c>
      <c r="K8749">
        <v>0</v>
      </c>
      <c r="L8749">
        <f t="shared" si="272"/>
        <v>7.4</v>
      </c>
      <c r="M8749">
        <f t="shared" si="273"/>
        <v>1</v>
      </c>
    </row>
    <row r="8750" spans="1:13" x14ac:dyDescent="0.3">
      <c r="A8750">
        <v>8748</v>
      </c>
      <c r="B8750">
        <v>8749</v>
      </c>
      <c r="C8750" t="s">
        <v>8828</v>
      </c>
      <c r="D8750">
        <v>2001</v>
      </c>
      <c r="E8750" t="s">
        <v>14</v>
      </c>
      <c r="F8750" t="s">
        <v>354</v>
      </c>
      <c r="G8750">
        <v>0</v>
      </c>
      <c r="H8750">
        <v>0</v>
      </c>
      <c r="I8750">
        <v>0</v>
      </c>
      <c r="J8750">
        <v>1</v>
      </c>
      <c r="K8750">
        <v>0</v>
      </c>
      <c r="L8750">
        <f t="shared" si="272"/>
        <v>7.4</v>
      </c>
      <c r="M8750">
        <f t="shared" si="273"/>
        <v>1</v>
      </c>
    </row>
    <row r="8751" spans="1:13" x14ac:dyDescent="0.3">
      <c r="A8751">
        <v>8749</v>
      </c>
      <c r="B8751">
        <v>8750</v>
      </c>
      <c r="C8751" t="s">
        <v>8829</v>
      </c>
      <c r="D8751">
        <v>2014</v>
      </c>
      <c r="E8751" t="s">
        <v>14</v>
      </c>
      <c r="F8751" t="s">
        <v>354</v>
      </c>
      <c r="G8751">
        <v>0</v>
      </c>
      <c r="H8751">
        <v>0</v>
      </c>
      <c r="I8751">
        <v>0</v>
      </c>
      <c r="J8751">
        <v>1</v>
      </c>
      <c r="K8751">
        <v>0</v>
      </c>
      <c r="L8751">
        <f t="shared" si="272"/>
        <v>7.4</v>
      </c>
      <c r="M8751">
        <f t="shared" si="273"/>
        <v>1</v>
      </c>
    </row>
    <row r="8752" spans="1:13" x14ac:dyDescent="0.3">
      <c r="A8752">
        <v>8750</v>
      </c>
      <c r="B8752">
        <v>8751</v>
      </c>
      <c r="C8752" t="s">
        <v>8830</v>
      </c>
      <c r="D8752">
        <v>1998</v>
      </c>
      <c r="E8752" t="s">
        <v>14</v>
      </c>
      <c r="F8752" t="s">
        <v>354</v>
      </c>
      <c r="G8752">
        <v>0</v>
      </c>
      <c r="H8752">
        <v>0</v>
      </c>
      <c r="I8752">
        <v>0</v>
      </c>
      <c r="J8752">
        <v>1</v>
      </c>
      <c r="K8752">
        <v>0</v>
      </c>
      <c r="L8752">
        <f t="shared" si="272"/>
        <v>7.4</v>
      </c>
      <c r="M8752">
        <f t="shared" si="273"/>
        <v>1</v>
      </c>
    </row>
    <row r="8753" spans="1:13" x14ac:dyDescent="0.3">
      <c r="A8753">
        <v>8751</v>
      </c>
      <c r="B8753">
        <v>8752</v>
      </c>
      <c r="C8753" t="s">
        <v>8831</v>
      </c>
      <c r="D8753">
        <v>2016</v>
      </c>
      <c r="E8753" t="s">
        <v>14</v>
      </c>
      <c r="F8753" t="s">
        <v>354</v>
      </c>
      <c r="G8753">
        <v>0</v>
      </c>
      <c r="H8753">
        <v>0</v>
      </c>
      <c r="I8753">
        <v>0</v>
      </c>
      <c r="J8753">
        <v>1</v>
      </c>
      <c r="K8753">
        <v>0</v>
      </c>
      <c r="L8753">
        <f t="shared" si="272"/>
        <v>7.4</v>
      </c>
      <c r="M8753">
        <f t="shared" si="273"/>
        <v>1</v>
      </c>
    </row>
    <row r="8754" spans="1:13" x14ac:dyDescent="0.3">
      <c r="A8754">
        <v>8752</v>
      </c>
      <c r="B8754">
        <v>8753</v>
      </c>
      <c r="C8754" t="s">
        <v>8832</v>
      </c>
      <c r="D8754">
        <v>2016</v>
      </c>
      <c r="E8754" t="s">
        <v>36</v>
      </c>
      <c r="F8754" t="s">
        <v>354</v>
      </c>
      <c r="G8754">
        <v>0</v>
      </c>
      <c r="H8754">
        <v>0</v>
      </c>
      <c r="I8754">
        <v>0</v>
      </c>
      <c r="J8754">
        <v>1</v>
      </c>
      <c r="K8754">
        <v>0</v>
      </c>
      <c r="L8754">
        <f t="shared" si="272"/>
        <v>7.4</v>
      </c>
      <c r="M8754">
        <f t="shared" si="273"/>
        <v>1</v>
      </c>
    </row>
    <row r="8755" spans="1:13" x14ac:dyDescent="0.3">
      <c r="A8755">
        <v>8753</v>
      </c>
      <c r="B8755">
        <v>8754</v>
      </c>
      <c r="C8755" t="s">
        <v>8833</v>
      </c>
      <c r="D8755">
        <v>1981</v>
      </c>
      <c r="E8755" t="s">
        <v>36</v>
      </c>
      <c r="F8755" t="s">
        <v>354</v>
      </c>
      <c r="G8755">
        <v>0</v>
      </c>
      <c r="H8755">
        <v>0</v>
      </c>
      <c r="I8755">
        <v>0</v>
      </c>
      <c r="J8755">
        <v>1</v>
      </c>
      <c r="K8755">
        <v>0</v>
      </c>
      <c r="L8755">
        <f t="shared" si="272"/>
        <v>7.4</v>
      </c>
      <c r="M8755">
        <f t="shared" si="273"/>
        <v>1</v>
      </c>
    </row>
    <row r="8756" spans="1:13" x14ac:dyDescent="0.3">
      <c r="A8756">
        <v>8754</v>
      </c>
      <c r="B8756">
        <v>8755</v>
      </c>
      <c r="C8756" t="s">
        <v>8834</v>
      </c>
      <c r="D8756">
        <v>2011</v>
      </c>
      <c r="E8756" t="s">
        <v>36</v>
      </c>
      <c r="F8756" t="s">
        <v>354</v>
      </c>
      <c r="G8756">
        <v>0</v>
      </c>
      <c r="H8756">
        <v>0</v>
      </c>
      <c r="I8756">
        <v>0</v>
      </c>
      <c r="J8756">
        <v>1</v>
      </c>
      <c r="K8756">
        <v>0</v>
      </c>
      <c r="L8756">
        <f t="shared" si="272"/>
        <v>7.4</v>
      </c>
      <c r="M8756">
        <f t="shared" si="273"/>
        <v>1</v>
      </c>
    </row>
    <row r="8757" spans="1:13" x14ac:dyDescent="0.3">
      <c r="A8757">
        <v>8755</v>
      </c>
      <c r="B8757">
        <v>8756</v>
      </c>
      <c r="C8757" t="s">
        <v>8835</v>
      </c>
      <c r="D8757">
        <v>2010</v>
      </c>
      <c r="E8757" t="s">
        <v>22</v>
      </c>
      <c r="F8757" t="s">
        <v>354</v>
      </c>
      <c r="G8757">
        <v>0</v>
      </c>
      <c r="H8757">
        <v>0</v>
      </c>
      <c r="I8757">
        <v>0</v>
      </c>
      <c r="J8757">
        <v>1</v>
      </c>
      <c r="K8757">
        <v>0</v>
      </c>
      <c r="L8757">
        <f t="shared" si="272"/>
        <v>7.4</v>
      </c>
      <c r="M8757">
        <f t="shared" si="273"/>
        <v>1</v>
      </c>
    </row>
    <row r="8758" spans="1:13" x14ac:dyDescent="0.3">
      <c r="A8758">
        <v>8756</v>
      </c>
      <c r="B8758">
        <v>8757</v>
      </c>
      <c r="C8758" t="s">
        <v>8836</v>
      </c>
      <c r="D8758">
        <v>1963</v>
      </c>
      <c r="E8758" t="s">
        <v>36</v>
      </c>
      <c r="F8758" t="s">
        <v>354</v>
      </c>
      <c r="G8758">
        <v>0</v>
      </c>
      <c r="H8758">
        <v>0</v>
      </c>
      <c r="I8758">
        <v>0</v>
      </c>
      <c r="J8758">
        <v>1</v>
      </c>
      <c r="K8758">
        <v>0</v>
      </c>
      <c r="L8758">
        <f t="shared" si="272"/>
        <v>7.4</v>
      </c>
      <c r="M8758">
        <f t="shared" si="273"/>
        <v>1</v>
      </c>
    </row>
    <row r="8759" spans="1:13" x14ac:dyDescent="0.3">
      <c r="A8759">
        <v>8757</v>
      </c>
      <c r="B8759">
        <v>8758</v>
      </c>
      <c r="C8759" t="s">
        <v>8837</v>
      </c>
      <c r="D8759">
        <v>2008</v>
      </c>
      <c r="E8759" t="s">
        <v>14</v>
      </c>
      <c r="F8759" t="s">
        <v>354</v>
      </c>
      <c r="G8759">
        <v>0</v>
      </c>
      <c r="H8759">
        <v>0</v>
      </c>
      <c r="I8759">
        <v>0</v>
      </c>
      <c r="J8759">
        <v>1</v>
      </c>
      <c r="K8759">
        <v>0</v>
      </c>
      <c r="L8759">
        <f t="shared" si="272"/>
        <v>7.4</v>
      </c>
      <c r="M8759">
        <f t="shared" si="273"/>
        <v>1</v>
      </c>
    </row>
    <row r="8760" spans="1:13" x14ac:dyDescent="0.3">
      <c r="A8760">
        <v>8758</v>
      </c>
      <c r="B8760">
        <v>8759</v>
      </c>
      <c r="C8760" t="s">
        <v>8838</v>
      </c>
      <c r="D8760">
        <v>1982</v>
      </c>
      <c r="E8760" t="s">
        <v>14</v>
      </c>
      <c r="F8760" t="s">
        <v>354</v>
      </c>
      <c r="G8760">
        <v>0</v>
      </c>
      <c r="H8760">
        <v>0</v>
      </c>
      <c r="I8760">
        <v>0</v>
      </c>
      <c r="J8760">
        <v>1</v>
      </c>
      <c r="K8760">
        <v>0</v>
      </c>
      <c r="L8760">
        <f t="shared" si="272"/>
        <v>7.4</v>
      </c>
      <c r="M8760">
        <f t="shared" si="273"/>
        <v>1</v>
      </c>
    </row>
    <row r="8761" spans="1:13" x14ac:dyDescent="0.3">
      <c r="A8761">
        <v>8759</v>
      </c>
      <c r="B8761">
        <v>8760</v>
      </c>
      <c r="C8761" t="s">
        <v>8839</v>
      </c>
      <c r="D8761">
        <v>1995</v>
      </c>
      <c r="E8761" t="s">
        <v>14</v>
      </c>
      <c r="F8761" t="s">
        <v>392</v>
      </c>
      <c r="G8761">
        <v>0</v>
      </c>
      <c r="H8761">
        <v>0</v>
      </c>
      <c r="I8761">
        <v>0</v>
      </c>
      <c r="J8761">
        <v>1</v>
      </c>
      <c r="K8761">
        <v>0</v>
      </c>
      <c r="L8761">
        <f t="shared" si="272"/>
        <v>7.3</v>
      </c>
      <c r="M8761">
        <f t="shared" si="273"/>
        <v>1</v>
      </c>
    </row>
    <row r="8762" spans="1:13" x14ac:dyDescent="0.3">
      <c r="A8762">
        <v>8760</v>
      </c>
      <c r="B8762">
        <v>8761</v>
      </c>
      <c r="C8762" t="s">
        <v>8840</v>
      </c>
      <c r="D8762">
        <v>2003</v>
      </c>
      <c r="E8762" t="s">
        <v>14</v>
      </c>
      <c r="F8762" t="s">
        <v>392</v>
      </c>
      <c r="G8762">
        <v>0</v>
      </c>
      <c r="H8762">
        <v>0</v>
      </c>
      <c r="I8762">
        <v>0</v>
      </c>
      <c r="J8762">
        <v>1</v>
      </c>
      <c r="K8762">
        <v>0</v>
      </c>
      <c r="L8762">
        <f t="shared" si="272"/>
        <v>7.3</v>
      </c>
      <c r="M8762">
        <f t="shared" si="273"/>
        <v>1</v>
      </c>
    </row>
    <row r="8763" spans="1:13" x14ac:dyDescent="0.3">
      <c r="A8763">
        <v>8761</v>
      </c>
      <c r="B8763">
        <v>8762</v>
      </c>
      <c r="C8763" t="s">
        <v>8841</v>
      </c>
      <c r="D8763">
        <v>2007</v>
      </c>
      <c r="E8763" t="s">
        <v>36</v>
      </c>
      <c r="F8763" t="s">
        <v>392</v>
      </c>
      <c r="G8763">
        <v>0</v>
      </c>
      <c r="H8763">
        <v>0</v>
      </c>
      <c r="I8763">
        <v>0</v>
      </c>
      <c r="J8763">
        <v>1</v>
      </c>
      <c r="K8763">
        <v>0</v>
      </c>
      <c r="L8763">
        <f t="shared" si="272"/>
        <v>7.3</v>
      </c>
      <c r="M8763">
        <f t="shared" si="273"/>
        <v>1</v>
      </c>
    </row>
    <row r="8764" spans="1:13" x14ac:dyDescent="0.3">
      <c r="A8764">
        <v>8762</v>
      </c>
      <c r="B8764">
        <v>8763</v>
      </c>
      <c r="C8764" t="s">
        <v>8842</v>
      </c>
      <c r="D8764">
        <v>2001</v>
      </c>
      <c r="E8764" t="s">
        <v>36</v>
      </c>
      <c r="F8764" t="s">
        <v>392</v>
      </c>
      <c r="G8764">
        <v>0</v>
      </c>
      <c r="H8764">
        <v>0</v>
      </c>
      <c r="I8764">
        <v>0</v>
      </c>
      <c r="J8764">
        <v>1</v>
      </c>
      <c r="K8764">
        <v>0</v>
      </c>
      <c r="L8764">
        <f t="shared" si="272"/>
        <v>7.3</v>
      </c>
      <c r="M8764">
        <f t="shared" si="273"/>
        <v>1</v>
      </c>
    </row>
    <row r="8765" spans="1:13" x14ac:dyDescent="0.3">
      <c r="A8765">
        <v>8763</v>
      </c>
      <c r="B8765">
        <v>8764</v>
      </c>
      <c r="C8765" t="s">
        <v>8843</v>
      </c>
      <c r="D8765">
        <v>2008</v>
      </c>
      <c r="E8765" t="s">
        <v>36</v>
      </c>
      <c r="F8765" t="s">
        <v>392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f t="shared" si="272"/>
        <v>7.3</v>
      </c>
      <c r="M8765">
        <f t="shared" si="273"/>
        <v>1</v>
      </c>
    </row>
    <row r="8766" spans="1:13" x14ac:dyDescent="0.3">
      <c r="A8766">
        <v>8764</v>
      </c>
      <c r="B8766">
        <v>8765</v>
      </c>
      <c r="C8766" t="s">
        <v>8844</v>
      </c>
      <c r="D8766">
        <v>2016</v>
      </c>
      <c r="E8766" t="s">
        <v>14</v>
      </c>
      <c r="F8766" t="s">
        <v>392</v>
      </c>
      <c r="G8766">
        <v>0</v>
      </c>
      <c r="H8766">
        <v>0</v>
      </c>
      <c r="I8766">
        <v>0</v>
      </c>
      <c r="J8766">
        <v>1</v>
      </c>
      <c r="K8766">
        <v>0</v>
      </c>
      <c r="L8766">
        <f t="shared" si="272"/>
        <v>7.3</v>
      </c>
      <c r="M8766">
        <f t="shared" si="273"/>
        <v>1</v>
      </c>
    </row>
    <row r="8767" spans="1:13" x14ac:dyDescent="0.3">
      <c r="A8767">
        <v>8765</v>
      </c>
      <c r="B8767">
        <v>8766</v>
      </c>
      <c r="C8767" t="s">
        <v>8845</v>
      </c>
      <c r="D8767">
        <v>2009</v>
      </c>
      <c r="E8767" t="s">
        <v>14</v>
      </c>
      <c r="F8767" t="s">
        <v>392</v>
      </c>
      <c r="G8767">
        <v>0</v>
      </c>
      <c r="H8767">
        <v>0</v>
      </c>
      <c r="I8767">
        <v>0</v>
      </c>
      <c r="J8767">
        <v>1</v>
      </c>
      <c r="K8767">
        <v>0</v>
      </c>
      <c r="L8767">
        <f t="shared" si="272"/>
        <v>7.3</v>
      </c>
      <c r="M8767">
        <f t="shared" si="273"/>
        <v>1</v>
      </c>
    </row>
    <row r="8768" spans="1:13" x14ac:dyDescent="0.3">
      <c r="A8768">
        <v>8766</v>
      </c>
      <c r="B8768">
        <v>8767</v>
      </c>
      <c r="C8768" t="s">
        <v>8846</v>
      </c>
      <c r="D8768">
        <v>2003</v>
      </c>
      <c r="E8768" t="s">
        <v>36</v>
      </c>
      <c r="F8768" t="s">
        <v>392</v>
      </c>
      <c r="G8768">
        <v>0</v>
      </c>
      <c r="H8768">
        <v>0</v>
      </c>
      <c r="I8768">
        <v>0</v>
      </c>
      <c r="J8768">
        <v>1</v>
      </c>
      <c r="K8768">
        <v>0</v>
      </c>
      <c r="L8768">
        <f t="shared" si="272"/>
        <v>7.3</v>
      </c>
      <c r="M8768">
        <f t="shared" si="273"/>
        <v>1</v>
      </c>
    </row>
    <row r="8769" spans="1:13" x14ac:dyDescent="0.3">
      <c r="A8769">
        <v>8767</v>
      </c>
      <c r="B8769">
        <v>8768</v>
      </c>
      <c r="C8769" t="s">
        <v>8847</v>
      </c>
      <c r="D8769">
        <v>2018</v>
      </c>
      <c r="E8769" t="s">
        <v>14</v>
      </c>
      <c r="F8769" t="s">
        <v>392</v>
      </c>
      <c r="G8769">
        <v>0</v>
      </c>
      <c r="H8769">
        <v>0</v>
      </c>
      <c r="I8769">
        <v>0</v>
      </c>
      <c r="J8769">
        <v>1</v>
      </c>
      <c r="K8769">
        <v>0</v>
      </c>
      <c r="L8769">
        <f t="shared" si="272"/>
        <v>7.3</v>
      </c>
      <c r="M8769">
        <f t="shared" si="273"/>
        <v>1</v>
      </c>
    </row>
    <row r="8770" spans="1:13" x14ac:dyDescent="0.3">
      <c r="A8770">
        <v>8768</v>
      </c>
      <c r="B8770">
        <v>8769</v>
      </c>
      <c r="C8770" t="s">
        <v>8848</v>
      </c>
      <c r="D8770">
        <v>2020</v>
      </c>
      <c r="E8770" t="s">
        <v>14</v>
      </c>
      <c r="F8770" t="s">
        <v>392</v>
      </c>
      <c r="G8770">
        <v>0</v>
      </c>
      <c r="H8770">
        <v>0</v>
      </c>
      <c r="I8770">
        <v>0</v>
      </c>
      <c r="J8770">
        <v>1</v>
      </c>
      <c r="K8770">
        <v>0</v>
      </c>
      <c r="L8770">
        <f t="shared" si="272"/>
        <v>7.3</v>
      </c>
      <c r="M8770">
        <f t="shared" si="273"/>
        <v>1</v>
      </c>
    </row>
    <row r="8771" spans="1:13" x14ac:dyDescent="0.3">
      <c r="A8771">
        <v>8769</v>
      </c>
      <c r="B8771">
        <v>8770</v>
      </c>
      <c r="C8771" t="s">
        <v>8849</v>
      </c>
      <c r="D8771">
        <v>1992</v>
      </c>
      <c r="E8771" t="s">
        <v>36</v>
      </c>
      <c r="F8771" t="s">
        <v>440</v>
      </c>
      <c r="G8771">
        <v>0</v>
      </c>
      <c r="H8771">
        <v>0</v>
      </c>
      <c r="I8771">
        <v>0</v>
      </c>
      <c r="J8771">
        <v>1</v>
      </c>
      <c r="K8771">
        <v>0</v>
      </c>
      <c r="L8771">
        <f t="shared" ref="L8771:L8834" si="274">IFERROR(VALUE(LEFT(F8771,FIND("/",F8771)-1))/10,"")</f>
        <v>7.2</v>
      </c>
      <c r="M8771">
        <f t="shared" ref="M8771:M8834" si="275">SUM(G8771:J8771)</f>
        <v>1</v>
      </c>
    </row>
    <row r="8772" spans="1:13" x14ac:dyDescent="0.3">
      <c r="A8772">
        <v>8770</v>
      </c>
      <c r="B8772">
        <v>8771</v>
      </c>
      <c r="C8772" t="s">
        <v>8850</v>
      </c>
      <c r="D8772">
        <v>2008</v>
      </c>
      <c r="E8772" t="s">
        <v>36</v>
      </c>
      <c r="F8772" t="s">
        <v>440</v>
      </c>
      <c r="G8772">
        <v>0</v>
      </c>
      <c r="H8772">
        <v>0</v>
      </c>
      <c r="I8772">
        <v>0</v>
      </c>
      <c r="J8772">
        <v>1</v>
      </c>
      <c r="K8772">
        <v>0</v>
      </c>
      <c r="L8772">
        <f t="shared" si="274"/>
        <v>7.2</v>
      </c>
      <c r="M8772">
        <f t="shared" si="275"/>
        <v>1</v>
      </c>
    </row>
    <row r="8773" spans="1:13" x14ac:dyDescent="0.3">
      <c r="A8773">
        <v>8771</v>
      </c>
      <c r="B8773">
        <v>8772</v>
      </c>
      <c r="C8773" t="s">
        <v>8851</v>
      </c>
      <c r="D8773">
        <v>2017</v>
      </c>
      <c r="E8773" t="s">
        <v>14</v>
      </c>
      <c r="F8773" t="s">
        <v>440</v>
      </c>
      <c r="G8773">
        <v>0</v>
      </c>
      <c r="H8773">
        <v>0</v>
      </c>
      <c r="I8773">
        <v>0</v>
      </c>
      <c r="J8773">
        <v>1</v>
      </c>
      <c r="K8773">
        <v>0</v>
      </c>
      <c r="L8773">
        <f t="shared" si="274"/>
        <v>7.2</v>
      </c>
      <c r="M8773">
        <f t="shared" si="275"/>
        <v>1</v>
      </c>
    </row>
    <row r="8774" spans="1:13" x14ac:dyDescent="0.3">
      <c r="A8774">
        <v>8772</v>
      </c>
      <c r="B8774">
        <v>8773</v>
      </c>
      <c r="C8774" t="s">
        <v>8852</v>
      </c>
      <c r="D8774">
        <v>2004</v>
      </c>
      <c r="E8774" t="s">
        <v>14</v>
      </c>
      <c r="F8774" t="s">
        <v>440</v>
      </c>
      <c r="G8774">
        <v>0</v>
      </c>
      <c r="H8774">
        <v>0</v>
      </c>
      <c r="I8774">
        <v>0</v>
      </c>
      <c r="J8774">
        <v>1</v>
      </c>
      <c r="K8774">
        <v>0</v>
      </c>
      <c r="L8774">
        <f t="shared" si="274"/>
        <v>7.2</v>
      </c>
      <c r="M8774">
        <f t="shared" si="275"/>
        <v>1</v>
      </c>
    </row>
    <row r="8775" spans="1:13" x14ac:dyDescent="0.3">
      <c r="A8775">
        <v>8773</v>
      </c>
      <c r="B8775">
        <v>8774</v>
      </c>
      <c r="C8775" t="s">
        <v>8853</v>
      </c>
      <c r="D8775">
        <v>2016</v>
      </c>
      <c r="E8775" t="s">
        <v>22</v>
      </c>
      <c r="F8775" t="s">
        <v>440</v>
      </c>
      <c r="G8775">
        <v>0</v>
      </c>
      <c r="H8775">
        <v>0</v>
      </c>
      <c r="I8775">
        <v>0</v>
      </c>
      <c r="J8775">
        <v>1</v>
      </c>
      <c r="K8775">
        <v>0</v>
      </c>
      <c r="L8775">
        <f t="shared" si="274"/>
        <v>7.2</v>
      </c>
      <c r="M8775">
        <f t="shared" si="275"/>
        <v>1</v>
      </c>
    </row>
    <row r="8776" spans="1:13" x14ac:dyDescent="0.3">
      <c r="A8776">
        <v>8774</v>
      </c>
      <c r="B8776">
        <v>8775</v>
      </c>
      <c r="C8776" t="s">
        <v>8854</v>
      </c>
      <c r="D8776">
        <v>1989</v>
      </c>
      <c r="E8776" t="s">
        <v>14</v>
      </c>
      <c r="F8776" t="s">
        <v>440</v>
      </c>
      <c r="G8776">
        <v>0</v>
      </c>
      <c r="H8776">
        <v>0</v>
      </c>
      <c r="I8776">
        <v>0</v>
      </c>
      <c r="J8776">
        <v>1</v>
      </c>
      <c r="K8776">
        <v>0</v>
      </c>
      <c r="L8776">
        <f t="shared" si="274"/>
        <v>7.2</v>
      </c>
      <c r="M8776">
        <f t="shared" si="275"/>
        <v>1</v>
      </c>
    </row>
    <row r="8777" spans="1:13" x14ac:dyDescent="0.3">
      <c r="A8777">
        <v>8775</v>
      </c>
      <c r="B8777">
        <v>8776</v>
      </c>
      <c r="C8777" t="s">
        <v>8855</v>
      </c>
      <c r="D8777">
        <v>1994</v>
      </c>
      <c r="E8777" t="s">
        <v>14</v>
      </c>
      <c r="F8777" t="s">
        <v>440</v>
      </c>
      <c r="G8777">
        <v>0</v>
      </c>
      <c r="H8777">
        <v>0</v>
      </c>
      <c r="I8777">
        <v>0</v>
      </c>
      <c r="J8777">
        <v>1</v>
      </c>
      <c r="K8777">
        <v>0</v>
      </c>
      <c r="L8777">
        <f t="shared" si="274"/>
        <v>7.2</v>
      </c>
      <c r="M8777">
        <f t="shared" si="275"/>
        <v>1</v>
      </c>
    </row>
    <row r="8778" spans="1:13" x14ac:dyDescent="0.3">
      <c r="A8778">
        <v>8776</v>
      </c>
      <c r="B8778">
        <v>8777</v>
      </c>
      <c r="C8778" t="s">
        <v>8856</v>
      </c>
      <c r="D8778">
        <v>2010</v>
      </c>
      <c r="E8778" t="s">
        <v>14</v>
      </c>
      <c r="F8778" t="s">
        <v>440</v>
      </c>
      <c r="G8778">
        <v>0</v>
      </c>
      <c r="H8778">
        <v>0</v>
      </c>
      <c r="I8778">
        <v>0</v>
      </c>
      <c r="J8778">
        <v>1</v>
      </c>
      <c r="K8778">
        <v>0</v>
      </c>
      <c r="L8778">
        <f t="shared" si="274"/>
        <v>7.2</v>
      </c>
      <c r="M8778">
        <f t="shared" si="275"/>
        <v>1</v>
      </c>
    </row>
    <row r="8779" spans="1:13" x14ac:dyDescent="0.3">
      <c r="A8779">
        <v>8777</v>
      </c>
      <c r="B8779">
        <v>8778</v>
      </c>
      <c r="C8779" t="s">
        <v>8857</v>
      </c>
      <c r="D8779">
        <v>2015</v>
      </c>
      <c r="E8779" t="s">
        <v>36</v>
      </c>
      <c r="F8779" t="s">
        <v>440</v>
      </c>
      <c r="G8779">
        <v>0</v>
      </c>
      <c r="H8779">
        <v>0</v>
      </c>
      <c r="I8779">
        <v>0</v>
      </c>
      <c r="J8779">
        <v>1</v>
      </c>
      <c r="K8779">
        <v>0</v>
      </c>
      <c r="L8779">
        <f t="shared" si="274"/>
        <v>7.2</v>
      </c>
      <c r="M8779">
        <f t="shared" si="275"/>
        <v>1</v>
      </c>
    </row>
    <row r="8780" spans="1:13" x14ac:dyDescent="0.3">
      <c r="A8780">
        <v>8778</v>
      </c>
      <c r="B8780">
        <v>8779</v>
      </c>
      <c r="C8780" t="s">
        <v>8858</v>
      </c>
      <c r="D8780">
        <v>2012</v>
      </c>
      <c r="E8780" t="s">
        <v>14</v>
      </c>
      <c r="F8780" t="s">
        <v>440</v>
      </c>
      <c r="G8780">
        <v>0</v>
      </c>
      <c r="H8780">
        <v>0</v>
      </c>
      <c r="I8780">
        <v>0</v>
      </c>
      <c r="J8780">
        <v>1</v>
      </c>
      <c r="K8780">
        <v>0</v>
      </c>
      <c r="L8780">
        <f t="shared" si="274"/>
        <v>7.2</v>
      </c>
      <c r="M8780">
        <f t="shared" si="275"/>
        <v>1</v>
      </c>
    </row>
    <row r="8781" spans="1:13" x14ac:dyDescent="0.3">
      <c r="A8781">
        <v>8779</v>
      </c>
      <c r="B8781">
        <v>8780</v>
      </c>
      <c r="C8781" t="s">
        <v>8859</v>
      </c>
      <c r="D8781">
        <v>2010</v>
      </c>
      <c r="E8781" t="s">
        <v>14</v>
      </c>
      <c r="F8781" t="s">
        <v>440</v>
      </c>
      <c r="G8781">
        <v>0</v>
      </c>
      <c r="H8781">
        <v>0</v>
      </c>
      <c r="I8781">
        <v>0</v>
      </c>
      <c r="J8781">
        <v>1</v>
      </c>
      <c r="K8781">
        <v>0</v>
      </c>
      <c r="L8781">
        <f t="shared" si="274"/>
        <v>7.2</v>
      </c>
      <c r="M8781">
        <f t="shared" si="275"/>
        <v>1</v>
      </c>
    </row>
    <row r="8782" spans="1:13" x14ac:dyDescent="0.3">
      <c r="A8782">
        <v>8780</v>
      </c>
      <c r="B8782">
        <v>8781</v>
      </c>
      <c r="C8782" t="s">
        <v>8860</v>
      </c>
      <c r="D8782">
        <v>1997</v>
      </c>
      <c r="E8782" t="s">
        <v>36</v>
      </c>
      <c r="F8782" t="s">
        <v>440</v>
      </c>
      <c r="G8782">
        <v>0</v>
      </c>
      <c r="H8782">
        <v>0</v>
      </c>
      <c r="I8782">
        <v>0</v>
      </c>
      <c r="J8782">
        <v>1</v>
      </c>
      <c r="K8782">
        <v>0</v>
      </c>
      <c r="L8782">
        <f t="shared" si="274"/>
        <v>7.2</v>
      </c>
      <c r="M8782">
        <f t="shared" si="275"/>
        <v>1</v>
      </c>
    </row>
    <row r="8783" spans="1:13" x14ac:dyDescent="0.3">
      <c r="A8783">
        <v>8781</v>
      </c>
      <c r="B8783">
        <v>8782</v>
      </c>
      <c r="C8783" t="s">
        <v>8861</v>
      </c>
      <c r="D8783">
        <v>2014</v>
      </c>
      <c r="E8783" t="s">
        <v>14</v>
      </c>
      <c r="F8783" t="s">
        <v>440</v>
      </c>
      <c r="G8783">
        <v>0</v>
      </c>
      <c r="H8783">
        <v>0</v>
      </c>
      <c r="I8783">
        <v>0</v>
      </c>
      <c r="J8783">
        <v>1</v>
      </c>
      <c r="K8783">
        <v>0</v>
      </c>
      <c r="L8783">
        <f t="shared" si="274"/>
        <v>7.2</v>
      </c>
      <c r="M8783">
        <f t="shared" si="275"/>
        <v>1</v>
      </c>
    </row>
    <row r="8784" spans="1:13" x14ac:dyDescent="0.3">
      <c r="A8784">
        <v>8782</v>
      </c>
      <c r="B8784">
        <v>8783</v>
      </c>
      <c r="C8784" t="s">
        <v>8862</v>
      </c>
      <c r="D8784">
        <v>2003</v>
      </c>
      <c r="E8784" t="s">
        <v>36</v>
      </c>
      <c r="F8784" t="s">
        <v>440</v>
      </c>
      <c r="G8784">
        <v>0</v>
      </c>
      <c r="H8784">
        <v>0</v>
      </c>
      <c r="I8784">
        <v>0</v>
      </c>
      <c r="J8784">
        <v>1</v>
      </c>
      <c r="K8784">
        <v>0</v>
      </c>
      <c r="L8784">
        <f t="shared" si="274"/>
        <v>7.2</v>
      </c>
      <c r="M8784">
        <f t="shared" si="275"/>
        <v>1</v>
      </c>
    </row>
    <row r="8785" spans="1:13" x14ac:dyDescent="0.3">
      <c r="A8785">
        <v>8783</v>
      </c>
      <c r="B8785">
        <v>8784</v>
      </c>
      <c r="C8785" t="s">
        <v>8863</v>
      </c>
      <c r="D8785">
        <v>2016</v>
      </c>
      <c r="E8785" t="s">
        <v>14</v>
      </c>
      <c r="F8785" t="s">
        <v>440</v>
      </c>
      <c r="G8785">
        <v>0</v>
      </c>
      <c r="H8785">
        <v>0</v>
      </c>
      <c r="I8785">
        <v>0</v>
      </c>
      <c r="J8785">
        <v>1</v>
      </c>
      <c r="K8785">
        <v>0</v>
      </c>
      <c r="L8785">
        <f t="shared" si="274"/>
        <v>7.2</v>
      </c>
      <c r="M8785">
        <f t="shared" si="275"/>
        <v>1</v>
      </c>
    </row>
    <row r="8786" spans="1:13" x14ac:dyDescent="0.3">
      <c r="A8786">
        <v>8784</v>
      </c>
      <c r="B8786">
        <v>8785</v>
      </c>
      <c r="C8786" t="s">
        <v>8864</v>
      </c>
      <c r="D8786">
        <v>2003</v>
      </c>
      <c r="E8786" t="s">
        <v>14</v>
      </c>
      <c r="F8786" t="s">
        <v>493</v>
      </c>
      <c r="G8786">
        <v>0</v>
      </c>
      <c r="H8786">
        <v>0</v>
      </c>
      <c r="I8786">
        <v>0</v>
      </c>
      <c r="J8786">
        <v>1</v>
      </c>
      <c r="K8786">
        <v>0</v>
      </c>
      <c r="L8786">
        <f t="shared" si="274"/>
        <v>7.1</v>
      </c>
      <c r="M8786">
        <f t="shared" si="275"/>
        <v>1</v>
      </c>
    </row>
    <row r="8787" spans="1:13" x14ac:dyDescent="0.3">
      <c r="A8787">
        <v>8785</v>
      </c>
      <c r="B8787">
        <v>8786</v>
      </c>
      <c r="C8787" t="s">
        <v>8865</v>
      </c>
      <c r="D8787">
        <v>2007</v>
      </c>
      <c r="E8787" t="s">
        <v>22</v>
      </c>
      <c r="F8787" t="s">
        <v>493</v>
      </c>
      <c r="G8787">
        <v>0</v>
      </c>
      <c r="H8787">
        <v>0</v>
      </c>
      <c r="I8787">
        <v>0</v>
      </c>
      <c r="J8787">
        <v>1</v>
      </c>
      <c r="K8787">
        <v>0</v>
      </c>
      <c r="L8787">
        <f t="shared" si="274"/>
        <v>7.1</v>
      </c>
      <c r="M8787">
        <f t="shared" si="275"/>
        <v>1</v>
      </c>
    </row>
    <row r="8788" spans="1:13" x14ac:dyDescent="0.3">
      <c r="A8788">
        <v>8786</v>
      </c>
      <c r="B8788">
        <v>8787</v>
      </c>
      <c r="C8788" t="s">
        <v>8866</v>
      </c>
      <c r="D8788">
        <v>1992</v>
      </c>
      <c r="E8788" t="s">
        <v>14</v>
      </c>
      <c r="F8788" t="s">
        <v>493</v>
      </c>
      <c r="G8788">
        <v>0</v>
      </c>
      <c r="H8788">
        <v>0</v>
      </c>
      <c r="I8788">
        <v>0</v>
      </c>
      <c r="J8788">
        <v>1</v>
      </c>
      <c r="K8788">
        <v>0</v>
      </c>
      <c r="L8788">
        <f t="shared" si="274"/>
        <v>7.1</v>
      </c>
      <c r="M8788">
        <f t="shared" si="275"/>
        <v>1</v>
      </c>
    </row>
    <row r="8789" spans="1:13" x14ac:dyDescent="0.3">
      <c r="A8789">
        <v>8787</v>
      </c>
      <c r="B8789">
        <v>8788</v>
      </c>
      <c r="C8789" t="s">
        <v>8867</v>
      </c>
      <c r="D8789">
        <v>2010</v>
      </c>
      <c r="E8789" t="s">
        <v>14</v>
      </c>
      <c r="F8789" t="s">
        <v>493</v>
      </c>
      <c r="G8789">
        <v>0</v>
      </c>
      <c r="H8789">
        <v>0</v>
      </c>
      <c r="I8789">
        <v>0</v>
      </c>
      <c r="J8789">
        <v>1</v>
      </c>
      <c r="K8789">
        <v>0</v>
      </c>
      <c r="L8789">
        <f t="shared" si="274"/>
        <v>7.1</v>
      </c>
      <c r="M8789">
        <f t="shared" si="275"/>
        <v>1</v>
      </c>
    </row>
    <row r="8790" spans="1:13" x14ac:dyDescent="0.3">
      <c r="A8790">
        <v>8788</v>
      </c>
      <c r="B8790">
        <v>8789</v>
      </c>
      <c r="C8790" t="s">
        <v>8868</v>
      </c>
      <c r="D8790">
        <v>1998</v>
      </c>
      <c r="E8790" t="s">
        <v>22</v>
      </c>
      <c r="F8790" t="s">
        <v>493</v>
      </c>
      <c r="G8790">
        <v>0</v>
      </c>
      <c r="H8790">
        <v>0</v>
      </c>
      <c r="I8790">
        <v>0</v>
      </c>
      <c r="J8790">
        <v>1</v>
      </c>
      <c r="K8790">
        <v>0</v>
      </c>
      <c r="L8790">
        <f t="shared" si="274"/>
        <v>7.1</v>
      </c>
      <c r="M8790">
        <f t="shared" si="275"/>
        <v>1</v>
      </c>
    </row>
    <row r="8791" spans="1:13" x14ac:dyDescent="0.3">
      <c r="A8791">
        <v>8789</v>
      </c>
      <c r="B8791">
        <v>8790</v>
      </c>
      <c r="C8791" t="s">
        <v>8869</v>
      </c>
      <c r="D8791">
        <v>1995</v>
      </c>
      <c r="E8791" t="s">
        <v>36</v>
      </c>
      <c r="F8791" t="s">
        <v>493</v>
      </c>
      <c r="G8791">
        <v>0</v>
      </c>
      <c r="H8791">
        <v>0</v>
      </c>
      <c r="I8791">
        <v>0</v>
      </c>
      <c r="J8791">
        <v>1</v>
      </c>
      <c r="K8791">
        <v>0</v>
      </c>
      <c r="L8791">
        <f t="shared" si="274"/>
        <v>7.1</v>
      </c>
      <c r="M8791">
        <f t="shared" si="275"/>
        <v>1</v>
      </c>
    </row>
    <row r="8792" spans="1:13" x14ac:dyDescent="0.3">
      <c r="A8792">
        <v>8790</v>
      </c>
      <c r="B8792">
        <v>8791</v>
      </c>
      <c r="C8792" t="s">
        <v>8870</v>
      </c>
      <c r="D8792">
        <v>2002</v>
      </c>
      <c r="E8792" t="s">
        <v>22</v>
      </c>
      <c r="F8792" t="s">
        <v>493</v>
      </c>
      <c r="G8792">
        <v>0</v>
      </c>
      <c r="H8792">
        <v>0</v>
      </c>
      <c r="I8792">
        <v>0</v>
      </c>
      <c r="J8792">
        <v>1</v>
      </c>
      <c r="K8792">
        <v>0</v>
      </c>
      <c r="L8792">
        <f t="shared" si="274"/>
        <v>7.1</v>
      </c>
      <c r="M8792">
        <f t="shared" si="275"/>
        <v>1</v>
      </c>
    </row>
    <row r="8793" spans="1:13" x14ac:dyDescent="0.3">
      <c r="A8793">
        <v>8791</v>
      </c>
      <c r="B8793">
        <v>8792</v>
      </c>
      <c r="C8793" t="s">
        <v>8871</v>
      </c>
      <c r="D8793">
        <v>2006</v>
      </c>
      <c r="E8793" t="s">
        <v>36</v>
      </c>
      <c r="F8793" t="s">
        <v>493</v>
      </c>
      <c r="G8793">
        <v>0</v>
      </c>
      <c r="H8793">
        <v>0</v>
      </c>
      <c r="I8793">
        <v>0</v>
      </c>
      <c r="J8793">
        <v>1</v>
      </c>
      <c r="K8793">
        <v>0</v>
      </c>
      <c r="L8793">
        <f t="shared" si="274"/>
        <v>7.1</v>
      </c>
      <c r="M8793">
        <f t="shared" si="275"/>
        <v>1</v>
      </c>
    </row>
    <row r="8794" spans="1:13" x14ac:dyDescent="0.3">
      <c r="A8794">
        <v>8792</v>
      </c>
      <c r="B8794">
        <v>8793</v>
      </c>
      <c r="C8794" t="s">
        <v>8872</v>
      </c>
      <c r="D8794">
        <v>1988</v>
      </c>
      <c r="E8794" t="s">
        <v>14</v>
      </c>
      <c r="F8794" t="s">
        <v>493</v>
      </c>
      <c r="G8794">
        <v>0</v>
      </c>
      <c r="H8794">
        <v>0</v>
      </c>
      <c r="I8794">
        <v>0</v>
      </c>
      <c r="J8794">
        <v>1</v>
      </c>
      <c r="K8794">
        <v>0</v>
      </c>
      <c r="L8794">
        <f t="shared" si="274"/>
        <v>7.1</v>
      </c>
      <c r="M8794">
        <f t="shared" si="275"/>
        <v>1</v>
      </c>
    </row>
    <row r="8795" spans="1:13" x14ac:dyDescent="0.3">
      <c r="A8795">
        <v>8793</v>
      </c>
      <c r="B8795">
        <v>8794</v>
      </c>
      <c r="C8795" t="s">
        <v>8873</v>
      </c>
      <c r="D8795">
        <v>2006</v>
      </c>
      <c r="E8795" t="s">
        <v>14</v>
      </c>
      <c r="F8795" t="s">
        <v>493</v>
      </c>
      <c r="G8795">
        <v>0</v>
      </c>
      <c r="H8795">
        <v>0</v>
      </c>
      <c r="I8795">
        <v>0</v>
      </c>
      <c r="J8795">
        <v>1</v>
      </c>
      <c r="K8795">
        <v>0</v>
      </c>
      <c r="L8795">
        <f t="shared" si="274"/>
        <v>7.1</v>
      </c>
      <c r="M8795">
        <f t="shared" si="275"/>
        <v>1</v>
      </c>
    </row>
    <row r="8796" spans="1:13" x14ac:dyDescent="0.3">
      <c r="A8796">
        <v>8794</v>
      </c>
      <c r="B8796">
        <v>8795</v>
      </c>
      <c r="C8796" t="s">
        <v>8874</v>
      </c>
      <c r="D8796">
        <v>1998</v>
      </c>
      <c r="E8796" t="s">
        <v>36</v>
      </c>
      <c r="F8796" t="s">
        <v>493</v>
      </c>
      <c r="G8796">
        <v>0</v>
      </c>
      <c r="H8796">
        <v>0</v>
      </c>
      <c r="I8796">
        <v>0</v>
      </c>
      <c r="J8796">
        <v>1</v>
      </c>
      <c r="K8796">
        <v>0</v>
      </c>
      <c r="L8796">
        <f t="shared" si="274"/>
        <v>7.1</v>
      </c>
      <c r="M8796">
        <f t="shared" si="275"/>
        <v>1</v>
      </c>
    </row>
    <row r="8797" spans="1:13" x14ac:dyDescent="0.3">
      <c r="A8797">
        <v>8795</v>
      </c>
      <c r="B8797">
        <v>8796</v>
      </c>
      <c r="C8797" t="s">
        <v>8875</v>
      </c>
      <c r="D8797">
        <v>2012</v>
      </c>
      <c r="E8797" t="s">
        <v>36</v>
      </c>
      <c r="F8797" t="s">
        <v>493</v>
      </c>
      <c r="G8797">
        <v>0</v>
      </c>
      <c r="H8797">
        <v>0</v>
      </c>
      <c r="I8797">
        <v>0</v>
      </c>
      <c r="J8797">
        <v>1</v>
      </c>
      <c r="K8797">
        <v>0</v>
      </c>
      <c r="L8797">
        <f t="shared" si="274"/>
        <v>7.1</v>
      </c>
      <c r="M8797">
        <f t="shared" si="275"/>
        <v>1</v>
      </c>
    </row>
    <row r="8798" spans="1:13" x14ac:dyDescent="0.3">
      <c r="A8798">
        <v>8796</v>
      </c>
      <c r="B8798">
        <v>8797</v>
      </c>
      <c r="C8798" t="s">
        <v>8876</v>
      </c>
      <c r="D8798">
        <v>1979</v>
      </c>
      <c r="E8798" t="s">
        <v>36</v>
      </c>
      <c r="F8798" t="s">
        <v>493</v>
      </c>
      <c r="G8798">
        <v>0</v>
      </c>
      <c r="H8798">
        <v>0</v>
      </c>
      <c r="I8798">
        <v>0</v>
      </c>
      <c r="J8798">
        <v>1</v>
      </c>
      <c r="K8798">
        <v>0</v>
      </c>
      <c r="L8798">
        <f t="shared" si="274"/>
        <v>7.1</v>
      </c>
      <c r="M8798">
        <f t="shared" si="275"/>
        <v>1</v>
      </c>
    </row>
    <row r="8799" spans="1:13" x14ac:dyDescent="0.3">
      <c r="A8799">
        <v>8797</v>
      </c>
      <c r="B8799">
        <v>8798</v>
      </c>
      <c r="C8799" t="s">
        <v>8877</v>
      </c>
      <c r="D8799">
        <v>2013</v>
      </c>
      <c r="E8799" t="s">
        <v>14</v>
      </c>
      <c r="F8799" t="s">
        <v>537</v>
      </c>
      <c r="G8799">
        <v>0</v>
      </c>
      <c r="H8799">
        <v>0</v>
      </c>
      <c r="I8799">
        <v>0</v>
      </c>
      <c r="J8799">
        <v>1</v>
      </c>
      <c r="K8799">
        <v>0</v>
      </c>
      <c r="L8799">
        <f t="shared" si="274"/>
        <v>7</v>
      </c>
      <c r="M8799">
        <f t="shared" si="275"/>
        <v>1</v>
      </c>
    </row>
    <row r="8800" spans="1:13" x14ac:dyDescent="0.3">
      <c r="A8800">
        <v>8798</v>
      </c>
      <c r="B8800">
        <v>8799</v>
      </c>
      <c r="C8800" t="s">
        <v>8878</v>
      </c>
      <c r="D8800">
        <v>1977</v>
      </c>
      <c r="E8800" t="s">
        <v>36</v>
      </c>
      <c r="F8800" t="s">
        <v>537</v>
      </c>
      <c r="G8800">
        <v>0</v>
      </c>
      <c r="H8800">
        <v>0</v>
      </c>
      <c r="I8800">
        <v>0</v>
      </c>
      <c r="J8800">
        <v>1</v>
      </c>
      <c r="K8800">
        <v>0</v>
      </c>
      <c r="L8800">
        <f t="shared" si="274"/>
        <v>7</v>
      </c>
      <c r="M8800">
        <f t="shared" si="275"/>
        <v>1</v>
      </c>
    </row>
    <row r="8801" spans="1:13" x14ac:dyDescent="0.3">
      <c r="A8801">
        <v>8799</v>
      </c>
      <c r="B8801">
        <v>8800</v>
      </c>
      <c r="C8801" t="s">
        <v>8879</v>
      </c>
      <c r="D8801">
        <v>2009</v>
      </c>
      <c r="E8801" t="s">
        <v>36</v>
      </c>
      <c r="F8801" t="s">
        <v>537</v>
      </c>
      <c r="G8801">
        <v>0</v>
      </c>
      <c r="H8801">
        <v>0</v>
      </c>
      <c r="I8801">
        <v>0</v>
      </c>
      <c r="J8801">
        <v>1</v>
      </c>
      <c r="K8801">
        <v>0</v>
      </c>
      <c r="L8801">
        <f t="shared" si="274"/>
        <v>7</v>
      </c>
      <c r="M8801">
        <f t="shared" si="275"/>
        <v>1</v>
      </c>
    </row>
    <row r="8802" spans="1:13" x14ac:dyDescent="0.3">
      <c r="A8802">
        <v>8800</v>
      </c>
      <c r="B8802">
        <v>8801</v>
      </c>
      <c r="C8802" t="s">
        <v>8880</v>
      </c>
      <c r="D8802">
        <v>1994</v>
      </c>
      <c r="E8802" t="s">
        <v>14</v>
      </c>
      <c r="F8802" t="s">
        <v>537</v>
      </c>
      <c r="G8802">
        <v>0</v>
      </c>
      <c r="H8802">
        <v>0</v>
      </c>
      <c r="I8802">
        <v>0</v>
      </c>
      <c r="J8802">
        <v>1</v>
      </c>
      <c r="K8802">
        <v>0</v>
      </c>
      <c r="L8802">
        <f t="shared" si="274"/>
        <v>7</v>
      </c>
      <c r="M8802">
        <f t="shared" si="275"/>
        <v>1</v>
      </c>
    </row>
    <row r="8803" spans="1:13" x14ac:dyDescent="0.3">
      <c r="A8803">
        <v>8801</v>
      </c>
      <c r="B8803">
        <v>8802</v>
      </c>
      <c r="C8803" t="s">
        <v>8881</v>
      </c>
      <c r="D8803">
        <v>2006</v>
      </c>
      <c r="E8803" t="s">
        <v>14</v>
      </c>
      <c r="F8803" t="s">
        <v>537</v>
      </c>
      <c r="G8803">
        <v>0</v>
      </c>
      <c r="H8803">
        <v>0</v>
      </c>
      <c r="I8803">
        <v>0</v>
      </c>
      <c r="J8803">
        <v>1</v>
      </c>
      <c r="K8803">
        <v>0</v>
      </c>
      <c r="L8803">
        <f t="shared" si="274"/>
        <v>7</v>
      </c>
      <c r="M8803">
        <f t="shared" si="275"/>
        <v>1</v>
      </c>
    </row>
    <row r="8804" spans="1:13" x14ac:dyDescent="0.3">
      <c r="A8804">
        <v>8802</v>
      </c>
      <c r="B8804">
        <v>8803</v>
      </c>
      <c r="C8804" t="s">
        <v>8882</v>
      </c>
      <c r="D8804">
        <v>1993</v>
      </c>
      <c r="E8804" t="s">
        <v>36</v>
      </c>
      <c r="F8804" t="s">
        <v>537</v>
      </c>
      <c r="G8804">
        <v>0</v>
      </c>
      <c r="H8804">
        <v>0</v>
      </c>
      <c r="I8804">
        <v>0</v>
      </c>
      <c r="J8804">
        <v>1</v>
      </c>
      <c r="K8804">
        <v>0</v>
      </c>
      <c r="L8804">
        <f t="shared" si="274"/>
        <v>7</v>
      </c>
      <c r="M8804">
        <f t="shared" si="275"/>
        <v>1</v>
      </c>
    </row>
    <row r="8805" spans="1:13" x14ac:dyDescent="0.3">
      <c r="A8805">
        <v>8803</v>
      </c>
      <c r="B8805">
        <v>8804</v>
      </c>
      <c r="C8805" t="s">
        <v>8883</v>
      </c>
      <c r="D8805">
        <v>1996</v>
      </c>
      <c r="E8805" t="s">
        <v>14</v>
      </c>
      <c r="F8805" t="s">
        <v>537</v>
      </c>
      <c r="G8805">
        <v>0</v>
      </c>
      <c r="H8805">
        <v>0</v>
      </c>
      <c r="I8805">
        <v>0</v>
      </c>
      <c r="J8805">
        <v>1</v>
      </c>
      <c r="K8805">
        <v>0</v>
      </c>
      <c r="L8805">
        <f t="shared" si="274"/>
        <v>7</v>
      </c>
      <c r="M8805">
        <f t="shared" si="275"/>
        <v>1</v>
      </c>
    </row>
    <row r="8806" spans="1:13" x14ac:dyDescent="0.3">
      <c r="A8806">
        <v>8804</v>
      </c>
      <c r="B8806">
        <v>8805</v>
      </c>
      <c r="C8806" t="s">
        <v>8884</v>
      </c>
      <c r="D8806">
        <v>1987</v>
      </c>
      <c r="E8806" t="s">
        <v>22</v>
      </c>
      <c r="F8806" t="s">
        <v>537</v>
      </c>
      <c r="G8806">
        <v>0</v>
      </c>
      <c r="H8806">
        <v>0</v>
      </c>
      <c r="I8806">
        <v>0</v>
      </c>
      <c r="J8806">
        <v>1</v>
      </c>
      <c r="K8806">
        <v>0</v>
      </c>
      <c r="L8806">
        <f t="shared" si="274"/>
        <v>7</v>
      </c>
      <c r="M8806">
        <f t="shared" si="275"/>
        <v>1</v>
      </c>
    </row>
    <row r="8807" spans="1:13" x14ac:dyDescent="0.3">
      <c r="A8807">
        <v>8805</v>
      </c>
      <c r="B8807">
        <v>8806</v>
      </c>
      <c r="C8807" t="s">
        <v>8885</v>
      </c>
      <c r="D8807">
        <v>1986</v>
      </c>
      <c r="E8807" t="s">
        <v>36</v>
      </c>
      <c r="F8807" t="s">
        <v>537</v>
      </c>
      <c r="G8807">
        <v>0</v>
      </c>
      <c r="H8807">
        <v>0</v>
      </c>
      <c r="I8807">
        <v>0</v>
      </c>
      <c r="J8807">
        <v>1</v>
      </c>
      <c r="K8807">
        <v>0</v>
      </c>
      <c r="L8807">
        <f t="shared" si="274"/>
        <v>7</v>
      </c>
      <c r="M8807">
        <f t="shared" si="275"/>
        <v>1</v>
      </c>
    </row>
    <row r="8808" spans="1:13" x14ac:dyDescent="0.3">
      <c r="A8808">
        <v>8806</v>
      </c>
      <c r="B8808">
        <v>8807</v>
      </c>
      <c r="C8808" t="s">
        <v>8886</v>
      </c>
      <c r="D8808">
        <v>2010</v>
      </c>
      <c r="E8808" t="s">
        <v>36</v>
      </c>
      <c r="F8808" t="s">
        <v>537</v>
      </c>
      <c r="G8808">
        <v>0</v>
      </c>
      <c r="H8808">
        <v>0</v>
      </c>
      <c r="I8808">
        <v>0</v>
      </c>
      <c r="J8808">
        <v>1</v>
      </c>
      <c r="K8808">
        <v>0</v>
      </c>
      <c r="L8808">
        <f t="shared" si="274"/>
        <v>7</v>
      </c>
      <c r="M8808">
        <f t="shared" si="275"/>
        <v>1</v>
      </c>
    </row>
    <row r="8809" spans="1:13" x14ac:dyDescent="0.3">
      <c r="A8809">
        <v>8807</v>
      </c>
      <c r="B8809">
        <v>8808</v>
      </c>
      <c r="C8809" t="s">
        <v>8887</v>
      </c>
      <c r="D8809">
        <v>1986</v>
      </c>
      <c r="E8809" t="s">
        <v>14</v>
      </c>
      <c r="F8809" t="s">
        <v>537</v>
      </c>
      <c r="G8809">
        <v>0</v>
      </c>
      <c r="H8809">
        <v>0</v>
      </c>
      <c r="I8809">
        <v>0</v>
      </c>
      <c r="J8809">
        <v>1</v>
      </c>
      <c r="K8809">
        <v>0</v>
      </c>
      <c r="L8809">
        <f t="shared" si="274"/>
        <v>7</v>
      </c>
      <c r="M8809">
        <f t="shared" si="275"/>
        <v>1</v>
      </c>
    </row>
    <row r="8810" spans="1:13" x14ac:dyDescent="0.3">
      <c r="A8810">
        <v>8808</v>
      </c>
      <c r="B8810">
        <v>8809</v>
      </c>
      <c r="C8810" t="s">
        <v>8888</v>
      </c>
      <c r="D8810">
        <v>1992</v>
      </c>
      <c r="E8810" t="s">
        <v>14</v>
      </c>
      <c r="F8810" t="s">
        <v>537</v>
      </c>
      <c r="G8810">
        <v>0</v>
      </c>
      <c r="H8810">
        <v>0</v>
      </c>
      <c r="I8810">
        <v>0</v>
      </c>
      <c r="J8810">
        <v>1</v>
      </c>
      <c r="K8810">
        <v>0</v>
      </c>
      <c r="L8810">
        <f t="shared" si="274"/>
        <v>7</v>
      </c>
      <c r="M8810">
        <f t="shared" si="275"/>
        <v>1</v>
      </c>
    </row>
    <row r="8811" spans="1:13" x14ac:dyDescent="0.3">
      <c r="A8811">
        <v>8809</v>
      </c>
      <c r="B8811">
        <v>8810</v>
      </c>
      <c r="C8811" t="s">
        <v>8889</v>
      </c>
      <c r="D8811">
        <v>2008</v>
      </c>
      <c r="E8811" t="s">
        <v>36</v>
      </c>
      <c r="F8811" t="s">
        <v>537</v>
      </c>
      <c r="G8811">
        <v>0</v>
      </c>
      <c r="H8811">
        <v>0</v>
      </c>
      <c r="I8811">
        <v>0</v>
      </c>
      <c r="J8811">
        <v>1</v>
      </c>
      <c r="K8811">
        <v>0</v>
      </c>
      <c r="L8811">
        <f t="shared" si="274"/>
        <v>7</v>
      </c>
      <c r="M8811">
        <f t="shared" si="275"/>
        <v>1</v>
      </c>
    </row>
    <row r="8812" spans="1:13" x14ac:dyDescent="0.3">
      <c r="A8812">
        <v>8810</v>
      </c>
      <c r="B8812">
        <v>8811</v>
      </c>
      <c r="C8812" t="s">
        <v>8890</v>
      </c>
      <c r="D8812">
        <v>2004</v>
      </c>
      <c r="E8812" t="s">
        <v>36</v>
      </c>
      <c r="F8812" t="s">
        <v>537</v>
      </c>
      <c r="G8812">
        <v>0</v>
      </c>
      <c r="H8812">
        <v>0</v>
      </c>
      <c r="I8812">
        <v>0</v>
      </c>
      <c r="J8812">
        <v>1</v>
      </c>
      <c r="K8812">
        <v>0</v>
      </c>
      <c r="L8812">
        <f t="shared" si="274"/>
        <v>7</v>
      </c>
      <c r="M8812">
        <f t="shared" si="275"/>
        <v>1</v>
      </c>
    </row>
    <row r="8813" spans="1:13" x14ac:dyDescent="0.3">
      <c r="A8813">
        <v>8811</v>
      </c>
      <c r="B8813">
        <v>8812</v>
      </c>
      <c r="C8813" t="s">
        <v>8891</v>
      </c>
      <c r="D8813">
        <v>1983</v>
      </c>
      <c r="E8813" t="s">
        <v>36</v>
      </c>
      <c r="F8813" t="s">
        <v>537</v>
      </c>
      <c r="G8813">
        <v>0</v>
      </c>
      <c r="H8813">
        <v>0</v>
      </c>
      <c r="I8813">
        <v>0</v>
      </c>
      <c r="J8813">
        <v>1</v>
      </c>
      <c r="K8813">
        <v>0</v>
      </c>
      <c r="L8813">
        <f t="shared" si="274"/>
        <v>7</v>
      </c>
      <c r="M8813">
        <f t="shared" si="275"/>
        <v>1</v>
      </c>
    </row>
    <row r="8814" spans="1:13" x14ac:dyDescent="0.3">
      <c r="A8814">
        <v>8812</v>
      </c>
      <c r="B8814">
        <v>8813</v>
      </c>
      <c r="C8814" t="s">
        <v>8892</v>
      </c>
      <c r="D8814">
        <v>2008</v>
      </c>
      <c r="E8814" t="s">
        <v>14</v>
      </c>
      <c r="F8814" t="s">
        <v>595</v>
      </c>
      <c r="G8814">
        <v>0</v>
      </c>
      <c r="H8814">
        <v>0</v>
      </c>
      <c r="I8814">
        <v>0</v>
      </c>
      <c r="J8814">
        <v>1</v>
      </c>
      <c r="K8814">
        <v>0</v>
      </c>
      <c r="L8814">
        <f t="shared" si="274"/>
        <v>6.9</v>
      </c>
      <c r="M8814">
        <f t="shared" si="275"/>
        <v>1</v>
      </c>
    </row>
    <row r="8815" spans="1:13" x14ac:dyDescent="0.3">
      <c r="A8815">
        <v>8813</v>
      </c>
      <c r="B8815">
        <v>8814</v>
      </c>
      <c r="C8815" t="s">
        <v>8893</v>
      </c>
      <c r="D8815">
        <v>2010</v>
      </c>
      <c r="E8815" t="s">
        <v>14</v>
      </c>
      <c r="F8815" t="s">
        <v>595</v>
      </c>
      <c r="G8815">
        <v>0</v>
      </c>
      <c r="H8815">
        <v>0</v>
      </c>
      <c r="I8815">
        <v>0</v>
      </c>
      <c r="J8815">
        <v>1</v>
      </c>
      <c r="K8815">
        <v>0</v>
      </c>
      <c r="L8815">
        <f t="shared" si="274"/>
        <v>6.9</v>
      </c>
      <c r="M8815">
        <f t="shared" si="275"/>
        <v>1</v>
      </c>
    </row>
    <row r="8816" spans="1:13" x14ac:dyDescent="0.3">
      <c r="A8816">
        <v>8814</v>
      </c>
      <c r="B8816">
        <v>8815</v>
      </c>
      <c r="C8816" t="s">
        <v>8894</v>
      </c>
      <c r="D8816">
        <v>2016</v>
      </c>
      <c r="E8816" t="s">
        <v>36</v>
      </c>
      <c r="F8816" t="s">
        <v>595</v>
      </c>
      <c r="G8816">
        <v>0</v>
      </c>
      <c r="H8816">
        <v>0</v>
      </c>
      <c r="I8816">
        <v>0</v>
      </c>
      <c r="J8816">
        <v>1</v>
      </c>
      <c r="K8816">
        <v>0</v>
      </c>
      <c r="L8816">
        <f t="shared" si="274"/>
        <v>6.9</v>
      </c>
      <c r="M8816">
        <f t="shared" si="275"/>
        <v>1</v>
      </c>
    </row>
    <row r="8817" spans="1:13" x14ac:dyDescent="0.3">
      <c r="A8817">
        <v>8815</v>
      </c>
      <c r="B8817">
        <v>8816</v>
      </c>
      <c r="C8817" t="s">
        <v>8895</v>
      </c>
      <c r="D8817">
        <v>1995</v>
      </c>
      <c r="E8817" t="s">
        <v>14</v>
      </c>
      <c r="F8817" t="s">
        <v>595</v>
      </c>
      <c r="G8817">
        <v>0</v>
      </c>
      <c r="H8817">
        <v>0</v>
      </c>
      <c r="I8817">
        <v>0</v>
      </c>
      <c r="J8817">
        <v>1</v>
      </c>
      <c r="K8817">
        <v>0</v>
      </c>
      <c r="L8817">
        <f t="shared" si="274"/>
        <v>6.9</v>
      </c>
      <c r="M8817">
        <f t="shared" si="275"/>
        <v>1</v>
      </c>
    </row>
    <row r="8818" spans="1:13" x14ac:dyDescent="0.3">
      <c r="A8818">
        <v>8816</v>
      </c>
      <c r="B8818">
        <v>8817</v>
      </c>
      <c r="C8818" t="s">
        <v>8896</v>
      </c>
      <c r="D8818">
        <v>2010</v>
      </c>
      <c r="E8818" t="s">
        <v>14</v>
      </c>
      <c r="F8818" t="s">
        <v>595</v>
      </c>
      <c r="G8818">
        <v>0</v>
      </c>
      <c r="H8818">
        <v>0</v>
      </c>
      <c r="I8818">
        <v>0</v>
      </c>
      <c r="J8818">
        <v>1</v>
      </c>
      <c r="K8818">
        <v>0</v>
      </c>
      <c r="L8818">
        <f t="shared" si="274"/>
        <v>6.9</v>
      </c>
      <c r="M8818">
        <f t="shared" si="275"/>
        <v>1</v>
      </c>
    </row>
    <row r="8819" spans="1:13" x14ac:dyDescent="0.3">
      <c r="A8819">
        <v>8817</v>
      </c>
      <c r="B8819">
        <v>8818</v>
      </c>
      <c r="C8819" t="s">
        <v>8897</v>
      </c>
      <c r="D8819">
        <v>1999</v>
      </c>
      <c r="E8819" t="s">
        <v>36</v>
      </c>
      <c r="F8819" t="s">
        <v>595</v>
      </c>
      <c r="G8819">
        <v>0</v>
      </c>
      <c r="H8819">
        <v>0</v>
      </c>
      <c r="I8819">
        <v>0</v>
      </c>
      <c r="J8819">
        <v>1</v>
      </c>
      <c r="K8819">
        <v>0</v>
      </c>
      <c r="L8819">
        <f t="shared" si="274"/>
        <v>6.9</v>
      </c>
      <c r="M8819">
        <f t="shared" si="275"/>
        <v>1</v>
      </c>
    </row>
    <row r="8820" spans="1:13" x14ac:dyDescent="0.3">
      <c r="A8820">
        <v>8818</v>
      </c>
      <c r="B8820">
        <v>8819</v>
      </c>
      <c r="C8820" t="s">
        <v>8898</v>
      </c>
      <c r="D8820">
        <v>1988</v>
      </c>
      <c r="E8820" t="s">
        <v>36</v>
      </c>
      <c r="F8820" t="s">
        <v>595</v>
      </c>
      <c r="G8820">
        <v>0</v>
      </c>
      <c r="H8820">
        <v>0</v>
      </c>
      <c r="I8820">
        <v>0</v>
      </c>
      <c r="J8820">
        <v>1</v>
      </c>
      <c r="K8820">
        <v>0</v>
      </c>
      <c r="L8820">
        <f t="shared" si="274"/>
        <v>6.9</v>
      </c>
      <c r="M8820">
        <f t="shared" si="275"/>
        <v>1</v>
      </c>
    </row>
    <row r="8821" spans="1:13" x14ac:dyDescent="0.3">
      <c r="A8821">
        <v>8819</v>
      </c>
      <c r="B8821">
        <v>8820</v>
      </c>
      <c r="C8821" t="s">
        <v>8899</v>
      </c>
      <c r="D8821">
        <v>1948</v>
      </c>
      <c r="F8821" t="s">
        <v>595</v>
      </c>
      <c r="G8821">
        <v>0</v>
      </c>
      <c r="H8821">
        <v>0</v>
      </c>
      <c r="I8821">
        <v>0</v>
      </c>
      <c r="J8821">
        <v>1</v>
      </c>
      <c r="K8821">
        <v>0</v>
      </c>
      <c r="L8821">
        <f t="shared" si="274"/>
        <v>6.9</v>
      </c>
      <c r="M8821">
        <f t="shared" si="275"/>
        <v>1</v>
      </c>
    </row>
    <row r="8822" spans="1:13" x14ac:dyDescent="0.3">
      <c r="A8822">
        <v>8820</v>
      </c>
      <c r="B8822">
        <v>8821</v>
      </c>
      <c r="C8822" t="s">
        <v>8900</v>
      </c>
      <c r="D8822">
        <v>2017</v>
      </c>
      <c r="E8822" t="s">
        <v>14</v>
      </c>
      <c r="F8822" t="s">
        <v>595</v>
      </c>
      <c r="G8822">
        <v>0</v>
      </c>
      <c r="H8822">
        <v>0</v>
      </c>
      <c r="I8822">
        <v>0</v>
      </c>
      <c r="J8822">
        <v>1</v>
      </c>
      <c r="K8822">
        <v>0</v>
      </c>
      <c r="L8822">
        <f t="shared" si="274"/>
        <v>6.9</v>
      </c>
      <c r="M8822">
        <f t="shared" si="275"/>
        <v>1</v>
      </c>
    </row>
    <row r="8823" spans="1:13" x14ac:dyDescent="0.3">
      <c r="A8823">
        <v>8821</v>
      </c>
      <c r="B8823">
        <v>8822</v>
      </c>
      <c r="C8823" t="s">
        <v>8901</v>
      </c>
      <c r="D8823">
        <v>2018</v>
      </c>
      <c r="E8823" t="s">
        <v>36</v>
      </c>
      <c r="F8823" t="s">
        <v>595</v>
      </c>
      <c r="G8823">
        <v>0</v>
      </c>
      <c r="H8823">
        <v>0</v>
      </c>
      <c r="I8823">
        <v>0</v>
      </c>
      <c r="J8823">
        <v>1</v>
      </c>
      <c r="K8823">
        <v>0</v>
      </c>
      <c r="L8823">
        <f t="shared" si="274"/>
        <v>6.9</v>
      </c>
      <c r="M8823">
        <f t="shared" si="275"/>
        <v>1</v>
      </c>
    </row>
    <row r="8824" spans="1:13" x14ac:dyDescent="0.3">
      <c r="A8824">
        <v>8822</v>
      </c>
      <c r="B8824">
        <v>8823</v>
      </c>
      <c r="C8824" t="s">
        <v>8902</v>
      </c>
      <c r="D8824">
        <v>1984</v>
      </c>
      <c r="E8824" t="s">
        <v>14</v>
      </c>
      <c r="F8824" t="s">
        <v>595</v>
      </c>
      <c r="G8824">
        <v>0</v>
      </c>
      <c r="H8824">
        <v>0</v>
      </c>
      <c r="I8824">
        <v>0</v>
      </c>
      <c r="J8824">
        <v>1</v>
      </c>
      <c r="K8824">
        <v>0</v>
      </c>
      <c r="L8824">
        <f t="shared" si="274"/>
        <v>6.9</v>
      </c>
      <c r="M8824">
        <f t="shared" si="275"/>
        <v>1</v>
      </c>
    </row>
    <row r="8825" spans="1:13" x14ac:dyDescent="0.3">
      <c r="A8825">
        <v>8823</v>
      </c>
      <c r="B8825">
        <v>8824</v>
      </c>
      <c r="C8825" t="s">
        <v>8903</v>
      </c>
      <c r="D8825">
        <v>1954</v>
      </c>
      <c r="E8825" t="s">
        <v>36</v>
      </c>
      <c r="F8825" t="s">
        <v>595</v>
      </c>
      <c r="G8825">
        <v>0</v>
      </c>
      <c r="H8825">
        <v>0</v>
      </c>
      <c r="I8825">
        <v>0</v>
      </c>
      <c r="J8825">
        <v>1</v>
      </c>
      <c r="K8825">
        <v>0</v>
      </c>
      <c r="L8825">
        <f t="shared" si="274"/>
        <v>6.9</v>
      </c>
      <c r="M8825">
        <f t="shared" si="275"/>
        <v>1</v>
      </c>
    </row>
    <row r="8826" spans="1:13" x14ac:dyDescent="0.3">
      <c r="A8826">
        <v>8824</v>
      </c>
      <c r="B8826">
        <v>8825</v>
      </c>
      <c r="C8826" t="s">
        <v>8904</v>
      </c>
      <c r="D8826">
        <v>2000</v>
      </c>
      <c r="E8826" t="s">
        <v>14</v>
      </c>
      <c r="F8826" t="s">
        <v>595</v>
      </c>
      <c r="G8826">
        <v>0</v>
      </c>
      <c r="H8826">
        <v>0</v>
      </c>
      <c r="I8826">
        <v>0</v>
      </c>
      <c r="J8826">
        <v>1</v>
      </c>
      <c r="K8826">
        <v>0</v>
      </c>
      <c r="L8826">
        <f t="shared" si="274"/>
        <v>6.9</v>
      </c>
      <c r="M8826">
        <f t="shared" si="275"/>
        <v>1</v>
      </c>
    </row>
    <row r="8827" spans="1:13" x14ac:dyDescent="0.3">
      <c r="A8827">
        <v>8825</v>
      </c>
      <c r="B8827">
        <v>8826</v>
      </c>
      <c r="C8827" t="s">
        <v>8905</v>
      </c>
      <c r="D8827">
        <v>2003</v>
      </c>
      <c r="E8827" t="s">
        <v>14</v>
      </c>
      <c r="F8827" t="s">
        <v>595</v>
      </c>
      <c r="G8827">
        <v>0</v>
      </c>
      <c r="H8827">
        <v>0</v>
      </c>
      <c r="I8827">
        <v>0</v>
      </c>
      <c r="J8827">
        <v>1</v>
      </c>
      <c r="K8827">
        <v>0</v>
      </c>
      <c r="L8827">
        <f t="shared" si="274"/>
        <v>6.9</v>
      </c>
      <c r="M8827">
        <f t="shared" si="275"/>
        <v>1</v>
      </c>
    </row>
    <row r="8828" spans="1:13" x14ac:dyDescent="0.3">
      <c r="A8828">
        <v>8826</v>
      </c>
      <c r="B8828">
        <v>8827</v>
      </c>
      <c r="C8828" t="s">
        <v>8906</v>
      </c>
      <c r="D8828">
        <v>1990</v>
      </c>
      <c r="E8828" t="s">
        <v>36</v>
      </c>
      <c r="F8828" t="s">
        <v>595</v>
      </c>
      <c r="G8828">
        <v>0</v>
      </c>
      <c r="H8828">
        <v>0</v>
      </c>
      <c r="I8828">
        <v>0</v>
      </c>
      <c r="J8828">
        <v>1</v>
      </c>
      <c r="K8828">
        <v>0</v>
      </c>
      <c r="L8828">
        <f t="shared" si="274"/>
        <v>6.9</v>
      </c>
      <c r="M8828">
        <f t="shared" si="275"/>
        <v>1</v>
      </c>
    </row>
    <row r="8829" spans="1:13" x14ac:dyDescent="0.3">
      <c r="A8829">
        <v>8827</v>
      </c>
      <c r="B8829">
        <v>8828</v>
      </c>
      <c r="C8829" t="s">
        <v>8907</v>
      </c>
      <c r="D8829">
        <v>2005</v>
      </c>
      <c r="E8829" t="s">
        <v>36</v>
      </c>
      <c r="F8829" t="s">
        <v>644</v>
      </c>
      <c r="G8829">
        <v>0</v>
      </c>
      <c r="H8829">
        <v>0</v>
      </c>
      <c r="I8829">
        <v>0</v>
      </c>
      <c r="J8829">
        <v>1</v>
      </c>
      <c r="K8829">
        <v>0</v>
      </c>
      <c r="L8829">
        <f t="shared" si="274"/>
        <v>6.8</v>
      </c>
      <c r="M8829">
        <f t="shared" si="275"/>
        <v>1</v>
      </c>
    </row>
    <row r="8830" spans="1:13" x14ac:dyDescent="0.3">
      <c r="A8830">
        <v>8828</v>
      </c>
      <c r="B8830">
        <v>8829</v>
      </c>
      <c r="C8830" t="s">
        <v>8908</v>
      </c>
      <c r="D8830">
        <v>2004</v>
      </c>
      <c r="E8830" t="s">
        <v>36</v>
      </c>
      <c r="F8830" t="s">
        <v>644</v>
      </c>
      <c r="G8830">
        <v>0</v>
      </c>
      <c r="H8830">
        <v>0</v>
      </c>
      <c r="I8830">
        <v>0</v>
      </c>
      <c r="J8830">
        <v>1</v>
      </c>
      <c r="K8830">
        <v>0</v>
      </c>
      <c r="L8830">
        <f t="shared" si="274"/>
        <v>6.8</v>
      </c>
      <c r="M8830">
        <f t="shared" si="275"/>
        <v>1</v>
      </c>
    </row>
    <row r="8831" spans="1:13" x14ac:dyDescent="0.3">
      <c r="A8831">
        <v>8829</v>
      </c>
      <c r="B8831">
        <v>8830</v>
      </c>
      <c r="C8831" t="s">
        <v>8909</v>
      </c>
      <c r="D8831">
        <v>2003</v>
      </c>
      <c r="E8831" t="s">
        <v>36</v>
      </c>
      <c r="F8831" t="s">
        <v>644</v>
      </c>
      <c r="G8831">
        <v>0</v>
      </c>
      <c r="H8831">
        <v>0</v>
      </c>
      <c r="I8831">
        <v>0</v>
      </c>
      <c r="J8831">
        <v>1</v>
      </c>
      <c r="K8831">
        <v>0</v>
      </c>
      <c r="L8831">
        <f t="shared" si="274"/>
        <v>6.8</v>
      </c>
      <c r="M8831">
        <f t="shared" si="275"/>
        <v>1</v>
      </c>
    </row>
    <row r="8832" spans="1:13" x14ac:dyDescent="0.3">
      <c r="A8832">
        <v>8830</v>
      </c>
      <c r="B8832">
        <v>8831</v>
      </c>
      <c r="C8832" t="s">
        <v>8910</v>
      </c>
      <c r="D8832">
        <v>2006</v>
      </c>
      <c r="E8832" t="s">
        <v>36</v>
      </c>
      <c r="F8832" t="s">
        <v>644</v>
      </c>
      <c r="G8832">
        <v>0</v>
      </c>
      <c r="H8832">
        <v>0</v>
      </c>
      <c r="I8832">
        <v>0</v>
      </c>
      <c r="J8832">
        <v>1</v>
      </c>
      <c r="K8832">
        <v>0</v>
      </c>
      <c r="L8832">
        <f t="shared" si="274"/>
        <v>6.8</v>
      </c>
      <c r="M8832">
        <f t="shared" si="275"/>
        <v>1</v>
      </c>
    </row>
    <row r="8833" spans="1:13" x14ac:dyDescent="0.3">
      <c r="A8833">
        <v>8831</v>
      </c>
      <c r="B8833">
        <v>8832</v>
      </c>
      <c r="C8833" t="s">
        <v>8911</v>
      </c>
      <c r="D8833">
        <v>2015</v>
      </c>
      <c r="E8833" t="s">
        <v>36</v>
      </c>
      <c r="F8833" t="s">
        <v>644</v>
      </c>
      <c r="G8833">
        <v>0</v>
      </c>
      <c r="H8833">
        <v>0</v>
      </c>
      <c r="I8833">
        <v>0</v>
      </c>
      <c r="J8833">
        <v>1</v>
      </c>
      <c r="K8833">
        <v>0</v>
      </c>
      <c r="L8833">
        <f t="shared" si="274"/>
        <v>6.8</v>
      </c>
      <c r="M8833">
        <f t="shared" si="275"/>
        <v>1</v>
      </c>
    </row>
    <row r="8834" spans="1:13" x14ac:dyDescent="0.3">
      <c r="A8834">
        <v>8832</v>
      </c>
      <c r="B8834">
        <v>8833</v>
      </c>
      <c r="C8834" t="s">
        <v>8912</v>
      </c>
      <c r="D8834">
        <v>2011</v>
      </c>
      <c r="E8834" t="s">
        <v>36</v>
      </c>
      <c r="F8834" t="s">
        <v>644</v>
      </c>
      <c r="G8834">
        <v>0</v>
      </c>
      <c r="H8834">
        <v>0</v>
      </c>
      <c r="I8834">
        <v>0</v>
      </c>
      <c r="J8834">
        <v>1</v>
      </c>
      <c r="K8834">
        <v>0</v>
      </c>
      <c r="L8834">
        <f t="shared" si="274"/>
        <v>6.8</v>
      </c>
      <c r="M8834">
        <f t="shared" si="275"/>
        <v>1</v>
      </c>
    </row>
    <row r="8835" spans="1:13" x14ac:dyDescent="0.3">
      <c r="A8835">
        <v>8833</v>
      </c>
      <c r="B8835">
        <v>8834</v>
      </c>
      <c r="C8835" t="s">
        <v>8913</v>
      </c>
      <c r="D8835">
        <v>2005</v>
      </c>
      <c r="E8835" t="s">
        <v>14</v>
      </c>
      <c r="F8835" t="s">
        <v>644</v>
      </c>
      <c r="G8835">
        <v>0</v>
      </c>
      <c r="H8835">
        <v>0</v>
      </c>
      <c r="I8835">
        <v>0</v>
      </c>
      <c r="J8835">
        <v>1</v>
      </c>
      <c r="K8835">
        <v>0</v>
      </c>
      <c r="L8835">
        <f t="shared" ref="L8835:L8898" si="276">IFERROR(VALUE(LEFT(F8835,FIND("/",F8835)-1))/10,"")</f>
        <v>6.8</v>
      </c>
      <c r="M8835">
        <f t="shared" ref="M8835:M8898" si="277">SUM(G8835:J8835)</f>
        <v>1</v>
      </c>
    </row>
    <row r="8836" spans="1:13" x14ac:dyDescent="0.3">
      <c r="A8836">
        <v>8834</v>
      </c>
      <c r="B8836">
        <v>8835</v>
      </c>
      <c r="C8836" t="s">
        <v>8914</v>
      </c>
      <c r="D8836">
        <v>2014</v>
      </c>
      <c r="E8836" t="s">
        <v>36</v>
      </c>
      <c r="F8836" t="s">
        <v>644</v>
      </c>
      <c r="G8836">
        <v>0</v>
      </c>
      <c r="H8836">
        <v>0</v>
      </c>
      <c r="I8836">
        <v>0</v>
      </c>
      <c r="J8836">
        <v>1</v>
      </c>
      <c r="K8836">
        <v>0</v>
      </c>
      <c r="L8836">
        <f t="shared" si="276"/>
        <v>6.8</v>
      </c>
      <c r="M8836">
        <f t="shared" si="277"/>
        <v>1</v>
      </c>
    </row>
    <row r="8837" spans="1:13" x14ac:dyDescent="0.3">
      <c r="A8837">
        <v>8835</v>
      </c>
      <c r="B8837">
        <v>8836</v>
      </c>
      <c r="C8837" t="s">
        <v>8915</v>
      </c>
      <c r="D8837">
        <v>1971</v>
      </c>
      <c r="E8837" t="s">
        <v>36</v>
      </c>
      <c r="F8837" t="s">
        <v>644</v>
      </c>
      <c r="G8837">
        <v>0</v>
      </c>
      <c r="H8837">
        <v>0</v>
      </c>
      <c r="I8837">
        <v>0</v>
      </c>
      <c r="J8837">
        <v>1</v>
      </c>
      <c r="K8837">
        <v>0</v>
      </c>
      <c r="L8837">
        <f t="shared" si="276"/>
        <v>6.8</v>
      </c>
      <c r="M8837">
        <f t="shared" si="277"/>
        <v>1</v>
      </c>
    </row>
    <row r="8838" spans="1:13" x14ac:dyDescent="0.3">
      <c r="A8838">
        <v>8836</v>
      </c>
      <c r="B8838">
        <v>8837</v>
      </c>
      <c r="C8838" t="s">
        <v>8916</v>
      </c>
      <c r="D8838">
        <v>2016</v>
      </c>
      <c r="E8838" t="s">
        <v>14</v>
      </c>
      <c r="F8838" t="s">
        <v>644</v>
      </c>
      <c r="G8838">
        <v>0</v>
      </c>
      <c r="H8838">
        <v>0</v>
      </c>
      <c r="I8838">
        <v>0</v>
      </c>
      <c r="J8838">
        <v>1</v>
      </c>
      <c r="K8838">
        <v>0</v>
      </c>
      <c r="L8838">
        <f t="shared" si="276"/>
        <v>6.8</v>
      </c>
      <c r="M8838">
        <f t="shared" si="277"/>
        <v>1</v>
      </c>
    </row>
    <row r="8839" spans="1:13" x14ac:dyDescent="0.3">
      <c r="A8839">
        <v>8837</v>
      </c>
      <c r="B8839">
        <v>8838</v>
      </c>
      <c r="C8839" t="s">
        <v>8917</v>
      </c>
      <c r="D8839">
        <v>2007</v>
      </c>
      <c r="E8839" t="s">
        <v>14</v>
      </c>
      <c r="F8839" t="s">
        <v>644</v>
      </c>
      <c r="G8839">
        <v>0</v>
      </c>
      <c r="H8839">
        <v>0</v>
      </c>
      <c r="I8839">
        <v>0</v>
      </c>
      <c r="J8839">
        <v>1</v>
      </c>
      <c r="K8839">
        <v>0</v>
      </c>
      <c r="L8839">
        <f t="shared" si="276"/>
        <v>6.8</v>
      </c>
      <c r="M8839">
        <f t="shared" si="277"/>
        <v>1</v>
      </c>
    </row>
    <row r="8840" spans="1:13" x14ac:dyDescent="0.3">
      <c r="A8840">
        <v>8838</v>
      </c>
      <c r="B8840">
        <v>8839</v>
      </c>
      <c r="C8840" t="s">
        <v>8918</v>
      </c>
      <c r="D8840">
        <v>2006</v>
      </c>
      <c r="E8840" t="s">
        <v>14</v>
      </c>
      <c r="F8840" t="s">
        <v>644</v>
      </c>
      <c r="G8840">
        <v>0</v>
      </c>
      <c r="H8840">
        <v>0</v>
      </c>
      <c r="I8840">
        <v>0</v>
      </c>
      <c r="J8840">
        <v>1</v>
      </c>
      <c r="K8840">
        <v>0</v>
      </c>
      <c r="L8840">
        <f t="shared" si="276"/>
        <v>6.8</v>
      </c>
      <c r="M8840">
        <f t="shared" si="277"/>
        <v>1</v>
      </c>
    </row>
    <row r="8841" spans="1:13" x14ac:dyDescent="0.3">
      <c r="A8841">
        <v>8839</v>
      </c>
      <c r="B8841">
        <v>8840</v>
      </c>
      <c r="C8841" t="s">
        <v>8919</v>
      </c>
      <c r="D8841">
        <v>1994</v>
      </c>
      <c r="E8841" t="s">
        <v>14</v>
      </c>
      <c r="F8841" t="s">
        <v>644</v>
      </c>
      <c r="G8841">
        <v>0</v>
      </c>
      <c r="H8841">
        <v>0</v>
      </c>
      <c r="I8841">
        <v>0</v>
      </c>
      <c r="J8841">
        <v>1</v>
      </c>
      <c r="K8841">
        <v>0</v>
      </c>
      <c r="L8841">
        <f t="shared" si="276"/>
        <v>6.8</v>
      </c>
      <c r="M8841">
        <f t="shared" si="277"/>
        <v>1</v>
      </c>
    </row>
    <row r="8842" spans="1:13" x14ac:dyDescent="0.3">
      <c r="A8842">
        <v>8840</v>
      </c>
      <c r="B8842">
        <v>8841</v>
      </c>
      <c r="C8842" t="s">
        <v>8920</v>
      </c>
      <c r="D8842">
        <v>1978</v>
      </c>
      <c r="E8842" t="s">
        <v>36</v>
      </c>
      <c r="F8842" t="s">
        <v>644</v>
      </c>
      <c r="G8842">
        <v>0</v>
      </c>
      <c r="H8842">
        <v>0</v>
      </c>
      <c r="I8842">
        <v>0</v>
      </c>
      <c r="J8842">
        <v>1</v>
      </c>
      <c r="K8842">
        <v>0</v>
      </c>
      <c r="L8842">
        <f t="shared" si="276"/>
        <v>6.8</v>
      </c>
      <c r="M8842">
        <f t="shared" si="277"/>
        <v>1</v>
      </c>
    </row>
    <row r="8843" spans="1:13" x14ac:dyDescent="0.3">
      <c r="A8843">
        <v>8841</v>
      </c>
      <c r="B8843">
        <v>8842</v>
      </c>
      <c r="C8843" t="s">
        <v>8921</v>
      </c>
      <c r="D8843">
        <v>2013</v>
      </c>
      <c r="E8843" t="s">
        <v>36</v>
      </c>
      <c r="F8843" t="s">
        <v>644</v>
      </c>
      <c r="G8843">
        <v>0</v>
      </c>
      <c r="H8843">
        <v>0</v>
      </c>
      <c r="I8843">
        <v>0</v>
      </c>
      <c r="J8843">
        <v>1</v>
      </c>
      <c r="K8843">
        <v>0</v>
      </c>
      <c r="L8843">
        <f t="shared" si="276"/>
        <v>6.8</v>
      </c>
      <c r="M8843">
        <f t="shared" si="277"/>
        <v>1</v>
      </c>
    </row>
    <row r="8844" spans="1:13" x14ac:dyDescent="0.3">
      <c r="A8844">
        <v>8842</v>
      </c>
      <c r="B8844">
        <v>8843</v>
      </c>
      <c r="C8844" t="s">
        <v>8922</v>
      </c>
      <c r="D8844">
        <v>1990</v>
      </c>
      <c r="E8844" t="s">
        <v>36</v>
      </c>
      <c r="F8844" t="s">
        <v>644</v>
      </c>
      <c r="G8844">
        <v>0</v>
      </c>
      <c r="H8844">
        <v>0</v>
      </c>
      <c r="I8844">
        <v>0</v>
      </c>
      <c r="J8844">
        <v>1</v>
      </c>
      <c r="K8844">
        <v>0</v>
      </c>
      <c r="L8844">
        <f t="shared" si="276"/>
        <v>6.8</v>
      </c>
      <c r="M8844">
        <f t="shared" si="277"/>
        <v>1</v>
      </c>
    </row>
    <row r="8845" spans="1:13" x14ac:dyDescent="0.3">
      <c r="A8845">
        <v>8843</v>
      </c>
      <c r="B8845">
        <v>8844</v>
      </c>
      <c r="C8845" t="s">
        <v>8923</v>
      </c>
      <c r="D8845">
        <v>2014</v>
      </c>
      <c r="E8845" t="s">
        <v>14</v>
      </c>
      <c r="F8845" t="s">
        <v>687</v>
      </c>
      <c r="G8845">
        <v>0</v>
      </c>
      <c r="H8845">
        <v>0</v>
      </c>
      <c r="I8845">
        <v>0</v>
      </c>
      <c r="J8845">
        <v>1</v>
      </c>
      <c r="K8845">
        <v>0</v>
      </c>
      <c r="L8845">
        <f t="shared" si="276"/>
        <v>6.7</v>
      </c>
      <c r="M8845">
        <f t="shared" si="277"/>
        <v>1</v>
      </c>
    </row>
    <row r="8846" spans="1:13" x14ac:dyDescent="0.3">
      <c r="A8846">
        <v>8844</v>
      </c>
      <c r="B8846">
        <v>8845</v>
      </c>
      <c r="C8846" t="s">
        <v>8924</v>
      </c>
      <c r="D8846">
        <v>2012</v>
      </c>
      <c r="E8846" t="s">
        <v>14</v>
      </c>
      <c r="F8846" t="s">
        <v>687</v>
      </c>
      <c r="G8846">
        <v>0</v>
      </c>
      <c r="H8846">
        <v>0</v>
      </c>
      <c r="I8846">
        <v>0</v>
      </c>
      <c r="J8846">
        <v>1</v>
      </c>
      <c r="K8846">
        <v>0</v>
      </c>
      <c r="L8846">
        <f t="shared" si="276"/>
        <v>6.7</v>
      </c>
      <c r="M8846">
        <f t="shared" si="277"/>
        <v>1</v>
      </c>
    </row>
    <row r="8847" spans="1:13" x14ac:dyDescent="0.3">
      <c r="A8847">
        <v>8845</v>
      </c>
      <c r="B8847">
        <v>8846</v>
      </c>
      <c r="C8847" t="s">
        <v>8925</v>
      </c>
      <c r="D8847">
        <v>2005</v>
      </c>
      <c r="E8847" t="s">
        <v>36</v>
      </c>
      <c r="F8847" t="s">
        <v>687</v>
      </c>
      <c r="G8847">
        <v>0</v>
      </c>
      <c r="H8847">
        <v>0</v>
      </c>
      <c r="I8847">
        <v>0</v>
      </c>
      <c r="J8847">
        <v>1</v>
      </c>
      <c r="K8847">
        <v>0</v>
      </c>
      <c r="L8847">
        <f t="shared" si="276"/>
        <v>6.7</v>
      </c>
      <c r="M8847">
        <f t="shared" si="277"/>
        <v>1</v>
      </c>
    </row>
    <row r="8848" spans="1:13" x14ac:dyDescent="0.3">
      <c r="A8848">
        <v>8846</v>
      </c>
      <c r="B8848">
        <v>8847</v>
      </c>
      <c r="C8848" t="s">
        <v>8926</v>
      </c>
      <c r="D8848">
        <v>1993</v>
      </c>
      <c r="E8848" t="s">
        <v>14</v>
      </c>
      <c r="F8848" t="s">
        <v>687</v>
      </c>
      <c r="G8848">
        <v>0</v>
      </c>
      <c r="H8848">
        <v>0</v>
      </c>
      <c r="I8848">
        <v>0</v>
      </c>
      <c r="J8848">
        <v>1</v>
      </c>
      <c r="K8848">
        <v>0</v>
      </c>
      <c r="L8848">
        <f t="shared" si="276"/>
        <v>6.7</v>
      </c>
      <c r="M8848">
        <f t="shared" si="277"/>
        <v>1</v>
      </c>
    </row>
    <row r="8849" spans="1:13" x14ac:dyDescent="0.3">
      <c r="A8849">
        <v>8847</v>
      </c>
      <c r="B8849">
        <v>8848</v>
      </c>
      <c r="C8849" t="s">
        <v>8927</v>
      </c>
      <c r="D8849">
        <v>1996</v>
      </c>
      <c r="E8849" t="s">
        <v>36</v>
      </c>
      <c r="F8849" t="s">
        <v>687</v>
      </c>
      <c r="G8849">
        <v>0</v>
      </c>
      <c r="H8849">
        <v>0</v>
      </c>
      <c r="I8849">
        <v>0</v>
      </c>
      <c r="J8849">
        <v>1</v>
      </c>
      <c r="K8849">
        <v>0</v>
      </c>
      <c r="L8849">
        <f t="shared" si="276"/>
        <v>6.7</v>
      </c>
      <c r="M8849">
        <f t="shared" si="277"/>
        <v>1</v>
      </c>
    </row>
    <row r="8850" spans="1:13" x14ac:dyDescent="0.3">
      <c r="A8850">
        <v>8848</v>
      </c>
      <c r="B8850">
        <v>8849</v>
      </c>
      <c r="C8850" t="s">
        <v>8928</v>
      </c>
      <c r="D8850">
        <v>2019</v>
      </c>
      <c r="E8850" t="s">
        <v>36</v>
      </c>
      <c r="F8850" t="s">
        <v>687</v>
      </c>
      <c r="G8850">
        <v>0</v>
      </c>
      <c r="H8850">
        <v>0</v>
      </c>
      <c r="I8850">
        <v>0</v>
      </c>
      <c r="J8850">
        <v>1</v>
      </c>
      <c r="K8850">
        <v>0</v>
      </c>
      <c r="L8850">
        <f t="shared" si="276"/>
        <v>6.7</v>
      </c>
      <c r="M8850">
        <f t="shared" si="277"/>
        <v>1</v>
      </c>
    </row>
    <row r="8851" spans="1:13" x14ac:dyDescent="0.3">
      <c r="A8851">
        <v>8849</v>
      </c>
      <c r="B8851">
        <v>8850</v>
      </c>
      <c r="C8851" t="s">
        <v>8929</v>
      </c>
      <c r="D8851">
        <v>2012</v>
      </c>
      <c r="E8851" t="s">
        <v>36</v>
      </c>
      <c r="F8851" t="s">
        <v>687</v>
      </c>
      <c r="G8851">
        <v>0</v>
      </c>
      <c r="H8851">
        <v>0</v>
      </c>
      <c r="I8851">
        <v>0</v>
      </c>
      <c r="J8851">
        <v>1</v>
      </c>
      <c r="K8851">
        <v>0</v>
      </c>
      <c r="L8851">
        <f t="shared" si="276"/>
        <v>6.7</v>
      </c>
      <c r="M8851">
        <f t="shared" si="277"/>
        <v>1</v>
      </c>
    </row>
    <row r="8852" spans="1:13" x14ac:dyDescent="0.3">
      <c r="A8852">
        <v>8850</v>
      </c>
      <c r="B8852">
        <v>8851</v>
      </c>
      <c r="C8852" t="s">
        <v>8930</v>
      </c>
      <c r="D8852">
        <v>2005</v>
      </c>
      <c r="E8852" t="s">
        <v>14</v>
      </c>
      <c r="F8852" t="s">
        <v>687</v>
      </c>
      <c r="G8852">
        <v>0</v>
      </c>
      <c r="H8852">
        <v>0</v>
      </c>
      <c r="I8852">
        <v>0</v>
      </c>
      <c r="J8852">
        <v>1</v>
      </c>
      <c r="K8852">
        <v>0</v>
      </c>
      <c r="L8852">
        <f t="shared" si="276"/>
        <v>6.7</v>
      </c>
      <c r="M8852">
        <f t="shared" si="277"/>
        <v>1</v>
      </c>
    </row>
    <row r="8853" spans="1:13" x14ac:dyDescent="0.3">
      <c r="A8853">
        <v>8851</v>
      </c>
      <c r="B8853">
        <v>8852</v>
      </c>
      <c r="C8853" t="s">
        <v>8931</v>
      </c>
      <c r="D8853">
        <v>2020</v>
      </c>
      <c r="E8853" t="s">
        <v>14</v>
      </c>
      <c r="F8853" t="s">
        <v>687</v>
      </c>
      <c r="G8853">
        <v>0</v>
      </c>
      <c r="H8853">
        <v>0</v>
      </c>
      <c r="I8853">
        <v>0</v>
      </c>
      <c r="J8853">
        <v>1</v>
      </c>
      <c r="K8853">
        <v>0</v>
      </c>
      <c r="L8853">
        <f t="shared" si="276"/>
        <v>6.7</v>
      </c>
      <c r="M8853">
        <f t="shared" si="277"/>
        <v>1</v>
      </c>
    </row>
    <row r="8854" spans="1:13" x14ac:dyDescent="0.3">
      <c r="A8854">
        <v>8852</v>
      </c>
      <c r="B8854">
        <v>8853</v>
      </c>
      <c r="C8854" t="s">
        <v>8932</v>
      </c>
      <c r="D8854">
        <v>2014</v>
      </c>
      <c r="E8854" t="s">
        <v>36</v>
      </c>
      <c r="F8854" t="s">
        <v>687</v>
      </c>
      <c r="G8854">
        <v>0</v>
      </c>
      <c r="H8854">
        <v>0</v>
      </c>
      <c r="I8854">
        <v>0</v>
      </c>
      <c r="J8854">
        <v>1</v>
      </c>
      <c r="K8854">
        <v>0</v>
      </c>
      <c r="L8854">
        <f t="shared" si="276"/>
        <v>6.7</v>
      </c>
      <c r="M8854">
        <f t="shared" si="277"/>
        <v>1</v>
      </c>
    </row>
    <row r="8855" spans="1:13" x14ac:dyDescent="0.3">
      <c r="A8855">
        <v>8853</v>
      </c>
      <c r="B8855">
        <v>8854</v>
      </c>
      <c r="C8855" t="s">
        <v>8933</v>
      </c>
      <c r="D8855">
        <v>1996</v>
      </c>
      <c r="E8855" t="s">
        <v>36</v>
      </c>
      <c r="F8855" t="s">
        <v>687</v>
      </c>
      <c r="G8855">
        <v>0</v>
      </c>
      <c r="H8855">
        <v>0</v>
      </c>
      <c r="I8855">
        <v>0</v>
      </c>
      <c r="J8855">
        <v>1</v>
      </c>
      <c r="K8855">
        <v>0</v>
      </c>
      <c r="L8855">
        <f t="shared" si="276"/>
        <v>6.7</v>
      </c>
      <c r="M8855">
        <f t="shared" si="277"/>
        <v>1</v>
      </c>
    </row>
    <row r="8856" spans="1:13" x14ac:dyDescent="0.3">
      <c r="A8856">
        <v>8854</v>
      </c>
      <c r="B8856">
        <v>8855</v>
      </c>
      <c r="C8856" t="s">
        <v>8934</v>
      </c>
      <c r="D8856">
        <v>2011</v>
      </c>
      <c r="E8856" t="s">
        <v>36</v>
      </c>
      <c r="F8856" t="s">
        <v>687</v>
      </c>
      <c r="G8856">
        <v>0</v>
      </c>
      <c r="H8856">
        <v>0</v>
      </c>
      <c r="I8856">
        <v>0</v>
      </c>
      <c r="J8856">
        <v>1</v>
      </c>
      <c r="K8856">
        <v>0</v>
      </c>
      <c r="L8856">
        <f t="shared" si="276"/>
        <v>6.7</v>
      </c>
      <c r="M8856">
        <f t="shared" si="277"/>
        <v>1</v>
      </c>
    </row>
    <row r="8857" spans="1:13" x14ac:dyDescent="0.3">
      <c r="A8857">
        <v>8855</v>
      </c>
      <c r="B8857">
        <v>8856</v>
      </c>
      <c r="C8857" t="s">
        <v>8935</v>
      </c>
      <c r="D8857">
        <v>2008</v>
      </c>
      <c r="E8857" t="s">
        <v>36</v>
      </c>
      <c r="F8857" t="s">
        <v>687</v>
      </c>
      <c r="G8857">
        <v>0</v>
      </c>
      <c r="H8857">
        <v>0</v>
      </c>
      <c r="I8857">
        <v>0</v>
      </c>
      <c r="J8857">
        <v>1</v>
      </c>
      <c r="K8857">
        <v>0</v>
      </c>
      <c r="L8857">
        <f t="shared" si="276"/>
        <v>6.7</v>
      </c>
      <c r="M8857">
        <f t="shared" si="277"/>
        <v>1</v>
      </c>
    </row>
    <row r="8858" spans="1:13" x14ac:dyDescent="0.3">
      <c r="A8858">
        <v>8856</v>
      </c>
      <c r="B8858">
        <v>8857</v>
      </c>
      <c r="C8858" t="s">
        <v>8936</v>
      </c>
      <c r="D8858">
        <v>1985</v>
      </c>
      <c r="E8858" t="s">
        <v>14</v>
      </c>
      <c r="F8858" t="s">
        <v>758</v>
      </c>
      <c r="G8858">
        <v>0</v>
      </c>
      <c r="H8858">
        <v>0</v>
      </c>
      <c r="I8858">
        <v>0</v>
      </c>
      <c r="J8858">
        <v>1</v>
      </c>
      <c r="K8858">
        <v>0</v>
      </c>
      <c r="L8858">
        <f t="shared" si="276"/>
        <v>6.6</v>
      </c>
      <c r="M8858">
        <f t="shared" si="277"/>
        <v>1</v>
      </c>
    </row>
    <row r="8859" spans="1:13" x14ac:dyDescent="0.3">
      <c r="A8859">
        <v>8857</v>
      </c>
      <c r="B8859">
        <v>8858</v>
      </c>
      <c r="C8859" t="s">
        <v>8937</v>
      </c>
      <c r="D8859">
        <v>2002</v>
      </c>
      <c r="E8859" t="s">
        <v>36</v>
      </c>
      <c r="F8859" t="s">
        <v>758</v>
      </c>
      <c r="G8859">
        <v>0</v>
      </c>
      <c r="H8859">
        <v>0</v>
      </c>
      <c r="I8859">
        <v>0</v>
      </c>
      <c r="J8859">
        <v>1</v>
      </c>
      <c r="K8859">
        <v>0</v>
      </c>
      <c r="L8859">
        <f t="shared" si="276"/>
        <v>6.6</v>
      </c>
      <c r="M8859">
        <f t="shared" si="277"/>
        <v>1</v>
      </c>
    </row>
    <row r="8860" spans="1:13" x14ac:dyDescent="0.3">
      <c r="A8860">
        <v>8858</v>
      </c>
      <c r="B8860">
        <v>8859</v>
      </c>
      <c r="C8860" t="s">
        <v>8938</v>
      </c>
      <c r="D8860">
        <v>1985</v>
      </c>
      <c r="E8860" t="s">
        <v>14</v>
      </c>
      <c r="F8860" t="s">
        <v>758</v>
      </c>
      <c r="G8860">
        <v>0</v>
      </c>
      <c r="H8860">
        <v>0</v>
      </c>
      <c r="I8860">
        <v>0</v>
      </c>
      <c r="J8860">
        <v>1</v>
      </c>
      <c r="K8860">
        <v>0</v>
      </c>
      <c r="L8860">
        <f t="shared" si="276"/>
        <v>6.6</v>
      </c>
      <c r="M8860">
        <f t="shared" si="277"/>
        <v>1</v>
      </c>
    </row>
    <row r="8861" spans="1:13" x14ac:dyDescent="0.3">
      <c r="A8861">
        <v>8859</v>
      </c>
      <c r="B8861">
        <v>8860</v>
      </c>
      <c r="C8861" t="s">
        <v>8939</v>
      </c>
      <c r="D8861">
        <v>2014</v>
      </c>
      <c r="E8861" t="s">
        <v>36</v>
      </c>
      <c r="F8861" t="s">
        <v>758</v>
      </c>
      <c r="G8861">
        <v>0</v>
      </c>
      <c r="H8861">
        <v>0</v>
      </c>
      <c r="I8861">
        <v>0</v>
      </c>
      <c r="J8861">
        <v>1</v>
      </c>
      <c r="K8861">
        <v>0</v>
      </c>
      <c r="L8861">
        <f t="shared" si="276"/>
        <v>6.6</v>
      </c>
      <c r="M8861">
        <f t="shared" si="277"/>
        <v>1</v>
      </c>
    </row>
    <row r="8862" spans="1:13" x14ac:dyDescent="0.3">
      <c r="A8862">
        <v>8860</v>
      </c>
      <c r="B8862">
        <v>8861</v>
      </c>
      <c r="C8862" t="s">
        <v>8940</v>
      </c>
      <c r="D8862">
        <v>2011</v>
      </c>
      <c r="E8862" t="s">
        <v>14</v>
      </c>
      <c r="F8862" t="s">
        <v>758</v>
      </c>
      <c r="G8862">
        <v>0</v>
      </c>
      <c r="H8862">
        <v>0</v>
      </c>
      <c r="I8862">
        <v>0</v>
      </c>
      <c r="J8862">
        <v>1</v>
      </c>
      <c r="K8862">
        <v>0</v>
      </c>
      <c r="L8862">
        <f t="shared" si="276"/>
        <v>6.6</v>
      </c>
      <c r="M8862">
        <f t="shared" si="277"/>
        <v>1</v>
      </c>
    </row>
    <row r="8863" spans="1:13" x14ac:dyDescent="0.3">
      <c r="A8863">
        <v>8861</v>
      </c>
      <c r="B8863">
        <v>8862</v>
      </c>
      <c r="C8863" t="s">
        <v>8941</v>
      </c>
      <c r="D8863">
        <v>2004</v>
      </c>
      <c r="E8863" t="s">
        <v>14</v>
      </c>
      <c r="F8863" t="s">
        <v>758</v>
      </c>
      <c r="G8863">
        <v>0</v>
      </c>
      <c r="H8863">
        <v>0</v>
      </c>
      <c r="I8863">
        <v>0</v>
      </c>
      <c r="J8863">
        <v>1</v>
      </c>
      <c r="K8863">
        <v>0</v>
      </c>
      <c r="L8863">
        <f t="shared" si="276"/>
        <v>6.6</v>
      </c>
      <c r="M8863">
        <f t="shared" si="277"/>
        <v>1</v>
      </c>
    </row>
    <row r="8864" spans="1:13" x14ac:dyDescent="0.3">
      <c r="A8864">
        <v>8862</v>
      </c>
      <c r="B8864">
        <v>8863</v>
      </c>
      <c r="C8864" t="s">
        <v>8942</v>
      </c>
      <c r="D8864">
        <v>1977</v>
      </c>
      <c r="E8864" t="s">
        <v>36</v>
      </c>
      <c r="F8864" t="s">
        <v>758</v>
      </c>
      <c r="G8864">
        <v>0</v>
      </c>
      <c r="H8864">
        <v>0</v>
      </c>
      <c r="I8864">
        <v>0</v>
      </c>
      <c r="J8864">
        <v>1</v>
      </c>
      <c r="K8864">
        <v>0</v>
      </c>
      <c r="L8864">
        <f t="shared" si="276"/>
        <v>6.6</v>
      </c>
      <c r="M8864">
        <f t="shared" si="277"/>
        <v>1</v>
      </c>
    </row>
    <row r="8865" spans="1:13" x14ac:dyDescent="0.3">
      <c r="A8865">
        <v>8863</v>
      </c>
      <c r="B8865">
        <v>8864</v>
      </c>
      <c r="C8865" t="s">
        <v>8943</v>
      </c>
      <c r="D8865">
        <v>1987</v>
      </c>
      <c r="E8865" t="s">
        <v>14</v>
      </c>
      <c r="F8865" t="s">
        <v>758</v>
      </c>
      <c r="G8865">
        <v>0</v>
      </c>
      <c r="H8865">
        <v>0</v>
      </c>
      <c r="I8865">
        <v>0</v>
      </c>
      <c r="J8865">
        <v>1</v>
      </c>
      <c r="K8865">
        <v>0</v>
      </c>
      <c r="L8865">
        <f t="shared" si="276"/>
        <v>6.6</v>
      </c>
      <c r="M8865">
        <f t="shared" si="277"/>
        <v>1</v>
      </c>
    </row>
    <row r="8866" spans="1:13" x14ac:dyDescent="0.3">
      <c r="A8866">
        <v>8864</v>
      </c>
      <c r="B8866">
        <v>8865</v>
      </c>
      <c r="C8866" t="s">
        <v>8944</v>
      </c>
      <c r="D8866">
        <v>2011</v>
      </c>
      <c r="E8866" t="s">
        <v>36</v>
      </c>
      <c r="F8866" t="s">
        <v>758</v>
      </c>
      <c r="G8866">
        <v>0</v>
      </c>
      <c r="H8866">
        <v>0</v>
      </c>
      <c r="I8866">
        <v>0</v>
      </c>
      <c r="J8866">
        <v>1</v>
      </c>
      <c r="K8866">
        <v>0</v>
      </c>
      <c r="L8866">
        <f t="shared" si="276"/>
        <v>6.6</v>
      </c>
      <c r="M8866">
        <f t="shared" si="277"/>
        <v>1</v>
      </c>
    </row>
    <row r="8867" spans="1:13" x14ac:dyDescent="0.3">
      <c r="A8867">
        <v>8865</v>
      </c>
      <c r="B8867">
        <v>8866</v>
      </c>
      <c r="C8867" t="s">
        <v>8945</v>
      </c>
      <c r="D8867">
        <v>2014</v>
      </c>
      <c r="E8867" t="s">
        <v>36</v>
      </c>
      <c r="F8867" t="s">
        <v>758</v>
      </c>
      <c r="G8867">
        <v>0</v>
      </c>
      <c r="H8867">
        <v>0</v>
      </c>
      <c r="I8867">
        <v>0</v>
      </c>
      <c r="J8867">
        <v>1</v>
      </c>
      <c r="K8867">
        <v>0</v>
      </c>
      <c r="L8867">
        <f t="shared" si="276"/>
        <v>6.6</v>
      </c>
      <c r="M8867">
        <f t="shared" si="277"/>
        <v>1</v>
      </c>
    </row>
    <row r="8868" spans="1:13" x14ac:dyDescent="0.3">
      <c r="A8868">
        <v>8866</v>
      </c>
      <c r="B8868">
        <v>8867</v>
      </c>
      <c r="C8868" t="s">
        <v>8946</v>
      </c>
      <c r="D8868">
        <v>2005</v>
      </c>
      <c r="E8868" t="s">
        <v>36</v>
      </c>
      <c r="F8868" t="s">
        <v>758</v>
      </c>
      <c r="G8868">
        <v>0</v>
      </c>
      <c r="H8868">
        <v>0</v>
      </c>
      <c r="I8868">
        <v>0</v>
      </c>
      <c r="J8868">
        <v>1</v>
      </c>
      <c r="K8868">
        <v>0</v>
      </c>
      <c r="L8868">
        <f t="shared" si="276"/>
        <v>6.6</v>
      </c>
      <c r="M8868">
        <f t="shared" si="277"/>
        <v>1</v>
      </c>
    </row>
    <row r="8869" spans="1:13" x14ac:dyDescent="0.3">
      <c r="A8869">
        <v>8867</v>
      </c>
      <c r="B8869">
        <v>8868</v>
      </c>
      <c r="C8869" t="s">
        <v>8947</v>
      </c>
      <c r="D8869">
        <v>1997</v>
      </c>
      <c r="E8869" t="s">
        <v>14</v>
      </c>
      <c r="F8869" t="s">
        <v>758</v>
      </c>
      <c r="G8869">
        <v>0</v>
      </c>
      <c r="H8869">
        <v>0</v>
      </c>
      <c r="I8869">
        <v>0</v>
      </c>
      <c r="J8869">
        <v>1</v>
      </c>
      <c r="K8869">
        <v>0</v>
      </c>
      <c r="L8869">
        <f t="shared" si="276"/>
        <v>6.6</v>
      </c>
      <c r="M8869">
        <f t="shared" si="277"/>
        <v>1</v>
      </c>
    </row>
    <row r="8870" spans="1:13" x14ac:dyDescent="0.3">
      <c r="A8870">
        <v>8868</v>
      </c>
      <c r="B8870">
        <v>8869</v>
      </c>
      <c r="C8870" t="s">
        <v>8948</v>
      </c>
      <c r="D8870">
        <v>1992</v>
      </c>
      <c r="E8870" t="s">
        <v>14</v>
      </c>
      <c r="F8870" t="s">
        <v>758</v>
      </c>
      <c r="G8870">
        <v>0</v>
      </c>
      <c r="H8870">
        <v>0</v>
      </c>
      <c r="I8870">
        <v>0</v>
      </c>
      <c r="J8870">
        <v>1</v>
      </c>
      <c r="K8870">
        <v>0</v>
      </c>
      <c r="L8870">
        <f t="shared" si="276"/>
        <v>6.6</v>
      </c>
      <c r="M8870">
        <f t="shared" si="277"/>
        <v>1</v>
      </c>
    </row>
    <row r="8871" spans="1:13" x14ac:dyDescent="0.3">
      <c r="A8871">
        <v>8869</v>
      </c>
      <c r="B8871">
        <v>8870</v>
      </c>
      <c r="C8871" t="s">
        <v>8949</v>
      </c>
      <c r="D8871">
        <v>1969</v>
      </c>
      <c r="E8871" t="s">
        <v>36</v>
      </c>
      <c r="F8871" t="s">
        <v>758</v>
      </c>
      <c r="G8871">
        <v>0</v>
      </c>
      <c r="H8871">
        <v>0</v>
      </c>
      <c r="I8871">
        <v>0</v>
      </c>
      <c r="J8871">
        <v>1</v>
      </c>
      <c r="K8871">
        <v>0</v>
      </c>
      <c r="L8871">
        <f t="shared" si="276"/>
        <v>6.6</v>
      </c>
      <c r="M8871">
        <f t="shared" si="277"/>
        <v>1</v>
      </c>
    </row>
    <row r="8872" spans="1:13" x14ac:dyDescent="0.3">
      <c r="A8872">
        <v>8870</v>
      </c>
      <c r="B8872">
        <v>8871</v>
      </c>
      <c r="C8872" t="s">
        <v>8950</v>
      </c>
      <c r="D8872">
        <v>1998</v>
      </c>
      <c r="E8872" t="s">
        <v>36</v>
      </c>
      <c r="F8872" t="s">
        <v>758</v>
      </c>
      <c r="G8872">
        <v>0</v>
      </c>
      <c r="H8872">
        <v>0</v>
      </c>
      <c r="I8872">
        <v>0</v>
      </c>
      <c r="J8872">
        <v>1</v>
      </c>
      <c r="K8872">
        <v>0</v>
      </c>
      <c r="L8872">
        <f t="shared" si="276"/>
        <v>6.6</v>
      </c>
      <c r="M8872">
        <f t="shared" si="277"/>
        <v>1</v>
      </c>
    </row>
    <row r="8873" spans="1:13" x14ac:dyDescent="0.3">
      <c r="A8873">
        <v>8871</v>
      </c>
      <c r="B8873">
        <v>8872</v>
      </c>
      <c r="C8873" t="s">
        <v>8951</v>
      </c>
      <c r="D8873">
        <v>1993</v>
      </c>
      <c r="E8873" t="s">
        <v>14</v>
      </c>
      <c r="F8873" t="s">
        <v>758</v>
      </c>
      <c r="G8873">
        <v>0</v>
      </c>
      <c r="H8873">
        <v>0</v>
      </c>
      <c r="I8873">
        <v>0</v>
      </c>
      <c r="J8873">
        <v>1</v>
      </c>
      <c r="K8873">
        <v>0</v>
      </c>
      <c r="L8873">
        <f t="shared" si="276"/>
        <v>6.6</v>
      </c>
      <c r="M8873">
        <f t="shared" si="277"/>
        <v>1</v>
      </c>
    </row>
    <row r="8874" spans="1:13" x14ac:dyDescent="0.3">
      <c r="A8874">
        <v>8872</v>
      </c>
      <c r="B8874">
        <v>8873</v>
      </c>
      <c r="C8874" t="s">
        <v>8952</v>
      </c>
      <c r="D8874">
        <v>1996</v>
      </c>
      <c r="E8874" t="s">
        <v>22</v>
      </c>
      <c r="F8874" t="s">
        <v>758</v>
      </c>
      <c r="G8874">
        <v>0</v>
      </c>
      <c r="H8874">
        <v>0</v>
      </c>
      <c r="I8874">
        <v>0</v>
      </c>
      <c r="J8874">
        <v>1</v>
      </c>
      <c r="K8874">
        <v>0</v>
      </c>
      <c r="L8874">
        <f t="shared" si="276"/>
        <v>6.6</v>
      </c>
      <c r="M8874">
        <f t="shared" si="277"/>
        <v>1</v>
      </c>
    </row>
    <row r="8875" spans="1:13" x14ac:dyDescent="0.3">
      <c r="A8875">
        <v>8873</v>
      </c>
      <c r="B8875">
        <v>8874</v>
      </c>
      <c r="C8875" t="s">
        <v>8953</v>
      </c>
      <c r="D8875">
        <v>2009</v>
      </c>
      <c r="E8875" t="s">
        <v>14</v>
      </c>
      <c r="F8875" t="s">
        <v>758</v>
      </c>
      <c r="G8875">
        <v>0</v>
      </c>
      <c r="H8875">
        <v>0</v>
      </c>
      <c r="I8875">
        <v>0</v>
      </c>
      <c r="J8875">
        <v>1</v>
      </c>
      <c r="K8875">
        <v>0</v>
      </c>
      <c r="L8875">
        <f t="shared" si="276"/>
        <v>6.6</v>
      </c>
      <c r="M8875">
        <f t="shared" si="277"/>
        <v>1</v>
      </c>
    </row>
    <row r="8876" spans="1:13" x14ac:dyDescent="0.3">
      <c r="A8876">
        <v>8874</v>
      </c>
      <c r="B8876">
        <v>8875</v>
      </c>
      <c r="C8876" t="s">
        <v>8954</v>
      </c>
      <c r="D8876">
        <v>2011</v>
      </c>
      <c r="E8876" t="s">
        <v>14</v>
      </c>
      <c r="F8876" t="s">
        <v>758</v>
      </c>
      <c r="G8876">
        <v>0</v>
      </c>
      <c r="H8876">
        <v>0</v>
      </c>
      <c r="I8876">
        <v>0</v>
      </c>
      <c r="J8876">
        <v>1</v>
      </c>
      <c r="K8876">
        <v>0</v>
      </c>
      <c r="L8876">
        <f t="shared" si="276"/>
        <v>6.6</v>
      </c>
      <c r="M8876">
        <f t="shared" si="277"/>
        <v>1</v>
      </c>
    </row>
    <row r="8877" spans="1:13" x14ac:dyDescent="0.3">
      <c r="A8877">
        <v>8875</v>
      </c>
      <c r="B8877">
        <v>8876</v>
      </c>
      <c r="C8877" t="s">
        <v>8955</v>
      </c>
      <c r="D8877">
        <v>2012</v>
      </c>
      <c r="E8877" t="s">
        <v>14</v>
      </c>
      <c r="F8877" t="s">
        <v>758</v>
      </c>
      <c r="G8877">
        <v>0</v>
      </c>
      <c r="H8877">
        <v>0</v>
      </c>
      <c r="I8877">
        <v>0</v>
      </c>
      <c r="J8877">
        <v>1</v>
      </c>
      <c r="K8877">
        <v>0</v>
      </c>
      <c r="L8877">
        <f t="shared" si="276"/>
        <v>6.6</v>
      </c>
      <c r="M8877">
        <f t="shared" si="277"/>
        <v>1</v>
      </c>
    </row>
    <row r="8878" spans="1:13" x14ac:dyDescent="0.3">
      <c r="A8878">
        <v>8876</v>
      </c>
      <c r="B8878">
        <v>8877</v>
      </c>
      <c r="C8878" t="s">
        <v>8956</v>
      </c>
      <c r="D8878">
        <v>1989</v>
      </c>
      <c r="E8878" t="s">
        <v>36</v>
      </c>
      <c r="F8878" t="s">
        <v>758</v>
      </c>
      <c r="G8878">
        <v>0</v>
      </c>
      <c r="H8878">
        <v>0</v>
      </c>
      <c r="I8878">
        <v>0</v>
      </c>
      <c r="J8878">
        <v>1</v>
      </c>
      <c r="K8878">
        <v>0</v>
      </c>
      <c r="L8878">
        <f t="shared" si="276"/>
        <v>6.6</v>
      </c>
      <c r="M8878">
        <f t="shared" si="277"/>
        <v>1</v>
      </c>
    </row>
    <row r="8879" spans="1:13" x14ac:dyDescent="0.3">
      <c r="A8879">
        <v>8877</v>
      </c>
      <c r="B8879">
        <v>8878</v>
      </c>
      <c r="C8879" t="s">
        <v>8957</v>
      </c>
      <c r="D8879">
        <v>2013</v>
      </c>
      <c r="E8879" t="s">
        <v>14</v>
      </c>
      <c r="F8879" t="s">
        <v>758</v>
      </c>
      <c r="G8879">
        <v>0</v>
      </c>
      <c r="H8879">
        <v>0</v>
      </c>
      <c r="I8879">
        <v>0</v>
      </c>
      <c r="J8879">
        <v>1</v>
      </c>
      <c r="K8879">
        <v>0</v>
      </c>
      <c r="L8879">
        <f t="shared" si="276"/>
        <v>6.6</v>
      </c>
      <c r="M8879">
        <f t="shared" si="277"/>
        <v>1</v>
      </c>
    </row>
    <row r="8880" spans="1:13" x14ac:dyDescent="0.3">
      <c r="A8880">
        <v>8878</v>
      </c>
      <c r="B8880">
        <v>8879</v>
      </c>
      <c r="C8880" t="s">
        <v>8958</v>
      </c>
      <c r="D8880">
        <v>1997</v>
      </c>
      <c r="E8880" t="s">
        <v>14</v>
      </c>
      <c r="F8880" t="s">
        <v>758</v>
      </c>
      <c r="G8880">
        <v>0</v>
      </c>
      <c r="H8880">
        <v>0</v>
      </c>
      <c r="I8880">
        <v>0</v>
      </c>
      <c r="J8880">
        <v>1</v>
      </c>
      <c r="K8880">
        <v>0</v>
      </c>
      <c r="L8880">
        <f t="shared" si="276"/>
        <v>6.6</v>
      </c>
      <c r="M8880">
        <f t="shared" si="277"/>
        <v>1</v>
      </c>
    </row>
    <row r="8881" spans="1:13" x14ac:dyDescent="0.3">
      <c r="A8881">
        <v>8879</v>
      </c>
      <c r="B8881">
        <v>8880</v>
      </c>
      <c r="C8881" t="s">
        <v>8959</v>
      </c>
      <c r="D8881">
        <v>2017</v>
      </c>
      <c r="E8881" t="s">
        <v>36</v>
      </c>
      <c r="F8881" t="s">
        <v>758</v>
      </c>
      <c r="G8881">
        <v>0</v>
      </c>
      <c r="H8881">
        <v>0</v>
      </c>
      <c r="I8881">
        <v>0</v>
      </c>
      <c r="J8881">
        <v>1</v>
      </c>
      <c r="K8881">
        <v>0</v>
      </c>
      <c r="L8881">
        <f t="shared" si="276"/>
        <v>6.6</v>
      </c>
      <c r="M8881">
        <f t="shared" si="277"/>
        <v>1</v>
      </c>
    </row>
    <row r="8882" spans="1:13" x14ac:dyDescent="0.3">
      <c r="A8882">
        <v>8880</v>
      </c>
      <c r="B8882">
        <v>8881</v>
      </c>
      <c r="C8882" t="s">
        <v>8960</v>
      </c>
      <c r="D8882">
        <v>1949</v>
      </c>
      <c r="E8882" t="s">
        <v>14</v>
      </c>
      <c r="F8882" t="s">
        <v>814</v>
      </c>
      <c r="G8882">
        <v>0</v>
      </c>
      <c r="H8882">
        <v>0</v>
      </c>
      <c r="I8882">
        <v>0</v>
      </c>
      <c r="J8882">
        <v>1</v>
      </c>
      <c r="K8882">
        <v>0</v>
      </c>
      <c r="L8882">
        <f t="shared" si="276"/>
        <v>6.5</v>
      </c>
      <c r="M8882">
        <f t="shared" si="277"/>
        <v>1</v>
      </c>
    </row>
    <row r="8883" spans="1:13" x14ac:dyDescent="0.3">
      <c r="A8883">
        <v>8881</v>
      </c>
      <c r="B8883">
        <v>8882</v>
      </c>
      <c r="C8883" t="s">
        <v>8961</v>
      </c>
      <c r="D8883">
        <v>1995</v>
      </c>
      <c r="E8883" t="s">
        <v>14</v>
      </c>
      <c r="F8883" t="s">
        <v>814</v>
      </c>
      <c r="G8883">
        <v>0</v>
      </c>
      <c r="H8883">
        <v>0</v>
      </c>
      <c r="I8883">
        <v>0</v>
      </c>
      <c r="J8883">
        <v>1</v>
      </c>
      <c r="K8883">
        <v>0</v>
      </c>
      <c r="L8883">
        <f t="shared" si="276"/>
        <v>6.5</v>
      </c>
      <c r="M8883">
        <f t="shared" si="277"/>
        <v>1</v>
      </c>
    </row>
    <row r="8884" spans="1:13" x14ac:dyDescent="0.3">
      <c r="A8884">
        <v>8882</v>
      </c>
      <c r="B8884">
        <v>8883</v>
      </c>
      <c r="C8884" t="s">
        <v>8962</v>
      </c>
      <c r="D8884">
        <v>2003</v>
      </c>
      <c r="E8884" t="s">
        <v>14</v>
      </c>
      <c r="F8884" t="s">
        <v>814</v>
      </c>
      <c r="G8884">
        <v>0</v>
      </c>
      <c r="H8884">
        <v>0</v>
      </c>
      <c r="I8884">
        <v>0</v>
      </c>
      <c r="J8884">
        <v>1</v>
      </c>
      <c r="K8884">
        <v>0</v>
      </c>
      <c r="L8884">
        <f t="shared" si="276"/>
        <v>6.5</v>
      </c>
      <c r="M8884">
        <f t="shared" si="277"/>
        <v>1</v>
      </c>
    </row>
    <row r="8885" spans="1:13" x14ac:dyDescent="0.3">
      <c r="A8885">
        <v>8883</v>
      </c>
      <c r="B8885">
        <v>8884</v>
      </c>
      <c r="C8885" t="s">
        <v>8963</v>
      </c>
      <c r="D8885">
        <v>1981</v>
      </c>
      <c r="E8885" t="s">
        <v>36</v>
      </c>
      <c r="F8885" t="s">
        <v>814</v>
      </c>
      <c r="G8885">
        <v>0</v>
      </c>
      <c r="H8885">
        <v>0</v>
      </c>
      <c r="I8885">
        <v>0</v>
      </c>
      <c r="J8885">
        <v>1</v>
      </c>
      <c r="K8885">
        <v>0</v>
      </c>
      <c r="L8885">
        <f t="shared" si="276"/>
        <v>6.5</v>
      </c>
      <c r="M8885">
        <f t="shared" si="277"/>
        <v>1</v>
      </c>
    </row>
    <row r="8886" spans="1:13" x14ac:dyDescent="0.3">
      <c r="A8886">
        <v>8884</v>
      </c>
      <c r="B8886">
        <v>8885</v>
      </c>
      <c r="C8886" t="s">
        <v>8964</v>
      </c>
      <c r="D8886">
        <v>2005</v>
      </c>
      <c r="E8886" t="s">
        <v>14</v>
      </c>
      <c r="F8886" t="s">
        <v>814</v>
      </c>
      <c r="G8886">
        <v>0</v>
      </c>
      <c r="H8886">
        <v>0</v>
      </c>
      <c r="I8886">
        <v>0</v>
      </c>
      <c r="J8886">
        <v>1</v>
      </c>
      <c r="K8886">
        <v>0</v>
      </c>
      <c r="L8886">
        <f t="shared" si="276"/>
        <v>6.5</v>
      </c>
      <c r="M8886">
        <f t="shared" si="277"/>
        <v>1</v>
      </c>
    </row>
    <row r="8887" spans="1:13" x14ac:dyDescent="0.3">
      <c r="A8887">
        <v>8885</v>
      </c>
      <c r="B8887">
        <v>8886</v>
      </c>
      <c r="C8887" t="s">
        <v>8965</v>
      </c>
      <c r="D8887">
        <v>2010</v>
      </c>
      <c r="E8887" t="s">
        <v>14</v>
      </c>
      <c r="F8887" t="s">
        <v>814</v>
      </c>
      <c r="G8887">
        <v>0</v>
      </c>
      <c r="H8887">
        <v>0</v>
      </c>
      <c r="I8887">
        <v>0</v>
      </c>
      <c r="J8887">
        <v>1</v>
      </c>
      <c r="K8887">
        <v>0</v>
      </c>
      <c r="L8887">
        <f t="shared" si="276"/>
        <v>6.5</v>
      </c>
      <c r="M8887">
        <f t="shared" si="277"/>
        <v>1</v>
      </c>
    </row>
    <row r="8888" spans="1:13" x14ac:dyDescent="0.3">
      <c r="A8888">
        <v>8886</v>
      </c>
      <c r="B8888">
        <v>8887</v>
      </c>
      <c r="C8888" t="s">
        <v>8966</v>
      </c>
      <c r="D8888">
        <v>2017</v>
      </c>
      <c r="E8888" t="s">
        <v>36</v>
      </c>
      <c r="F8888" t="s">
        <v>814</v>
      </c>
      <c r="G8888">
        <v>0</v>
      </c>
      <c r="H8888">
        <v>0</v>
      </c>
      <c r="I8888">
        <v>0</v>
      </c>
      <c r="J8888">
        <v>1</v>
      </c>
      <c r="K8888">
        <v>0</v>
      </c>
      <c r="L8888">
        <f t="shared" si="276"/>
        <v>6.5</v>
      </c>
      <c r="M8888">
        <f t="shared" si="277"/>
        <v>1</v>
      </c>
    </row>
    <row r="8889" spans="1:13" x14ac:dyDescent="0.3">
      <c r="A8889">
        <v>8887</v>
      </c>
      <c r="B8889">
        <v>8888</v>
      </c>
      <c r="C8889" t="s">
        <v>8967</v>
      </c>
      <c r="D8889">
        <v>2002</v>
      </c>
      <c r="E8889" t="s">
        <v>36</v>
      </c>
      <c r="F8889" t="s">
        <v>814</v>
      </c>
      <c r="G8889">
        <v>0</v>
      </c>
      <c r="H8889">
        <v>0</v>
      </c>
      <c r="I8889">
        <v>0</v>
      </c>
      <c r="J8889">
        <v>1</v>
      </c>
      <c r="K8889">
        <v>0</v>
      </c>
      <c r="L8889">
        <f t="shared" si="276"/>
        <v>6.5</v>
      </c>
      <c r="M8889">
        <f t="shared" si="277"/>
        <v>1</v>
      </c>
    </row>
    <row r="8890" spans="1:13" x14ac:dyDescent="0.3">
      <c r="A8890">
        <v>8888</v>
      </c>
      <c r="B8890">
        <v>8889</v>
      </c>
      <c r="C8890" t="s">
        <v>8968</v>
      </c>
      <c r="D8890">
        <v>1955</v>
      </c>
      <c r="E8890" t="s">
        <v>36</v>
      </c>
      <c r="F8890" t="s">
        <v>814</v>
      </c>
      <c r="G8890">
        <v>0</v>
      </c>
      <c r="H8890">
        <v>0</v>
      </c>
      <c r="I8890">
        <v>0</v>
      </c>
      <c r="J8890">
        <v>1</v>
      </c>
      <c r="K8890">
        <v>0</v>
      </c>
      <c r="L8890">
        <f t="shared" si="276"/>
        <v>6.5</v>
      </c>
      <c r="M8890">
        <f t="shared" si="277"/>
        <v>1</v>
      </c>
    </row>
    <row r="8891" spans="1:13" x14ac:dyDescent="0.3">
      <c r="A8891">
        <v>8889</v>
      </c>
      <c r="B8891">
        <v>8890</v>
      </c>
      <c r="C8891" t="s">
        <v>8969</v>
      </c>
      <c r="D8891">
        <v>1994</v>
      </c>
      <c r="E8891" t="s">
        <v>14</v>
      </c>
      <c r="F8891" t="s">
        <v>814</v>
      </c>
      <c r="G8891">
        <v>0</v>
      </c>
      <c r="H8891">
        <v>0</v>
      </c>
      <c r="I8891">
        <v>0</v>
      </c>
      <c r="J8891">
        <v>1</v>
      </c>
      <c r="K8891">
        <v>0</v>
      </c>
      <c r="L8891">
        <f t="shared" si="276"/>
        <v>6.5</v>
      </c>
      <c r="M8891">
        <f t="shared" si="277"/>
        <v>1</v>
      </c>
    </row>
    <row r="8892" spans="1:13" x14ac:dyDescent="0.3">
      <c r="A8892">
        <v>8890</v>
      </c>
      <c r="B8892">
        <v>8891</v>
      </c>
      <c r="C8892" t="s">
        <v>8970</v>
      </c>
      <c r="D8892">
        <v>2004</v>
      </c>
      <c r="E8892" t="s">
        <v>36</v>
      </c>
      <c r="F8892" t="s">
        <v>814</v>
      </c>
      <c r="G8892">
        <v>0</v>
      </c>
      <c r="H8892">
        <v>0</v>
      </c>
      <c r="I8892">
        <v>0</v>
      </c>
      <c r="J8892">
        <v>1</v>
      </c>
      <c r="K8892">
        <v>0</v>
      </c>
      <c r="L8892">
        <f t="shared" si="276"/>
        <v>6.5</v>
      </c>
      <c r="M8892">
        <f t="shared" si="277"/>
        <v>1</v>
      </c>
    </row>
    <row r="8893" spans="1:13" x14ac:dyDescent="0.3">
      <c r="A8893">
        <v>8891</v>
      </c>
      <c r="B8893">
        <v>8892</v>
      </c>
      <c r="C8893" t="s">
        <v>8971</v>
      </c>
      <c r="D8893">
        <v>2007</v>
      </c>
      <c r="E8893" t="s">
        <v>36</v>
      </c>
      <c r="F8893" t="s">
        <v>814</v>
      </c>
      <c r="G8893">
        <v>0</v>
      </c>
      <c r="H8893">
        <v>0</v>
      </c>
      <c r="I8893">
        <v>0</v>
      </c>
      <c r="J8893">
        <v>1</v>
      </c>
      <c r="K8893">
        <v>0</v>
      </c>
      <c r="L8893">
        <f t="shared" si="276"/>
        <v>6.5</v>
      </c>
      <c r="M8893">
        <f t="shared" si="277"/>
        <v>1</v>
      </c>
    </row>
    <row r="8894" spans="1:13" x14ac:dyDescent="0.3">
      <c r="A8894">
        <v>8892</v>
      </c>
      <c r="B8894">
        <v>8893</v>
      </c>
      <c r="C8894" t="s">
        <v>8972</v>
      </c>
      <c r="D8894">
        <v>2015</v>
      </c>
      <c r="E8894" t="s">
        <v>36</v>
      </c>
      <c r="F8894" t="s">
        <v>814</v>
      </c>
      <c r="G8894">
        <v>0</v>
      </c>
      <c r="H8894">
        <v>0</v>
      </c>
      <c r="I8894">
        <v>0</v>
      </c>
      <c r="J8894">
        <v>1</v>
      </c>
      <c r="K8894">
        <v>0</v>
      </c>
      <c r="L8894">
        <f t="shared" si="276"/>
        <v>6.5</v>
      </c>
      <c r="M8894">
        <f t="shared" si="277"/>
        <v>1</v>
      </c>
    </row>
    <row r="8895" spans="1:13" x14ac:dyDescent="0.3">
      <c r="A8895">
        <v>8893</v>
      </c>
      <c r="B8895">
        <v>8894</v>
      </c>
      <c r="C8895" t="s">
        <v>8973</v>
      </c>
      <c r="D8895">
        <v>1999</v>
      </c>
      <c r="E8895" t="s">
        <v>36</v>
      </c>
      <c r="F8895" t="s">
        <v>814</v>
      </c>
      <c r="G8895">
        <v>0</v>
      </c>
      <c r="H8895">
        <v>0</v>
      </c>
      <c r="I8895">
        <v>0</v>
      </c>
      <c r="J8895">
        <v>1</v>
      </c>
      <c r="K8895">
        <v>0</v>
      </c>
      <c r="L8895">
        <f t="shared" si="276"/>
        <v>6.5</v>
      </c>
      <c r="M8895">
        <f t="shared" si="277"/>
        <v>1</v>
      </c>
    </row>
    <row r="8896" spans="1:13" x14ac:dyDescent="0.3">
      <c r="A8896">
        <v>8894</v>
      </c>
      <c r="B8896">
        <v>8895</v>
      </c>
      <c r="C8896" t="s">
        <v>8974</v>
      </c>
      <c r="D8896">
        <v>1957</v>
      </c>
      <c r="E8896" t="s">
        <v>36</v>
      </c>
      <c r="F8896" t="s">
        <v>814</v>
      </c>
      <c r="G8896">
        <v>0</v>
      </c>
      <c r="H8896">
        <v>0</v>
      </c>
      <c r="I8896">
        <v>0</v>
      </c>
      <c r="J8896">
        <v>1</v>
      </c>
      <c r="K8896">
        <v>0</v>
      </c>
      <c r="L8896">
        <f t="shared" si="276"/>
        <v>6.5</v>
      </c>
      <c r="M8896">
        <f t="shared" si="277"/>
        <v>1</v>
      </c>
    </row>
    <row r="8897" spans="1:13" x14ac:dyDescent="0.3">
      <c r="A8897">
        <v>8895</v>
      </c>
      <c r="B8897">
        <v>8896</v>
      </c>
      <c r="C8897" t="s">
        <v>8975</v>
      </c>
      <c r="D8897">
        <v>2003</v>
      </c>
      <c r="E8897" t="s">
        <v>36</v>
      </c>
      <c r="F8897" t="s">
        <v>814</v>
      </c>
      <c r="G8897">
        <v>0</v>
      </c>
      <c r="H8897">
        <v>0</v>
      </c>
      <c r="I8897">
        <v>0</v>
      </c>
      <c r="J8897">
        <v>1</v>
      </c>
      <c r="K8897">
        <v>0</v>
      </c>
      <c r="L8897">
        <f t="shared" si="276"/>
        <v>6.5</v>
      </c>
      <c r="M8897">
        <f t="shared" si="277"/>
        <v>1</v>
      </c>
    </row>
    <row r="8898" spans="1:13" x14ac:dyDescent="0.3">
      <c r="A8898">
        <v>8896</v>
      </c>
      <c r="B8898">
        <v>8897</v>
      </c>
      <c r="C8898" t="s">
        <v>8976</v>
      </c>
      <c r="D8898">
        <v>2005</v>
      </c>
      <c r="E8898" t="s">
        <v>14</v>
      </c>
      <c r="F8898" t="s">
        <v>814</v>
      </c>
      <c r="G8898">
        <v>0</v>
      </c>
      <c r="H8898">
        <v>0</v>
      </c>
      <c r="I8898">
        <v>0</v>
      </c>
      <c r="J8898">
        <v>1</v>
      </c>
      <c r="K8898">
        <v>0</v>
      </c>
      <c r="L8898">
        <f t="shared" si="276"/>
        <v>6.5</v>
      </c>
      <c r="M8898">
        <f t="shared" si="277"/>
        <v>1</v>
      </c>
    </row>
    <row r="8899" spans="1:13" x14ac:dyDescent="0.3">
      <c r="A8899">
        <v>8897</v>
      </c>
      <c r="B8899">
        <v>8898</v>
      </c>
      <c r="C8899" t="s">
        <v>8977</v>
      </c>
      <c r="D8899">
        <v>2018</v>
      </c>
      <c r="E8899" t="s">
        <v>14</v>
      </c>
      <c r="F8899" t="s">
        <v>814</v>
      </c>
      <c r="G8899">
        <v>0</v>
      </c>
      <c r="H8899">
        <v>0</v>
      </c>
      <c r="I8899">
        <v>0</v>
      </c>
      <c r="J8899">
        <v>1</v>
      </c>
      <c r="K8899">
        <v>0</v>
      </c>
      <c r="L8899">
        <f t="shared" ref="L8899:L8962" si="278">IFERROR(VALUE(LEFT(F8899,FIND("/",F8899)-1))/10,"")</f>
        <v>6.5</v>
      </c>
      <c r="M8899">
        <f t="shared" ref="M8899:M8962" si="279">SUM(G8899:J8899)</f>
        <v>1</v>
      </c>
    </row>
    <row r="8900" spans="1:13" x14ac:dyDescent="0.3">
      <c r="A8900">
        <v>8898</v>
      </c>
      <c r="B8900">
        <v>8899</v>
      </c>
      <c r="C8900" t="s">
        <v>8978</v>
      </c>
      <c r="D8900">
        <v>2011</v>
      </c>
      <c r="E8900" t="s">
        <v>36</v>
      </c>
      <c r="F8900" t="s">
        <v>814</v>
      </c>
      <c r="G8900">
        <v>0</v>
      </c>
      <c r="H8900">
        <v>0</v>
      </c>
      <c r="I8900">
        <v>0</v>
      </c>
      <c r="J8900">
        <v>1</v>
      </c>
      <c r="K8900">
        <v>0</v>
      </c>
      <c r="L8900">
        <f t="shared" si="278"/>
        <v>6.5</v>
      </c>
      <c r="M8900">
        <f t="shared" si="279"/>
        <v>1</v>
      </c>
    </row>
    <row r="8901" spans="1:13" x14ac:dyDescent="0.3">
      <c r="A8901">
        <v>8899</v>
      </c>
      <c r="B8901">
        <v>8900</v>
      </c>
      <c r="C8901" t="s">
        <v>8979</v>
      </c>
      <c r="D8901">
        <v>2021</v>
      </c>
      <c r="E8901" t="s">
        <v>36</v>
      </c>
      <c r="F8901" t="s">
        <v>876</v>
      </c>
      <c r="G8901">
        <v>0</v>
      </c>
      <c r="H8901">
        <v>0</v>
      </c>
      <c r="I8901">
        <v>0</v>
      </c>
      <c r="J8901">
        <v>1</v>
      </c>
      <c r="K8901">
        <v>0</v>
      </c>
      <c r="L8901">
        <f t="shared" si="278"/>
        <v>6.4</v>
      </c>
      <c r="M8901">
        <f t="shared" si="279"/>
        <v>1</v>
      </c>
    </row>
    <row r="8902" spans="1:13" x14ac:dyDescent="0.3">
      <c r="A8902">
        <v>8900</v>
      </c>
      <c r="B8902">
        <v>8901</v>
      </c>
      <c r="C8902" t="s">
        <v>8980</v>
      </c>
      <c r="D8902">
        <v>2019</v>
      </c>
      <c r="E8902" t="s">
        <v>14</v>
      </c>
      <c r="F8902" t="s">
        <v>876</v>
      </c>
      <c r="G8902">
        <v>0</v>
      </c>
      <c r="H8902">
        <v>0</v>
      </c>
      <c r="I8902">
        <v>0</v>
      </c>
      <c r="J8902">
        <v>1</v>
      </c>
      <c r="K8902">
        <v>0</v>
      </c>
      <c r="L8902">
        <f t="shared" si="278"/>
        <v>6.4</v>
      </c>
      <c r="M8902">
        <f t="shared" si="279"/>
        <v>1</v>
      </c>
    </row>
    <row r="8903" spans="1:13" x14ac:dyDescent="0.3">
      <c r="A8903">
        <v>8901</v>
      </c>
      <c r="B8903">
        <v>8902</v>
      </c>
      <c r="C8903" t="s">
        <v>8981</v>
      </c>
      <c r="D8903">
        <v>1994</v>
      </c>
      <c r="E8903" t="s">
        <v>36</v>
      </c>
      <c r="F8903" t="s">
        <v>876</v>
      </c>
      <c r="G8903">
        <v>0</v>
      </c>
      <c r="H8903">
        <v>0</v>
      </c>
      <c r="I8903">
        <v>0</v>
      </c>
      <c r="J8903">
        <v>1</v>
      </c>
      <c r="K8903">
        <v>0</v>
      </c>
      <c r="L8903">
        <f t="shared" si="278"/>
        <v>6.4</v>
      </c>
      <c r="M8903">
        <f t="shared" si="279"/>
        <v>1</v>
      </c>
    </row>
    <row r="8904" spans="1:13" x14ac:dyDescent="0.3">
      <c r="A8904">
        <v>8902</v>
      </c>
      <c r="B8904">
        <v>8903</v>
      </c>
      <c r="C8904" t="s">
        <v>8982</v>
      </c>
      <c r="D8904">
        <v>2021</v>
      </c>
      <c r="E8904" t="s">
        <v>14</v>
      </c>
      <c r="F8904" t="s">
        <v>876</v>
      </c>
      <c r="G8904">
        <v>0</v>
      </c>
      <c r="H8904">
        <v>0</v>
      </c>
      <c r="I8904">
        <v>0</v>
      </c>
      <c r="J8904">
        <v>1</v>
      </c>
      <c r="K8904">
        <v>0</v>
      </c>
      <c r="L8904">
        <f t="shared" si="278"/>
        <v>6.4</v>
      </c>
      <c r="M8904">
        <f t="shared" si="279"/>
        <v>1</v>
      </c>
    </row>
    <row r="8905" spans="1:13" x14ac:dyDescent="0.3">
      <c r="A8905">
        <v>8903</v>
      </c>
      <c r="B8905">
        <v>8904</v>
      </c>
      <c r="C8905" t="s">
        <v>8983</v>
      </c>
      <c r="D8905">
        <v>1959</v>
      </c>
      <c r="E8905" t="s">
        <v>36</v>
      </c>
      <c r="F8905" t="s">
        <v>876</v>
      </c>
      <c r="G8905">
        <v>0</v>
      </c>
      <c r="H8905">
        <v>0</v>
      </c>
      <c r="I8905">
        <v>0</v>
      </c>
      <c r="J8905">
        <v>1</v>
      </c>
      <c r="K8905">
        <v>0</v>
      </c>
      <c r="L8905">
        <f t="shared" si="278"/>
        <v>6.4</v>
      </c>
      <c r="M8905">
        <f t="shared" si="279"/>
        <v>1</v>
      </c>
    </row>
    <row r="8906" spans="1:13" x14ac:dyDescent="0.3">
      <c r="A8906">
        <v>8904</v>
      </c>
      <c r="B8906">
        <v>8905</v>
      </c>
      <c r="C8906" t="s">
        <v>8984</v>
      </c>
      <c r="D8906">
        <v>2018</v>
      </c>
      <c r="F8906" t="s">
        <v>876</v>
      </c>
      <c r="G8906">
        <v>0</v>
      </c>
      <c r="H8906">
        <v>0</v>
      </c>
      <c r="I8906">
        <v>0</v>
      </c>
      <c r="J8906">
        <v>1</v>
      </c>
      <c r="K8906">
        <v>0</v>
      </c>
      <c r="L8906">
        <f t="shared" si="278"/>
        <v>6.4</v>
      </c>
      <c r="M8906">
        <f t="shared" si="279"/>
        <v>1</v>
      </c>
    </row>
    <row r="8907" spans="1:13" x14ac:dyDescent="0.3">
      <c r="A8907">
        <v>8905</v>
      </c>
      <c r="B8907">
        <v>8906</v>
      </c>
      <c r="C8907" t="s">
        <v>8985</v>
      </c>
      <c r="D8907">
        <v>1986</v>
      </c>
      <c r="E8907" t="s">
        <v>36</v>
      </c>
      <c r="F8907" t="s">
        <v>876</v>
      </c>
      <c r="G8907">
        <v>0</v>
      </c>
      <c r="H8907">
        <v>0</v>
      </c>
      <c r="I8907">
        <v>0</v>
      </c>
      <c r="J8907">
        <v>1</v>
      </c>
      <c r="K8907">
        <v>0</v>
      </c>
      <c r="L8907">
        <f t="shared" si="278"/>
        <v>6.4</v>
      </c>
      <c r="M8907">
        <f t="shared" si="279"/>
        <v>1</v>
      </c>
    </row>
    <row r="8908" spans="1:13" x14ac:dyDescent="0.3">
      <c r="A8908">
        <v>8906</v>
      </c>
      <c r="B8908">
        <v>8907</v>
      </c>
      <c r="C8908" t="s">
        <v>8986</v>
      </c>
      <c r="D8908">
        <v>1985</v>
      </c>
      <c r="E8908" t="s">
        <v>36</v>
      </c>
      <c r="F8908" t="s">
        <v>876</v>
      </c>
      <c r="G8908">
        <v>0</v>
      </c>
      <c r="H8908">
        <v>0</v>
      </c>
      <c r="I8908">
        <v>0</v>
      </c>
      <c r="J8908">
        <v>1</v>
      </c>
      <c r="K8908">
        <v>0</v>
      </c>
      <c r="L8908">
        <f t="shared" si="278"/>
        <v>6.4</v>
      </c>
      <c r="M8908">
        <f t="shared" si="279"/>
        <v>1</v>
      </c>
    </row>
    <row r="8909" spans="1:13" x14ac:dyDescent="0.3">
      <c r="A8909">
        <v>8907</v>
      </c>
      <c r="B8909">
        <v>8908</v>
      </c>
      <c r="C8909" t="s">
        <v>8987</v>
      </c>
      <c r="D8909">
        <v>2010</v>
      </c>
      <c r="E8909" t="s">
        <v>36</v>
      </c>
      <c r="F8909" t="s">
        <v>876</v>
      </c>
      <c r="G8909">
        <v>0</v>
      </c>
      <c r="H8909">
        <v>0</v>
      </c>
      <c r="I8909">
        <v>0</v>
      </c>
      <c r="J8909">
        <v>1</v>
      </c>
      <c r="K8909">
        <v>0</v>
      </c>
      <c r="L8909">
        <f t="shared" si="278"/>
        <v>6.4</v>
      </c>
      <c r="M8909">
        <f t="shared" si="279"/>
        <v>1</v>
      </c>
    </row>
    <row r="8910" spans="1:13" x14ac:dyDescent="0.3">
      <c r="A8910">
        <v>8908</v>
      </c>
      <c r="B8910">
        <v>8909</v>
      </c>
      <c r="C8910" t="s">
        <v>8988</v>
      </c>
      <c r="D8910">
        <v>2019</v>
      </c>
      <c r="E8910" t="s">
        <v>14</v>
      </c>
      <c r="F8910" t="s">
        <v>876</v>
      </c>
      <c r="G8910">
        <v>0</v>
      </c>
      <c r="H8910">
        <v>0</v>
      </c>
      <c r="I8910">
        <v>0</v>
      </c>
      <c r="J8910">
        <v>1</v>
      </c>
      <c r="K8910">
        <v>0</v>
      </c>
      <c r="L8910">
        <f t="shared" si="278"/>
        <v>6.4</v>
      </c>
      <c r="M8910">
        <f t="shared" si="279"/>
        <v>1</v>
      </c>
    </row>
    <row r="8911" spans="1:13" x14ac:dyDescent="0.3">
      <c r="A8911">
        <v>8909</v>
      </c>
      <c r="B8911">
        <v>8910</v>
      </c>
      <c r="C8911" t="s">
        <v>8989</v>
      </c>
      <c r="D8911">
        <v>1928</v>
      </c>
      <c r="E8911" t="s">
        <v>36</v>
      </c>
      <c r="F8911" t="s">
        <v>876</v>
      </c>
      <c r="G8911">
        <v>0</v>
      </c>
      <c r="H8911">
        <v>0</v>
      </c>
      <c r="I8911">
        <v>0</v>
      </c>
      <c r="J8911">
        <v>1</v>
      </c>
      <c r="K8911">
        <v>0</v>
      </c>
      <c r="L8911">
        <f t="shared" si="278"/>
        <v>6.4</v>
      </c>
      <c r="M8911">
        <f t="shared" si="279"/>
        <v>1</v>
      </c>
    </row>
    <row r="8912" spans="1:13" x14ac:dyDescent="0.3">
      <c r="A8912">
        <v>8910</v>
      </c>
      <c r="B8912">
        <v>8911</v>
      </c>
      <c r="C8912" t="s">
        <v>8990</v>
      </c>
      <c r="D8912">
        <v>2003</v>
      </c>
      <c r="E8912" t="s">
        <v>14</v>
      </c>
      <c r="F8912" t="s">
        <v>876</v>
      </c>
      <c r="G8912">
        <v>0</v>
      </c>
      <c r="H8912">
        <v>0</v>
      </c>
      <c r="I8912">
        <v>0</v>
      </c>
      <c r="J8912">
        <v>1</v>
      </c>
      <c r="K8912">
        <v>0</v>
      </c>
      <c r="L8912">
        <f t="shared" si="278"/>
        <v>6.4</v>
      </c>
      <c r="M8912">
        <f t="shared" si="279"/>
        <v>1</v>
      </c>
    </row>
    <row r="8913" spans="1:13" x14ac:dyDescent="0.3">
      <c r="A8913">
        <v>8911</v>
      </c>
      <c r="B8913">
        <v>8912</v>
      </c>
      <c r="C8913" t="s">
        <v>8991</v>
      </c>
      <c r="D8913">
        <v>2002</v>
      </c>
      <c r="E8913" t="s">
        <v>14</v>
      </c>
      <c r="F8913" t="s">
        <v>876</v>
      </c>
      <c r="G8913">
        <v>0</v>
      </c>
      <c r="H8913">
        <v>0</v>
      </c>
      <c r="I8913">
        <v>0</v>
      </c>
      <c r="J8913">
        <v>1</v>
      </c>
      <c r="K8913">
        <v>0</v>
      </c>
      <c r="L8913">
        <f t="shared" si="278"/>
        <v>6.4</v>
      </c>
      <c r="M8913">
        <f t="shared" si="279"/>
        <v>1</v>
      </c>
    </row>
    <row r="8914" spans="1:13" x14ac:dyDescent="0.3">
      <c r="A8914">
        <v>8912</v>
      </c>
      <c r="B8914">
        <v>8913</v>
      </c>
      <c r="C8914" t="s">
        <v>8992</v>
      </c>
      <c r="D8914">
        <v>2012</v>
      </c>
      <c r="E8914" t="s">
        <v>22</v>
      </c>
      <c r="F8914" t="s">
        <v>876</v>
      </c>
      <c r="G8914">
        <v>0</v>
      </c>
      <c r="H8914">
        <v>0</v>
      </c>
      <c r="I8914">
        <v>0</v>
      </c>
      <c r="J8914">
        <v>1</v>
      </c>
      <c r="K8914">
        <v>0</v>
      </c>
      <c r="L8914">
        <f t="shared" si="278"/>
        <v>6.4</v>
      </c>
      <c r="M8914">
        <f t="shared" si="279"/>
        <v>1</v>
      </c>
    </row>
    <row r="8915" spans="1:13" x14ac:dyDescent="0.3">
      <c r="A8915">
        <v>8913</v>
      </c>
      <c r="B8915">
        <v>8914</v>
      </c>
      <c r="C8915" t="s">
        <v>8993</v>
      </c>
      <c r="D8915">
        <v>2020</v>
      </c>
      <c r="E8915" t="s">
        <v>14</v>
      </c>
      <c r="F8915" t="s">
        <v>876</v>
      </c>
      <c r="G8915">
        <v>0</v>
      </c>
      <c r="H8915">
        <v>0</v>
      </c>
      <c r="I8915">
        <v>0</v>
      </c>
      <c r="J8915">
        <v>1</v>
      </c>
      <c r="K8915">
        <v>0</v>
      </c>
      <c r="L8915">
        <f t="shared" si="278"/>
        <v>6.4</v>
      </c>
      <c r="M8915">
        <f t="shared" si="279"/>
        <v>1</v>
      </c>
    </row>
    <row r="8916" spans="1:13" x14ac:dyDescent="0.3">
      <c r="A8916">
        <v>8914</v>
      </c>
      <c r="B8916">
        <v>8915</v>
      </c>
      <c r="C8916" t="s">
        <v>8994</v>
      </c>
      <c r="D8916">
        <v>2021</v>
      </c>
      <c r="E8916" t="s">
        <v>36</v>
      </c>
      <c r="F8916" t="s">
        <v>876</v>
      </c>
      <c r="G8916">
        <v>0</v>
      </c>
      <c r="H8916">
        <v>0</v>
      </c>
      <c r="I8916">
        <v>0</v>
      </c>
      <c r="J8916">
        <v>1</v>
      </c>
      <c r="K8916">
        <v>0</v>
      </c>
      <c r="L8916">
        <f t="shared" si="278"/>
        <v>6.4</v>
      </c>
      <c r="M8916">
        <f t="shared" si="279"/>
        <v>1</v>
      </c>
    </row>
    <row r="8917" spans="1:13" x14ac:dyDescent="0.3">
      <c r="A8917">
        <v>8915</v>
      </c>
      <c r="B8917">
        <v>8916</v>
      </c>
      <c r="C8917" t="s">
        <v>8995</v>
      </c>
      <c r="D8917">
        <v>2003</v>
      </c>
      <c r="E8917" t="s">
        <v>14</v>
      </c>
      <c r="F8917" t="s">
        <v>876</v>
      </c>
      <c r="G8917">
        <v>0</v>
      </c>
      <c r="H8917">
        <v>0</v>
      </c>
      <c r="I8917">
        <v>0</v>
      </c>
      <c r="J8917">
        <v>1</v>
      </c>
      <c r="K8917">
        <v>0</v>
      </c>
      <c r="L8917">
        <f t="shared" si="278"/>
        <v>6.4</v>
      </c>
      <c r="M8917">
        <f t="shared" si="279"/>
        <v>1</v>
      </c>
    </row>
    <row r="8918" spans="1:13" x14ac:dyDescent="0.3">
      <c r="A8918">
        <v>8916</v>
      </c>
      <c r="B8918">
        <v>8917</v>
      </c>
      <c r="C8918" t="s">
        <v>8996</v>
      </c>
      <c r="D8918">
        <v>2005</v>
      </c>
      <c r="E8918" t="s">
        <v>36</v>
      </c>
      <c r="F8918" t="s">
        <v>876</v>
      </c>
      <c r="G8918">
        <v>0</v>
      </c>
      <c r="H8918">
        <v>0</v>
      </c>
      <c r="I8918">
        <v>0</v>
      </c>
      <c r="J8918">
        <v>1</v>
      </c>
      <c r="K8918">
        <v>0</v>
      </c>
      <c r="L8918">
        <f t="shared" si="278"/>
        <v>6.4</v>
      </c>
      <c r="M8918">
        <f t="shared" si="279"/>
        <v>1</v>
      </c>
    </row>
    <row r="8919" spans="1:13" x14ac:dyDescent="0.3">
      <c r="A8919">
        <v>8917</v>
      </c>
      <c r="B8919">
        <v>8918</v>
      </c>
      <c r="C8919" t="s">
        <v>8997</v>
      </c>
      <c r="D8919">
        <v>2008</v>
      </c>
      <c r="E8919" t="s">
        <v>36</v>
      </c>
      <c r="F8919" t="s">
        <v>876</v>
      </c>
      <c r="G8919">
        <v>0</v>
      </c>
      <c r="H8919">
        <v>0</v>
      </c>
      <c r="I8919">
        <v>0</v>
      </c>
      <c r="J8919">
        <v>1</v>
      </c>
      <c r="K8919">
        <v>0</v>
      </c>
      <c r="L8919">
        <f t="shared" si="278"/>
        <v>6.4</v>
      </c>
      <c r="M8919">
        <f t="shared" si="279"/>
        <v>1</v>
      </c>
    </row>
    <row r="8920" spans="1:13" x14ac:dyDescent="0.3">
      <c r="A8920">
        <v>8918</v>
      </c>
      <c r="B8920">
        <v>8919</v>
      </c>
      <c r="C8920" t="s">
        <v>8998</v>
      </c>
      <c r="D8920">
        <v>2017</v>
      </c>
      <c r="E8920" t="s">
        <v>14</v>
      </c>
      <c r="F8920" t="s">
        <v>876</v>
      </c>
      <c r="G8920">
        <v>0</v>
      </c>
      <c r="H8920">
        <v>0</v>
      </c>
      <c r="I8920">
        <v>0</v>
      </c>
      <c r="J8920">
        <v>1</v>
      </c>
      <c r="K8920">
        <v>0</v>
      </c>
      <c r="L8920">
        <f t="shared" si="278"/>
        <v>6.4</v>
      </c>
      <c r="M8920">
        <f t="shared" si="279"/>
        <v>1</v>
      </c>
    </row>
    <row r="8921" spans="1:13" x14ac:dyDescent="0.3">
      <c r="A8921">
        <v>8919</v>
      </c>
      <c r="B8921">
        <v>8920</v>
      </c>
      <c r="C8921" t="s">
        <v>8999</v>
      </c>
      <c r="D8921">
        <v>2003</v>
      </c>
      <c r="E8921" t="s">
        <v>36</v>
      </c>
      <c r="F8921" t="s">
        <v>876</v>
      </c>
      <c r="G8921">
        <v>0</v>
      </c>
      <c r="H8921">
        <v>0</v>
      </c>
      <c r="I8921">
        <v>0</v>
      </c>
      <c r="J8921">
        <v>1</v>
      </c>
      <c r="K8921">
        <v>0</v>
      </c>
      <c r="L8921">
        <f t="shared" si="278"/>
        <v>6.4</v>
      </c>
      <c r="M8921">
        <f t="shared" si="279"/>
        <v>1</v>
      </c>
    </row>
    <row r="8922" spans="1:13" x14ac:dyDescent="0.3">
      <c r="A8922">
        <v>8920</v>
      </c>
      <c r="B8922">
        <v>8921</v>
      </c>
      <c r="C8922" t="s">
        <v>9000</v>
      </c>
      <c r="D8922">
        <v>2010</v>
      </c>
      <c r="E8922" t="s">
        <v>36</v>
      </c>
      <c r="F8922" t="s">
        <v>876</v>
      </c>
      <c r="G8922">
        <v>0</v>
      </c>
      <c r="H8922">
        <v>0</v>
      </c>
      <c r="I8922">
        <v>0</v>
      </c>
      <c r="J8922">
        <v>1</v>
      </c>
      <c r="K8922">
        <v>0</v>
      </c>
      <c r="L8922">
        <f t="shared" si="278"/>
        <v>6.4</v>
      </c>
      <c r="M8922">
        <f t="shared" si="279"/>
        <v>1</v>
      </c>
    </row>
    <row r="8923" spans="1:13" x14ac:dyDescent="0.3">
      <c r="A8923">
        <v>8921</v>
      </c>
      <c r="B8923">
        <v>8922</v>
      </c>
      <c r="C8923" t="s">
        <v>9001</v>
      </c>
      <c r="D8923">
        <v>2011</v>
      </c>
      <c r="E8923" t="s">
        <v>36</v>
      </c>
      <c r="F8923" t="s">
        <v>876</v>
      </c>
      <c r="G8923">
        <v>0</v>
      </c>
      <c r="H8923">
        <v>0</v>
      </c>
      <c r="I8923">
        <v>0</v>
      </c>
      <c r="J8923">
        <v>1</v>
      </c>
      <c r="K8923">
        <v>0</v>
      </c>
      <c r="L8923">
        <f t="shared" si="278"/>
        <v>6.4</v>
      </c>
      <c r="M8923">
        <f t="shared" si="279"/>
        <v>1</v>
      </c>
    </row>
    <row r="8924" spans="1:13" x14ac:dyDescent="0.3">
      <c r="A8924">
        <v>8922</v>
      </c>
      <c r="B8924">
        <v>8923</v>
      </c>
      <c r="C8924" t="s">
        <v>9002</v>
      </c>
      <c r="D8924">
        <v>1944</v>
      </c>
      <c r="E8924" t="s">
        <v>36</v>
      </c>
      <c r="F8924" t="s">
        <v>876</v>
      </c>
      <c r="G8924">
        <v>0</v>
      </c>
      <c r="H8924">
        <v>0</v>
      </c>
      <c r="I8924">
        <v>0</v>
      </c>
      <c r="J8924">
        <v>1</v>
      </c>
      <c r="K8924">
        <v>0</v>
      </c>
      <c r="L8924">
        <f t="shared" si="278"/>
        <v>6.4</v>
      </c>
      <c r="M8924">
        <f t="shared" si="279"/>
        <v>1</v>
      </c>
    </row>
    <row r="8925" spans="1:13" x14ac:dyDescent="0.3">
      <c r="A8925">
        <v>8923</v>
      </c>
      <c r="B8925">
        <v>8924</v>
      </c>
      <c r="C8925" t="s">
        <v>9003</v>
      </c>
      <c r="D8925">
        <v>2011</v>
      </c>
      <c r="E8925" t="s">
        <v>14</v>
      </c>
      <c r="F8925" t="s">
        <v>955</v>
      </c>
      <c r="G8925">
        <v>0</v>
      </c>
      <c r="H8925">
        <v>0</v>
      </c>
      <c r="I8925">
        <v>0</v>
      </c>
      <c r="J8925">
        <v>1</v>
      </c>
      <c r="K8925">
        <v>0</v>
      </c>
      <c r="L8925">
        <f t="shared" si="278"/>
        <v>6.3</v>
      </c>
      <c r="M8925">
        <f t="shared" si="279"/>
        <v>1</v>
      </c>
    </row>
    <row r="8926" spans="1:13" x14ac:dyDescent="0.3">
      <c r="A8926">
        <v>8924</v>
      </c>
      <c r="B8926">
        <v>8925</v>
      </c>
      <c r="C8926" t="s">
        <v>9004</v>
      </c>
      <c r="D8926">
        <v>2009</v>
      </c>
      <c r="E8926" t="s">
        <v>36</v>
      </c>
      <c r="F8926" t="s">
        <v>955</v>
      </c>
      <c r="G8926">
        <v>0</v>
      </c>
      <c r="H8926">
        <v>0</v>
      </c>
      <c r="I8926">
        <v>0</v>
      </c>
      <c r="J8926">
        <v>1</v>
      </c>
      <c r="K8926">
        <v>0</v>
      </c>
      <c r="L8926">
        <f t="shared" si="278"/>
        <v>6.3</v>
      </c>
      <c r="M8926">
        <f t="shared" si="279"/>
        <v>1</v>
      </c>
    </row>
    <row r="8927" spans="1:13" x14ac:dyDescent="0.3">
      <c r="A8927">
        <v>8925</v>
      </c>
      <c r="B8927">
        <v>8926</v>
      </c>
      <c r="C8927" t="s">
        <v>9005</v>
      </c>
      <c r="D8927">
        <v>2000</v>
      </c>
      <c r="E8927" t="s">
        <v>36</v>
      </c>
      <c r="F8927" t="s">
        <v>955</v>
      </c>
      <c r="G8927">
        <v>0</v>
      </c>
      <c r="H8927">
        <v>0</v>
      </c>
      <c r="I8927">
        <v>0</v>
      </c>
      <c r="J8927">
        <v>1</v>
      </c>
      <c r="K8927">
        <v>0</v>
      </c>
      <c r="L8927">
        <f t="shared" si="278"/>
        <v>6.3</v>
      </c>
      <c r="M8927">
        <f t="shared" si="279"/>
        <v>1</v>
      </c>
    </row>
    <row r="8928" spans="1:13" x14ac:dyDescent="0.3">
      <c r="A8928">
        <v>8926</v>
      </c>
      <c r="B8928">
        <v>8927</v>
      </c>
      <c r="C8928" t="s">
        <v>9006</v>
      </c>
      <c r="D8928">
        <v>2009</v>
      </c>
      <c r="E8928" t="s">
        <v>36</v>
      </c>
      <c r="F8928" t="s">
        <v>955</v>
      </c>
      <c r="G8928">
        <v>0</v>
      </c>
      <c r="H8928">
        <v>0</v>
      </c>
      <c r="I8928">
        <v>0</v>
      </c>
      <c r="J8928">
        <v>1</v>
      </c>
      <c r="K8928">
        <v>0</v>
      </c>
      <c r="L8928">
        <f t="shared" si="278"/>
        <v>6.3</v>
      </c>
      <c r="M8928">
        <f t="shared" si="279"/>
        <v>1</v>
      </c>
    </row>
    <row r="8929" spans="1:13" x14ac:dyDescent="0.3">
      <c r="A8929">
        <v>8927</v>
      </c>
      <c r="B8929">
        <v>8928</v>
      </c>
      <c r="C8929" t="s">
        <v>9007</v>
      </c>
      <c r="D8929">
        <v>1960</v>
      </c>
      <c r="E8929" t="s">
        <v>36</v>
      </c>
      <c r="F8929" t="s">
        <v>955</v>
      </c>
      <c r="G8929">
        <v>0</v>
      </c>
      <c r="H8929">
        <v>0</v>
      </c>
      <c r="I8929">
        <v>0</v>
      </c>
      <c r="J8929">
        <v>1</v>
      </c>
      <c r="K8929">
        <v>0</v>
      </c>
      <c r="L8929">
        <f t="shared" si="278"/>
        <v>6.3</v>
      </c>
      <c r="M8929">
        <f t="shared" si="279"/>
        <v>1</v>
      </c>
    </row>
    <row r="8930" spans="1:13" x14ac:dyDescent="0.3">
      <c r="A8930">
        <v>8928</v>
      </c>
      <c r="B8930">
        <v>8929</v>
      </c>
      <c r="C8930" t="s">
        <v>9008</v>
      </c>
      <c r="D8930">
        <v>2008</v>
      </c>
      <c r="E8930" t="s">
        <v>14</v>
      </c>
      <c r="F8930" t="s">
        <v>955</v>
      </c>
      <c r="G8930">
        <v>0</v>
      </c>
      <c r="H8930">
        <v>0</v>
      </c>
      <c r="I8930">
        <v>0</v>
      </c>
      <c r="J8930">
        <v>1</v>
      </c>
      <c r="K8930">
        <v>0</v>
      </c>
      <c r="L8930">
        <f t="shared" si="278"/>
        <v>6.3</v>
      </c>
      <c r="M8930">
        <f t="shared" si="279"/>
        <v>1</v>
      </c>
    </row>
    <row r="8931" spans="1:13" x14ac:dyDescent="0.3">
      <c r="A8931">
        <v>8929</v>
      </c>
      <c r="B8931">
        <v>8930</v>
      </c>
      <c r="C8931" t="s">
        <v>9009</v>
      </c>
      <c r="D8931">
        <v>2011</v>
      </c>
      <c r="E8931" t="s">
        <v>36</v>
      </c>
      <c r="F8931" t="s">
        <v>955</v>
      </c>
      <c r="G8931">
        <v>0</v>
      </c>
      <c r="H8931">
        <v>0</v>
      </c>
      <c r="I8931">
        <v>0</v>
      </c>
      <c r="J8931">
        <v>1</v>
      </c>
      <c r="K8931">
        <v>0</v>
      </c>
      <c r="L8931">
        <f t="shared" si="278"/>
        <v>6.3</v>
      </c>
      <c r="M8931">
        <f t="shared" si="279"/>
        <v>1</v>
      </c>
    </row>
    <row r="8932" spans="1:13" x14ac:dyDescent="0.3">
      <c r="A8932">
        <v>8930</v>
      </c>
      <c r="B8932">
        <v>8931</v>
      </c>
      <c r="C8932" t="s">
        <v>9010</v>
      </c>
      <c r="D8932">
        <v>1979</v>
      </c>
      <c r="E8932" t="s">
        <v>14</v>
      </c>
      <c r="F8932" t="s">
        <v>955</v>
      </c>
      <c r="G8932">
        <v>0</v>
      </c>
      <c r="H8932">
        <v>0</v>
      </c>
      <c r="I8932">
        <v>0</v>
      </c>
      <c r="J8932">
        <v>1</v>
      </c>
      <c r="K8932">
        <v>0</v>
      </c>
      <c r="L8932">
        <f t="shared" si="278"/>
        <v>6.3</v>
      </c>
      <c r="M8932">
        <f t="shared" si="279"/>
        <v>1</v>
      </c>
    </row>
    <row r="8933" spans="1:13" x14ac:dyDescent="0.3">
      <c r="A8933">
        <v>8931</v>
      </c>
      <c r="B8933">
        <v>8932</v>
      </c>
      <c r="C8933" t="s">
        <v>9011</v>
      </c>
      <c r="D8933">
        <v>2014</v>
      </c>
      <c r="E8933" t="s">
        <v>36</v>
      </c>
      <c r="F8933" t="s">
        <v>955</v>
      </c>
      <c r="G8933">
        <v>0</v>
      </c>
      <c r="H8933">
        <v>0</v>
      </c>
      <c r="I8933">
        <v>0</v>
      </c>
      <c r="J8933">
        <v>1</v>
      </c>
      <c r="K8933">
        <v>0</v>
      </c>
      <c r="L8933">
        <f t="shared" si="278"/>
        <v>6.3</v>
      </c>
      <c r="M8933">
        <f t="shared" si="279"/>
        <v>1</v>
      </c>
    </row>
    <row r="8934" spans="1:13" x14ac:dyDescent="0.3">
      <c r="A8934">
        <v>8932</v>
      </c>
      <c r="B8934">
        <v>8933</v>
      </c>
      <c r="C8934" t="s">
        <v>9012</v>
      </c>
      <c r="D8934">
        <v>2010</v>
      </c>
      <c r="E8934" t="s">
        <v>36</v>
      </c>
      <c r="F8934" t="s">
        <v>955</v>
      </c>
      <c r="G8934">
        <v>0</v>
      </c>
      <c r="H8934">
        <v>0</v>
      </c>
      <c r="I8934">
        <v>0</v>
      </c>
      <c r="J8934">
        <v>1</v>
      </c>
      <c r="K8934">
        <v>0</v>
      </c>
      <c r="L8934">
        <f t="shared" si="278"/>
        <v>6.3</v>
      </c>
      <c r="M8934">
        <f t="shared" si="279"/>
        <v>1</v>
      </c>
    </row>
    <row r="8935" spans="1:13" x14ac:dyDescent="0.3">
      <c r="A8935">
        <v>8933</v>
      </c>
      <c r="B8935">
        <v>8934</v>
      </c>
      <c r="C8935" t="s">
        <v>9013</v>
      </c>
      <c r="D8935">
        <v>2013</v>
      </c>
      <c r="E8935" t="s">
        <v>14</v>
      </c>
      <c r="F8935" t="s">
        <v>955</v>
      </c>
      <c r="G8935">
        <v>0</v>
      </c>
      <c r="H8935">
        <v>0</v>
      </c>
      <c r="I8935">
        <v>0</v>
      </c>
      <c r="J8935">
        <v>1</v>
      </c>
      <c r="K8935">
        <v>0</v>
      </c>
      <c r="L8935">
        <f t="shared" si="278"/>
        <v>6.3</v>
      </c>
      <c r="M8935">
        <f t="shared" si="279"/>
        <v>1</v>
      </c>
    </row>
    <row r="8936" spans="1:13" x14ac:dyDescent="0.3">
      <c r="A8936">
        <v>8934</v>
      </c>
      <c r="B8936">
        <v>8935</v>
      </c>
      <c r="C8936" t="s">
        <v>9014</v>
      </c>
      <c r="D8936">
        <v>2020</v>
      </c>
      <c r="E8936" t="s">
        <v>36</v>
      </c>
      <c r="F8936" t="s">
        <v>955</v>
      </c>
      <c r="G8936">
        <v>0</v>
      </c>
      <c r="H8936">
        <v>0</v>
      </c>
      <c r="I8936">
        <v>0</v>
      </c>
      <c r="J8936">
        <v>1</v>
      </c>
      <c r="K8936">
        <v>0</v>
      </c>
      <c r="L8936">
        <f t="shared" si="278"/>
        <v>6.3</v>
      </c>
      <c r="M8936">
        <f t="shared" si="279"/>
        <v>1</v>
      </c>
    </row>
    <row r="8937" spans="1:13" x14ac:dyDescent="0.3">
      <c r="A8937">
        <v>8935</v>
      </c>
      <c r="B8937">
        <v>8936</v>
      </c>
      <c r="C8937" t="s">
        <v>9015</v>
      </c>
      <c r="D8937">
        <v>2020</v>
      </c>
      <c r="E8937" t="s">
        <v>14</v>
      </c>
      <c r="F8937" t="s">
        <v>955</v>
      </c>
      <c r="G8937">
        <v>0</v>
      </c>
      <c r="H8937">
        <v>0</v>
      </c>
      <c r="I8937">
        <v>0</v>
      </c>
      <c r="J8937">
        <v>1</v>
      </c>
      <c r="K8937">
        <v>0</v>
      </c>
      <c r="L8937">
        <f t="shared" si="278"/>
        <v>6.3</v>
      </c>
      <c r="M8937">
        <f t="shared" si="279"/>
        <v>1</v>
      </c>
    </row>
    <row r="8938" spans="1:13" x14ac:dyDescent="0.3">
      <c r="A8938">
        <v>8936</v>
      </c>
      <c r="B8938">
        <v>8937</v>
      </c>
      <c r="C8938" t="s">
        <v>9016</v>
      </c>
      <c r="D8938">
        <v>2016</v>
      </c>
      <c r="E8938" t="s">
        <v>36</v>
      </c>
      <c r="F8938" t="s">
        <v>955</v>
      </c>
      <c r="G8938">
        <v>0</v>
      </c>
      <c r="H8938">
        <v>0</v>
      </c>
      <c r="I8938">
        <v>0</v>
      </c>
      <c r="J8938">
        <v>1</v>
      </c>
      <c r="K8938">
        <v>0</v>
      </c>
      <c r="L8938">
        <f t="shared" si="278"/>
        <v>6.3</v>
      </c>
      <c r="M8938">
        <f t="shared" si="279"/>
        <v>1</v>
      </c>
    </row>
    <row r="8939" spans="1:13" x14ac:dyDescent="0.3">
      <c r="A8939">
        <v>8937</v>
      </c>
      <c r="B8939">
        <v>8938</v>
      </c>
      <c r="C8939" t="s">
        <v>9017</v>
      </c>
      <c r="D8939">
        <v>2007</v>
      </c>
      <c r="E8939" t="s">
        <v>36</v>
      </c>
      <c r="F8939" t="s">
        <v>955</v>
      </c>
      <c r="G8939">
        <v>0</v>
      </c>
      <c r="H8939">
        <v>0</v>
      </c>
      <c r="I8939">
        <v>0</v>
      </c>
      <c r="J8939">
        <v>1</v>
      </c>
      <c r="K8939">
        <v>0</v>
      </c>
      <c r="L8939">
        <f t="shared" si="278"/>
        <v>6.3</v>
      </c>
      <c r="M8939">
        <f t="shared" si="279"/>
        <v>1</v>
      </c>
    </row>
    <row r="8940" spans="1:13" x14ac:dyDescent="0.3">
      <c r="A8940">
        <v>8938</v>
      </c>
      <c r="B8940">
        <v>8939</v>
      </c>
      <c r="C8940" t="s">
        <v>9018</v>
      </c>
      <c r="D8940">
        <v>2009</v>
      </c>
      <c r="E8940" t="s">
        <v>14</v>
      </c>
      <c r="F8940" t="s">
        <v>955</v>
      </c>
      <c r="G8940">
        <v>0</v>
      </c>
      <c r="H8940">
        <v>0</v>
      </c>
      <c r="I8940">
        <v>0</v>
      </c>
      <c r="J8940">
        <v>1</v>
      </c>
      <c r="K8940">
        <v>0</v>
      </c>
      <c r="L8940">
        <f t="shared" si="278"/>
        <v>6.3</v>
      </c>
      <c r="M8940">
        <f t="shared" si="279"/>
        <v>1</v>
      </c>
    </row>
    <row r="8941" spans="1:13" x14ac:dyDescent="0.3">
      <c r="A8941">
        <v>8939</v>
      </c>
      <c r="B8941">
        <v>8940</v>
      </c>
      <c r="C8941" t="s">
        <v>9019</v>
      </c>
      <c r="D8941">
        <v>2001</v>
      </c>
      <c r="E8941" t="s">
        <v>36</v>
      </c>
      <c r="F8941" t="s">
        <v>955</v>
      </c>
      <c r="G8941">
        <v>0</v>
      </c>
      <c r="H8941">
        <v>0</v>
      </c>
      <c r="I8941">
        <v>0</v>
      </c>
      <c r="J8941">
        <v>1</v>
      </c>
      <c r="K8941">
        <v>0</v>
      </c>
      <c r="L8941">
        <f t="shared" si="278"/>
        <v>6.3</v>
      </c>
      <c r="M8941">
        <f t="shared" si="279"/>
        <v>1</v>
      </c>
    </row>
    <row r="8942" spans="1:13" x14ac:dyDescent="0.3">
      <c r="A8942">
        <v>8940</v>
      </c>
      <c r="B8942">
        <v>8941</v>
      </c>
      <c r="C8942" t="s">
        <v>9020</v>
      </c>
      <c r="D8942">
        <v>2005</v>
      </c>
      <c r="E8942" t="s">
        <v>36</v>
      </c>
      <c r="F8942" t="s">
        <v>955</v>
      </c>
      <c r="G8942">
        <v>0</v>
      </c>
      <c r="H8942">
        <v>0</v>
      </c>
      <c r="I8942">
        <v>0</v>
      </c>
      <c r="J8942">
        <v>1</v>
      </c>
      <c r="K8942">
        <v>0</v>
      </c>
      <c r="L8942">
        <f t="shared" si="278"/>
        <v>6.3</v>
      </c>
      <c r="M8942">
        <f t="shared" si="279"/>
        <v>1</v>
      </c>
    </row>
    <row r="8943" spans="1:13" x14ac:dyDescent="0.3">
      <c r="A8943">
        <v>8941</v>
      </c>
      <c r="B8943">
        <v>8942</v>
      </c>
      <c r="C8943" t="s">
        <v>9021</v>
      </c>
      <c r="D8943">
        <v>2012</v>
      </c>
      <c r="E8943" t="s">
        <v>36</v>
      </c>
      <c r="F8943" t="s">
        <v>955</v>
      </c>
      <c r="G8943">
        <v>0</v>
      </c>
      <c r="H8943">
        <v>0</v>
      </c>
      <c r="I8943">
        <v>0</v>
      </c>
      <c r="J8943">
        <v>1</v>
      </c>
      <c r="K8943">
        <v>0</v>
      </c>
      <c r="L8943">
        <f t="shared" si="278"/>
        <v>6.3</v>
      </c>
      <c r="M8943">
        <f t="shared" si="279"/>
        <v>1</v>
      </c>
    </row>
    <row r="8944" spans="1:13" x14ac:dyDescent="0.3">
      <c r="A8944">
        <v>8942</v>
      </c>
      <c r="B8944">
        <v>8943</v>
      </c>
      <c r="C8944" t="s">
        <v>9022</v>
      </c>
      <c r="D8944">
        <v>2000</v>
      </c>
      <c r="E8944" t="s">
        <v>14</v>
      </c>
      <c r="F8944" t="s">
        <v>955</v>
      </c>
      <c r="G8944">
        <v>0</v>
      </c>
      <c r="H8944">
        <v>0</v>
      </c>
      <c r="I8944">
        <v>0</v>
      </c>
      <c r="J8944">
        <v>1</v>
      </c>
      <c r="K8944">
        <v>0</v>
      </c>
      <c r="L8944">
        <f t="shared" si="278"/>
        <v>6.3</v>
      </c>
      <c r="M8944">
        <f t="shared" si="279"/>
        <v>1</v>
      </c>
    </row>
    <row r="8945" spans="1:13" x14ac:dyDescent="0.3">
      <c r="A8945">
        <v>8943</v>
      </c>
      <c r="B8945">
        <v>8944</v>
      </c>
      <c r="C8945" t="s">
        <v>9023</v>
      </c>
      <c r="D8945">
        <v>1968</v>
      </c>
      <c r="E8945" t="s">
        <v>36</v>
      </c>
      <c r="F8945" t="s">
        <v>955</v>
      </c>
      <c r="G8945">
        <v>0</v>
      </c>
      <c r="H8945">
        <v>0</v>
      </c>
      <c r="I8945">
        <v>0</v>
      </c>
      <c r="J8945">
        <v>1</v>
      </c>
      <c r="K8945">
        <v>0</v>
      </c>
      <c r="L8945">
        <f t="shared" si="278"/>
        <v>6.3</v>
      </c>
      <c r="M8945">
        <f t="shared" si="279"/>
        <v>1</v>
      </c>
    </row>
    <row r="8946" spans="1:13" x14ac:dyDescent="0.3">
      <c r="A8946">
        <v>8944</v>
      </c>
      <c r="B8946">
        <v>8945</v>
      </c>
      <c r="C8946" t="s">
        <v>9024</v>
      </c>
      <c r="D8946">
        <v>1997</v>
      </c>
      <c r="E8946" t="s">
        <v>14</v>
      </c>
      <c r="F8946" t="s">
        <v>1038</v>
      </c>
      <c r="G8946">
        <v>0</v>
      </c>
      <c r="H8946">
        <v>0</v>
      </c>
      <c r="I8946">
        <v>0</v>
      </c>
      <c r="J8946">
        <v>1</v>
      </c>
      <c r="K8946">
        <v>0</v>
      </c>
      <c r="L8946">
        <f t="shared" si="278"/>
        <v>6.2</v>
      </c>
      <c r="M8946">
        <f t="shared" si="279"/>
        <v>1</v>
      </c>
    </row>
    <row r="8947" spans="1:13" x14ac:dyDescent="0.3">
      <c r="A8947">
        <v>8945</v>
      </c>
      <c r="B8947">
        <v>8946</v>
      </c>
      <c r="C8947" t="s">
        <v>9025</v>
      </c>
      <c r="D8947">
        <v>2015</v>
      </c>
      <c r="E8947" t="s">
        <v>14</v>
      </c>
      <c r="F8947" t="s">
        <v>1038</v>
      </c>
      <c r="G8947">
        <v>0</v>
      </c>
      <c r="H8947">
        <v>0</v>
      </c>
      <c r="I8947">
        <v>0</v>
      </c>
      <c r="J8947">
        <v>1</v>
      </c>
      <c r="K8947">
        <v>0</v>
      </c>
      <c r="L8947">
        <f t="shared" si="278"/>
        <v>6.2</v>
      </c>
      <c r="M8947">
        <f t="shared" si="279"/>
        <v>1</v>
      </c>
    </row>
    <row r="8948" spans="1:13" x14ac:dyDescent="0.3">
      <c r="A8948">
        <v>8946</v>
      </c>
      <c r="B8948">
        <v>8947</v>
      </c>
      <c r="C8948" t="s">
        <v>9026</v>
      </c>
      <c r="D8948">
        <v>2021</v>
      </c>
      <c r="E8948" t="s">
        <v>14</v>
      </c>
      <c r="F8948" t="s">
        <v>1038</v>
      </c>
      <c r="G8948">
        <v>0</v>
      </c>
      <c r="H8948">
        <v>0</v>
      </c>
      <c r="I8948">
        <v>0</v>
      </c>
      <c r="J8948">
        <v>1</v>
      </c>
      <c r="K8948">
        <v>0</v>
      </c>
      <c r="L8948">
        <f t="shared" si="278"/>
        <v>6.2</v>
      </c>
      <c r="M8948">
        <f t="shared" si="279"/>
        <v>1</v>
      </c>
    </row>
    <row r="8949" spans="1:13" x14ac:dyDescent="0.3">
      <c r="A8949">
        <v>8947</v>
      </c>
      <c r="B8949">
        <v>8948</v>
      </c>
      <c r="C8949" t="s">
        <v>9027</v>
      </c>
      <c r="D8949">
        <v>2008</v>
      </c>
      <c r="E8949" t="s">
        <v>36</v>
      </c>
      <c r="F8949" t="s">
        <v>1038</v>
      </c>
      <c r="G8949">
        <v>0</v>
      </c>
      <c r="H8949">
        <v>0</v>
      </c>
      <c r="I8949">
        <v>0</v>
      </c>
      <c r="J8949">
        <v>1</v>
      </c>
      <c r="K8949">
        <v>0</v>
      </c>
      <c r="L8949">
        <f t="shared" si="278"/>
        <v>6.2</v>
      </c>
      <c r="M8949">
        <f t="shared" si="279"/>
        <v>1</v>
      </c>
    </row>
    <row r="8950" spans="1:13" x14ac:dyDescent="0.3">
      <c r="A8950">
        <v>8948</v>
      </c>
      <c r="B8950">
        <v>8949</v>
      </c>
      <c r="C8950" t="s">
        <v>9028</v>
      </c>
      <c r="D8950">
        <v>2006</v>
      </c>
      <c r="E8950" t="s">
        <v>36</v>
      </c>
      <c r="F8950" t="s">
        <v>1038</v>
      </c>
      <c r="G8950">
        <v>0</v>
      </c>
      <c r="H8950">
        <v>0</v>
      </c>
      <c r="I8950">
        <v>0</v>
      </c>
      <c r="J8950">
        <v>1</v>
      </c>
      <c r="K8950">
        <v>0</v>
      </c>
      <c r="L8950">
        <f t="shared" si="278"/>
        <v>6.2</v>
      </c>
      <c r="M8950">
        <f t="shared" si="279"/>
        <v>1</v>
      </c>
    </row>
    <row r="8951" spans="1:13" x14ac:dyDescent="0.3">
      <c r="A8951">
        <v>8949</v>
      </c>
      <c r="B8951">
        <v>8950</v>
      </c>
      <c r="C8951" t="s">
        <v>9029</v>
      </c>
      <c r="D8951">
        <v>1991</v>
      </c>
      <c r="E8951" t="s">
        <v>36</v>
      </c>
      <c r="F8951" t="s">
        <v>1038</v>
      </c>
      <c r="G8951">
        <v>0</v>
      </c>
      <c r="H8951">
        <v>0</v>
      </c>
      <c r="I8951">
        <v>0</v>
      </c>
      <c r="J8951">
        <v>1</v>
      </c>
      <c r="K8951">
        <v>0</v>
      </c>
      <c r="L8951">
        <f t="shared" si="278"/>
        <v>6.2</v>
      </c>
      <c r="M8951">
        <f t="shared" si="279"/>
        <v>1</v>
      </c>
    </row>
    <row r="8952" spans="1:13" x14ac:dyDescent="0.3">
      <c r="A8952">
        <v>8950</v>
      </c>
      <c r="B8952">
        <v>8951</v>
      </c>
      <c r="C8952" t="s">
        <v>9030</v>
      </c>
      <c r="D8952">
        <v>2000</v>
      </c>
      <c r="E8952" t="s">
        <v>36</v>
      </c>
      <c r="F8952" t="s">
        <v>1038</v>
      </c>
      <c r="G8952">
        <v>0</v>
      </c>
      <c r="H8952">
        <v>0</v>
      </c>
      <c r="I8952">
        <v>0</v>
      </c>
      <c r="J8952">
        <v>1</v>
      </c>
      <c r="K8952">
        <v>0</v>
      </c>
      <c r="L8952">
        <f t="shared" si="278"/>
        <v>6.2</v>
      </c>
      <c r="M8952">
        <f t="shared" si="279"/>
        <v>1</v>
      </c>
    </row>
    <row r="8953" spans="1:13" x14ac:dyDescent="0.3">
      <c r="A8953">
        <v>8951</v>
      </c>
      <c r="B8953">
        <v>8952</v>
      </c>
      <c r="C8953" t="s">
        <v>9031</v>
      </c>
      <c r="D8953">
        <v>2013</v>
      </c>
      <c r="E8953" t="s">
        <v>14</v>
      </c>
      <c r="F8953" t="s">
        <v>1038</v>
      </c>
      <c r="G8953">
        <v>0</v>
      </c>
      <c r="H8953">
        <v>0</v>
      </c>
      <c r="I8953">
        <v>0</v>
      </c>
      <c r="J8953">
        <v>1</v>
      </c>
      <c r="K8953">
        <v>0</v>
      </c>
      <c r="L8953">
        <f t="shared" si="278"/>
        <v>6.2</v>
      </c>
      <c r="M8953">
        <f t="shared" si="279"/>
        <v>1</v>
      </c>
    </row>
    <row r="8954" spans="1:13" x14ac:dyDescent="0.3">
      <c r="A8954">
        <v>8952</v>
      </c>
      <c r="B8954">
        <v>8953</v>
      </c>
      <c r="C8954" t="s">
        <v>9032</v>
      </c>
      <c r="D8954">
        <v>2018</v>
      </c>
      <c r="E8954" t="s">
        <v>14</v>
      </c>
      <c r="F8954" t="s">
        <v>1038</v>
      </c>
      <c r="G8954">
        <v>0</v>
      </c>
      <c r="H8954">
        <v>0</v>
      </c>
      <c r="I8954">
        <v>0</v>
      </c>
      <c r="J8954">
        <v>1</v>
      </c>
      <c r="K8954">
        <v>0</v>
      </c>
      <c r="L8954">
        <f t="shared" si="278"/>
        <v>6.2</v>
      </c>
      <c r="M8954">
        <f t="shared" si="279"/>
        <v>1</v>
      </c>
    </row>
    <row r="8955" spans="1:13" x14ac:dyDescent="0.3">
      <c r="A8955">
        <v>8953</v>
      </c>
      <c r="B8955">
        <v>8954</v>
      </c>
      <c r="C8955" t="s">
        <v>9033</v>
      </c>
      <c r="D8955">
        <v>2001</v>
      </c>
      <c r="E8955" t="s">
        <v>36</v>
      </c>
      <c r="F8955" t="s">
        <v>1038</v>
      </c>
      <c r="G8955">
        <v>0</v>
      </c>
      <c r="H8955">
        <v>0</v>
      </c>
      <c r="I8955">
        <v>0</v>
      </c>
      <c r="J8955">
        <v>1</v>
      </c>
      <c r="K8955">
        <v>0</v>
      </c>
      <c r="L8955">
        <f t="shared" si="278"/>
        <v>6.2</v>
      </c>
      <c r="M8955">
        <f t="shared" si="279"/>
        <v>1</v>
      </c>
    </row>
    <row r="8956" spans="1:13" x14ac:dyDescent="0.3">
      <c r="A8956">
        <v>8954</v>
      </c>
      <c r="B8956">
        <v>8955</v>
      </c>
      <c r="C8956" t="s">
        <v>9034</v>
      </c>
      <c r="D8956">
        <v>2009</v>
      </c>
      <c r="E8956" t="s">
        <v>14</v>
      </c>
      <c r="F8956" t="s">
        <v>1038</v>
      </c>
      <c r="G8956">
        <v>0</v>
      </c>
      <c r="H8956">
        <v>0</v>
      </c>
      <c r="I8956">
        <v>0</v>
      </c>
      <c r="J8956">
        <v>1</v>
      </c>
      <c r="K8956">
        <v>0</v>
      </c>
      <c r="L8956">
        <f t="shared" si="278"/>
        <v>6.2</v>
      </c>
      <c r="M8956">
        <f t="shared" si="279"/>
        <v>1</v>
      </c>
    </row>
    <row r="8957" spans="1:13" x14ac:dyDescent="0.3">
      <c r="A8957">
        <v>8955</v>
      </c>
      <c r="B8957">
        <v>8956</v>
      </c>
      <c r="C8957" t="s">
        <v>9035</v>
      </c>
      <c r="D8957">
        <v>2004</v>
      </c>
      <c r="E8957" t="s">
        <v>36</v>
      </c>
      <c r="F8957" t="s">
        <v>1038</v>
      </c>
      <c r="G8957">
        <v>0</v>
      </c>
      <c r="H8957">
        <v>0</v>
      </c>
      <c r="I8957">
        <v>0</v>
      </c>
      <c r="J8957">
        <v>1</v>
      </c>
      <c r="K8957">
        <v>0</v>
      </c>
      <c r="L8957">
        <f t="shared" si="278"/>
        <v>6.2</v>
      </c>
      <c r="M8957">
        <f t="shared" si="279"/>
        <v>1</v>
      </c>
    </row>
    <row r="8958" spans="1:13" x14ac:dyDescent="0.3">
      <c r="A8958">
        <v>8956</v>
      </c>
      <c r="B8958">
        <v>8957</v>
      </c>
      <c r="C8958" t="s">
        <v>9036</v>
      </c>
      <c r="D8958">
        <v>1999</v>
      </c>
      <c r="E8958" t="s">
        <v>36</v>
      </c>
      <c r="F8958" t="s">
        <v>1038</v>
      </c>
      <c r="G8958">
        <v>0</v>
      </c>
      <c r="H8958">
        <v>0</v>
      </c>
      <c r="I8958">
        <v>0</v>
      </c>
      <c r="J8958">
        <v>1</v>
      </c>
      <c r="K8958">
        <v>0</v>
      </c>
      <c r="L8958">
        <f t="shared" si="278"/>
        <v>6.2</v>
      </c>
      <c r="M8958">
        <f t="shared" si="279"/>
        <v>1</v>
      </c>
    </row>
    <row r="8959" spans="1:13" x14ac:dyDescent="0.3">
      <c r="A8959">
        <v>8957</v>
      </c>
      <c r="B8959">
        <v>8958</v>
      </c>
      <c r="C8959" t="s">
        <v>9037</v>
      </c>
      <c r="D8959">
        <v>1998</v>
      </c>
      <c r="E8959" t="s">
        <v>14</v>
      </c>
      <c r="F8959" t="s">
        <v>1038</v>
      </c>
      <c r="G8959">
        <v>0</v>
      </c>
      <c r="H8959">
        <v>0</v>
      </c>
      <c r="I8959">
        <v>0</v>
      </c>
      <c r="J8959">
        <v>1</v>
      </c>
      <c r="K8959">
        <v>0</v>
      </c>
      <c r="L8959">
        <f t="shared" si="278"/>
        <v>6.2</v>
      </c>
      <c r="M8959">
        <f t="shared" si="279"/>
        <v>1</v>
      </c>
    </row>
    <row r="8960" spans="1:13" x14ac:dyDescent="0.3">
      <c r="A8960">
        <v>8958</v>
      </c>
      <c r="B8960">
        <v>8959</v>
      </c>
      <c r="C8960" t="s">
        <v>9038</v>
      </c>
      <c r="D8960">
        <v>2018</v>
      </c>
      <c r="E8960" t="s">
        <v>14</v>
      </c>
      <c r="F8960" t="s">
        <v>1038</v>
      </c>
      <c r="G8960">
        <v>0</v>
      </c>
      <c r="H8960">
        <v>0</v>
      </c>
      <c r="I8960">
        <v>0</v>
      </c>
      <c r="J8960">
        <v>1</v>
      </c>
      <c r="K8960">
        <v>0</v>
      </c>
      <c r="L8960">
        <f t="shared" si="278"/>
        <v>6.2</v>
      </c>
      <c r="M8960">
        <f t="shared" si="279"/>
        <v>1</v>
      </c>
    </row>
    <row r="8961" spans="1:13" x14ac:dyDescent="0.3">
      <c r="A8961">
        <v>8959</v>
      </c>
      <c r="B8961">
        <v>8960</v>
      </c>
      <c r="C8961" t="s">
        <v>9039</v>
      </c>
      <c r="D8961">
        <v>2021</v>
      </c>
      <c r="E8961" t="s">
        <v>14</v>
      </c>
      <c r="F8961" t="s">
        <v>1038</v>
      </c>
      <c r="G8961">
        <v>0</v>
      </c>
      <c r="H8961">
        <v>0</v>
      </c>
      <c r="I8961">
        <v>0</v>
      </c>
      <c r="J8961">
        <v>1</v>
      </c>
      <c r="K8961">
        <v>0</v>
      </c>
      <c r="L8961">
        <f t="shared" si="278"/>
        <v>6.2</v>
      </c>
      <c r="M8961">
        <f t="shared" si="279"/>
        <v>1</v>
      </c>
    </row>
    <row r="8962" spans="1:13" x14ac:dyDescent="0.3">
      <c r="A8962">
        <v>8960</v>
      </c>
      <c r="B8962">
        <v>8961</v>
      </c>
      <c r="C8962" t="s">
        <v>9040</v>
      </c>
      <c r="D8962">
        <v>1933</v>
      </c>
      <c r="F8962" t="s">
        <v>1038</v>
      </c>
      <c r="G8962">
        <v>0</v>
      </c>
      <c r="H8962">
        <v>0</v>
      </c>
      <c r="I8962">
        <v>0</v>
      </c>
      <c r="J8962">
        <v>1</v>
      </c>
      <c r="K8962">
        <v>0</v>
      </c>
      <c r="L8962">
        <f t="shared" si="278"/>
        <v>6.2</v>
      </c>
      <c r="M8962">
        <f t="shared" si="279"/>
        <v>1</v>
      </c>
    </row>
    <row r="8963" spans="1:13" x14ac:dyDescent="0.3">
      <c r="A8963">
        <v>8961</v>
      </c>
      <c r="B8963">
        <v>8962</v>
      </c>
      <c r="C8963" t="s">
        <v>9041</v>
      </c>
      <c r="D8963">
        <v>1996</v>
      </c>
      <c r="E8963" t="s">
        <v>36</v>
      </c>
      <c r="F8963" t="s">
        <v>1038</v>
      </c>
      <c r="G8963">
        <v>0</v>
      </c>
      <c r="H8963">
        <v>0</v>
      </c>
      <c r="I8963">
        <v>0</v>
      </c>
      <c r="J8963">
        <v>1</v>
      </c>
      <c r="K8963">
        <v>0</v>
      </c>
      <c r="L8963">
        <f t="shared" ref="L8963:L9026" si="280">IFERROR(VALUE(LEFT(F8963,FIND("/",F8963)-1))/10,"")</f>
        <v>6.2</v>
      </c>
      <c r="M8963">
        <f t="shared" ref="M8963:M9026" si="281">SUM(G8963:J8963)</f>
        <v>1</v>
      </c>
    </row>
    <row r="8964" spans="1:13" x14ac:dyDescent="0.3">
      <c r="A8964">
        <v>8962</v>
      </c>
      <c r="B8964">
        <v>8963</v>
      </c>
      <c r="C8964" t="s">
        <v>9042</v>
      </c>
      <c r="D8964">
        <v>2004</v>
      </c>
      <c r="E8964" t="s">
        <v>14</v>
      </c>
      <c r="F8964" t="s">
        <v>1038</v>
      </c>
      <c r="G8964">
        <v>0</v>
      </c>
      <c r="H8964">
        <v>0</v>
      </c>
      <c r="I8964">
        <v>0</v>
      </c>
      <c r="J8964">
        <v>1</v>
      </c>
      <c r="K8964">
        <v>0</v>
      </c>
      <c r="L8964">
        <f t="shared" si="280"/>
        <v>6.2</v>
      </c>
      <c r="M8964">
        <f t="shared" si="281"/>
        <v>1</v>
      </c>
    </row>
    <row r="8965" spans="1:13" x14ac:dyDescent="0.3">
      <c r="A8965">
        <v>8963</v>
      </c>
      <c r="B8965">
        <v>8964</v>
      </c>
      <c r="C8965" t="s">
        <v>9043</v>
      </c>
      <c r="D8965">
        <v>2014</v>
      </c>
      <c r="E8965" t="s">
        <v>14</v>
      </c>
      <c r="F8965" t="s">
        <v>1038</v>
      </c>
      <c r="G8965">
        <v>0</v>
      </c>
      <c r="H8965">
        <v>0</v>
      </c>
      <c r="I8965">
        <v>0</v>
      </c>
      <c r="J8965">
        <v>1</v>
      </c>
      <c r="K8965">
        <v>0</v>
      </c>
      <c r="L8965">
        <f t="shared" si="280"/>
        <v>6.2</v>
      </c>
      <c r="M8965">
        <f t="shared" si="281"/>
        <v>1</v>
      </c>
    </row>
    <row r="8966" spans="1:13" x14ac:dyDescent="0.3">
      <c r="A8966">
        <v>8964</v>
      </c>
      <c r="B8966">
        <v>8965</v>
      </c>
      <c r="C8966" t="s">
        <v>9044</v>
      </c>
      <c r="D8966">
        <v>1997</v>
      </c>
      <c r="E8966" t="s">
        <v>36</v>
      </c>
      <c r="F8966" t="s">
        <v>1038</v>
      </c>
      <c r="G8966">
        <v>0</v>
      </c>
      <c r="H8966">
        <v>0</v>
      </c>
      <c r="I8966">
        <v>0</v>
      </c>
      <c r="J8966">
        <v>1</v>
      </c>
      <c r="K8966">
        <v>0</v>
      </c>
      <c r="L8966">
        <f t="shared" si="280"/>
        <v>6.2</v>
      </c>
      <c r="M8966">
        <f t="shared" si="281"/>
        <v>1</v>
      </c>
    </row>
    <row r="8967" spans="1:13" x14ac:dyDescent="0.3">
      <c r="A8967">
        <v>8965</v>
      </c>
      <c r="B8967">
        <v>8966</v>
      </c>
      <c r="C8967" t="s">
        <v>9045</v>
      </c>
      <c r="D8967">
        <v>1947</v>
      </c>
      <c r="E8967" t="s">
        <v>36</v>
      </c>
      <c r="F8967" t="s">
        <v>1038</v>
      </c>
      <c r="G8967">
        <v>0</v>
      </c>
      <c r="H8967">
        <v>0</v>
      </c>
      <c r="I8967">
        <v>0</v>
      </c>
      <c r="J8967">
        <v>1</v>
      </c>
      <c r="K8967">
        <v>0</v>
      </c>
      <c r="L8967">
        <f t="shared" si="280"/>
        <v>6.2</v>
      </c>
      <c r="M8967">
        <f t="shared" si="281"/>
        <v>1</v>
      </c>
    </row>
    <row r="8968" spans="1:13" x14ac:dyDescent="0.3">
      <c r="A8968">
        <v>8966</v>
      </c>
      <c r="B8968">
        <v>8967</v>
      </c>
      <c r="C8968" t="s">
        <v>9046</v>
      </c>
      <c r="D8968">
        <v>2017</v>
      </c>
      <c r="E8968" t="s">
        <v>36</v>
      </c>
      <c r="F8968" t="s">
        <v>1038</v>
      </c>
      <c r="G8968">
        <v>0</v>
      </c>
      <c r="H8968">
        <v>0</v>
      </c>
      <c r="I8968">
        <v>0</v>
      </c>
      <c r="J8968">
        <v>1</v>
      </c>
      <c r="K8968">
        <v>0</v>
      </c>
      <c r="L8968">
        <f t="shared" si="280"/>
        <v>6.2</v>
      </c>
      <c r="M8968">
        <f t="shared" si="281"/>
        <v>1</v>
      </c>
    </row>
    <row r="8969" spans="1:13" x14ac:dyDescent="0.3">
      <c r="A8969">
        <v>8967</v>
      </c>
      <c r="B8969">
        <v>8968</v>
      </c>
      <c r="C8969" t="s">
        <v>9047</v>
      </c>
      <c r="D8969">
        <v>2011</v>
      </c>
      <c r="E8969" t="s">
        <v>14</v>
      </c>
      <c r="F8969" t="s">
        <v>1038</v>
      </c>
      <c r="G8969">
        <v>0</v>
      </c>
      <c r="H8969">
        <v>0</v>
      </c>
      <c r="I8969">
        <v>0</v>
      </c>
      <c r="J8969">
        <v>1</v>
      </c>
      <c r="K8969">
        <v>0</v>
      </c>
      <c r="L8969">
        <f t="shared" si="280"/>
        <v>6.2</v>
      </c>
      <c r="M8969">
        <f t="shared" si="281"/>
        <v>1</v>
      </c>
    </row>
    <row r="8970" spans="1:13" x14ac:dyDescent="0.3">
      <c r="A8970">
        <v>8968</v>
      </c>
      <c r="B8970">
        <v>8969</v>
      </c>
      <c r="C8970" t="s">
        <v>9048</v>
      </c>
      <c r="D8970">
        <v>1959</v>
      </c>
      <c r="E8970" t="s">
        <v>36</v>
      </c>
      <c r="F8970" t="s">
        <v>1105</v>
      </c>
      <c r="G8970">
        <v>0</v>
      </c>
      <c r="H8970">
        <v>0</v>
      </c>
      <c r="I8970">
        <v>0</v>
      </c>
      <c r="J8970">
        <v>1</v>
      </c>
      <c r="K8970">
        <v>0</v>
      </c>
      <c r="L8970">
        <f t="shared" si="280"/>
        <v>6.1</v>
      </c>
      <c r="M8970">
        <f t="shared" si="281"/>
        <v>1</v>
      </c>
    </row>
    <row r="8971" spans="1:13" x14ac:dyDescent="0.3">
      <c r="A8971">
        <v>8969</v>
      </c>
      <c r="B8971">
        <v>8970</v>
      </c>
      <c r="C8971" t="s">
        <v>9049</v>
      </c>
      <c r="D8971">
        <v>2004</v>
      </c>
      <c r="E8971" t="s">
        <v>14</v>
      </c>
      <c r="F8971" t="s">
        <v>1105</v>
      </c>
      <c r="G8971">
        <v>0</v>
      </c>
      <c r="H8971">
        <v>0</v>
      </c>
      <c r="I8971">
        <v>0</v>
      </c>
      <c r="J8971">
        <v>1</v>
      </c>
      <c r="K8971">
        <v>0</v>
      </c>
      <c r="L8971">
        <f t="shared" si="280"/>
        <v>6.1</v>
      </c>
      <c r="M8971">
        <f t="shared" si="281"/>
        <v>1</v>
      </c>
    </row>
    <row r="8972" spans="1:13" x14ac:dyDescent="0.3">
      <c r="A8972">
        <v>8970</v>
      </c>
      <c r="B8972">
        <v>8971</v>
      </c>
      <c r="C8972" t="s">
        <v>9050</v>
      </c>
      <c r="D8972">
        <v>2006</v>
      </c>
      <c r="E8972" t="s">
        <v>36</v>
      </c>
      <c r="F8972" t="s">
        <v>1105</v>
      </c>
      <c r="G8972">
        <v>0</v>
      </c>
      <c r="H8972">
        <v>0</v>
      </c>
      <c r="I8972">
        <v>0</v>
      </c>
      <c r="J8972">
        <v>1</v>
      </c>
      <c r="K8972">
        <v>0</v>
      </c>
      <c r="L8972">
        <f t="shared" si="280"/>
        <v>6.1</v>
      </c>
      <c r="M8972">
        <f t="shared" si="281"/>
        <v>1</v>
      </c>
    </row>
    <row r="8973" spans="1:13" x14ac:dyDescent="0.3">
      <c r="A8973">
        <v>8971</v>
      </c>
      <c r="B8973">
        <v>8972</v>
      </c>
      <c r="C8973" t="s">
        <v>9051</v>
      </c>
      <c r="D8973">
        <v>2005</v>
      </c>
      <c r="E8973" t="s">
        <v>14</v>
      </c>
      <c r="F8973" t="s">
        <v>1105</v>
      </c>
      <c r="G8973">
        <v>0</v>
      </c>
      <c r="H8973">
        <v>0</v>
      </c>
      <c r="I8973">
        <v>0</v>
      </c>
      <c r="J8973">
        <v>1</v>
      </c>
      <c r="K8973">
        <v>0</v>
      </c>
      <c r="L8973">
        <f t="shared" si="280"/>
        <v>6.1</v>
      </c>
      <c r="M8973">
        <f t="shared" si="281"/>
        <v>1</v>
      </c>
    </row>
    <row r="8974" spans="1:13" x14ac:dyDescent="0.3">
      <c r="A8974">
        <v>8972</v>
      </c>
      <c r="B8974">
        <v>8973</v>
      </c>
      <c r="C8974" t="s">
        <v>9052</v>
      </c>
      <c r="D8974">
        <v>2006</v>
      </c>
      <c r="E8974" t="s">
        <v>36</v>
      </c>
      <c r="F8974" t="s">
        <v>1105</v>
      </c>
      <c r="G8974">
        <v>0</v>
      </c>
      <c r="H8974">
        <v>0</v>
      </c>
      <c r="I8974">
        <v>0</v>
      </c>
      <c r="J8974">
        <v>1</v>
      </c>
      <c r="K8974">
        <v>0</v>
      </c>
      <c r="L8974">
        <f t="shared" si="280"/>
        <v>6.1</v>
      </c>
      <c r="M8974">
        <f t="shared" si="281"/>
        <v>1</v>
      </c>
    </row>
    <row r="8975" spans="1:13" x14ac:dyDescent="0.3">
      <c r="A8975">
        <v>8973</v>
      </c>
      <c r="B8975">
        <v>8974</v>
      </c>
      <c r="C8975" t="s">
        <v>9053</v>
      </c>
      <c r="D8975">
        <v>2004</v>
      </c>
      <c r="E8975" t="s">
        <v>36</v>
      </c>
      <c r="F8975" t="s">
        <v>1105</v>
      </c>
      <c r="G8975">
        <v>0</v>
      </c>
      <c r="H8975">
        <v>0</v>
      </c>
      <c r="I8975">
        <v>0</v>
      </c>
      <c r="J8975">
        <v>1</v>
      </c>
      <c r="K8975">
        <v>0</v>
      </c>
      <c r="L8975">
        <f t="shared" si="280"/>
        <v>6.1</v>
      </c>
      <c r="M8975">
        <f t="shared" si="281"/>
        <v>1</v>
      </c>
    </row>
    <row r="8976" spans="1:13" x14ac:dyDescent="0.3">
      <c r="A8976">
        <v>8974</v>
      </c>
      <c r="B8976">
        <v>8975</v>
      </c>
      <c r="C8976" t="s">
        <v>9054</v>
      </c>
      <c r="D8976">
        <v>1985</v>
      </c>
      <c r="E8976" t="s">
        <v>14</v>
      </c>
      <c r="F8976" t="s">
        <v>1105</v>
      </c>
      <c r="G8976">
        <v>0</v>
      </c>
      <c r="H8976">
        <v>0</v>
      </c>
      <c r="I8976">
        <v>0</v>
      </c>
      <c r="J8976">
        <v>1</v>
      </c>
      <c r="K8976">
        <v>0</v>
      </c>
      <c r="L8976">
        <f t="shared" si="280"/>
        <v>6.1</v>
      </c>
      <c r="M8976">
        <f t="shared" si="281"/>
        <v>1</v>
      </c>
    </row>
    <row r="8977" spans="1:13" x14ac:dyDescent="0.3">
      <c r="A8977">
        <v>8975</v>
      </c>
      <c r="B8977">
        <v>8976</v>
      </c>
      <c r="C8977" t="s">
        <v>9055</v>
      </c>
      <c r="D8977">
        <v>1950</v>
      </c>
      <c r="E8977" t="s">
        <v>14</v>
      </c>
      <c r="F8977" t="s">
        <v>1105</v>
      </c>
      <c r="G8977">
        <v>0</v>
      </c>
      <c r="H8977">
        <v>0</v>
      </c>
      <c r="I8977">
        <v>0</v>
      </c>
      <c r="J8977">
        <v>1</v>
      </c>
      <c r="K8977">
        <v>0</v>
      </c>
      <c r="L8977">
        <f t="shared" si="280"/>
        <v>6.1</v>
      </c>
      <c r="M8977">
        <f t="shared" si="281"/>
        <v>1</v>
      </c>
    </row>
    <row r="8978" spans="1:13" x14ac:dyDescent="0.3">
      <c r="A8978">
        <v>8976</v>
      </c>
      <c r="B8978">
        <v>8977</v>
      </c>
      <c r="C8978" t="s">
        <v>9056</v>
      </c>
      <c r="D8978">
        <v>2009</v>
      </c>
      <c r="E8978" t="s">
        <v>36</v>
      </c>
      <c r="F8978" t="s">
        <v>1105</v>
      </c>
      <c r="G8978">
        <v>0</v>
      </c>
      <c r="H8978">
        <v>0</v>
      </c>
      <c r="I8978">
        <v>0</v>
      </c>
      <c r="J8978">
        <v>1</v>
      </c>
      <c r="K8978">
        <v>0</v>
      </c>
      <c r="L8978">
        <f t="shared" si="280"/>
        <v>6.1</v>
      </c>
      <c r="M8978">
        <f t="shared" si="281"/>
        <v>1</v>
      </c>
    </row>
    <row r="8979" spans="1:13" x14ac:dyDescent="0.3">
      <c r="A8979">
        <v>8977</v>
      </c>
      <c r="B8979">
        <v>8978</v>
      </c>
      <c r="C8979" t="s">
        <v>9057</v>
      </c>
      <c r="D8979">
        <v>2011</v>
      </c>
      <c r="E8979" t="s">
        <v>36</v>
      </c>
      <c r="F8979" t="s">
        <v>1105</v>
      </c>
      <c r="G8979">
        <v>0</v>
      </c>
      <c r="H8979">
        <v>0</v>
      </c>
      <c r="I8979">
        <v>0</v>
      </c>
      <c r="J8979">
        <v>1</v>
      </c>
      <c r="K8979">
        <v>0</v>
      </c>
      <c r="L8979">
        <f t="shared" si="280"/>
        <v>6.1</v>
      </c>
      <c r="M8979">
        <f t="shared" si="281"/>
        <v>1</v>
      </c>
    </row>
    <row r="8980" spans="1:13" x14ac:dyDescent="0.3">
      <c r="A8980">
        <v>8978</v>
      </c>
      <c r="B8980">
        <v>8979</v>
      </c>
      <c r="C8980" t="s">
        <v>9058</v>
      </c>
      <c r="D8980">
        <v>2020</v>
      </c>
      <c r="E8980" t="s">
        <v>36</v>
      </c>
      <c r="F8980" t="s">
        <v>1105</v>
      </c>
      <c r="G8980">
        <v>0</v>
      </c>
      <c r="H8980">
        <v>0</v>
      </c>
      <c r="I8980">
        <v>0</v>
      </c>
      <c r="J8980">
        <v>1</v>
      </c>
      <c r="K8980">
        <v>0</v>
      </c>
      <c r="L8980">
        <f t="shared" si="280"/>
        <v>6.1</v>
      </c>
      <c r="M8980">
        <f t="shared" si="281"/>
        <v>1</v>
      </c>
    </row>
    <row r="8981" spans="1:13" x14ac:dyDescent="0.3">
      <c r="A8981">
        <v>8979</v>
      </c>
      <c r="B8981">
        <v>8980</v>
      </c>
      <c r="C8981" t="s">
        <v>9059</v>
      </c>
      <c r="D8981">
        <v>1975</v>
      </c>
      <c r="E8981" t="s">
        <v>36</v>
      </c>
      <c r="F8981" t="s">
        <v>1105</v>
      </c>
      <c r="G8981">
        <v>0</v>
      </c>
      <c r="H8981">
        <v>0</v>
      </c>
      <c r="I8981">
        <v>0</v>
      </c>
      <c r="J8981">
        <v>1</v>
      </c>
      <c r="K8981">
        <v>0</v>
      </c>
      <c r="L8981">
        <f t="shared" si="280"/>
        <v>6.1</v>
      </c>
      <c r="M8981">
        <f t="shared" si="281"/>
        <v>1</v>
      </c>
    </row>
    <row r="8982" spans="1:13" x14ac:dyDescent="0.3">
      <c r="A8982">
        <v>8980</v>
      </c>
      <c r="B8982">
        <v>8981</v>
      </c>
      <c r="C8982" t="s">
        <v>9060</v>
      </c>
      <c r="D8982">
        <v>2014</v>
      </c>
      <c r="E8982" t="s">
        <v>14</v>
      </c>
      <c r="F8982" t="s">
        <v>1105</v>
      </c>
      <c r="G8982">
        <v>0</v>
      </c>
      <c r="H8982">
        <v>0</v>
      </c>
      <c r="I8982">
        <v>0</v>
      </c>
      <c r="J8982">
        <v>1</v>
      </c>
      <c r="K8982">
        <v>0</v>
      </c>
      <c r="L8982">
        <f t="shared" si="280"/>
        <v>6.1</v>
      </c>
      <c r="M8982">
        <f t="shared" si="281"/>
        <v>1</v>
      </c>
    </row>
    <row r="8983" spans="1:13" x14ac:dyDescent="0.3">
      <c r="A8983">
        <v>8981</v>
      </c>
      <c r="B8983">
        <v>8982</v>
      </c>
      <c r="C8983" t="s">
        <v>9061</v>
      </c>
      <c r="D8983">
        <v>2015</v>
      </c>
      <c r="E8983" t="s">
        <v>36</v>
      </c>
      <c r="F8983" t="s">
        <v>1105</v>
      </c>
      <c r="G8983">
        <v>0</v>
      </c>
      <c r="H8983">
        <v>0</v>
      </c>
      <c r="I8983">
        <v>0</v>
      </c>
      <c r="J8983">
        <v>1</v>
      </c>
      <c r="K8983">
        <v>0</v>
      </c>
      <c r="L8983">
        <f t="shared" si="280"/>
        <v>6.1</v>
      </c>
      <c r="M8983">
        <f t="shared" si="281"/>
        <v>1</v>
      </c>
    </row>
    <row r="8984" spans="1:13" x14ac:dyDescent="0.3">
      <c r="A8984">
        <v>8982</v>
      </c>
      <c r="B8984">
        <v>8983</v>
      </c>
      <c r="C8984" t="s">
        <v>9062</v>
      </c>
      <c r="D8984">
        <v>2020</v>
      </c>
      <c r="E8984" t="s">
        <v>14</v>
      </c>
      <c r="F8984" t="s">
        <v>1105</v>
      </c>
      <c r="G8984">
        <v>0</v>
      </c>
      <c r="H8984">
        <v>0</v>
      </c>
      <c r="I8984">
        <v>0</v>
      </c>
      <c r="J8984">
        <v>1</v>
      </c>
      <c r="K8984">
        <v>0</v>
      </c>
      <c r="L8984">
        <f t="shared" si="280"/>
        <v>6.1</v>
      </c>
      <c r="M8984">
        <f t="shared" si="281"/>
        <v>1</v>
      </c>
    </row>
    <row r="8985" spans="1:13" x14ac:dyDescent="0.3">
      <c r="A8985">
        <v>8983</v>
      </c>
      <c r="B8985">
        <v>8984</v>
      </c>
      <c r="C8985" t="s">
        <v>9063</v>
      </c>
      <c r="D8985">
        <v>2009</v>
      </c>
      <c r="E8985" t="s">
        <v>36</v>
      </c>
      <c r="F8985" t="s">
        <v>1105</v>
      </c>
      <c r="G8985">
        <v>0</v>
      </c>
      <c r="H8985">
        <v>0</v>
      </c>
      <c r="I8985">
        <v>0</v>
      </c>
      <c r="J8985">
        <v>1</v>
      </c>
      <c r="K8985">
        <v>0</v>
      </c>
      <c r="L8985">
        <f t="shared" si="280"/>
        <v>6.1</v>
      </c>
      <c r="M8985">
        <f t="shared" si="281"/>
        <v>1</v>
      </c>
    </row>
    <row r="8986" spans="1:13" x14ac:dyDescent="0.3">
      <c r="A8986">
        <v>8984</v>
      </c>
      <c r="B8986">
        <v>8985</v>
      </c>
      <c r="C8986" t="s">
        <v>9064</v>
      </c>
      <c r="D8986">
        <v>2001</v>
      </c>
      <c r="E8986" t="s">
        <v>36</v>
      </c>
      <c r="F8986" t="s">
        <v>1105</v>
      </c>
      <c r="G8986">
        <v>0</v>
      </c>
      <c r="H8986">
        <v>0</v>
      </c>
      <c r="I8986">
        <v>0</v>
      </c>
      <c r="J8986">
        <v>1</v>
      </c>
      <c r="K8986">
        <v>0</v>
      </c>
      <c r="L8986">
        <f t="shared" si="280"/>
        <v>6.1</v>
      </c>
      <c r="M8986">
        <f t="shared" si="281"/>
        <v>1</v>
      </c>
    </row>
    <row r="8987" spans="1:13" x14ac:dyDescent="0.3">
      <c r="A8987">
        <v>8985</v>
      </c>
      <c r="B8987">
        <v>8986</v>
      </c>
      <c r="C8987" t="s">
        <v>9065</v>
      </c>
      <c r="D8987">
        <v>2021</v>
      </c>
      <c r="E8987" t="s">
        <v>11</v>
      </c>
      <c r="F8987" t="s">
        <v>1105</v>
      </c>
      <c r="G8987">
        <v>0</v>
      </c>
      <c r="H8987">
        <v>0</v>
      </c>
      <c r="I8987">
        <v>0</v>
      </c>
      <c r="J8987">
        <v>1</v>
      </c>
      <c r="K8987">
        <v>0</v>
      </c>
      <c r="L8987">
        <f t="shared" si="280"/>
        <v>6.1</v>
      </c>
      <c r="M8987">
        <f t="shared" si="281"/>
        <v>1</v>
      </c>
    </row>
    <row r="8988" spans="1:13" x14ac:dyDescent="0.3">
      <c r="A8988">
        <v>8986</v>
      </c>
      <c r="B8988">
        <v>8987</v>
      </c>
      <c r="C8988" t="s">
        <v>9066</v>
      </c>
      <c r="D8988">
        <v>2004</v>
      </c>
      <c r="E8988" t="s">
        <v>36</v>
      </c>
      <c r="F8988" t="s">
        <v>1105</v>
      </c>
      <c r="G8988">
        <v>0</v>
      </c>
      <c r="H8988">
        <v>0</v>
      </c>
      <c r="I8988">
        <v>0</v>
      </c>
      <c r="J8988">
        <v>1</v>
      </c>
      <c r="K8988">
        <v>0</v>
      </c>
      <c r="L8988">
        <f t="shared" si="280"/>
        <v>6.1</v>
      </c>
      <c r="M8988">
        <f t="shared" si="281"/>
        <v>1</v>
      </c>
    </row>
    <row r="8989" spans="1:13" x14ac:dyDescent="0.3">
      <c r="A8989">
        <v>8987</v>
      </c>
      <c r="B8989">
        <v>8988</v>
      </c>
      <c r="C8989" t="s">
        <v>9067</v>
      </c>
      <c r="D8989">
        <v>2006</v>
      </c>
      <c r="E8989" t="s">
        <v>14</v>
      </c>
      <c r="F8989" t="s">
        <v>1105</v>
      </c>
      <c r="G8989">
        <v>0</v>
      </c>
      <c r="H8989">
        <v>0</v>
      </c>
      <c r="I8989">
        <v>0</v>
      </c>
      <c r="J8989">
        <v>1</v>
      </c>
      <c r="K8989">
        <v>0</v>
      </c>
      <c r="L8989">
        <f t="shared" si="280"/>
        <v>6.1</v>
      </c>
      <c r="M8989">
        <f t="shared" si="281"/>
        <v>1</v>
      </c>
    </row>
    <row r="8990" spans="1:13" x14ac:dyDescent="0.3">
      <c r="A8990">
        <v>8988</v>
      </c>
      <c r="B8990">
        <v>8989</v>
      </c>
      <c r="C8990" t="s">
        <v>9068</v>
      </c>
      <c r="D8990">
        <v>1996</v>
      </c>
      <c r="E8990" t="s">
        <v>14</v>
      </c>
      <c r="F8990" t="s">
        <v>1105</v>
      </c>
      <c r="G8990">
        <v>0</v>
      </c>
      <c r="H8990">
        <v>0</v>
      </c>
      <c r="I8990">
        <v>0</v>
      </c>
      <c r="J8990">
        <v>1</v>
      </c>
      <c r="K8990">
        <v>0</v>
      </c>
      <c r="L8990">
        <f t="shared" si="280"/>
        <v>6.1</v>
      </c>
      <c r="M8990">
        <f t="shared" si="281"/>
        <v>1</v>
      </c>
    </row>
    <row r="8991" spans="1:13" x14ac:dyDescent="0.3">
      <c r="A8991">
        <v>8989</v>
      </c>
      <c r="B8991">
        <v>8990</v>
      </c>
      <c r="C8991" t="s">
        <v>9069</v>
      </c>
      <c r="D8991">
        <v>2020</v>
      </c>
      <c r="E8991" t="s">
        <v>36</v>
      </c>
      <c r="F8991" t="s">
        <v>1105</v>
      </c>
      <c r="G8991">
        <v>0</v>
      </c>
      <c r="H8991">
        <v>0</v>
      </c>
      <c r="I8991">
        <v>0</v>
      </c>
      <c r="J8991">
        <v>1</v>
      </c>
      <c r="K8991">
        <v>0</v>
      </c>
      <c r="L8991">
        <f t="shared" si="280"/>
        <v>6.1</v>
      </c>
      <c r="M8991">
        <f t="shared" si="281"/>
        <v>1</v>
      </c>
    </row>
    <row r="8992" spans="1:13" x14ac:dyDescent="0.3">
      <c r="A8992">
        <v>8990</v>
      </c>
      <c r="B8992">
        <v>8991</v>
      </c>
      <c r="C8992" t="s">
        <v>9070</v>
      </c>
      <c r="D8992">
        <v>2002</v>
      </c>
      <c r="E8992" t="s">
        <v>36</v>
      </c>
      <c r="F8992" t="s">
        <v>1105</v>
      </c>
      <c r="G8992">
        <v>0</v>
      </c>
      <c r="H8992">
        <v>0</v>
      </c>
      <c r="I8992">
        <v>0</v>
      </c>
      <c r="J8992">
        <v>1</v>
      </c>
      <c r="K8992">
        <v>0</v>
      </c>
      <c r="L8992">
        <f t="shared" si="280"/>
        <v>6.1</v>
      </c>
      <c r="M8992">
        <f t="shared" si="281"/>
        <v>1</v>
      </c>
    </row>
    <row r="8993" spans="1:13" x14ac:dyDescent="0.3">
      <c r="A8993">
        <v>8991</v>
      </c>
      <c r="B8993">
        <v>8992</v>
      </c>
      <c r="C8993" t="s">
        <v>9071</v>
      </c>
      <c r="D8993">
        <v>1992</v>
      </c>
      <c r="E8993" t="s">
        <v>14</v>
      </c>
      <c r="F8993" t="s">
        <v>1105</v>
      </c>
      <c r="G8993">
        <v>0</v>
      </c>
      <c r="H8993">
        <v>0</v>
      </c>
      <c r="I8993">
        <v>0</v>
      </c>
      <c r="J8993">
        <v>1</v>
      </c>
      <c r="K8993">
        <v>0</v>
      </c>
      <c r="L8993">
        <f t="shared" si="280"/>
        <v>6.1</v>
      </c>
      <c r="M8993">
        <f t="shared" si="281"/>
        <v>1</v>
      </c>
    </row>
    <row r="8994" spans="1:13" x14ac:dyDescent="0.3">
      <c r="A8994">
        <v>8992</v>
      </c>
      <c r="B8994">
        <v>8993</v>
      </c>
      <c r="C8994" t="s">
        <v>9072</v>
      </c>
      <c r="D8994">
        <v>2006</v>
      </c>
      <c r="E8994" t="s">
        <v>36</v>
      </c>
      <c r="F8994" t="s">
        <v>1105</v>
      </c>
      <c r="G8994">
        <v>0</v>
      </c>
      <c r="H8994">
        <v>0</v>
      </c>
      <c r="I8994">
        <v>0</v>
      </c>
      <c r="J8994">
        <v>1</v>
      </c>
      <c r="K8994">
        <v>0</v>
      </c>
      <c r="L8994">
        <f t="shared" si="280"/>
        <v>6.1</v>
      </c>
      <c r="M8994">
        <f t="shared" si="281"/>
        <v>1</v>
      </c>
    </row>
    <row r="8995" spans="1:13" x14ac:dyDescent="0.3">
      <c r="A8995">
        <v>8993</v>
      </c>
      <c r="B8995">
        <v>8994</v>
      </c>
      <c r="C8995" t="s">
        <v>9073</v>
      </c>
      <c r="D8995">
        <v>1961</v>
      </c>
      <c r="E8995" t="s">
        <v>36</v>
      </c>
      <c r="F8995" t="s">
        <v>1105</v>
      </c>
      <c r="G8995">
        <v>0</v>
      </c>
      <c r="H8995">
        <v>0</v>
      </c>
      <c r="I8995">
        <v>0</v>
      </c>
      <c r="J8995">
        <v>1</v>
      </c>
      <c r="K8995">
        <v>0</v>
      </c>
      <c r="L8995">
        <f t="shared" si="280"/>
        <v>6.1</v>
      </c>
      <c r="M8995">
        <f t="shared" si="281"/>
        <v>1</v>
      </c>
    </row>
    <row r="8996" spans="1:13" x14ac:dyDescent="0.3">
      <c r="A8996">
        <v>8994</v>
      </c>
      <c r="B8996">
        <v>8995</v>
      </c>
      <c r="C8996" t="s">
        <v>9074</v>
      </c>
      <c r="D8996">
        <v>2006</v>
      </c>
      <c r="E8996" t="s">
        <v>36</v>
      </c>
      <c r="F8996" t="s">
        <v>1105</v>
      </c>
      <c r="G8996">
        <v>0</v>
      </c>
      <c r="H8996">
        <v>0</v>
      </c>
      <c r="I8996">
        <v>0</v>
      </c>
      <c r="J8996">
        <v>1</v>
      </c>
      <c r="K8996">
        <v>0</v>
      </c>
      <c r="L8996">
        <f t="shared" si="280"/>
        <v>6.1</v>
      </c>
      <c r="M8996">
        <f t="shared" si="281"/>
        <v>1</v>
      </c>
    </row>
    <row r="8997" spans="1:13" x14ac:dyDescent="0.3">
      <c r="A8997">
        <v>8995</v>
      </c>
      <c r="B8997">
        <v>8996</v>
      </c>
      <c r="C8997" t="s">
        <v>9075</v>
      </c>
      <c r="D8997">
        <v>1994</v>
      </c>
      <c r="E8997" t="s">
        <v>14</v>
      </c>
      <c r="F8997" t="s">
        <v>1105</v>
      </c>
      <c r="G8997">
        <v>0</v>
      </c>
      <c r="H8997">
        <v>0</v>
      </c>
      <c r="I8997">
        <v>0</v>
      </c>
      <c r="J8997">
        <v>1</v>
      </c>
      <c r="K8997">
        <v>0</v>
      </c>
      <c r="L8997">
        <f t="shared" si="280"/>
        <v>6.1</v>
      </c>
      <c r="M8997">
        <f t="shared" si="281"/>
        <v>1</v>
      </c>
    </row>
    <row r="8998" spans="1:13" x14ac:dyDescent="0.3">
      <c r="A8998">
        <v>8996</v>
      </c>
      <c r="B8998">
        <v>8997</v>
      </c>
      <c r="C8998" t="s">
        <v>9076</v>
      </c>
      <c r="D8998">
        <v>2020</v>
      </c>
      <c r="E8998" t="s">
        <v>14</v>
      </c>
      <c r="F8998" t="s">
        <v>1180</v>
      </c>
      <c r="G8998">
        <v>0</v>
      </c>
      <c r="H8998">
        <v>0</v>
      </c>
      <c r="I8998">
        <v>0</v>
      </c>
      <c r="J8998">
        <v>1</v>
      </c>
      <c r="K8998">
        <v>0</v>
      </c>
      <c r="L8998">
        <f t="shared" si="280"/>
        <v>6</v>
      </c>
      <c r="M8998">
        <f t="shared" si="281"/>
        <v>1</v>
      </c>
    </row>
    <row r="8999" spans="1:13" x14ac:dyDescent="0.3">
      <c r="A8999">
        <v>8997</v>
      </c>
      <c r="B8999">
        <v>8998</v>
      </c>
      <c r="C8999" t="s">
        <v>9077</v>
      </c>
      <c r="D8999">
        <v>2020</v>
      </c>
      <c r="E8999" t="s">
        <v>14</v>
      </c>
      <c r="F8999" t="s">
        <v>1180</v>
      </c>
      <c r="G8999">
        <v>0</v>
      </c>
      <c r="H8999">
        <v>0</v>
      </c>
      <c r="I8999">
        <v>0</v>
      </c>
      <c r="J8999">
        <v>1</v>
      </c>
      <c r="K8999">
        <v>0</v>
      </c>
      <c r="L8999">
        <f t="shared" si="280"/>
        <v>6</v>
      </c>
      <c r="M8999">
        <f t="shared" si="281"/>
        <v>1</v>
      </c>
    </row>
    <row r="9000" spans="1:13" x14ac:dyDescent="0.3">
      <c r="A9000">
        <v>8998</v>
      </c>
      <c r="B9000">
        <v>8999</v>
      </c>
      <c r="C9000" t="s">
        <v>9078</v>
      </c>
      <c r="D9000">
        <v>2019</v>
      </c>
      <c r="E9000" t="s">
        <v>14</v>
      </c>
      <c r="F9000" t="s">
        <v>1180</v>
      </c>
      <c r="G9000">
        <v>0</v>
      </c>
      <c r="H9000">
        <v>0</v>
      </c>
      <c r="I9000">
        <v>0</v>
      </c>
      <c r="J9000">
        <v>1</v>
      </c>
      <c r="K9000">
        <v>0</v>
      </c>
      <c r="L9000">
        <f t="shared" si="280"/>
        <v>6</v>
      </c>
      <c r="M9000">
        <f t="shared" si="281"/>
        <v>1</v>
      </c>
    </row>
    <row r="9001" spans="1:13" x14ac:dyDescent="0.3">
      <c r="A9001">
        <v>8999</v>
      </c>
      <c r="B9001">
        <v>9000</v>
      </c>
      <c r="C9001" t="s">
        <v>9079</v>
      </c>
      <c r="D9001">
        <v>2002</v>
      </c>
      <c r="E9001" t="s">
        <v>36</v>
      </c>
      <c r="F9001" t="s">
        <v>1180</v>
      </c>
      <c r="G9001">
        <v>0</v>
      </c>
      <c r="H9001">
        <v>0</v>
      </c>
      <c r="I9001">
        <v>0</v>
      </c>
      <c r="J9001">
        <v>1</v>
      </c>
      <c r="K9001">
        <v>0</v>
      </c>
      <c r="L9001">
        <f t="shared" si="280"/>
        <v>6</v>
      </c>
      <c r="M9001">
        <f t="shared" si="281"/>
        <v>1</v>
      </c>
    </row>
    <row r="9002" spans="1:13" x14ac:dyDescent="0.3">
      <c r="A9002">
        <v>9000</v>
      </c>
      <c r="B9002">
        <v>9001</v>
      </c>
      <c r="C9002" t="s">
        <v>9080</v>
      </c>
      <c r="D9002">
        <v>2003</v>
      </c>
      <c r="E9002" t="s">
        <v>36</v>
      </c>
      <c r="F9002" t="s">
        <v>1180</v>
      </c>
      <c r="G9002">
        <v>0</v>
      </c>
      <c r="H9002">
        <v>0</v>
      </c>
      <c r="I9002">
        <v>0</v>
      </c>
      <c r="J9002">
        <v>1</v>
      </c>
      <c r="K9002">
        <v>0</v>
      </c>
      <c r="L9002">
        <f t="shared" si="280"/>
        <v>6</v>
      </c>
      <c r="M9002">
        <f t="shared" si="281"/>
        <v>1</v>
      </c>
    </row>
    <row r="9003" spans="1:13" x14ac:dyDescent="0.3">
      <c r="A9003">
        <v>9001</v>
      </c>
      <c r="B9003">
        <v>9002</v>
      </c>
      <c r="C9003" t="s">
        <v>9081</v>
      </c>
      <c r="D9003">
        <v>2020</v>
      </c>
      <c r="E9003" t="s">
        <v>14</v>
      </c>
      <c r="F9003" t="s">
        <v>1180</v>
      </c>
      <c r="G9003">
        <v>0</v>
      </c>
      <c r="H9003">
        <v>0</v>
      </c>
      <c r="I9003">
        <v>0</v>
      </c>
      <c r="J9003">
        <v>1</v>
      </c>
      <c r="K9003">
        <v>0</v>
      </c>
      <c r="L9003">
        <f t="shared" si="280"/>
        <v>6</v>
      </c>
      <c r="M9003">
        <f t="shared" si="281"/>
        <v>1</v>
      </c>
    </row>
    <row r="9004" spans="1:13" x14ac:dyDescent="0.3">
      <c r="A9004">
        <v>9002</v>
      </c>
      <c r="B9004">
        <v>9003</v>
      </c>
      <c r="C9004" t="s">
        <v>9082</v>
      </c>
      <c r="D9004">
        <v>2010</v>
      </c>
      <c r="E9004" t="s">
        <v>14</v>
      </c>
      <c r="F9004" t="s">
        <v>1180</v>
      </c>
      <c r="G9004">
        <v>0</v>
      </c>
      <c r="H9004">
        <v>0</v>
      </c>
      <c r="I9004">
        <v>0</v>
      </c>
      <c r="J9004">
        <v>1</v>
      </c>
      <c r="K9004">
        <v>0</v>
      </c>
      <c r="L9004">
        <f t="shared" si="280"/>
        <v>6</v>
      </c>
      <c r="M9004">
        <f t="shared" si="281"/>
        <v>1</v>
      </c>
    </row>
    <row r="9005" spans="1:13" x14ac:dyDescent="0.3">
      <c r="A9005">
        <v>9003</v>
      </c>
      <c r="B9005">
        <v>9004</v>
      </c>
      <c r="C9005" t="s">
        <v>9083</v>
      </c>
      <c r="D9005">
        <v>2016</v>
      </c>
      <c r="E9005" t="s">
        <v>36</v>
      </c>
      <c r="F9005" t="s">
        <v>1180</v>
      </c>
      <c r="G9005">
        <v>0</v>
      </c>
      <c r="H9005">
        <v>0</v>
      </c>
      <c r="I9005">
        <v>0</v>
      </c>
      <c r="J9005">
        <v>1</v>
      </c>
      <c r="K9005">
        <v>0</v>
      </c>
      <c r="L9005">
        <f t="shared" si="280"/>
        <v>6</v>
      </c>
      <c r="M9005">
        <f t="shared" si="281"/>
        <v>1</v>
      </c>
    </row>
    <row r="9006" spans="1:13" x14ac:dyDescent="0.3">
      <c r="A9006">
        <v>9004</v>
      </c>
      <c r="B9006">
        <v>9005</v>
      </c>
      <c r="C9006" t="s">
        <v>9084</v>
      </c>
      <c r="D9006">
        <v>2005</v>
      </c>
      <c r="E9006" t="s">
        <v>36</v>
      </c>
      <c r="F9006" t="s">
        <v>1180</v>
      </c>
      <c r="G9006">
        <v>0</v>
      </c>
      <c r="H9006">
        <v>0</v>
      </c>
      <c r="I9006">
        <v>0</v>
      </c>
      <c r="J9006">
        <v>1</v>
      </c>
      <c r="K9006">
        <v>0</v>
      </c>
      <c r="L9006">
        <f t="shared" si="280"/>
        <v>6</v>
      </c>
      <c r="M9006">
        <f t="shared" si="281"/>
        <v>1</v>
      </c>
    </row>
    <row r="9007" spans="1:13" x14ac:dyDescent="0.3">
      <c r="A9007">
        <v>9005</v>
      </c>
      <c r="B9007">
        <v>9006</v>
      </c>
      <c r="C9007" t="s">
        <v>9085</v>
      </c>
      <c r="D9007">
        <v>2014</v>
      </c>
      <c r="E9007" t="s">
        <v>36</v>
      </c>
      <c r="F9007" t="s">
        <v>1180</v>
      </c>
      <c r="G9007">
        <v>0</v>
      </c>
      <c r="H9007">
        <v>0</v>
      </c>
      <c r="I9007">
        <v>0</v>
      </c>
      <c r="J9007">
        <v>1</v>
      </c>
      <c r="K9007">
        <v>0</v>
      </c>
      <c r="L9007">
        <f t="shared" si="280"/>
        <v>6</v>
      </c>
      <c r="M9007">
        <f t="shared" si="281"/>
        <v>1</v>
      </c>
    </row>
    <row r="9008" spans="1:13" x14ac:dyDescent="0.3">
      <c r="A9008">
        <v>9006</v>
      </c>
      <c r="B9008">
        <v>9007</v>
      </c>
      <c r="C9008" t="s">
        <v>9086</v>
      </c>
      <c r="D9008">
        <v>2000</v>
      </c>
      <c r="E9008" t="s">
        <v>36</v>
      </c>
      <c r="F9008" t="s">
        <v>1180</v>
      </c>
      <c r="G9008">
        <v>0</v>
      </c>
      <c r="H9008">
        <v>0</v>
      </c>
      <c r="I9008">
        <v>0</v>
      </c>
      <c r="J9008">
        <v>1</v>
      </c>
      <c r="K9008">
        <v>0</v>
      </c>
      <c r="L9008">
        <f t="shared" si="280"/>
        <v>6</v>
      </c>
      <c r="M9008">
        <f t="shared" si="281"/>
        <v>1</v>
      </c>
    </row>
    <row r="9009" spans="1:13" x14ac:dyDescent="0.3">
      <c r="A9009">
        <v>9007</v>
      </c>
      <c r="B9009">
        <v>9008</v>
      </c>
      <c r="C9009" t="s">
        <v>9087</v>
      </c>
      <c r="D9009">
        <v>2005</v>
      </c>
      <c r="E9009" t="s">
        <v>14</v>
      </c>
      <c r="F9009" t="s">
        <v>1180</v>
      </c>
      <c r="G9009">
        <v>0</v>
      </c>
      <c r="H9009">
        <v>0</v>
      </c>
      <c r="I9009">
        <v>0</v>
      </c>
      <c r="J9009">
        <v>1</v>
      </c>
      <c r="K9009">
        <v>0</v>
      </c>
      <c r="L9009">
        <f t="shared" si="280"/>
        <v>6</v>
      </c>
      <c r="M9009">
        <f t="shared" si="281"/>
        <v>1</v>
      </c>
    </row>
    <row r="9010" spans="1:13" x14ac:dyDescent="0.3">
      <c r="A9010">
        <v>9008</v>
      </c>
      <c r="B9010">
        <v>9009</v>
      </c>
      <c r="C9010" t="s">
        <v>9088</v>
      </c>
      <c r="D9010">
        <v>2005</v>
      </c>
      <c r="E9010" t="s">
        <v>36</v>
      </c>
      <c r="F9010" t="s">
        <v>1180</v>
      </c>
      <c r="G9010">
        <v>0</v>
      </c>
      <c r="H9010">
        <v>0</v>
      </c>
      <c r="I9010">
        <v>0</v>
      </c>
      <c r="J9010">
        <v>1</v>
      </c>
      <c r="K9010">
        <v>0</v>
      </c>
      <c r="L9010">
        <f t="shared" si="280"/>
        <v>6</v>
      </c>
      <c r="M9010">
        <f t="shared" si="281"/>
        <v>1</v>
      </c>
    </row>
    <row r="9011" spans="1:13" x14ac:dyDescent="0.3">
      <c r="A9011">
        <v>9009</v>
      </c>
      <c r="B9011">
        <v>9010</v>
      </c>
      <c r="C9011" t="s">
        <v>9089</v>
      </c>
      <c r="D9011">
        <v>1997</v>
      </c>
      <c r="E9011" t="s">
        <v>14</v>
      </c>
      <c r="F9011" t="s">
        <v>1180</v>
      </c>
      <c r="G9011">
        <v>0</v>
      </c>
      <c r="H9011">
        <v>0</v>
      </c>
      <c r="I9011">
        <v>0</v>
      </c>
      <c r="J9011">
        <v>1</v>
      </c>
      <c r="K9011">
        <v>0</v>
      </c>
      <c r="L9011">
        <f t="shared" si="280"/>
        <v>6</v>
      </c>
      <c r="M9011">
        <f t="shared" si="281"/>
        <v>1</v>
      </c>
    </row>
    <row r="9012" spans="1:13" x14ac:dyDescent="0.3">
      <c r="A9012">
        <v>9010</v>
      </c>
      <c r="B9012">
        <v>9011</v>
      </c>
      <c r="C9012" t="s">
        <v>9090</v>
      </c>
      <c r="D9012">
        <v>2002</v>
      </c>
      <c r="E9012" t="s">
        <v>36</v>
      </c>
      <c r="F9012" t="s">
        <v>1180</v>
      </c>
      <c r="G9012">
        <v>0</v>
      </c>
      <c r="H9012">
        <v>0</v>
      </c>
      <c r="I9012">
        <v>0</v>
      </c>
      <c r="J9012">
        <v>1</v>
      </c>
      <c r="K9012">
        <v>0</v>
      </c>
      <c r="L9012">
        <f t="shared" si="280"/>
        <v>6</v>
      </c>
      <c r="M9012">
        <f t="shared" si="281"/>
        <v>1</v>
      </c>
    </row>
    <row r="9013" spans="1:13" x14ac:dyDescent="0.3">
      <c r="A9013">
        <v>9011</v>
      </c>
      <c r="B9013">
        <v>9012</v>
      </c>
      <c r="C9013" t="s">
        <v>9091</v>
      </c>
      <c r="D9013">
        <v>2006</v>
      </c>
      <c r="E9013" t="s">
        <v>14</v>
      </c>
      <c r="F9013" t="s">
        <v>1180</v>
      </c>
      <c r="G9013">
        <v>0</v>
      </c>
      <c r="H9013">
        <v>0</v>
      </c>
      <c r="I9013">
        <v>0</v>
      </c>
      <c r="J9013">
        <v>1</v>
      </c>
      <c r="K9013">
        <v>0</v>
      </c>
      <c r="L9013">
        <f t="shared" si="280"/>
        <v>6</v>
      </c>
      <c r="M9013">
        <f t="shared" si="281"/>
        <v>1</v>
      </c>
    </row>
    <row r="9014" spans="1:13" x14ac:dyDescent="0.3">
      <c r="A9014">
        <v>9012</v>
      </c>
      <c r="B9014">
        <v>9013</v>
      </c>
      <c r="C9014" t="s">
        <v>9092</v>
      </c>
      <c r="D9014">
        <v>2009</v>
      </c>
      <c r="E9014" t="s">
        <v>14</v>
      </c>
      <c r="F9014" t="s">
        <v>1180</v>
      </c>
      <c r="G9014">
        <v>0</v>
      </c>
      <c r="H9014">
        <v>0</v>
      </c>
      <c r="I9014">
        <v>0</v>
      </c>
      <c r="J9014">
        <v>1</v>
      </c>
      <c r="K9014">
        <v>0</v>
      </c>
      <c r="L9014">
        <f t="shared" si="280"/>
        <v>6</v>
      </c>
      <c r="M9014">
        <f t="shared" si="281"/>
        <v>1</v>
      </c>
    </row>
    <row r="9015" spans="1:13" x14ac:dyDescent="0.3">
      <c r="A9015">
        <v>9013</v>
      </c>
      <c r="B9015">
        <v>9014</v>
      </c>
      <c r="C9015" t="s">
        <v>9093</v>
      </c>
      <c r="D9015">
        <v>2020</v>
      </c>
      <c r="E9015" t="s">
        <v>22</v>
      </c>
      <c r="F9015" t="s">
        <v>1180</v>
      </c>
      <c r="G9015">
        <v>0</v>
      </c>
      <c r="H9015">
        <v>0</v>
      </c>
      <c r="I9015">
        <v>0</v>
      </c>
      <c r="J9015">
        <v>1</v>
      </c>
      <c r="K9015">
        <v>0</v>
      </c>
      <c r="L9015">
        <f t="shared" si="280"/>
        <v>6</v>
      </c>
      <c r="M9015">
        <f t="shared" si="281"/>
        <v>1</v>
      </c>
    </row>
    <row r="9016" spans="1:13" x14ac:dyDescent="0.3">
      <c r="A9016">
        <v>9014</v>
      </c>
      <c r="B9016">
        <v>9015</v>
      </c>
      <c r="C9016" t="s">
        <v>9094</v>
      </c>
      <c r="D9016">
        <v>2020</v>
      </c>
      <c r="E9016" t="s">
        <v>14</v>
      </c>
      <c r="F9016" t="s">
        <v>1278</v>
      </c>
      <c r="G9016">
        <v>0</v>
      </c>
      <c r="H9016">
        <v>0</v>
      </c>
      <c r="I9016">
        <v>0</v>
      </c>
      <c r="J9016">
        <v>1</v>
      </c>
      <c r="K9016">
        <v>0</v>
      </c>
      <c r="L9016">
        <f t="shared" si="280"/>
        <v>5.9</v>
      </c>
      <c r="M9016">
        <f t="shared" si="281"/>
        <v>1</v>
      </c>
    </row>
    <row r="9017" spans="1:13" x14ac:dyDescent="0.3">
      <c r="A9017">
        <v>9015</v>
      </c>
      <c r="B9017">
        <v>9016</v>
      </c>
      <c r="C9017" t="s">
        <v>9095</v>
      </c>
      <c r="D9017">
        <v>2015</v>
      </c>
      <c r="E9017" t="s">
        <v>36</v>
      </c>
      <c r="F9017" t="s">
        <v>1278</v>
      </c>
      <c r="G9017">
        <v>0</v>
      </c>
      <c r="H9017">
        <v>0</v>
      </c>
      <c r="I9017">
        <v>0</v>
      </c>
      <c r="J9017">
        <v>1</v>
      </c>
      <c r="K9017">
        <v>0</v>
      </c>
      <c r="L9017">
        <f t="shared" si="280"/>
        <v>5.9</v>
      </c>
      <c r="M9017">
        <f t="shared" si="281"/>
        <v>1</v>
      </c>
    </row>
    <row r="9018" spans="1:13" x14ac:dyDescent="0.3">
      <c r="A9018">
        <v>9016</v>
      </c>
      <c r="B9018">
        <v>9017</v>
      </c>
      <c r="C9018" t="s">
        <v>9096</v>
      </c>
      <c r="D9018">
        <v>1990</v>
      </c>
      <c r="E9018" t="s">
        <v>14</v>
      </c>
      <c r="F9018" t="s">
        <v>1278</v>
      </c>
      <c r="G9018">
        <v>0</v>
      </c>
      <c r="H9018">
        <v>0</v>
      </c>
      <c r="I9018">
        <v>0</v>
      </c>
      <c r="J9018">
        <v>1</v>
      </c>
      <c r="K9018">
        <v>0</v>
      </c>
      <c r="L9018">
        <f t="shared" si="280"/>
        <v>5.9</v>
      </c>
      <c r="M9018">
        <f t="shared" si="281"/>
        <v>1</v>
      </c>
    </row>
    <row r="9019" spans="1:13" x14ac:dyDescent="0.3">
      <c r="A9019">
        <v>9017</v>
      </c>
      <c r="B9019">
        <v>9018</v>
      </c>
      <c r="C9019" t="s">
        <v>9097</v>
      </c>
      <c r="D9019">
        <v>2018</v>
      </c>
      <c r="E9019" t="s">
        <v>36</v>
      </c>
      <c r="F9019" t="s">
        <v>1278</v>
      </c>
      <c r="G9019">
        <v>0</v>
      </c>
      <c r="H9019">
        <v>0</v>
      </c>
      <c r="I9019">
        <v>0</v>
      </c>
      <c r="J9019">
        <v>1</v>
      </c>
      <c r="K9019">
        <v>0</v>
      </c>
      <c r="L9019">
        <f t="shared" si="280"/>
        <v>5.9</v>
      </c>
      <c r="M9019">
        <f t="shared" si="281"/>
        <v>1</v>
      </c>
    </row>
    <row r="9020" spans="1:13" x14ac:dyDescent="0.3">
      <c r="A9020">
        <v>9018</v>
      </c>
      <c r="B9020">
        <v>9019</v>
      </c>
      <c r="C9020" t="s">
        <v>9098</v>
      </c>
      <c r="D9020">
        <v>2013</v>
      </c>
      <c r="E9020" t="s">
        <v>14</v>
      </c>
      <c r="F9020" t="s">
        <v>1278</v>
      </c>
      <c r="G9020">
        <v>0</v>
      </c>
      <c r="H9020">
        <v>0</v>
      </c>
      <c r="I9020">
        <v>0</v>
      </c>
      <c r="J9020">
        <v>1</v>
      </c>
      <c r="K9020">
        <v>0</v>
      </c>
      <c r="L9020">
        <f t="shared" si="280"/>
        <v>5.9</v>
      </c>
      <c r="M9020">
        <f t="shared" si="281"/>
        <v>1</v>
      </c>
    </row>
    <row r="9021" spans="1:13" x14ac:dyDescent="0.3">
      <c r="A9021">
        <v>9019</v>
      </c>
      <c r="B9021">
        <v>9020</v>
      </c>
      <c r="C9021" t="s">
        <v>9099</v>
      </c>
      <c r="D9021">
        <v>1994</v>
      </c>
      <c r="E9021" t="s">
        <v>14</v>
      </c>
      <c r="F9021" t="s">
        <v>1278</v>
      </c>
      <c r="G9021">
        <v>0</v>
      </c>
      <c r="H9021">
        <v>0</v>
      </c>
      <c r="I9021">
        <v>0</v>
      </c>
      <c r="J9021">
        <v>1</v>
      </c>
      <c r="K9021">
        <v>0</v>
      </c>
      <c r="L9021">
        <f t="shared" si="280"/>
        <v>5.9</v>
      </c>
      <c r="M9021">
        <f t="shared" si="281"/>
        <v>1</v>
      </c>
    </row>
    <row r="9022" spans="1:13" x14ac:dyDescent="0.3">
      <c r="A9022">
        <v>9020</v>
      </c>
      <c r="B9022">
        <v>9021</v>
      </c>
      <c r="C9022" t="s">
        <v>9100</v>
      </c>
      <c r="D9022">
        <v>1997</v>
      </c>
      <c r="E9022" t="s">
        <v>36</v>
      </c>
      <c r="F9022" t="s">
        <v>1278</v>
      </c>
      <c r="G9022">
        <v>0</v>
      </c>
      <c r="H9022">
        <v>0</v>
      </c>
      <c r="I9022">
        <v>0</v>
      </c>
      <c r="J9022">
        <v>1</v>
      </c>
      <c r="K9022">
        <v>0</v>
      </c>
      <c r="L9022">
        <f t="shared" si="280"/>
        <v>5.9</v>
      </c>
      <c r="M9022">
        <f t="shared" si="281"/>
        <v>1</v>
      </c>
    </row>
    <row r="9023" spans="1:13" x14ac:dyDescent="0.3">
      <c r="A9023">
        <v>9021</v>
      </c>
      <c r="B9023">
        <v>9022</v>
      </c>
      <c r="C9023" t="s">
        <v>9101</v>
      </c>
      <c r="D9023">
        <v>2018</v>
      </c>
      <c r="F9023" t="s">
        <v>1278</v>
      </c>
      <c r="G9023">
        <v>0</v>
      </c>
      <c r="H9023">
        <v>0</v>
      </c>
      <c r="I9023">
        <v>0</v>
      </c>
      <c r="J9023">
        <v>1</v>
      </c>
      <c r="K9023">
        <v>0</v>
      </c>
      <c r="L9023">
        <f t="shared" si="280"/>
        <v>5.9</v>
      </c>
      <c r="M9023">
        <f t="shared" si="281"/>
        <v>1</v>
      </c>
    </row>
    <row r="9024" spans="1:13" x14ac:dyDescent="0.3">
      <c r="A9024">
        <v>9022</v>
      </c>
      <c r="B9024">
        <v>9023</v>
      </c>
      <c r="C9024" t="s">
        <v>9102</v>
      </c>
      <c r="D9024">
        <v>1968</v>
      </c>
      <c r="E9024" t="s">
        <v>36</v>
      </c>
      <c r="F9024" t="s">
        <v>1278</v>
      </c>
      <c r="G9024">
        <v>0</v>
      </c>
      <c r="H9024">
        <v>0</v>
      </c>
      <c r="I9024">
        <v>0</v>
      </c>
      <c r="J9024">
        <v>1</v>
      </c>
      <c r="K9024">
        <v>0</v>
      </c>
      <c r="L9024">
        <f t="shared" si="280"/>
        <v>5.9</v>
      </c>
      <c r="M9024">
        <f t="shared" si="281"/>
        <v>1</v>
      </c>
    </row>
    <row r="9025" spans="1:13" x14ac:dyDescent="0.3">
      <c r="A9025">
        <v>9023</v>
      </c>
      <c r="B9025">
        <v>9024</v>
      </c>
      <c r="C9025" t="s">
        <v>9103</v>
      </c>
      <c r="D9025">
        <v>2007</v>
      </c>
      <c r="E9025" t="s">
        <v>36</v>
      </c>
      <c r="F9025" t="s">
        <v>1278</v>
      </c>
      <c r="G9025">
        <v>0</v>
      </c>
      <c r="H9025">
        <v>0</v>
      </c>
      <c r="I9025">
        <v>0</v>
      </c>
      <c r="J9025">
        <v>1</v>
      </c>
      <c r="K9025">
        <v>0</v>
      </c>
      <c r="L9025">
        <f t="shared" si="280"/>
        <v>5.9</v>
      </c>
      <c r="M9025">
        <f t="shared" si="281"/>
        <v>1</v>
      </c>
    </row>
    <row r="9026" spans="1:13" x14ac:dyDescent="0.3">
      <c r="A9026">
        <v>9024</v>
      </c>
      <c r="B9026">
        <v>9025</v>
      </c>
      <c r="C9026" t="s">
        <v>9104</v>
      </c>
      <c r="D9026">
        <v>1999</v>
      </c>
      <c r="E9026" t="s">
        <v>36</v>
      </c>
      <c r="F9026" t="s">
        <v>1278</v>
      </c>
      <c r="G9026">
        <v>0</v>
      </c>
      <c r="H9026">
        <v>0</v>
      </c>
      <c r="I9026">
        <v>0</v>
      </c>
      <c r="J9026">
        <v>1</v>
      </c>
      <c r="K9026">
        <v>0</v>
      </c>
      <c r="L9026">
        <f t="shared" si="280"/>
        <v>5.9</v>
      </c>
      <c r="M9026">
        <f t="shared" si="281"/>
        <v>1</v>
      </c>
    </row>
    <row r="9027" spans="1:13" x14ac:dyDescent="0.3">
      <c r="A9027">
        <v>9025</v>
      </c>
      <c r="B9027">
        <v>9026</v>
      </c>
      <c r="C9027" t="s">
        <v>9105</v>
      </c>
      <c r="D9027">
        <v>1988</v>
      </c>
      <c r="E9027" t="s">
        <v>36</v>
      </c>
      <c r="F9027" t="s">
        <v>1278</v>
      </c>
      <c r="G9027">
        <v>0</v>
      </c>
      <c r="H9027">
        <v>0</v>
      </c>
      <c r="I9027">
        <v>0</v>
      </c>
      <c r="J9027">
        <v>1</v>
      </c>
      <c r="K9027">
        <v>0</v>
      </c>
      <c r="L9027">
        <f t="shared" ref="L9027:L9090" si="282">IFERROR(VALUE(LEFT(F9027,FIND("/",F9027)-1))/10,"")</f>
        <v>5.9</v>
      </c>
      <c r="M9027">
        <f t="shared" ref="M9027:M9090" si="283">SUM(G9027:J9027)</f>
        <v>1</v>
      </c>
    </row>
    <row r="9028" spans="1:13" x14ac:dyDescent="0.3">
      <c r="A9028">
        <v>9026</v>
      </c>
      <c r="B9028">
        <v>9027</v>
      </c>
      <c r="C9028" t="s">
        <v>9106</v>
      </c>
      <c r="D9028">
        <v>2003</v>
      </c>
      <c r="E9028" t="s">
        <v>36</v>
      </c>
      <c r="F9028" t="s">
        <v>1278</v>
      </c>
      <c r="G9028">
        <v>0</v>
      </c>
      <c r="H9028">
        <v>0</v>
      </c>
      <c r="I9028">
        <v>0</v>
      </c>
      <c r="J9028">
        <v>1</v>
      </c>
      <c r="K9028">
        <v>0</v>
      </c>
      <c r="L9028">
        <f t="shared" si="282"/>
        <v>5.9</v>
      </c>
      <c r="M9028">
        <f t="shared" si="283"/>
        <v>1</v>
      </c>
    </row>
    <row r="9029" spans="1:13" x14ac:dyDescent="0.3">
      <c r="A9029">
        <v>9027</v>
      </c>
      <c r="B9029">
        <v>9028</v>
      </c>
      <c r="C9029" t="s">
        <v>9107</v>
      </c>
      <c r="D9029">
        <v>1998</v>
      </c>
      <c r="E9029" t="s">
        <v>36</v>
      </c>
      <c r="F9029" t="s">
        <v>1278</v>
      </c>
      <c r="G9029">
        <v>0</v>
      </c>
      <c r="H9029">
        <v>0</v>
      </c>
      <c r="I9029">
        <v>0</v>
      </c>
      <c r="J9029">
        <v>1</v>
      </c>
      <c r="K9029">
        <v>0</v>
      </c>
      <c r="L9029">
        <f t="shared" si="282"/>
        <v>5.9</v>
      </c>
      <c r="M9029">
        <f t="shared" si="283"/>
        <v>1</v>
      </c>
    </row>
    <row r="9030" spans="1:13" x14ac:dyDescent="0.3">
      <c r="A9030">
        <v>9028</v>
      </c>
      <c r="B9030">
        <v>9029</v>
      </c>
      <c r="C9030" t="s">
        <v>9108</v>
      </c>
      <c r="D9030">
        <v>2012</v>
      </c>
      <c r="E9030" t="s">
        <v>36</v>
      </c>
      <c r="F9030" t="s">
        <v>1278</v>
      </c>
      <c r="G9030">
        <v>0</v>
      </c>
      <c r="H9030">
        <v>0</v>
      </c>
      <c r="I9030">
        <v>0</v>
      </c>
      <c r="J9030">
        <v>1</v>
      </c>
      <c r="K9030">
        <v>0</v>
      </c>
      <c r="L9030">
        <f t="shared" si="282"/>
        <v>5.9</v>
      </c>
      <c r="M9030">
        <f t="shared" si="283"/>
        <v>1</v>
      </c>
    </row>
    <row r="9031" spans="1:13" x14ac:dyDescent="0.3">
      <c r="A9031">
        <v>9029</v>
      </c>
      <c r="B9031">
        <v>9030</v>
      </c>
      <c r="C9031" t="s">
        <v>9109</v>
      </c>
      <c r="D9031">
        <v>2017</v>
      </c>
      <c r="E9031" t="s">
        <v>36</v>
      </c>
      <c r="F9031" t="s">
        <v>1278</v>
      </c>
      <c r="G9031">
        <v>0</v>
      </c>
      <c r="H9031">
        <v>0</v>
      </c>
      <c r="I9031">
        <v>0</v>
      </c>
      <c r="J9031">
        <v>1</v>
      </c>
      <c r="K9031">
        <v>0</v>
      </c>
      <c r="L9031">
        <f t="shared" si="282"/>
        <v>5.9</v>
      </c>
      <c r="M9031">
        <f t="shared" si="283"/>
        <v>1</v>
      </c>
    </row>
    <row r="9032" spans="1:13" x14ac:dyDescent="0.3">
      <c r="A9032">
        <v>9030</v>
      </c>
      <c r="B9032">
        <v>9031</v>
      </c>
      <c r="C9032" t="s">
        <v>9110</v>
      </c>
      <c r="D9032">
        <v>2016</v>
      </c>
      <c r="E9032" t="s">
        <v>14</v>
      </c>
      <c r="F9032" t="s">
        <v>1278</v>
      </c>
      <c r="G9032">
        <v>0</v>
      </c>
      <c r="H9032">
        <v>0</v>
      </c>
      <c r="I9032">
        <v>0</v>
      </c>
      <c r="J9032">
        <v>1</v>
      </c>
      <c r="K9032">
        <v>0</v>
      </c>
      <c r="L9032">
        <f t="shared" si="282"/>
        <v>5.9</v>
      </c>
      <c r="M9032">
        <f t="shared" si="283"/>
        <v>1</v>
      </c>
    </row>
    <row r="9033" spans="1:13" x14ac:dyDescent="0.3">
      <c r="A9033">
        <v>9031</v>
      </c>
      <c r="B9033">
        <v>9032</v>
      </c>
      <c r="C9033" t="s">
        <v>9111</v>
      </c>
      <c r="D9033">
        <v>2012</v>
      </c>
      <c r="E9033" t="s">
        <v>36</v>
      </c>
      <c r="F9033" t="s">
        <v>1278</v>
      </c>
      <c r="G9033">
        <v>0</v>
      </c>
      <c r="H9033">
        <v>0</v>
      </c>
      <c r="I9033">
        <v>0</v>
      </c>
      <c r="J9033">
        <v>1</v>
      </c>
      <c r="K9033">
        <v>0</v>
      </c>
      <c r="L9033">
        <f t="shared" si="282"/>
        <v>5.9</v>
      </c>
      <c r="M9033">
        <f t="shared" si="283"/>
        <v>1</v>
      </c>
    </row>
    <row r="9034" spans="1:13" x14ac:dyDescent="0.3">
      <c r="A9034">
        <v>9032</v>
      </c>
      <c r="B9034">
        <v>9033</v>
      </c>
      <c r="C9034" t="s">
        <v>9112</v>
      </c>
      <c r="D9034">
        <v>1975</v>
      </c>
      <c r="E9034" t="s">
        <v>36</v>
      </c>
      <c r="F9034" t="s">
        <v>1278</v>
      </c>
      <c r="G9034">
        <v>0</v>
      </c>
      <c r="H9034">
        <v>0</v>
      </c>
      <c r="I9034">
        <v>0</v>
      </c>
      <c r="J9034">
        <v>1</v>
      </c>
      <c r="K9034">
        <v>0</v>
      </c>
      <c r="L9034">
        <f t="shared" si="282"/>
        <v>5.9</v>
      </c>
      <c r="M9034">
        <f t="shared" si="283"/>
        <v>1</v>
      </c>
    </row>
    <row r="9035" spans="1:13" x14ac:dyDescent="0.3">
      <c r="A9035">
        <v>9033</v>
      </c>
      <c r="B9035">
        <v>9034</v>
      </c>
      <c r="C9035" t="s">
        <v>9113</v>
      </c>
      <c r="D9035">
        <v>1941</v>
      </c>
      <c r="E9035" t="s">
        <v>36</v>
      </c>
      <c r="F9035" t="s">
        <v>1278</v>
      </c>
      <c r="G9035">
        <v>0</v>
      </c>
      <c r="H9035">
        <v>0</v>
      </c>
      <c r="I9035">
        <v>0</v>
      </c>
      <c r="J9035">
        <v>1</v>
      </c>
      <c r="K9035">
        <v>0</v>
      </c>
      <c r="L9035">
        <f t="shared" si="282"/>
        <v>5.9</v>
      </c>
      <c r="M9035">
        <f t="shared" si="283"/>
        <v>1</v>
      </c>
    </row>
    <row r="9036" spans="1:13" x14ac:dyDescent="0.3">
      <c r="A9036">
        <v>9034</v>
      </c>
      <c r="B9036">
        <v>9035</v>
      </c>
      <c r="C9036" t="s">
        <v>9114</v>
      </c>
      <c r="D9036">
        <v>2011</v>
      </c>
      <c r="E9036" t="s">
        <v>36</v>
      </c>
      <c r="F9036" t="s">
        <v>1278</v>
      </c>
      <c r="G9036">
        <v>0</v>
      </c>
      <c r="H9036">
        <v>0</v>
      </c>
      <c r="I9036">
        <v>0</v>
      </c>
      <c r="J9036">
        <v>1</v>
      </c>
      <c r="K9036">
        <v>0</v>
      </c>
      <c r="L9036">
        <f t="shared" si="282"/>
        <v>5.9</v>
      </c>
      <c r="M9036">
        <f t="shared" si="283"/>
        <v>1</v>
      </c>
    </row>
    <row r="9037" spans="1:13" x14ac:dyDescent="0.3">
      <c r="A9037">
        <v>9035</v>
      </c>
      <c r="B9037">
        <v>9036</v>
      </c>
      <c r="C9037" t="s">
        <v>9115</v>
      </c>
      <c r="D9037">
        <v>1942</v>
      </c>
      <c r="F9037" t="s">
        <v>1278</v>
      </c>
      <c r="G9037">
        <v>0</v>
      </c>
      <c r="H9037">
        <v>0</v>
      </c>
      <c r="I9037">
        <v>0</v>
      </c>
      <c r="J9037">
        <v>1</v>
      </c>
      <c r="K9037">
        <v>0</v>
      </c>
      <c r="L9037">
        <f t="shared" si="282"/>
        <v>5.9</v>
      </c>
      <c r="M9037">
        <f t="shared" si="283"/>
        <v>1</v>
      </c>
    </row>
    <row r="9038" spans="1:13" x14ac:dyDescent="0.3">
      <c r="A9038">
        <v>9036</v>
      </c>
      <c r="B9038">
        <v>9037</v>
      </c>
      <c r="C9038" t="s">
        <v>9116</v>
      </c>
      <c r="D9038">
        <v>1935</v>
      </c>
      <c r="F9038" t="s">
        <v>1278</v>
      </c>
      <c r="G9038">
        <v>0</v>
      </c>
      <c r="H9038">
        <v>0</v>
      </c>
      <c r="I9038">
        <v>0</v>
      </c>
      <c r="J9038">
        <v>1</v>
      </c>
      <c r="K9038">
        <v>0</v>
      </c>
      <c r="L9038">
        <f t="shared" si="282"/>
        <v>5.9</v>
      </c>
      <c r="M9038">
        <f t="shared" si="283"/>
        <v>1</v>
      </c>
    </row>
    <row r="9039" spans="1:13" x14ac:dyDescent="0.3">
      <c r="A9039">
        <v>9037</v>
      </c>
      <c r="B9039">
        <v>9038</v>
      </c>
      <c r="C9039" t="s">
        <v>9117</v>
      </c>
      <c r="D9039">
        <v>2006</v>
      </c>
      <c r="E9039" t="s">
        <v>36</v>
      </c>
      <c r="F9039" t="s">
        <v>1384</v>
      </c>
      <c r="G9039">
        <v>0</v>
      </c>
      <c r="H9039">
        <v>0</v>
      </c>
      <c r="I9039">
        <v>0</v>
      </c>
      <c r="J9039">
        <v>1</v>
      </c>
      <c r="K9039">
        <v>0</v>
      </c>
      <c r="L9039">
        <f t="shared" si="282"/>
        <v>5.8</v>
      </c>
      <c r="M9039">
        <f t="shared" si="283"/>
        <v>1</v>
      </c>
    </row>
    <row r="9040" spans="1:13" x14ac:dyDescent="0.3">
      <c r="A9040">
        <v>9038</v>
      </c>
      <c r="B9040">
        <v>9039</v>
      </c>
      <c r="C9040" t="s">
        <v>9118</v>
      </c>
      <c r="D9040">
        <v>2011</v>
      </c>
      <c r="E9040" t="s">
        <v>14</v>
      </c>
      <c r="F9040" t="s">
        <v>1384</v>
      </c>
      <c r="G9040">
        <v>0</v>
      </c>
      <c r="H9040">
        <v>0</v>
      </c>
      <c r="I9040">
        <v>0</v>
      </c>
      <c r="J9040">
        <v>1</v>
      </c>
      <c r="K9040">
        <v>0</v>
      </c>
      <c r="L9040">
        <f t="shared" si="282"/>
        <v>5.8</v>
      </c>
      <c r="M9040">
        <f t="shared" si="283"/>
        <v>1</v>
      </c>
    </row>
    <row r="9041" spans="1:13" x14ac:dyDescent="0.3">
      <c r="A9041">
        <v>9039</v>
      </c>
      <c r="B9041">
        <v>9040</v>
      </c>
      <c r="C9041" t="s">
        <v>9119</v>
      </c>
      <c r="D9041">
        <v>1999</v>
      </c>
      <c r="E9041" t="s">
        <v>14</v>
      </c>
      <c r="F9041" t="s">
        <v>1384</v>
      </c>
      <c r="G9041">
        <v>0</v>
      </c>
      <c r="H9041">
        <v>0</v>
      </c>
      <c r="I9041">
        <v>0</v>
      </c>
      <c r="J9041">
        <v>1</v>
      </c>
      <c r="K9041">
        <v>0</v>
      </c>
      <c r="L9041">
        <f t="shared" si="282"/>
        <v>5.8</v>
      </c>
      <c r="M9041">
        <f t="shared" si="283"/>
        <v>1</v>
      </c>
    </row>
    <row r="9042" spans="1:13" x14ac:dyDescent="0.3">
      <c r="A9042">
        <v>9040</v>
      </c>
      <c r="B9042">
        <v>9041</v>
      </c>
      <c r="C9042" t="s">
        <v>9120</v>
      </c>
      <c r="D9042">
        <v>2014</v>
      </c>
      <c r="E9042" t="s">
        <v>36</v>
      </c>
      <c r="F9042" t="s">
        <v>1384</v>
      </c>
      <c r="G9042">
        <v>0</v>
      </c>
      <c r="H9042">
        <v>0</v>
      </c>
      <c r="I9042">
        <v>0</v>
      </c>
      <c r="J9042">
        <v>1</v>
      </c>
      <c r="K9042">
        <v>0</v>
      </c>
      <c r="L9042">
        <f t="shared" si="282"/>
        <v>5.8</v>
      </c>
      <c r="M9042">
        <f t="shared" si="283"/>
        <v>1</v>
      </c>
    </row>
    <row r="9043" spans="1:13" x14ac:dyDescent="0.3">
      <c r="A9043">
        <v>9041</v>
      </c>
      <c r="B9043">
        <v>9042</v>
      </c>
      <c r="C9043" t="s">
        <v>9121</v>
      </c>
      <c r="D9043">
        <v>1967</v>
      </c>
      <c r="E9043" t="s">
        <v>36</v>
      </c>
      <c r="F9043" t="s">
        <v>1384</v>
      </c>
      <c r="G9043">
        <v>0</v>
      </c>
      <c r="H9043">
        <v>0</v>
      </c>
      <c r="I9043">
        <v>0</v>
      </c>
      <c r="J9043">
        <v>1</v>
      </c>
      <c r="K9043">
        <v>0</v>
      </c>
      <c r="L9043">
        <f t="shared" si="282"/>
        <v>5.8</v>
      </c>
      <c r="M9043">
        <f t="shared" si="283"/>
        <v>1</v>
      </c>
    </row>
    <row r="9044" spans="1:13" x14ac:dyDescent="0.3">
      <c r="A9044">
        <v>9042</v>
      </c>
      <c r="B9044">
        <v>9043</v>
      </c>
      <c r="C9044" t="s">
        <v>9122</v>
      </c>
      <c r="D9044">
        <v>2011</v>
      </c>
      <c r="E9044" t="s">
        <v>36</v>
      </c>
      <c r="F9044" t="s">
        <v>1384</v>
      </c>
      <c r="G9044">
        <v>0</v>
      </c>
      <c r="H9044">
        <v>0</v>
      </c>
      <c r="I9044">
        <v>0</v>
      </c>
      <c r="J9044">
        <v>1</v>
      </c>
      <c r="K9044">
        <v>0</v>
      </c>
      <c r="L9044">
        <f t="shared" si="282"/>
        <v>5.8</v>
      </c>
      <c r="M9044">
        <f t="shared" si="283"/>
        <v>1</v>
      </c>
    </row>
    <row r="9045" spans="1:13" x14ac:dyDescent="0.3">
      <c r="A9045">
        <v>9043</v>
      </c>
      <c r="B9045">
        <v>9044</v>
      </c>
      <c r="C9045" t="s">
        <v>9123</v>
      </c>
      <c r="D9045">
        <v>1998</v>
      </c>
      <c r="E9045" t="s">
        <v>14</v>
      </c>
      <c r="F9045" t="s">
        <v>1384</v>
      </c>
      <c r="G9045">
        <v>0</v>
      </c>
      <c r="H9045">
        <v>0</v>
      </c>
      <c r="I9045">
        <v>0</v>
      </c>
      <c r="J9045">
        <v>1</v>
      </c>
      <c r="K9045">
        <v>0</v>
      </c>
      <c r="L9045">
        <f t="shared" si="282"/>
        <v>5.8</v>
      </c>
      <c r="M9045">
        <f t="shared" si="283"/>
        <v>1</v>
      </c>
    </row>
    <row r="9046" spans="1:13" x14ac:dyDescent="0.3">
      <c r="A9046">
        <v>9044</v>
      </c>
      <c r="B9046">
        <v>9045</v>
      </c>
      <c r="C9046" t="s">
        <v>9124</v>
      </c>
      <c r="D9046">
        <v>1997</v>
      </c>
      <c r="E9046" t="s">
        <v>14</v>
      </c>
      <c r="F9046" t="s">
        <v>1384</v>
      </c>
      <c r="G9046">
        <v>0</v>
      </c>
      <c r="H9046">
        <v>0</v>
      </c>
      <c r="I9046">
        <v>0</v>
      </c>
      <c r="J9046">
        <v>1</v>
      </c>
      <c r="K9046">
        <v>0</v>
      </c>
      <c r="L9046">
        <f t="shared" si="282"/>
        <v>5.8</v>
      </c>
      <c r="M9046">
        <f t="shared" si="283"/>
        <v>1</v>
      </c>
    </row>
    <row r="9047" spans="1:13" x14ac:dyDescent="0.3">
      <c r="A9047">
        <v>9045</v>
      </c>
      <c r="B9047">
        <v>9046</v>
      </c>
      <c r="C9047" t="s">
        <v>9125</v>
      </c>
      <c r="D9047">
        <v>1938</v>
      </c>
      <c r="F9047" t="s">
        <v>1384</v>
      </c>
      <c r="G9047">
        <v>0</v>
      </c>
      <c r="H9047">
        <v>0</v>
      </c>
      <c r="I9047">
        <v>0</v>
      </c>
      <c r="J9047">
        <v>1</v>
      </c>
      <c r="K9047">
        <v>0</v>
      </c>
      <c r="L9047">
        <f t="shared" si="282"/>
        <v>5.8</v>
      </c>
      <c r="M9047">
        <f t="shared" si="283"/>
        <v>1</v>
      </c>
    </row>
    <row r="9048" spans="1:13" x14ac:dyDescent="0.3">
      <c r="A9048">
        <v>9046</v>
      </c>
      <c r="B9048">
        <v>9047</v>
      </c>
      <c r="C9048" t="s">
        <v>9126</v>
      </c>
      <c r="D9048">
        <v>2001</v>
      </c>
      <c r="E9048" t="s">
        <v>36</v>
      </c>
      <c r="F9048" t="s">
        <v>1384</v>
      </c>
      <c r="G9048">
        <v>0</v>
      </c>
      <c r="H9048">
        <v>0</v>
      </c>
      <c r="I9048">
        <v>0</v>
      </c>
      <c r="J9048">
        <v>1</v>
      </c>
      <c r="K9048">
        <v>0</v>
      </c>
      <c r="L9048">
        <f t="shared" si="282"/>
        <v>5.8</v>
      </c>
      <c r="M9048">
        <f t="shared" si="283"/>
        <v>1</v>
      </c>
    </row>
    <row r="9049" spans="1:13" x14ac:dyDescent="0.3">
      <c r="A9049">
        <v>9047</v>
      </c>
      <c r="B9049">
        <v>9048</v>
      </c>
      <c r="C9049" t="s">
        <v>9127</v>
      </c>
      <c r="D9049">
        <v>2006</v>
      </c>
      <c r="E9049" t="s">
        <v>36</v>
      </c>
      <c r="F9049" t="s">
        <v>1384</v>
      </c>
      <c r="G9049">
        <v>0</v>
      </c>
      <c r="H9049">
        <v>0</v>
      </c>
      <c r="I9049">
        <v>0</v>
      </c>
      <c r="J9049">
        <v>1</v>
      </c>
      <c r="K9049">
        <v>0</v>
      </c>
      <c r="L9049">
        <f t="shared" si="282"/>
        <v>5.8</v>
      </c>
      <c r="M9049">
        <f t="shared" si="283"/>
        <v>1</v>
      </c>
    </row>
    <row r="9050" spans="1:13" x14ac:dyDescent="0.3">
      <c r="A9050">
        <v>9048</v>
      </c>
      <c r="B9050">
        <v>9049</v>
      </c>
      <c r="C9050" t="s">
        <v>9128</v>
      </c>
      <c r="D9050">
        <v>1977</v>
      </c>
      <c r="E9050" t="s">
        <v>14</v>
      </c>
      <c r="F9050" t="s">
        <v>1384</v>
      </c>
      <c r="G9050">
        <v>0</v>
      </c>
      <c r="H9050">
        <v>0</v>
      </c>
      <c r="I9050">
        <v>0</v>
      </c>
      <c r="J9050">
        <v>1</v>
      </c>
      <c r="K9050">
        <v>0</v>
      </c>
      <c r="L9050">
        <f t="shared" si="282"/>
        <v>5.8</v>
      </c>
      <c r="M9050">
        <f t="shared" si="283"/>
        <v>1</v>
      </c>
    </row>
    <row r="9051" spans="1:13" x14ac:dyDescent="0.3">
      <c r="A9051">
        <v>9049</v>
      </c>
      <c r="B9051">
        <v>9050</v>
      </c>
      <c r="C9051" t="s">
        <v>9129</v>
      </c>
      <c r="D9051">
        <v>2006</v>
      </c>
      <c r="E9051" t="s">
        <v>36</v>
      </c>
      <c r="F9051" t="s">
        <v>1384</v>
      </c>
      <c r="G9051">
        <v>0</v>
      </c>
      <c r="H9051">
        <v>0</v>
      </c>
      <c r="I9051">
        <v>0</v>
      </c>
      <c r="J9051">
        <v>1</v>
      </c>
      <c r="K9051">
        <v>0</v>
      </c>
      <c r="L9051">
        <f t="shared" si="282"/>
        <v>5.8</v>
      </c>
      <c r="M9051">
        <f t="shared" si="283"/>
        <v>1</v>
      </c>
    </row>
    <row r="9052" spans="1:13" x14ac:dyDescent="0.3">
      <c r="A9052">
        <v>9050</v>
      </c>
      <c r="B9052">
        <v>9051</v>
      </c>
      <c r="C9052" t="s">
        <v>9130</v>
      </c>
      <c r="D9052">
        <v>1998</v>
      </c>
      <c r="E9052" t="s">
        <v>36</v>
      </c>
      <c r="F9052" t="s">
        <v>1384</v>
      </c>
      <c r="G9052">
        <v>0</v>
      </c>
      <c r="H9052">
        <v>0</v>
      </c>
      <c r="I9052">
        <v>0</v>
      </c>
      <c r="J9052">
        <v>1</v>
      </c>
      <c r="K9052">
        <v>0</v>
      </c>
      <c r="L9052">
        <f t="shared" si="282"/>
        <v>5.8</v>
      </c>
      <c r="M9052">
        <f t="shared" si="283"/>
        <v>1</v>
      </c>
    </row>
    <row r="9053" spans="1:13" x14ac:dyDescent="0.3">
      <c r="A9053">
        <v>9051</v>
      </c>
      <c r="B9053">
        <v>9052</v>
      </c>
      <c r="C9053" t="s">
        <v>9131</v>
      </c>
      <c r="D9053">
        <v>2020</v>
      </c>
      <c r="E9053" t="s">
        <v>36</v>
      </c>
      <c r="F9053" t="s">
        <v>1384</v>
      </c>
      <c r="G9053">
        <v>0</v>
      </c>
      <c r="H9053">
        <v>0</v>
      </c>
      <c r="I9053">
        <v>0</v>
      </c>
      <c r="J9053">
        <v>1</v>
      </c>
      <c r="K9053">
        <v>0</v>
      </c>
      <c r="L9053">
        <f t="shared" si="282"/>
        <v>5.8</v>
      </c>
      <c r="M9053">
        <f t="shared" si="283"/>
        <v>1</v>
      </c>
    </row>
    <row r="9054" spans="1:13" x14ac:dyDescent="0.3">
      <c r="A9054">
        <v>9052</v>
      </c>
      <c r="B9054">
        <v>9053</v>
      </c>
      <c r="C9054" t="s">
        <v>9132</v>
      </c>
      <c r="D9054">
        <v>2015</v>
      </c>
      <c r="E9054" t="s">
        <v>36</v>
      </c>
      <c r="F9054" t="s">
        <v>1384</v>
      </c>
      <c r="G9054">
        <v>0</v>
      </c>
      <c r="H9054">
        <v>0</v>
      </c>
      <c r="I9054">
        <v>0</v>
      </c>
      <c r="J9054">
        <v>1</v>
      </c>
      <c r="K9054">
        <v>0</v>
      </c>
      <c r="L9054">
        <f t="shared" si="282"/>
        <v>5.8</v>
      </c>
      <c r="M9054">
        <f t="shared" si="283"/>
        <v>1</v>
      </c>
    </row>
    <row r="9055" spans="1:13" x14ac:dyDescent="0.3">
      <c r="A9055">
        <v>9053</v>
      </c>
      <c r="B9055">
        <v>9054</v>
      </c>
      <c r="C9055" t="s">
        <v>9133</v>
      </c>
      <c r="D9055">
        <v>1999</v>
      </c>
      <c r="E9055" t="s">
        <v>36</v>
      </c>
      <c r="F9055" t="s">
        <v>1384</v>
      </c>
      <c r="G9055">
        <v>0</v>
      </c>
      <c r="H9055">
        <v>0</v>
      </c>
      <c r="I9055">
        <v>0</v>
      </c>
      <c r="J9055">
        <v>1</v>
      </c>
      <c r="K9055">
        <v>0</v>
      </c>
      <c r="L9055">
        <f t="shared" si="282"/>
        <v>5.8</v>
      </c>
      <c r="M9055">
        <f t="shared" si="283"/>
        <v>1</v>
      </c>
    </row>
    <row r="9056" spans="1:13" x14ac:dyDescent="0.3">
      <c r="A9056">
        <v>9054</v>
      </c>
      <c r="B9056">
        <v>9055</v>
      </c>
      <c r="C9056" t="s">
        <v>9134</v>
      </c>
      <c r="D9056">
        <v>1959</v>
      </c>
      <c r="E9056" t="s">
        <v>36</v>
      </c>
      <c r="F9056" t="s">
        <v>1384</v>
      </c>
      <c r="G9056">
        <v>0</v>
      </c>
      <c r="H9056">
        <v>0</v>
      </c>
      <c r="I9056">
        <v>0</v>
      </c>
      <c r="J9056">
        <v>1</v>
      </c>
      <c r="K9056">
        <v>0</v>
      </c>
      <c r="L9056">
        <f t="shared" si="282"/>
        <v>5.8</v>
      </c>
      <c r="M9056">
        <f t="shared" si="283"/>
        <v>1</v>
      </c>
    </row>
    <row r="9057" spans="1:13" x14ac:dyDescent="0.3">
      <c r="A9057">
        <v>9055</v>
      </c>
      <c r="B9057">
        <v>9056</v>
      </c>
      <c r="C9057" t="s">
        <v>9135</v>
      </c>
      <c r="D9057">
        <v>2019</v>
      </c>
      <c r="E9057" t="s">
        <v>14</v>
      </c>
      <c r="F9057" t="s">
        <v>1384</v>
      </c>
      <c r="G9057">
        <v>0</v>
      </c>
      <c r="H9057">
        <v>0</v>
      </c>
      <c r="I9057">
        <v>0</v>
      </c>
      <c r="J9057">
        <v>1</v>
      </c>
      <c r="K9057">
        <v>0</v>
      </c>
      <c r="L9057">
        <f t="shared" si="282"/>
        <v>5.8</v>
      </c>
      <c r="M9057">
        <f t="shared" si="283"/>
        <v>1</v>
      </c>
    </row>
    <row r="9058" spans="1:13" x14ac:dyDescent="0.3">
      <c r="A9058">
        <v>9056</v>
      </c>
      <c r="B9058">
        <v>9057</v>
      </c>
      <c r="C9058" t="s">
        <v>9136</v>
      </c>
      <c r="D9058">
        <v>2020</v>
      </c>
      <c r="E9058" t="s">
        <v>14</v>
      </c>
      <c r="F9058" t="s">
        <v>1384</v>
      </c>
      <c r="G9058">
        <v>0</v>
      </c>
      <c r="H9058">
        <v>0</v>
      </c>
      <c r="I9058">
        <v>0</v>
      </c>
      <c r="J9058">
        <v>1</v>
      </c>
      <c r="K9058">
        <v>0</v>
      </c>
      <c r="L9058">
        <f t="shared" si="282"/>
        <v>5.8</v>
      </c>
      <c r="M9058">
        <f t="shared" si="283"/>
        <v>1</v>
      </c>
    </row>
    <row r="9059" spans="1:13" x14ac:dyDescent="0.3">
      <c r="A9059">
        <v>9057</v>
      </c>
      <c r="B9059">
        <v>9058</v>
      </c>
      <c r="C9059" t="s">
        <v>9137</v>
      </c>
      <c r="D9059">
        <v>1993</v>
      </c>
      <c r="E9059" t="s">
        <v>14</v>
      </c>
      <c r="F9059" t="s">
        <v>1384</v>
      </c>
      <c r="G9059">
        <v>0</v>
      </c>
      <c r="H9059">
        <v>0</v>
      </c>
      <c r="I9059">
        <v>0</v>
      </c>
      <c r="J9059">
        <v>1</v>
      </c>
      <c r="K9059">
        <v>0</v>
      </c>
      <c r="L9059">
        <f t="shared" si="282"/>
        <v>5.8</v>
      </c>
      <c r="M9059">
        <f t="shared" si="283"/>
        <v>1</v>
      </c>
    </row>
    <row r="9060" spans="1:13" x14ac:dyDescent="0.3">
      <c r="A9060">
        <v>9058</v>
      </c>
      <c r="B9060">
        <v>9059</v>
      </c>
      <c r="C9060" t="s">
        <v>9138</v>
      </c>
      <c r="D9060">
        <v>2005</v>
      </c>
      <c r="E9060" t="s">
        <v>36</v>
      </c>
      <c r="F9060" t="s">
        <v>1384</v>
      </c>
      <c r="G9060">
        <v>0</v>
      </c>
      <c r="H9060">
        <v>0</v>
      </c>
      <c r="I9060">
        <v>0</v>
      </c>
      <c r="J9060">
        <v>1</v>
      </c>
      <c r="K9060">
        <v>0</v>
      </c>
      <c r="L9060">
        <f t="shared" si="282"/>
        <v>5.8</v>
      </c>
      <c r="M9060">
        <f t="shared" si="283"/>
        <v>1</v>
      </c>
    </row>
    <row r="9061" spans="1:13" x14ac:dyDescent="0.3">
      <c r="A9061">
        <v>9059</v>
      </c>
      <c r="B9061">
        <v>9060</v>
      </c>
      <c r="C9061" t="s">
        <v>9139</v>
      </c>
      <c r="D9061">
        <v>2004</v>
      </c>
      <c r="E9061" t="s">
        <v>14</v>
      </c>
      <c r="F9061" t="s">
        <v>1384</v>
      </c>
      <c r="G9061">
        <v>0</v>
      </c>
      <c r="H9061">
        <v>0</v>
      </c>
      <c r="I9061">
        <v>0</v>
      </c>
      <c r="J9061">
        <v>1</v>
      </c>
      <c r="K9061">
        <v>0</v>
      </c>
      <c r="L9061">
        <f t="shared" si="282"/>
        <v>5.8</v>
      </c>
      <c r="M9061">
        <f t="shared" si="283"/>
        <v>1</v>
      </c>
    </row>
    <row r="9062" spans="1:13" x14ac:dyDescent="0.3">
      <c r="A9062">
        <v>9060</v>
      </c>
      <c r="B9062">
        <v>9061</v>
      </c>
      <c r="C9062" t="s">
        <v>9140</v>
      </c>
      <c r="D9062">
        <v>1995</v>
      </c>
      <c r="E9062" t="s">
        <v>14</v>
      </c>
      <c r="F9062" t="s">
        <v>1384</v>
      </c>
      <c r="G9062">
        <v>0</v>
      </c>
      <c r="H9062">
        <v>0</v>
      </c>
      <c r="I9062">
        <v>0</v>
      </c>
      <c r="J9062">
        <v>1</v>
      </c>
      <c r="K9062">
        <v>0</v>
      </c>
      <c r="L9062">
        <f t="shared" si="282"/>
        <v>5.8</v>
      </c>
      <c r="M9062">
        <f t="shared" si="283"/>
        <v>1</v>
      </c>
    </row>
    <row r="9063" spans="1:13" x14ac:dyDescent="0.3">
      <c r="A9063">
        <v>9061</v>
      </c>
      <c r="B9063">
        <v>9062</v>
      </c>
      <c r="C9063" t="s">
        <v>9141</v>
      </c>
      <c r="D9063">
        <v>2003</v>
      </c>
      <c r="E9063" t="s">
        <v>36</v>
      </c>
      <c r="F9063" t="s">
        <v>1384</v>
      </c>
      <c r="G9063">
        <v>0</v>
      </c>
      <c r="H9063">
        <v>0</v>
      </c>
      <c r="I9063">
        <v>0</v>
      </c>
      <c r="J9063">
        <v>1</v>
      </c>
      <c r="K9063">
        <v>0</v>
      </c>
      <c r="L9063">
        <f t="shared" si="282"/>
        <v>5.8</v>
      </c>
      <c r="M9063">
        <f t="shared" si="283"/>
        <v>1</v>
      </c>
    </row>
    <row r="9064" spans="1:13" x14ac:dyDescent="0.3">
      <c r="A9064">
        <v>9062</v>
      </c>
      <c r="B9064">
        <v>9063</v>
      </c>
      <c r="C9064" t="s">
        <v>9142</v>
      </c>
      <c r="D9064">
        <v>2017</v>
      </c>
      <c r="E9064" t="s">
        <v>14</v>
      </c>
      <c r="F9064" t="s">
        <v>1384</v>
      </c>
      <c r="G9064">
        <v>0</v>
      </c>
      <c r="H9064">
        <v>0</v>
      </c>
      <c r="I9064">
        <v>0</v>
      </c>
      <c r="J9064">
        <v>1</v>
      </c>
      <c r="K9064">
        <v>0</v>
      </c>
      <c r="L9064">
        <f t="shared" si="282"/>
        <v>5.8</v>
      </c>
      <c r="M9064">
        <f t="shared" si="283"/>
        <v>1</v>
      </c>
    </row>
    <row r="9065" spans="1:13" x14ac:dyDescent="0.3">
      <c r="A9065">
        <v>9063</v>
      </c>
      <c r="B9065">
        <v>9064</v>
      </c>
      <c r="C9065" t="s">
        <v>9143</v>
      </c>
      <c r="D9065">
        <v>2011</v>
      </c>
      <c r="E9065" t="s">
        <v>36</v>
      </c>
      <c r="F9065" t="s">
        <v>1471</v>
      </c>
      <c r="G9065">
        <v>0</v>
      </c>
      <c r="H9065">
        <v>0</v>
      </c>
      <c r="I9065">
        <v>0</v>
      </c>
      <c r="J9065">
        <v>1</v>
      </c>
      <c r="K9065">
        <v>0</v>
      </c>
      <c r="L9065">
        <f t="shared" si="282"/>
        <v>5.7</v>
      </c>
      <c r="M9065">
        <f t="shared" si="283"/>
        <v>1</v>
      </c>
    </row>
    <row r="9066" spans="1:13" x14ac:dyDescent="0.3">
      <c r="A9066">
        <v>9064</v>
      </c>
      <c r="B9066">
        <v>9065</v>
      </c>
      <c r="C9066" t="s">
        <v>9144</v>
      </c>
      <c r="D9066">
        <v>2006</v>
      </c>
      <c r="E9066" t="s">
        <v>36</v>
      </c>
      <c r="F9066" t="s">
        <v>1471</v>
      </c>
      <c r="G9066">
        <v>0</v>
      </c>
      <c r="H9066">
        <v>0</v>
      </c>
      <c r="I9066">
        <v>0</v>
      </c>
      <c r="J9066">
        <v>1</v>
      </c>
      <c r="K9066">
        <v>0</v>
      </c>
      <c r="L9066">
        <f t="shared" si="282"/>
        <v>5.7</v>
      </c>
      <c r="M9066">
        <f t="shared" si="283"/>
        <v>1</v>
      </c>
    </row>
    <row r="9067" spans="1:13" x14ac:dyDescent="0.3">
      <c r="A9067">
        <v>9065</v>
      </c>
      <c r="B9067">
        <v>9066</v>
      </c>
      <c r="C9067" t="s">
        <v>9145</v>
      </c>
      <c r="D9067">
        <v>1963</v>
      </c>
      <c r="E9067" t="s">
        <v>36</v>
      </c>
      <c r="F9067" t="s">
        <v>1471</v>
      </c>
      <c r="G9067">
        <v>0</v>
      </c>
      <c r="H9067">
        <v>0</v>
      </c>
      <c r="I9067">
        <v>0</v>
      </c>
      <c r="J9067">
        <v>1</v>
      </c>
      <c r="K9067">
        <v>0</v>
      </c>
      <c r="L9067">
        <f t="shared" si="282"/>
        <v>5.7</v>
      </c>
      <c r="M9067">
        <f t="shared" si="283"/>
        <v>1</v>
      </c>
    </row>
    <row r="9068" spans="1:13" x14ac:dyDescent="0.3">
      <c r="A9068">
        <v>9066</v>
      </c>
      <c r="B9068">
        <v>9067</v>
      </c>
      <c r="C9068" t="s">
        <v>9146</v>
      </c>
      <c r="D9068">
        <v>2003</v>
      </c>
      <c r="E9068" t="s">
        <v>36</v>
      </c>
      <c r="F9068" t="s">
        <v>1471</v>
      </c>
      <c r="G9068">
        <v>0</v>
      </c>
      <c r="H9068">
        <v>0</v>
      </c>
      <c r="I9068">
        <v>0</v>
      </c>
      <c r="J9068">
        <v>1</v>
      </c>
      <c r="K9068">
        <v>0</v>
      </c>
      <c r="L9068">
        <f t="shared" si="282"/>
        <v>5.7</v>
      </c>
      <c r="M9068">
        <f t="shared" si="283"/>
        <v>1</v>
      </c>
    </row>
    <row r="9069" spans="1:13" x14ac:dyDescent="0.3">
      <c r="A9069">
        <v>9067</v>
      </c>
      <c r="B9069">
        <v>9068</v>
      </c>
      <c r="C9069" t="s">
        <v>9147</v>
      </c>
      <c r="D9069">
        <v>2011</v>
      </c>
      <c r="E9069" t="s">
        <v>14</v>
      </c>
      <c r="F9069" t="s">
        <v>1471</v>
      </c>
      <c r="G9069">
        <v>0</v>
      </c>
      <c r="H9069">
        <v>0</v>
      </c>
      <c r="I9069">
        <v>0</v>
      </c>
      <c r="J9069">
        <v>1</v>
      </c>
      <c r="K9069">
        <v>0</v>
      </c>
      <c r="L9069">
        <f t="shared" si="282"/>
        <v>5.7</v>
      </c>
      <c r="M9069">
        <f t="shared" si="283"/>
        <v>1</v>
      </c>
    </row>
    <row r="9070" spans="1:13" x14ac:dyDescent="0.3">
      <c r="A9070">
        <v>9068</v>
      </c>
      <c r="B9070">
        <v>9069</v>
      </c>
      <c r="C9070" t="s">
        <v>9148</v>
      </c>
      <c r="D9070">
        <v>2013</v>
      </c>
      <c r="E9070" t="s">
        <v>36</v>
      </c>
      <c r="F9070" t="s">
        <v>1471</v>
      </c>
      <c r="G9070">
        <v>0</v>
      </c>
      <c r="H9070">
        <v>0</v>
      </c>
      <c r="I9070">
        <v>0</v>
      </c>
      <c r="J9070">
        <v>1</v>
      </c>
      <c r="K9070">
        <v>0</v>
      </c>
      <c r="L9070">
        <f t="shared" si="282"/>
        <v>5.7</v>
      </c>
      <c r="M9070">
        <f t="shared" si="283"/>
        <v>1</v>
      </c>
    </row>
    <row r="9071" spans="1:13" x14ac:dyDescent="0.3">
      <c r="A9071">
        <v>9069</v>
      </c>
      <c r="B9071">
        <v>9070</v>
      </c>
      <c r="C9071" t="s">
        <v>9149</v>
      </c>
      <c r="D9071">
        <v>1990</v>
      </c>
      <c r="E9071" t="s">
        <v>36</v>
      </c>
      <c r="F9071" t="s">
        <v>1471</v>
      </c>
      <c r="G9071">
        <v>0</v>
      </c>
      <c r="H9071">
        <v>0</v>
      </c>
      <c r="I9071">
        <v>0</v>
      </c>
      <c r="J9071">
        <v>1</v>
      </c>
      <c r="K9071">
        <v>0</v>
      </c>
      <c r="L9071">
        <f t="shared" si="282"/>
        <v>5.7</v>
      </c>
      <c r="M9071">
        <f t="shared" si="283"/>
        <v>1</v>
      </c>
    </row>
    <row r="9072" spans="1:13" x14ac:dyDescent="0.3">
      <c r="A9072">
        <v>9070</v>
      </c>
      <c r="B9072">
        <v>9071</v>
      </c>
      <c r="C9072" t="s">
        <v>9150</v>
      </c>
      <c r="D9072">
        <v>2005</v>
      </c>
      <c r="E9072" t="s">
        <v>14</v>
      </c>
      <c r="F9072" t="s">
        <v>1471</v>
      </c>
      <c r="G9072">
        <v>0</v>
      </c>
      <c r="H9072">
        <v>0</v>
      </c>
      <c r="I9072">
        <v>0</v>
      </c>
      <c r="J9072">
        <v>1</v>
      </c>
      <c r="K9072">
        <v>0</v>
      </c>
      <c r="L9072">
        <f t="shared" si="282"/>
        <v>5.7</v>
      </c>
      <c r="M9072">
        <f t="shared" si="283"/>
        <v>1</v>
      </c>
    </row>
    <row r="9073" spans="1:13" x14ac:dyDescent="0.3">
      <c r="A9073">
        <v>9071</v>
      </c>
      <c r="B9073">
        <v>9072</v>
      </c>
      <c r="C9073" t="s">
        <v>9151</v>
      </c>
      <c r="D9073">
        <v>2015</v>
      </c>
      <c r="E9073" t="s">
        <v>36</v>
      </c>
      <c r="F9073" t="s">
        <v>1471</v>
      </c>
      <c r="G9073">
        <v>0</v>
      </c>
      <c r="H9073">
        <v>0</v>
      </c>
      <c r="I9073">
        <v>0</v>
      </c>
      <c r="J9073">
        <v>1</v>
      </c>
      <c r="K9073">
        <v>0</v>
      </c>
      <c r="L9073">
        <f t="shared" si="282"/>
        <v>5.7</v>
      </c>
      <c r="M9073">
        <f t="shared" si="283"/>
        <v>1</v>
      </c>
    </row>
    <row r="9074" spans="1:13" x14ac:dyDescent="0.3">
      <c r="A9074">
        <v>9072</v>
      </c>
      <c r="B9074">
        <v>9073</v>
      </c>
      <c r="C9074" t="s">
        <v>9152</v>
      </c>
      <c r="D9074">
        <v>2020</v>
      </c>
      <c r="E9074" t="s">
        <v>36</v>
      </c>
      <c r="F9074" t="s">
        <v>1471</v>
      </c>
      <c r="G9074">
        <v>0</v>
      </c>
      <c r="H9074">
        <v>0</v>
      </c>
      <c r="I9074">
        <v>0</v>
      </c>
      <c r="J9074">
        <v>1</v>
      </c>
      <c r="K9074">
        <v>0</v>
      </c>
      <c r="L9074">
        <f t="shared" si="282"/>
        <v>5.7</v>
      </c>
      <c r="M9074">
        <f t="shared" si="283"/>
        <v>1</v>
      </c>
    </row>
    <row r="9075" spans="1:13" x14ac:dyDescent="0.3">
      <c r="A9075">
        <v>9073</v>
      </c>
      <c r="B9075">
        <v>9074</v>
      </c>
      <c r="C9075" t="s">
        <v>9153</v>
      </c>
      <c r="D9075">
        <v>2009</v>
      </c>
      <c r="E9075" t="s">
        <v>14</v>
      </c>
      <c r="F9075" t="s">
        <v>1471</v>
      </c>
      <c r="G9075">
        <v>0</v>
      </c>
      <c r="H9075">
        <v>0</v>
      </c>
      <c r="I9075">
        <v>0</v>
      </c>
      <c r="J9075">
        <v>1</v>
      </c>
      <c r="K9075">
        <v>0</v>
      </c>
      <c r="L9075">
        <f t="shared" si="282"/>
        <v>5.7</v>
      </c>
      <c r="M9075">
        <f t="shared" si="283"/>
        <v>1</v>
      </c>
    </row>
    <row r="9076" spans="1:13" x14ac:dyDescent="0.3">
      <c r="A9076">
        <v>9074</v>
      </c>
      <c r="B9076">
        <v>9075</v>
      </c>
      <c r="C9076" t="s">
        <v>9154</v>
      </c>
      <c r="D9076">
        <v>2003</v>
      </c>
      <c r="E9076" t="s">
        <v>36</v>
      </c>
      <c r="F9076" t="s">
        <v>1471</v>
      </c>
      <c r="G9076">
        <v>0</v>
      </c>
      <c r="H9076">
        <v>0</v>
      </c>
      <c r="I9076">
        <v>0</v>
      </c>
      <c r="J9076">
        <v>1</v>
      </c>
      <c r="K9076">
        <v>0</v>
      </c>
      <c r="L9076">
        <f t="shared" si="282"/>
        <v>5.7</v>
      </c>
      <c r="M9076">
        <f t="shared" si="283"/>
        <v>1</v>
      </c>
    </row>
    <row r="9077" spans="1:13" x14ac:dyDescent="0.3">
      <c r="A9077">
        <v>9075</v>
      </c>
      <c r="B9077">
        <v>9076</v>
      </c>
      <c r="C9077" t="s">
        <v>9155</v>
      </c>
      <c r="D9077">
        <v>1995</v>
      </c>
      <c r="E9077" t="s">
        <v>14</v>
      </c>
      <c r="F9077" t="s">
        <v>1471</v>
      </c>
      <c r="G9077">
        <v>0</v>
      </c>
      <c r="H9077">
        <v>0</v>
      </c>
      <c r="I9077">
        <v>0</v>
      </c>
      <c r="J9077">
        <v>1</v>
      </c>
      <c r="K9077">
        <v>0</v>
      </c>
      <c r="L9077">
        <f t="shared" si="282"/>
        <v>5.7</v>
      </c>
      <c r="M9077">
        <f t="shared" si="283"/>
        <v>1</v>
      </c>
    </row>
    <row r="9078" spans="1:13" x14ac:dyDescent="0.3">
      <c r="A9078">
        <v>9076</v>
      </c>
      <c r="B9078">
        <v>9077</v>
      </c>
      <c r="C9078" t="s">
        <v>9156</v>
      </c>
      <c r="D9078">
        <v>2007</v>
      </c>
      <c r="E9078" t="s">
        <v>14</v>
      </c>
      <c r="F9078" t="s">
        <v>1471</v>
      </c>
      <c r="G9078">
        <v>0</v>
      </c>
      <c r="H9078">
        <v>0</v>
      </c>
      <c r="I9078">
        <v>0</v>
      </c>
      <c r="J9078">
        <v>1</v>
      </c>
      <c r="K9078">
        <v>0</v>
      </c>
      <c r="L9078">
        <f t="shared" si="282"/>
        <v>5.7</v>
      </c>
      <c r="M9078">
        <f t="shared" si="283"/>
        <v>1</v>
      </c>
    </row>
    <row r="9079" spans="1:13" x14ac:dyDescent="0.3">
      <c r="A9079">
        <v>9077</v>
      </c>
      <c r="B9079">
        <v>9078</v>
      </c>
      <c r="C9079" t="s">
        <v>9157</v>
      </c>
      <c r="D9079">
        <v>1974</v>
      </c>
      <c r="E9079" t="s">
        <v>36</v>
      </c>
      <c r="F9079" t="s">
        <v>1471</v>
      </c>
      <c r="G9079">
        <v>0</v>
      </c>
      <c r="H9079">
        <v>0</v>
      </c>
      <c r="I9079">
        <v>0</v>
      </c>
      <c r="J9079">
        <v>1</v>
      </c>
      <c r="K9079">
        <v>0</v>
      </c>
      <c r="L9079">
        <f t="shared" si="282"/>
        <v>5.7</v>
      </c>
      <c r="M9079">
        <f t="shared" si="283"/>
        <v>1</v>
      </c>
    </row>
    <row r="9080" spans="1:13" x14ac:dyDescent="0.3">
      <c r="A9080">
        <v>9078</v>
      </c>
      <c r="B9080">
        <v>9079</v>
      </c>
      <c r="C9080" t="s">
        <v>9158</v>
      </c>
      <c r="D9080">
        <v>1985</v>
      </c>
      <c r="E9080" t="s">
        <v>36</v>
      </c>
      <c r="F9080" t="s">
        <v>1471</v>
      </c>
      <c r="G9080">
        <v>0</v>
      </c>
      <c r="H9080">
        <v>0</v>
      </c>
      <c r="I9080">
        <v>0</v>
      </c>
      <c r="J9080">
        <v>1</v>
      </c>
      <c r="K9080">
        <v>0</v>
      </c>
      <c r="L9080">
        <f t="shared" si="282"/>
        <v>5.7</v>
      </c>
      <c r="M9080">
        <f t="shared" si="283"/>
        <v>1</v>
      </c>
    </row>
    <row r="9081" spans="1:13" x14ac:dyDescent="0.3">
      <c r="A9081">
        <v>9079</v>
      </c>
      <c r="B9081">
        <v>9080</v>
      </c>
      <c r="C9081" t="s">
        <v>9159</v>
      </c>
      <c r="D9081">
        <v>2002</v>
      </c>
      <c r="E9081" t="s">
        <v>36</v>
      </c>
      <c r="F9081" t="s">
        <v>1471</v>
      </c>
      <c r="G9081">
        <v>0</v>
      </c>
      <c r="H9081">
        <v>0</v>
      </c>
      <c r="I9081">
        <v>0</v>
      </c>
      <c r="J9081">
        <v>1</v>
      </c>
      <c r="K9081">
        <v>0</v>
      </c>
      <c r="L9081">
        <f t="shared" si="282"/>
        <v>5.7</v>
      </c>
      <c r="M9081">
        <f t="shared" si="283"/>
        <v>1</v>
      </c>
    </row>
    <row r="9082" spans="1:13" x14ac:dyDescent="0.3">
      <c r="A9082">
        <v>9080</v>
      </c>
      <c r="B9082">
        <v>9081</v>
      </c>
      <c r="C9082" t="s">
        <v>9160</v>
      </c>
      <c r="D9082">
        <v>2006</v>
      </c>
      <c r="E9082" t="s">
        <v>36</v>
      </c>
      <c r="F9082" t="s">
        <v>1471</v>
      </c>
      <c r="G9082">
        <v>0</v>
      </c>
      <c r="H9082">
        <v>0</v>
      </c>
      <c r="I9082">
        <v>0</v>
      </c>
      <c r="J9082">
        <v>1</v>
      </c>
      <c r="K9082">
        <v>0</v>
      </c>
      <c r="L9082">
        <f t="shared" si="282"/>
        <v>5.7</v>
      </c>
      <c r="M9082">
        <f t="shared" si="283"/>
        <v>1</v>
      </c>
    </row>
    <row r="9083" spans="1:13" x14ac:dyDescent="0.3">
      <c r="A9083">
        <v>9081</v>
      </c>
      <c r="B9083">
        <v>9082</v>
      </c>
      <c r="C9083" t="s">
        <v>9161</v>
      </c>
      <c r="D9083">
        <v>1937</v>
      </c>
      <c r="F9083" t="s">
        <v>1471</v>
      </c>
      <c r="G9083">
        <v>0</v>
      </c>
      <c r="H9083">
        <v>0</v>
      </c>
      <c r="I9083">
        <v>0</v>
      </c>
      <c r="J9083">
        <v>1</v>
      </c>
      <c r="K9083">
        <v>0</v>
      </c>
      <c r="L9083">
        <f t="shared" si="282"/>
        <v>5.7</v>
      </c>
      <c r="M9083">
        <f t="shared" si="283"/>
        <v>1</v>
      </c>
    </row>
    <row r="9084" spans="1:13" x14ac:dyDescent="0.3">
      <c r="A9084">
        <v>9082</v>
      </c>
      <c r="B9084">
        <v>9083</v>
      </c>
      <c r="C9084" t="s">
        <v>9162</v>
      </c>
      <c r="D9084">
        <v>2001</v>
      </c>
      <c r="E9084" t="s">
        <v>36</v>
      </c>
      <c r="F9084" t="s">
        <v>1471</v>
      </c>
      <c r="G9084">
        <v>0</v>
      </c>
      <c r="H9084">
        <v>0</v>
      </c>
      <c r="I9084">
        <v>0</v>
      </c>
      <c r="J9084">
        <v>1</v>
      </c>
      <c r="K9084">
        <v>0</v>
      </c>
      <c r="L9084">
        <f t="shared" si="282"/>
        <v>5.7</v>
      </c>
      <c r="M9084">
        <f t="shared" si="283"/>
        <v>1</v>
      </c>
    </row>
    <row r="9085" spans="1:13" x14ac:dyDescent="0.3">
      <c r="A9085">
        <v>9083</v>
      </c>
      <c r="B9085">
        <v>9084</v>
      </c>
      <c r="C9085" t="s">
        <v>9163</v>
      </c>
      <c r="D9085">
        <v>2005</v>
      </c>
      <c r="E9085" t="s">
        <v>36</v>
      </c>
      <c r="F9085" t="s">
        <v>1471</v>
      </c>
      <c r="G9085">
        <v>0</v>
      </c>
      <c r="H9085">
        <v>0</v>
      </c>
      <c r="I9085">
        <v>0</v>
      </c>
      <c r="J9085">
        <v>1</v>
      </c>
      <c r="K9085">
        <v>0</v>
      </c>
      <c r="L9085">
        <f t="shared" si="282"/>
        <v>5.7</v>
      </c>
      <c r="M9085">
        <f t="shared" si="283"/>
        <v>1</v>
      </c>
    </row>
    <row r="9086" spans="1:13" x14ac:dyDescent="0.3">
      <c r="A9086">
        <v>9084</v>
      </c>
      <c r="B9086">
        <v>9085</v>
      </c>
      <c r="C9086" t="s">
        <v>9164</v>
      </c>
      <c r="D9086">
        <v>2014</v>
      </c>
      <c r="E9086" t="s">
        <v>14</v>
      </c>
      <c r="F9086" t="s">
        <v>1471</v>
      </c>
      <c r="G9086">
        <v>0</v>
      </c>
      <c r="H9086">
        <v>0</v>
      </c>
      <c r="I9086">
        <v>0</v>
      </c>
      <c r="J9086">
        <v>1</v>
      </c>
      <c r="K9086">
        <v>0</v>
      </c>
      <c r="L9086">
        <f t="shared" si="282"/>
        <v>5.7</v>
      </c>
      <c r="M9086">
        <f t="shared" si="283"/>
        <v>1</v>
      </c>
    </row>
    <row r="9087" spans="1:13" x14ac:dyDescent="0.3">
      <c r="A9087">
        <v>9085</v>
      </c>
      <c r="B9087">
        <v>9086</v>
      </c>
      <c r="C9087" t="s">
        <v>9165</v>
      </c>
      <c r="D9087">
        <v>2020</v>
      </c>
      <c r="E9087" t="s">
        <v>14</v>
      </c>
      <c r="F9087" t="s">
        <v>1471</v>
      </c>
      <c r="G9087">
        <v>0</v>
      </c>
      <c r="H9087">
        <v>0</v>
      </c>
      <c r="I9087">
        <v>0</v>
      </c>
      <c r="J9087">
        <v>1</v>
      </c>
      <c r="K9087">
        <v>0</v>
      </c>
      <c r="L9087">
        <f t="shared" si="282"/>
        <v>5.7</v>
      </c>
      <c r="M9087">
        <f t="shared" si="283"/>
        <v>1</v>
      </c>
    </row>
    <row r="9088" spans="1:13" x14ac:dyDescent="0.3">
      <c r="A9088">
        <v>9086</v>
      </c>
      <c r="B9088">
        <v>9087</v>
      </c>
      <c r="C9088" t="s">
        <v>9166</v>
      </c>
      <c r="D9088">
        <v>2020</v>
      </c>
      <c r="E9088" t="s">
        <v>14</v>
      </c>
      <c r="F9088" t="s">
        <v>1471</v>
      </c>
      <c r="G9088">
        <v>0</v>
      </c>
      <c r="H9088">
        <v>0</v>
      </c>
      <c r="I9088">
        <v>0</v>
      </c>
      <c r="J9088">
        <v>1</v>
      </c>
      <c r="K9088">
        <v>0</v>
      </c>
      <c r="L9088">
        <f t="shared" si="282"/>
        <v>5.7</v>
      </c>
      <c r="M9088">
        <f t="shared" si="283"/>
        <v>1</v>
      </c>
    </row>
    <row r="9089" spans="1:13" x14ac:dyDescent="0.3">
      <c r="A9089">
        <v>9087</v>
      </c>
      <c r="B9089">
        <v>9088</v>
      </c>
      <c r="C9089" t="s">
        <v>9167</v>
      </c>
      <c r="D9089">
        <v>1966</v>
      </c>
      <c r="E9089" t="s">
        <v>36</v>
      </c>
      <c r="F9089" t="s">
        <v>1471</v>
      </c>
      <c r="G9089">
        <v>0</v>
      </c>
      <c r="H9089">
        <v>0</v>
      </c>
      <c r="I9089">
        <v>0</v>
      </c>
      <c r="J9089">
        <v>1</v>
      </c>
      <c r="K9089">
        <v>0</v>
      </c>
      <c r="L9089">
        <f t="shared" si="282"/>
        <v>5.7</v>
      </c>
      <c r="M9089">
        <f t="shared" si="283"/>
        <v>1</v>
      </c>
    </row>
    <row r="9090" spans="1:13" x14ac:dyDescent="0.3">
      <c r="A9090">
        <v>9088</v>
      </c>
      <c r="B9090">
        <v>9089</v>
      </c>
      <c r="C9090" t="s">
        <v>9168</v>
      </c>
      <c r="D9090">
        <v>1990</v>
      </c>
      <c r="E9090" t="s">
        <v>14</v>
      </c>
      <c r="F9090" t="s">
        <v>1471</v>
      </c>
      <c r="G9090">
        <v>0</v>
      </c>
      <c r="H9090">
        <v>0</v>
      </c>
      <c r="I9090">
        <v>0</v>
      </c>
      <c r="J9090">
        <v>1</v>
      </c>
      <c r="K9090">
        <v>0</v>
      </c>
      <c r="L9090">
        <f t="shared" si="282"/>
        <v>5.7</v>
      </c>
      <c r="M9090">
        <f t="shared" si="283"/>
        <v>1</v>
      </c>
    </row>
    <row r="9091" spans="1:13" x14ac:dyDescent="0.3">
      <c r="A9091">
        <v>9089</v>
      </c>
      <c r="B9091">
        <v>9090</v>
      </c>
      <c r="C9091" t="s">
        <v>9169</v>
      </c>
      <c r="D9091">
        <v>2007</v>
      </c>
      <c r="E9091" t="s">
        <v>36</v>
      </c>
      <c r="F9091" t="s">
        <v>1471</v>
      </c>
      <c r="G9091">
        <v>0</v>
      </c>
      <c r="H9091">
        <v>0</v>
      </c>
      <c r="I9091">
        <v>0</v>
      </c>
      <c r="J9091">
        <v>1</v>
      </c>
      <c r="K9091">
        <v>0</v>
      </c>
      <c r="L9091">
        <f t="shared" ref="L9091:L9154" si="284">IFERROR(VALUE(LEFT(F9091,FIND("/",F9091)-1))/10,"")</f>
        <v>5.7</v>
      </c>
      <c r="M9091">
        <f t="shared" ref="M9091:M9154" si="285">SUM(G9091:J9091)</f>
        <v>1</v>
      </c>
    </row>
    <row r="9092" spans="1:13" x14ac:dyDescent="0.3">
      <c r="A9092">
        <v>9090</v>
      </c>
      <c r="B9092">
        <v>9091</v>
      </c>
      <c r="C9092" t="s">
        <v>9170</v>
      </c>
      <c r="D9092">
        <v>1995</v>
      </c>
      <c r="E9092" t="s">
        <v>14</v>
      </c>
      <c r="F9092" t="s">
        <v>1574</v>
      </c>
      <c r="G9092">
        <v>0</v>
      </c>
      <c r="H9092">
        <v>0</v>
      </c>
      <c r="I9092">
        <v>0</v>
      </c>
      <c r="J9092">
        <v>1</v>
      </c>
      <c r="K9092">
        <v>0</v>
      </c>
      <c r="L9092">
        <f t="shared" si="284"/>
        <v>5.6</v>
      </c>
      <c r="M9092">
        <f t="shared" si="285"/>
        <v>1</v>
      </c>
    </row>
    <row r="9093" spans="1:13" x14ac:dyDescent="0.3">
      <c r="A9093">
        <v>9091</v>
      </c>
      <c r="B9093">
        <v>9092</v>
      </c>
      <c r="C9093" t="s">
        <v>9171</v>
      </c>
      <c r="D9093">
        <v>2003</v>
      </c>
      <c r="E9093" t="s">
        <v>36</v>
      </c>
      <c r="F9093" t="s">
        <v>1574</v>
      </c>
      <c r="G9093">
        <v>0</v>
      </c>
      <c r="H9093">
        <v>0</v>
      </c>
      <c r="I9093">
        <v>0</v>
      </c>
      <c r="J9093">
        <v>1</v>
      </c>
      <c r="K9093">
        <v>0</v>
      </c>
      <c r="L9093">
        <f t="shared" si="284"/>
        <v>5.6</v>
      </c>
      <c r="M9093">
        <f t="shared" si="285"/>
        <v>1</v>
      </c>
    </row>
    <row r="9094" spans="1:13" x14ac:dyDescent="0.3">
      <c r="A9094">
        <v>9092</v>
      </c>
      <c r="B9094">
        <v>9093</v>
      </c>
      <c r="C9094" t="s">
        <v>9172</v>
      </c>
      <c r="D9094">
        <v>1955</v>
      </c>
      <c r="E9094" t="s">
        <v>14</v>
      </c>
      <c r="F9094" t="s">
        <v>1574</v>
      </c>
      <c r="G9094">
        <v>0</v>
      </c>
      <c r="H9094">
        <v>0</v>
      </c>
      <c r="I9094">
        <v>0</v>
      </c>
      <c r="J9094">
        <v>1</v>
      </c>
      <c r="K9094">
        <v>0</v>
      </c>
      <c r="L9094">
        <f t="shared" si="284"/>
        <v>5.6</v>
      </c>
      <c r="M9094">
        <f t="shared" si="285"/>
        <v>1</v>
      </c>
    </row>
    <row r="9095" spans="1:13" x14ac:dyDescent="0.3">
      <c r="A9095">
        <v>9093</v>
      </c>
      <c r="B9095">
        <v>9094</v>
      </c>
      <c r="C9095" t="s">
        <v>9173</v>
      </c>
      <c r="D9095">
        <v>1938</v>
      </c>
      <c r="F9095" t="s">
        <v>1574</v>
      </c>
      <c r="G9095">
        <v>0</v>
      </c>
      <c r="H9095">
        <v>0</v>
      </c>
      <c r="I9095">
        <v>0</v>
      </c>
      <c r="J9095">
        <v>1</v>
      </c>
      <c r="K9095">
        <v>0</v>
      </c>
      <c r="L9095">
        <f t="shared" si="284"/>
        <v>5.6</v>
      </c>
      <c r="M9095">
        <f t="shared" si="285"/>
        <v>1</v>
      </c>
    </row>
    <row r="9096" spans="1:13" x14ac:dyDescent="0.3">
      <c r="A9096">
        <v>9094</v>
      </c>
      <c r="B9096">
        <v>9095</v>
      </c>
      <c r="C9096" t="s">
        <v>9174</v>
      </c>
      <c r="D9096">
        <v>1937</v>
      </c>
      <c r="E9096" t="s">
        <v>36</v>
      </c>
      <c r="F9096" t="s">
        <v>1574</v>
      </c>
      <c r="G9096">
        <v>0</v>
      </c>
      <c r="H9096">
        <v>0</v>
      </c>
      <c r="I9096">
        <v>0</v>
      </c>
      <c r="J9096">
        <v>1</v>
      </c>
      <c r="K9096">
        <v>0</v>
      </c>
      <c r="L9096">
        <f t="shared" si="284"/>
        <v>5.6</v>
      </c>
      <c r="M9096">
        <f t="shared" si="285"/>
        <v>1</v>
      </c>
    </row>
    <row r="9097" spans="1:13" x14ac:dyDescent="0.3">
      <c r="A9097">
        <v>9095</v>
      </c>
      <c r="B9097">
        <v>9096</v>
      </c>
      <c r="C9097" t="s">
        <v>9175</v>
      </c>
      <c r="D9097">
        <v>2008</v>
      </c>
      <c r="E9097" t="s">
        <v>36</v>
      </c>
      <c r="F9097" t="s">
        <v>1574</v>
      </c>
      <c r="G9097">
        <v>0</v>
      </c>
      <c r="H9097">
        <v>0</v>
      </c>
      <c r="I9097">
        <v>0</v>
      </c>
      <c r="J9097">
        <v>1</v>
      </c>
      <c r="K9097">
        <v>0</v>
      </c>
      <c r="L9097">
        <f t="shared" si="284"/>
        <v>5.6</v>
      </c>
      <c r="M9097">
        <f t="shared" si="285"/>
        <v>1</v>
      </c>
    </row>
    <row r="9098" spans="1:13" x14ac:dyDescent="0.3">
      <c r="A9098">
        <v>9096</v>
      </c>
      <c r="B9098">
        <v>9097</v>
      </c>
      <c r="C9098" t="s">
        <v>9176</v>
      </c>
      <c r="D9098">
        <v>1999</v>
      </c>
      <c r="E9098" t="s">
        <v>36</v>
      </c>
      <c r="F9098" t="s">
        <v>1574</v>
      </c>
      <c r="G9098">
        <v>0</v>
      </c>
      <c r="H9098">
        <v>0</v>
      </c>
      <c r="I9098">
        <v>0</v>
      </c>
      <c r="J9098">
        <v>1</v>
      </c>
      <c r="K9098">
        <v>0</v>
      </c>
      <c r="L9098">
        <f t="shared" si="284"/>
        <v>5.6</v>
      </c>
      <c r="M9098">
        <f t="shared" si="285"/>
        <v>1</v>
      </c>
    </row>
    <row r="9099" spans="1:13" x14ac:dyDescent="0.3">
      <c r="A9099">
        <v>9097</v>
      </c>
      <c r="B9099">
        <v>9098</v>
      </c>
      <c r="C9099" t="s">
        <v>9177</v>
      </c>
      <c r="D9099">
        <v>1993</v>
      </c>
      <c r="E9099" t="s">
        <v>14</v>
      </c>
      <c r="F9099" t="s">
        <v>1574</v>
      </c>
      <c r="G9099">
        <v>0</v>
      </c>
      <c r="H9099">
        <v>0</v>
      </c>
      <c r="I9099">
        <v>0</v>
      </c>
      <c r="J9099">
        <v>1</v>
      </c>
      <c r="K9099">
        <v>0</v>
      </c>
      <c r="L9099">
        <f t="shared" si="284"/>
        <v>5.6</v>
      </c>
      <c r="M9099">
        <f t="shared" si="285"/>
        <v>1</v>
      </c>
    </row>
    <row r="9100" spans="1:13" x14ac:dyDescent="0.3">
      <c r="A9100">
        <v>9098</v>
      </c>
      <c r="B9100">
        <v>9099</v>
      </c>
      <c r="C9100" t="s">
        <v>9178</v>
      </c>
      <c r="D9100">
        <v>2006</v>
      </c>
      <c r="E9100" t="s">
        <v>36</v>
      </c>
      <c r="F9100" t="s">
        <v>1574</v>
      </c>
      <c r="G9100">
        <v>0</v>
      </c>
      <c r="H9100">
        <v>0</v>
      </c>
      <c r="I9100">
        <v>0</v>
      </c>
      <c r="J9100">
        <v>1</v>
      </c>
      <c r="K9100">
        <v>0</v>
      </c>
      <c r="L9100">
        <f t="shared" si="284"/>
        <v>5.6</v>
      </c>
      <c r="M9100">
        <f t="shared" si="285"/>
        <v>1</v>
      </c>
    </row>
    <row r="9101" spans="1:13" x14ac:dyDescent="0.3">
      <c r="A9101">
        <v>9099</v>
      </c>
      <c r="B9101">
        <v>9100</v>
      </c>
      <c r="C9101" t="s">
        <v>9179</v>
      </c>
      <c r="D9101">
        <v>1996</v>
      </c>
      <c r="E9101" t="s">
        <v>14</v>
      </c>
      <c r="F9101" t="s">
        <v>1574</v>
      </c>
      <c r="G9101">
        <v>0</v>
      </c>
      <c r="H9101">
        <v>0</v>
      </c>
      <c r="I9101">
        <v>0</v>
      </c>
      <c r="J9101">
        <v>1</v>
      </c>
      <c r="K9101">
        <v>0</v>
      </c>
      <c r="L9101">
        <f t="shared" si="284"/>
        <v>5.6</v>
      </c>
      <c r="M9101">
        <f t="shared" si="285"/>
        <v>1</v>
      </c>
    </row>
    <row r="9102" spans="1:13" x14ac:dyDescent="0.3">
      <c r="A9102">
        <v>9100</v>
      </c>
      <c r="B9102">
        <v>9101</v>
      </c>
      <c r="C9102" t="s">
        <v>9180</v>
      </c>
      <c r="D9102">
        <v>1978</v>
      </c>
      <c r="E9102" t="s">
        <v>36</v>
      </c>
      <c r="F9102" t="s">
        <v>1574</v>
      </c>
      <c r="G9102">
        <v>0</v>
      </c>
      <c r="H9102">
        <v>0</v>
      </c>
      <c r="I9102">
        <v>0</v>
      </c>
      <c r="J9102">
        <v>1</v>
      </c>
      <c r="K9102">
        <v>0</v>
      </c>
      <c r="L9102">
        <f t="shared" si="284"/>
        <v>5.6</v>
      </c>
      <c r="M9102">
        <f t="shared" si="285"/>
        <v>1</v>
      </c>
    </row>
    <row r="9103" spans="1:13" x14ac:dyDescent="0.3">
      <c r="A9103">
        <v>9101</v>
      </c>
      <c r="B9103">
        <v>9102</v>
      </c>
      <c r="C9103" t="s">
        <v>9181</v>
      </c>
      <c r="D9103">
        <v>1995</v>
      </c>
      <c r="E9103" t="s">
        <v>14</v>
      </c>
      <c r="F9103" t="s">
        <v>1574</v>
      </c>
      <c r="G9103">
        <v>0</v>
      </c>
      <c r="H9103">
        <v>0</v>
      </c>
      <c r="I9103">
        <v>0</v>
      </c>
      <c r="J9103">
        <v>1</v>
      </c>
      <c r="K9103">
        <v>0</v>
      </c>
      <c r="L9103">
        <f t="shared" si="284"/>
        <v>5.6</v>
      </c>
      <c r="M9103">
        <f t="shared" si="285"/>
        <v>1</v>
      </c>
    </row>
    <row r="9104" spans="1:13" x14ac:dyDescent="0.3">
      <c r="A9104">
        <v>9102</v>
      </c>
      <c r="B9104">
        <v>9103</v>
      </c>
      <c r="C9104" t="s">
        <v>9182</v>
      </c>
      <c r="D9104">
        <v>2006</v>
      </c>
      <c r="E9104" t="s">
        <v>36</v>
      </c>
      <c r="F9104" t="s">
        <v>1574</v>
      </c>
      <c r="G9104">
        <v>0</v>
      </c>
      <c r="H9104">
        <v>0</v>
      </c>
      <c r="I9104">
        <v>0</v>
      </c>
      <c r="J9104">
        <v>1</v>
      </c>
      <c r="K9104">
        <v>0</v>
      </c>
      <c r="L9104">
        <f t="shared" si="284"/>
        <v>5.6</v>
      </c>
      <c r="M9104">
        <f t="shared" si="285"/>
        <v>1</v>
      </c>
    </row>
    <row r="9105" spans="1:13" x14ac:dyDescent="0.3">
      <c r="A9105">
        <v>9103</v>
      </c>
      <c r="B9105">
        <v>9104</v>
      </c>
      <c r="C9105" t="s">
        <v>9183</v>
      </c>
      <c r="D9105">
        <v>1939</v>
      </c>
      <c r="E9105" t="s">
        <v>36</v>
      </c>
      <c r="F9105" t="s">
        <v>1574</v>
      </c>
      <c r="G9105">
        <v>0</v>
      </c>
      <c r="H9105">
        <v>0</v>
      </c>
      <c r="I9105">
        <v>0</v>
      </c>
      <c r="J9105">
        <v>1</v>
      </c>
      <c r="K9105">
        <v>0</v>
      </c>
      <c r="L9105">
        <f t="shared" si="284"/>
        <v>5.6</v>
      </c>
      <c r="M9105">
        <f t="shared" si="285"/>
        <v>1</v>
      </c>
    </row>
    <row r="9106" spans="1:13" x14ac:dyDescent="0.3">
      <c r="A9106">
        <v>9104</v>
      </c>
      <c r="B9106">
        <v>9105</v>
      </c>
      <c r="C9106" t="s">
        <v>9184</v>
      </c>
      <c r="D9106">
        <v>2004</v>
      </c>
      <c r="E9106" t="s">
        <v>36</v>
      </c>
      <c r="F9106" t="s">
        <v>1574</v>
      </c>
      <c r="G9106">
        <v>0</v>
      </c>
      <c r="H9106">
        <v>0</v>
      </c>
      <c r="I9106">
        <v>0</v>
      </c>
      <c r="J9106">
        <v>1</v>
      </c>
      <c r="K9106">
        <v>0</v>
      </c>
      <c r="L9106">
        <f t="shared" si="284"/>
        <v>5.6</v>
      </c>
      <c r="M9106">
        <f t="shared" si="285"/>
        <v>1</v>
      </c>
    </row>
    <row r="9107" spans="1:13" x14ac:dyDescent="0.3">
      <c r="A9107">
        <v>9105</v>
      </c>
      <c r="B9107">
        <v>9106</v>
      </c>
      <c r="C9107" t="s">
        <v>9185</v>
      </c>
      <c r="D9107">
        <v>1978</v>
      </c>
      <c r="E9107" t="s">
        <v>36</v>
      </c>
      <c r="F9107" t="s">
        <v>1574</v>
      </c>
      <c r="G9107">
        <v>0</v>
      </c>
      <c r="H9107">
        <v>0</v>
      </c>
      <c r="I9107">
        <v>0</v>
      </c>
      <c r="J9107">
        <v>1</v>
      </c>
      <c r="K9107">
        <v>0</v>
      </c>
      <c r="L9107">
        <f t="shared" si="284"/>
        <v>5.6</v>
      </c>
      <c r="M9107">
        <f t="shared" si="285"/>
        <v>1</v>
      </c>
    </row>
    <row r="9108" spans="1:13" x14ac:dyDescent="0.3">
      <c r="A9108">
        <v>9106</v>
      </c>
      <c r="B9108">
        <v>9107</v>
      </c>
      <c r="C9108" t="s">
        <v>9186</v>
      </c>
      <c r="D9108">
        <v>2021</v>
      </c>
      <c r="E9108" t="s">
        <v>22</v>
      </c>
      <c r="F9108" t="s">
        <v>1574</v>
      </c>
      <c r="G9108">
        <v>0</v>
      </c>
      <c r="H9108">
        <v>0</v>
      </c>
      <c r="I9108">
        <v>0</v>
      </c>
      <c r="J9108">
        <v>1</v>
      </c>
      <c r="K9108">
        <v>0</v>
      </c>
      <c r="L9108">
        <f t="shared" si="284"/>
        <v>5.6</v>
      </c>
      <c r="M9108">
        <f t="shared" si="285"/>
        <v>1</v>
      </c>
    </row>
    <row r="9109" spans="1:13" x14ac:dyDescent="0.3">
      <c r="A9109">
        <v>9107</v>
      </c>
      <c r="B9109">
        <v>9108</v>
      </c>
      <c r="C9109" t="s">
        <v>9187</v>
      </c>
      <c r="D9109">
        <v>2019</v>
      </c>
      <c r="E9109" t="s">
        <v>14</v>
      </c>
      <c r="F9109" t="s">
        <v>1574</v>
      </c>
      <c r="G9109">
        <v>0</v>
      </c>
      <c r="H9109">
        <v>0</v>
      </c>
      <c r="I9109">
        <v>0</v>
      </c>
      <c r="J9109">
        <v>1</v>
      </c>
      <c r="K9109">
        <v>0</v>
      </c>
      <c r="L9109">
        <f t="shared" si="284"/>
        <v>5.6</v>
      </c>
      <c r="M9109">
        <f t="shared" si="285"/>
        <v>1</v>
      </c>
    </row>
    <row r="9110" spans="1:13" x14ac:dyDescent="0.3">
      <c r="A9110">
        <v>9108</v>
      </c>
      <c r="B9110">
        <v>9109</v>
      </c>
      <c r="C9110" t="s">
        <v>9188</v>
      </c>
      <c r="D9110">
        <v>2002</v>
      </c>
      <c r="E9110" t="s">
        <v>36</v>
      </c>
      <c r="F9110" t="s">
        <v>1574</v>
      </c>
      <c r="G9110">
        <v>0</v>
      </c>
      <c r="H9110">
        <v>0</v>
      </c>
      <c r="I9110">
        <v>0</v>
      </c>
      <c r="J9110">
        <v>1</v>
      </c>
      <c r="K9110">
        <v>0</v>
      </c>
      <c r="L9110">
        <f t="shared" si="284"/>
        <v>5.6</v>
      </c>
      <c r="M9110">
        <f t="shared" si="285"/>
        <v>1</v>
      </c>
    </row>
    <row r="9111" spans="1:13" x14ac:dyDescent="0.3">
      <c r="A9111">
        <v>9109</v>
      </c>
      <c r="B9111">
        <v>9110</v>
      </c>
      <c r="C9111" t="s">
        <v>9189</v>
      </c>
      <c r="D9111">
        <v>1995</v>
      </c>
      <c r="E9111" t="s">
        <v>14</v>
      </c>
      <c r="F9111" t="s">
        <v>1574</v>
      </c>
      <c r="G9111">
        <v>0</v>
      </c>
      <c r="H9111">
        <v>0</v>
      </c>
      <c r="I9111">
        <v>0</v>
      </c>
      <c r="J9111">
        <v>1</v>
      </c>
      <c r="K9111">
        <v>0</v>
      </c>
      <c r="L9111">
        <f t="shared" si="284"/>
        <v>5.6</v>
      </c>
      <c r="M9111">
        <f t="shared" si="285"/>
        <v>1</v>
      </c>
    </row>
    <row r="9112" spans="1:13" x14ac:dyDescent="0.3">
      <c r="A9112">
        <v>9110</v>
      </c>
      <c r="B9112">
        <v>9111</v>
      </c>
      <c r="C9112" t="s">
        <v>9190</v>
      </c>
      <c r="D9112">
        <v>1987</v>
      </c>
      <c r="E9112" t="s">
        <v>36</v>
      </c>
      <c r="F9112" t="s">
        <v>1574</v>
      </c>
      <c r="G9112">
        <v>0</v>
      </c>
      <c r="H9112">
        <v>0</v>
      </c>
      <c r="I9112">
        <v>0</v>
      </c>
      <c r="J9112">
        <v>1</v>
      </c>
      <c r="K9112">
        <v>0</v>
      </c>
      <c r="L9112">
        <f t="shared" si="284"/>
        <v>5.6</v>
      </c>
      <c r="M9112">
        <f t="shared" si="285"/>
        <v>1</v>
      </c>
    </row>
    <row r="9113" spans="1:13" x14ac:dyDescent="0.3">
      <c r="A9113">
        <v>9111</v>
      </c>
      <c r="B9113">
        <v>9112</v>
      </c>
      <c r="C9113" t="s">
        <v>9191</v>
      </c>
      <c r="D9113">
        <v>2008</v>
      </c>
      <c r="E9113" t="s">
        <v>14</v>
      </c>
      <c r="F9113" t="s">
        <v>1574</v>
      </c>
      <c r="G9113">
        <v>0</v>
      </c>
      <c r="H9113">
        <v>0</v>
      </c>
      <c r="I9113">
        <v>0</v>
      </c>
      <c r="J9113">
        <v>1</v>
      </c>
      <c r="K9113">
        <v>0</v>
      </c>
      <c r="L9113">
        <f t="shared" si="284"/>
        <v>5.6</v>
      </c>
      <c r="M9113">
        <f t="shared" si="285"/>
        <v>1</v>
      </c>
    </row>
    <row r="9114" spans="1:13" x14ac:dyDescent="0.3">
      <c r="A9114">
        <v>9112</v>
      </c>
      <c r="B9114">
        <v>9113</v>
      </c>
      <c r="C9114" t="s">
        <v>9192</v>
      </c>
      <c r="D9114">
        <v>2012</v>
      </c>
      <c r="E9114" t="s">
        <v>36</v>
      </c>
      <c r="F9114" t="s">
        <v>1574</v>
      </c>
      <c r="G9114">
        <v>0</v>
      </c>
      <c r="H9114">
        <v>0</v>
      </c>
      <c r="I9114">
        <v>0</v>
      </c>
      <c r="J9114">
        <v>1</v>
      </c>
      <c r="K9114">
        <v>0</v>
      </c>
      <c r="L9114">
        <f t="shared" si="284"/>
        <v>5.6</v>
      </c>
      <c r="M9114">
        <f t="shared" si="285"/>
        <v>1</v>
      </c>
    </row>
    <row r="9115" spans="1:13" x14ac:dyDescent="0.3">
      <c r="A9115">
        <v>9113</v>
      </c>
      <c r="B9115">
        <v>9114</v>
      </c>
      <c r="C9115" t="s">
        <v>9193</v>
      </c>
      <c r="D9115">
        <v>1932</v>
      </c>
      <c r="F9115" t="s">
        <v>1574</v>
      </c>
      <c r="G9115">
        <v>0</v>
      </c>
      <c r="H9115">
        <v>0</v>
      </c>
      <c r="I9115">
        <v>0</v>
      </c>
      <c r="J9115">
        <v>1</v>
      </c>
      <c r="K9115">
        <v>0</v>
      </c>
      <c r="L9115">
        <f t="shared" si="284"/>
        <v>5.6</v>
      </c>
      <c r="M9115">
        <f t="shared" si="285"/>
        <v>1</v>
      </c>
    </row>
    <row r="9116" spans="1:13" x14ac:dyDescent="0.3">
      <c r="A9116">
        <v>9114</v>
      </c>
      <c r="B9116">
        <v>9115</v>
      </c>
      <c r="C9116" t="s">
        <v>9194</v>
      </c>
      <c r="D9116">
        <v>1999</v>
      </c>
      <c r="E9116" t="s">
        <v>36</v>
      </c>
      <c r="F9116" t="s">
        <v>1574</v>
      </c>
      <c r="G9116">
        <v>0</v>
      </c>
      <c r="H9116">
        <v>0</v>
      </c>
      <c r="I9116">
        <v>0</v>
      </c>
      <c r="J9116">
        <v>1</v>
      </c>
      <c r="K9116">
        <v>0</v>
      </c>
      <c r="L9116">
        <f t="shared" si="284"/>
        <v>5.6</v>
      </c>
      <c r="M9116">
        <f t="shared" si="285"/>
        <v>1</v>
      </c>
    </row>
    <row r="9117" spans="1:13" x14ac:dyDescent="0.3">
      <c r="A9117">
        <v>9115</v>
      </c>
      <c r="B9117">
        <v>9116</v>
      </c>
      <c r="C9117" t="s">
        <v>9195</v>
      </c>
      <c r="D9117">
        <v>2021</v>
      </c>
      <c r="F9117" t="s">
        <v>1574</v>
      </c>
      <c r="G9117">
        <v>0</v>
      </c>
      <c r="H9117">
        <v>0</v>
      </c>
      <c r="I9117">
        <v>0</v>
      </c>
      <c r="J9117">
        <v>1</v>
      </c>
      <c r="K9117">
        <v>0</v>
      </c>
      <c r="L9117">
        <f t="shared" si="284"/>
        <v>5.6</v>
      </c>
      <c r="M9117">
        <f t="shared" si="285"/>
        <v>1</v>
      </c>
    </row>
    <row r="9118" spans="1:13" x14ac:dyDescent="0.3">
      <c r="A9118">
        <v>9116</v>
      </c>
      <c r="B9118">
        <v>9117</v>
      </c>
      <c r="C9118" t="s">
        <v>9196</v>
      </c>
      <c r="D9118">
        <v>2001</v>
      </c>
      <c r="E9118" t="s">
        <v>36</v>
      </c>
      <c r="F9118" t="s">
        <v>1574</v>
      </c>
      <c r="G9118">
        <v>0</v>
      </c>
      <c r="H9118">
        <v>0</v>
      </c>
      <c r="I9118">
        <v>0</v>
      </c>
      <c r="J9118">
        <v>1</v>
      </c>
      <c r="K9118">
        <v>0</v>
      </c>
      <c r="L9118">
        <f t="shared" si="284"/>
        <v>5.6</v>
      </c>
      <c r="M9118">
        <f t="shared" si="285"/>
        <v>1</v>
      </c>
    </row>
    <row r="9119" spans="1:13" x14ac:dyDescent="0.3">
      <c r="A9119">
        <v>9117</v>
      </c>
      <c r="B9119">
        <v>9118</v>
      </c>
      <c r="C9119" t="s">
        <v>9197</v>
      </c>
      <c r="D9119">
        <v>2004</v>
      </c>
      <c r="E9119" t="s">
        <v>36</v>
      </c>
      <c r="F9119" t="s">
        <v>1574</v>
      </c>
      <c r="G9119">
        <v>0</v>
      </c>
      <c r="H9119">
        <v>0</v>
      </c>
      <c r="I9119">
        <v>0</v>
      </c>
      <c r="J9119">
        <v>1</v>
      </c>
      <c r="K9119">
        <v>0</v>
      </c>
      <c r="L9119">
        <f t="shared" si="284"/>
        <v>5.6</v>
      </c>
      <c r="M9119">
        <f t="shared" si="285"/>
        <v>1</v>
      </c>
    </row>
    <row r="9120" spans="1:13" x14ac:dyDescent="0.3">
      <c r="A9120">
        <v>9118</v>
      </c>
      <c r="B9120">
        <v>9119</v>
      </c>
      <c r="C9120" t="s">
        <v>9198</v>
      </c>
      <c r="D9120">
        <v>2019</v>
      </c>
      <c r="E9120" t="s">
        <v>36</v>
      </c>
      <c r="F9120" t="s">
        <v>1574</v>
      </c>
      <c r="G9120">
        <v>0</v>
      </c>
      <c r="H9120">
        <v>0</v>
      </c>
      <c r="I9120">
        <v>0</v>
      </c>
      <c r="J9120">
        <v>1</v>
      </c>
      <c r="K9120">
        <v>0</v>
      </c>
      <c r="L9120">
        <f t="shared" si="284"/>
        <v>5.6</v>
      </c>
      <c r="M9120">
        <f t="shared" si="285"/>
        <v>1</v>
      </c>
    </row>
    <row r="9121" spans="1:13" x14ac:dyDescent="0.3">
      <c r="A9121">
        <v>9119</v>
      </c>
      <c r="B9121">
        <v>9120</v>
      </c>
      <c r="C9121" t="s">
        <v>9199</v>
      </c>
      <c r="D9121">
        <v>1952</v>
      </c>
      <c r="E9121" t="s">
        <v>14</v>
      </c>
      <c r="F9121" t="s">
        <v>1574</v>
      </c>
      <c r="G9121">
        <v>0</v>
      </c>
      <c r="H9121">
        <v>0</v>
      </c>
      <c r="I9121">
        <v>0</v>
      </c>
      <c r="J9121">
        <v>1</v>
      </c>
      <c r="K9121">
        <v>0</v>
      </c>
      <c r="L9121">
        <f t="shared" si="284"/>
        <v>5.6</v>
      </c>
      <c r="M9121">
        <f t="shared" si="285"/>
        <v>1</v>
      </c>
    </row>
    <row r="9122" spans="1:13" x14ac:dyDescent="0.3">
      <c r="A9122">
        <v>9120</v>
      </c>
      <c r="B9122">
        <v>9121</v>
      </c>
      <c r="C9122" t="s">
        <v>9200</v>
      </c>
      <c r="D9122">
        <v>2014</v>
      </c>
      <c r="E9122" t="s">
        <v>14</v>
      </c>
      <c r="F9122" t="s">
        <v>1687</v>
      </c>
      <c r="G9122">
        <v>0</v>
      </c>
      <c r="H9122">
        <v>0</v>
      </c>
      <c r="I9122">
        <v>0</v>
      </c>
      <c r="J9122">
        <v>1</v>
      </c>
      <c r="K9122">
        <v>0</v>
      </c>
      <c r="L9122">
        <f t="shared" si="284"/>
        <v>5.5</v>
      </c>
      <c r="M9122">
        <f t="shared" si="285"/>
        <v>1</v>
      </c>
    </row>
    <row r="9123" spans="1:13" x14ac:dyDescent="0.3">
      <c r="A9123">
        <v>9121</v>
      </c>
      <c r="B9123">
        <v>9122</v>
      </c>
      <c r="C9123" t="s">
        <v>9201</v>
      </c>
      <c r="D9123">
        <v>1964</v>
      </c>
      <c r="E9123" t="s">
        <v>36</v>
      </c>
      <c r="F9123" t="s">
        <v>1687</v>
      </c>
      <c r="G9123">
        <v>0</v>
      </c>
      <c r="H9123">
        <v>0</v>
      </c>
      <c r="I9123">
        <v>0</v>
      </c>
      <c r="J9123">
        <v>1</v>
      </c>
      <c r="K9123">
        <v>0</v>
      </c>
      <c r="L9123">
        <f t="shared" si="284"/>
        <v>5.5</v>
      </c>
      <c r="M9123">
        <f t="shared" si="285"/>
        <v>1</v>
      </c>
    </row>
    <row r="9124" spans="1:13" x14ac:dyDescent="0.3">
      <c r="A9124">
        <v>9122</v>
      </c>
      <c r="B9124">
        <v>9123</v>
      </c>
      <c r="C9124" t="s">
        <v>9202</v>
      </c>
      <c r="D9124">
        <v>1974</v>
      </c>
      <c r="E9124" t="s">
        <v>36</v>
      </c>
      <c r="F9124" t="s">
        <v>1687</v>
      </c>
      <c r="G9124">
        <v>0</v>
      </c>
      <c r="H9124">
        <v>0</v>
      </c>
      <c r="I9124">
        <v>0</v>
      </c>
      <c r="J9124">
        <v>1</v>
      </c>
      <c r="K9124">
        <v>0</v>
      </c>
      <c r="L9124">
        <f t="shared" si="284"/>
        <v>5.5</v>
      </c>
      <c r="M9124">
        <f t="shared" si="285"/>
        <v>1</v>
      </c>
    </row>
    <row r="9125" spans="1:13" x14ac:dyDescent="0.3">
      <c r="A9125">
        <v>9123</v>
      </c>
      <c r="B9125">
        <v>9124</v>
      </c>
      <c r="C9125" t="s">
        <v>9203</v>
      </c>
      <c r="D9125">
        <v>1995</v>
      </c>
      <c r="E9125" t="s">
        <v>14</v>
      </c>
      <c r="F9125" t="s">
        <v>1687</v>
      </c>
      <c r="G9125">
        <v>0</v>
      </c>
      <c r="H9125">
        <v>0</v>
      </c>
      <c r="I9125">
        <v>0</v>
      </c>
      <c r="J9125">
        <v>1</v>
      </c>
      <c r="K9125">
        <v>0</v>
      </c>
      <c r="L9125">
        <f t="shared" si="284"/>
        <v>5.5</v>
      </c>
      <c r="M9125">
        <f t="shared" si="285"/>
        <v>1</v>
      </c>
    </row>
    <row r="9126" spans="1:13" x14ac:dyDescent="0.3">
      <c r="A9126">
        <v>9124</v>
      </c>
      <c r="B9126">
        <v>9125</v>
      </c>
      <c r="C9126" t="s">
        <v>9204</v>
      </c>
      <c r="D9126">
        <v>2000</v>
      </c>
      <c r="E9126" t="s">
        <v>36</v>
      </c>
      <c r="F9126" t="s">
        <v>1687</v>
      </c>
      <c r="G9126">
        <v>0</v>
      </c>
      <c r="H9126">
        <v>0</v>
      </c>
      <c r="I9126">
        <v>0</v>
      </c>
      <c r="J9126">
        <v>1</v>
      </c>
      <c r="K9126">
        <v>0</v>
      </c>
      <c r="L9126">
        <f t="shared" si="284"/>
        <v>5.5</v>
      </c>
      <c r="M9126">
        <f t="shared" si="285"/>
        <v>1</v>
      </c>
    </row>
    <row r="9127" spans="1:13" x14ac:dyDescent="0.3">
      <c r="A9127">
        <v>9125</v>
      </c>
      <c r="B9127">
        <v>9126</v>
      </c>
      <c r="C9127" t="s">
        <v>9205</v>
      </c>
      <c r="D9127">
        <v>2000</v>
      </c>
      <c r="E9127" t="s">
        <v>14</v>
      </c>
      <c r="F9127" t="s">
        <v>1687</v>
      </c>
      <c r="G9127">
        <v>0</v>
      </c>
      <c r="H9127">
        <v>0</v>
      </c>
      <c r="I9127">
        <v>0</v>
      </c>
      <c r="J9127">
        <v>1</v>
      </c>
      <c r="K9127">
        <v>0</v>
      </c>
      <c r="L9127">
        <f t="shared" si="284"/>
        <v>5.5</v>
      </c>
      <c r="M9127">
        <f t="shared" si="285"/>
        <v>1</v>
      </c>
    </row>
    <row r="9128" spans="1:13" x14ac:dyDescent="0.3">
      <c r="A9128">
        <v>9126</v>
      </c>
      <c r="B9128">
        <v>9127</v>
      </c>
      <c r="C9128" t="s">
        <v>9206</v>
      </c>
      <c r="D9128">
        <v>2005</v>
      </c>
      <c r="E9128" t="s">
        <v>36</v>
      </c>
      <c r="F9128" t="s">
        <v>1687</v>
      </c>
      <c r="G9128">
        <v>0</v>
      </c>
      <c r="H9128">
        <v>0</v>
      </c>
      <c r="I9128">
        <v>0</v>
      </c>
      <c r="J9128">
        <v>1</v>
      </c>
      <c r="K9128">
        <v>0</v>
      </c>
      <c r="L9128">
        <f t="shared" si="284"/>
        <v>5.5</v>
      </c>
      <c r="M9128">
        <f t="shared" si="285"/>
        <v>1</v>
      </c>
    </row>
    <row r="9129" spans="1:13" x14ac:dyDescent="0.3">
      <c r="A9129">
        <v>9127</v>
      </c>
      <c r="B9129">
        <v>9128</v>
      </c>
      <c r="C9129" t="s">
        <v>9207</v>
      </c>
      <c r="D9129">
        <v>2012</v>
      </c>
      <c r="E9129" t="s">
        <v>14</v>
      </c>
      <c r="F9129" t="s">
        <v>1687</v>
      </c>
      <c r="G9129">
        <v>0</v>
      </c>
      <c r="H9129">
        <v>0</v>
      </c>
      <c r="I9129">
        <v>0</v>
      </c>
      <c r="J9129">
        <v>1</v>
      </c>
      <c r="K9129">
        <v>0</v>
      </c>
      <c r="L9129">
        <f t="shared" si="284"/>
        <v>5.5</v>
      </c>
      <c r="M9129">
        <f t="shared" si="285"/>
        <v>1</v>
      </c>
    </row>
    <row r="9130" spans="1:13" x14ac:dyDescent="0.3">
      <c r="A9130">
        <v>9128</v>
      </c>
      <c r="B9130">
        <v>9129</v>
      </c>
      <c r="C9130" t="s">
        <v>9208</v>
      </c>
      <c r="D9130">
        <v>2020</v>
      </c>
      <c r="E9130" t="s">
        <v>36</v>
      </c>
      <c r="F9130" t="s">
        <v>1687</v>
      </c>
      <c r="G9130">
        <v>0</v>
      </c>
      <c r="H9130">
        <v>0</v>
      </c>
      <c r="I9130">
        <v>0</v>
      </c>
      <c r="J9130">
        <v>1</v>
      </c>
      <c r="K9130">
        <v>0</v>
      </c>
      <c r="L9130">
        <f t="shared" si="284"/>
        <v>5.5</v>
      </c>
      <c r="M9130">
        <f t="shared" si="285"/>
        <v>1</v>
      </c>
    </row>
    <row r="9131" spans="1:13" x14ac:dyDescent="0.3">
      <c r="A9131">
        <v>9129</v>
      </c>
      <c r="B9131">
        <v>9130</v>
      </c>
      <c r="C9131" t="s">
        <v>9209</v>
      </c>
      <c r="D9131">
        <v>2002</v>
      </c>
      <c r="E9131" t="s">
        <v>36</v>
      </c>
      <c r="F9131" t="s">
        <v>1687</v>
      </c>
      <c r="G9131">
        <v>0</v>
      </c>
      <c r="H9131">
        <v>0</v>
      </c>
      <c r="I9131">
        <v>0</v>
      </c>
      <c r="J9131">
        <v>1</v>
      </c>
      <c r="K9131">
        <v>0</v>
      </c>
      <c r="L9131">
        <f t="shared" si="284"/>
        <v>5.5</v>
      </c>
      <c r="M9131">
        <f t="shared" si="285"/>
        <v>1</v>
      </c>
    </row>
    <row r="9132" spans="1:13" x14ac:dyDescent="0.3">
      <c r="A9132">
        <v>9130</v>
      </c>
      <c r="B9132">
        <v>9131</v>
      </c>
      <c r="C9132" t="s">
        <v>9210</v>
      </c>
      <c r="D9132">
        <v>1935</v>
      </c>
      <c r="F9132" t="s">
        <v>1687</v>
      </c>
      <c r="G9132">
        <v>0</v>
      </c>
      <c r="H9132">
        <v>0</v>
      </c>
      <c r="I9132">
        <v>0</v>
      </c>
      <c r="J9132">
        <v>1</v>
      </c>
      <c r="K9132">
        <v>0</v>
      </c>
      <c r="L9132">
        <f t="shared" si="284"/>
        <v>5.5</v>
      </c>
      <c r="M9132">
        <f t="shared" si="285"/>
        <v>1</v>
      </c>
    </row>
    <row r="9133" spans="1:13" x14ac:dyDescent="0.3">
      <c r="A9133">
        <v>9131</v>
      </c>
      <c r="B9133">
        <v>9132</v>
      </c>
      <c r="C9133" t="s">
        <v>9211</v>
      </c>
      <c r="D9133">
        <v>1987</v>
      </c>
      <c r="E9133" t="s">
        <v>36</v>
      </c>
      <c r="F9133" t="s">
        <v>1687</v>
      </c>
      <c r="G9133">
        <v>0</v>
      </c>
      <c r="H9133">
        <v>0</v>
      </c>
      <c r="I9133">
        <v>0</v>
      </c>
      <c r="J9133">
        <v>1</v>
      </c>
      <c r="K9133">
        <v>0</v>
      </c>
      <c r="L9133">
        <f t="shared" si="284"/>
        <v>5.5</v>
      </c>
      <c r="M9133">
        <f t="shared" si="285"/>
        <v>1</v>
      </c>
    </row>
    <row r="9134" spans="1:13" x14ac:dyDescent="0.3">
      <c r="A9134">
        <v>9132</v>
      </c>
      <c r="B9134">
        <v>9133</v>
      </c>
      <c r="C9134" t="s">
        <v>9212</v>
      </c>
      <c r="D9134">
        <v>2018</v>
      </c>
      <c r="E9134" t="s">
        <v>14</v>
      </c>
      <c r="F9134" t="s">
        <v>1798</v>
      </c>
      <c r="G9134">
        <v>0</v>
      </c>
      <c r="H9134">
        <v>0</v>
      </c>
      <c r="I9134">
        <v>0</v>
      </c>
      <c r="J9134">
        <v>1</v>
      </c>
      <c r="K9134">
        <v>0</v>
      </c>
      <c r="L9134">
        <f t="shared" si="284"/>
        <v>5.4</v>
      </c>
      <c r="M9134">
        <f t="shared" si="285"/>
        <v>1</v>
      </c>
    </row>
    <row r="9135" spans="1:13" x14ac:dyDescent="0.3">
      <c r="A9135">
        <v>9133</v>
      </c>
      <c r="B9135">
        <v>9134</v>
      </c>
      <c r="C9135" t="s">
        <v>9213</v>
      </c>
      <c r="D9135">
        <v>1938</v>
      </c>
      <c r="F9135" t="s">
        <v>1798</v>
      </c>
      <c r="G9135">
        <v>0</v>
      </c>
      <c r="H9135">
        <v>0</v>
      </c>
      <c r="I9135">
        <v>0</v>
      </c>
      <c r="J9135">
        <v>1</v>
      </c>
      <c r="K9135">
        <v>0</v>
      </c>
      <c r="L9135">
        <f t="shared" si="284"/>
        <v>5.4</v>
      </c>
      <c r="M9135">
        <f t="shared" si="285"/>
        <v>1</v>
      </c>
    </row>
    <row r="9136" spans="1:13" x14ac:dyDescent="0.3">
      <c r="A9136">
        <v>9134</v>
      </c>
      <c r="B9136">
        <v>9135</v>
      </c>
      <c r="C9136" t="s">
        <v>9214</v>
      </c>
      <c r="D9136">
        <v>1932</v>
      </c>
      <c r="F9136" t="s">
        <v>1798</v>
      </c>
      <c r="G9136">
        <v>0</v>
      </c>
      <c r="H9136">
        <v>0</v>
      </c>
      <c r="I9136">
        <v>0</v>
      </c>
      <c r="J9136">
        <v>1</v>
      </c>
      <c r="K9136">
        <v>0</v>
      </c>
      <c r="L9136">
        <f t="shared" si="284"/>
        <v>5.4</v>
      </c>
      <c r="M9136">
        <f t="shared" si="285"/>
        <v>1</v>
      </c>
    </row>
    <row r="9137" spans="1:13" x14ac:dyDescent="0.3">
      <c r="A9137">
        <v>9135</v>
      </c>
      <c r="B9137">
        <v>9136</v>
      </c>
      <c r="C9137" t="s">
        <v>9215</v>
      </c>
      <c r="D9137">
        <v>2011</v>
      </c>
      <c r="E9137" t="s">
        <v>36</v>
      </c>
      <c r="F9137" t="s">
        <v>1798</v>
      </c>
      <c r="G9137">
        <v>0</v>
      </c>
      <c r="H9137">
        <v>0</v>
      </c>
      <c r="I9137">
        <v>0</v>
      </c>
      <c r="J9137">
        <v>1</v>
      </c>
      <c r="K9137">
        <v>0</v>
      </c>
      <c r="L9137">
        <f t="shared" si="284"/>
        <v>5.4</v>
      </c>
      <c r="M9137">
        <f t="shared" si="285"/>
        <v>1</v>
      </c>
    </row>
    <row r="9138" spans="1:13" x14ac:dyDescent="0.3">
      <c r="A9138">
        <v>9136</v>
      </c>
      <c r="B9138">
        <v>9137</v>
      </c>
      <c r="C9138" t="s">
        <v>9216</v>
      </c>
      <c r="D9138">
        <v>2021</v>
      </c>
      <c r="F9138" t="s">
        <v>1798</v>
      </c>
      <c r="G9138">
        <v>0</v>
      </c>
      <c r="H9138">
        <v>0</v>
      </c>
      <c r="I9138">
        <v>0</v>
      </c>
      <c r="J9138">
        <v>1</v>
      </c>
      <c r="K9138">
        <v>0</v>
      </c>
      <c r="L9138">
        <f t="shared" si="284"/>
        <v>5.4</v>
      </c>
      <c r="M9138">
        <f t="shared" si="285"/>
        <v>1</v>
      </c>
    </row>
    <row r="9139" spans="1:13" x14ac:dyDescent="0.3">
      <c r="A9139">
        <v>9137</v>
      </c>
      <c r="B9139">
        <v>9138</v>
      </c>
      <c r="C9139" t="s">
        <v>9217</v>
      </c>
      <c r="D9139">
        <v>2014</v>
      </c>
      <c r="E9139" t="s">
        <v>36</v>
      </c>
      <c r="F9139" t="s">
        <v>1798</v>
      </c>
      <c r="G9139">
        <v>0</v>
      </c>
      <c r="H9139">
        <v>0</v>
      </c>
      <c r="I9139">
        <v>0</v>
      </c>
      <c r="J9139">
        <v>1</v>
      </c>
      <c r="K9139">
        <v>0</v>
      </c>
      <c r="L9139">
        <f t="shared" si="284"/>
        <v>5.4</v>
      </c>
      <c r="M9139">
        <f t="shared" si="285"/>
        <v>1</v>
      </c>
    </row>
    <row r="9140" spans="1:13" x14ac:dyDescent="0.3">
      <c r="A9140">
        <v>9138</v>
      </c>
      <c r="B9140">
        <v>9139</v>
      </c>
      <c r="C9140" t="s">
        <v>9218</v>
      </c>
      <c r="D9140">
        <v>1937</v>
      </c>
      <c r="F9140" t="s">
        <v>1798</v>
      </c>
      <c r="G9140">
        <v>0</v>
      </c>
      <c r="H9140">
        <v>0</v>
      </c>
      <c r="I9140">
        <v>0</v>
      </c>
      <c r="J9140">
        <v>1</v>
      </c>
      <c r="K9140">
        <v>0</v>
      </c>
      <c r="L9140">
        <f t="shared" si="284"/>
        <v>5.4</v>
      </c>
      <c r="M9140">
        <f t="shared" si="285"/>
        <v>1</v>
      </c>
    </row>
    <row r="9141" spans="1:13" x14ac:dyDescent="0.3">
      <c r="A9141">
        <v>9139</v>
      </c>
      <c r="B9141">
        <v>9140</v>
      </c>
      <c r="C9141" t="s">
        <v>9219</v>
      </c>
      <c r="D9141">
        <v>1952</v>
      </c>
      <c r="F9141" t="s">
        <v>1798</v>
      </c>
      <c r="G9141">
        <v>0</v>
      </c>
      <c r="H9141">
        <v>0</v>
      </c>
      <c r="I9141">
        <v>0</v>
      </c>
      <c r="J9141">
        <v>1</v>
      </c>
      <c r="K9141">
        <v>0</v>
      </c>
      <c r="L9141">
        <f t="shared" si="284"/>
        <v>5.4</v>
      </c>
      <c r="M9141">
        <f t="shared" si="285"/>
        <v>1</v>
      </c>
    </row>
    <row r="9142" spans="1:13" x14ac:dyDescent="0.3">
      <c r="A9142">
        <v>9140</v>
      </c>
      <c r="B9142">
        <v>9141</v>
      </c>
      <c r="C9142" t="s">
        <v>9220</v>
      </c>
      <c r="D9142">
        <v>2001</v>
      </c>
      <c r="E9142" t="s">
        <v>36</v>
      </c>
      <c r="F9142" t="s">
        <v>1798</v>
      </c>
      <c r="G9142">
        <v>0</v>
      </c>
      <c r="H9142">
        <v>0</v>
      </c>
      <c r="I9142">
        <v>0</v>
      </c>
      <c r="J9142">
        <v>1</v>
      </c>
      <c r="K9142">
        <v>0</v>
      </c>
      <c r="L9142">
        <f t="shared" si="284"/>
        <v>5.4</v>
      </c>
      <c r="M9142">
        <f t="shared" si="285"/>
        <v>1</v>
      </c>
    </row>
    <row r="9143" spans="1:13" x14ac:dyDescent="0.3">
      <c r="A9143">
        <v>9141</v>
      </c>
      <c r="B9143">
        <v>9142</v>
      </c>
      <c r="C9143" t="s">
        <v>9221</v>
      </c>
      <c r="D9143">
        <v>1979</v>
      </c>
      <c r="E9143" t="s">
        <v>36</v>
      </c>
      <c r="F9143" t="s">
        <v>1798</v>
      </c>
      <c r="G9143">
        <v>0</v>
      </c>
      <c r="H9143">
        <v>0</v>
      </c>
      <c r="I9143">
        <v>0</v>
      </c>
      <c r="J9143">
        <v>1</v>
      </c>
      <c r="K9143">
        <v>0</v>
      </c>
      <c r="L9143">
        <f t="shared" si="284"/>
        <v>5.4</v>
      </c>
      <c r="M9143">
        <f t="shared" si="285"/>
        <v>1</v>
      </c>
    </row>
    <row r="9144" spans="1:13" x14ac:dyDescent="0.3">
      <c r="A9144">
        <v>9142</v>
      </c>
      <c r="B9144">
        <v>9143</v>
      </c>
      <c r="C9144" t="s">
        <v>9222</v>
      </c>
      <c r="D9144">
        <v>1952</v>
      </c>
      <c r="F9144" t="s">
        <v>1798</v>
      </c>
      <c r="G9144">
        <v>0</v>
      </c>
      <c r="H9144">
        <v>0</v>
      </c>
      <c r="I9144">
        <v>0</v>
      </c>
      <c r="J9144">
        <v>1</v>
      </c>
      <c r="K9144">
        <v>0</v>
      </c>
      <c r="L9144">
        <f t="shared" si="284"/>
        <v>5.4</v>
      </c>
      <c r="M9144">
        <f t="shared" si="285"/>
        <v>1</v>
      </c>
    </row>
    <row r="9145" spans="1:13" x14ac:dyDescent="0.3">
      <c r="A9145">
        <v>9143</v>
      </c>
      <c r="B9145">
        <v>9144</v>
      </c>
      <c r="C9145" t="s">
        <v>9223</v>
      </c>
      <c r="D9145">
        <v>2021</v>
      </c>
      <c r="F9145" t="s">
        <v>1798</v>
      </c>
      <c r="G9145">
        <v>0</v>
      </c>
      <c r="H9145">
        <v>0</v>
      </c>
      <c r="I9145">
        <v>0</v>
      </c>
      <c r="J9145">
        <v>1</v>
      </c>
      <c r="K9145">
        <v>0</v>
      </c>
      <c r="L9145">
        <f t="shared" si="284"/>
        <v>5.4</v>
      </c>
      <c r="M9145">
        <f t="shared" si="285"/>
        <v>1</v>
      </c>
    </row>
    <row r="9146" spans="1:13" x14ac:dyDescent="0.3">
      <c r="A9146">
        <v>9144</v>
      </c>
      <c r="B9146">
        <v>9145</v>
      </c>
      <c r="C9146" t="s">
        <v>9224</v>
      </c>
      <c r="D9146">
        <v>1972</v>
      </c>
      <c r="E9146" t="s">
        <v>36</v>
      </c>
      <c r="F9146" t="s">
        <v>1798</v>
      </c>
      <c r="G9146">
        <v>0</v>
      </c>
      <c r="H9146">
        <v>0</v>
      </c>
      <c r="I9146">
        <v>0</v>
      </c>
      <c r="J9146">
        <v>1</v>
      </c>
      <c r="K9146">
        <v>0</v>
      </c>
      <c r="L9146">
        <f t="shared" si="284"/>
        <v>5.4</v>
      </c>
      <c r="M9146">
        <f t="shared" si="285"/>
        <v>1</v>
      </c>
    </row>
    <row r="9147" spans="1:13" x14ac:dyDescent="0.3">
      <c r="A9147">
        <v>9145</v>
      </c>
      <c r="B9147">
        <v>9146</v>
      </c>
      <c r="C9147" t="s">
        <v>9225</v>
      </c>
      <c r="D9147">
        <v>1980</v>
      </c>
      <c r="E9147" t="s">
        <v>36</v>
      </c>
      <c r="F9147" t="s">
        <v>1798</v>
      </c>
      <c r="G9147">
        <v>0</v>
      </c>
      <c r="H9147">
        <v>0</v>
      </c>
      <c r="I9147">
        <v>0</v>
      </c>
      <c r="J9147">
        <v>1</v>
      </c>
      <c r="K9147">
        <v>0</v>
      </c>
      <c r="L9147">
        <f t="shared" si="284"/>
        <v>5.4</v>
      </c>
      <c r="M9147">
        <f t="shared" si="285"/>
        <v>1</v>
      </c>
    </row>
    <row r="9148" spans="1:13" x14ac:dyDescent="0.3">
      <c r="A9148">
        <v>9146</v>
      </c>
      <c r="B9148">
        <v>9147</v>
      </c>
      <c r="C9148" t="s">
        <v>9226</v>
      </c>
      <c r="D9148">
        <v>2004</v>
      </c>
      <c r="E9148" t="s">
        <v>36</v>
      </c>
      <c r="F9148" t="s">
        <v>1798</v>
      </c>
      <c r="G9148">
        <v>0</v>
      </c>
      <c r="H9148">
        <v>0</v>
      </c>
      <c r="I9148">
        <v>0</v>
      </c>
      <c r="J9148">
        <v>1</v>
      </c>
      <c r="K9148">
        <v>0</v>
      </c>
      <c r="L9148">
        <f t="shared" si="284"/>
        <v>5.4</v>
      </c>
      <c r="M9148">
        <f t="shared" si="285"/>
        <v>1</v>
      </c>
    </row>
    <row r="9149" spans="1:13" x14ac:dyDescent="0.3">
      <c r="A9149">
        <v>9147</v>
      </c>
      <c r="B9149">
        <v>9148</v>
      </c>
      <c r="C9149" t="s">
        <v>9227</v>
      </c>
      <c r="D9149">
        <v>2011</v>
      </c>
      <c r="E9149" t="s">
        <v>36</v>
      </c>
      <c r="F9149" t="s">
        <v>1798</v>
      </c>
      <c r="G9149">
        <v>0</v>
      </c>
      <c r="H9149">
        <v>0</v>
      </c>
      <c r="I9149">
        <v>0</v>
      </c>
      <c r="J9149">
        <v>1</v>
      </c>
      <c r="K9149">
        <v>0</v>
      </c>
      <c r="L9149">
        <f t="shared" si="284"/>
        <v>5.4</v>
      </c>
      <c r="M9149">
        <f t="shared" si="285"/>
        <v>1</v>
      </c>
    </row>
    <row r="9150" spans="1:13" x14ac:dyDescent="0.3">
      <c r="A9150">
        <v>9148</v>
      </c>
      <c r="B9150">
        <v>9149</v>
      </c>
      <c r="C9150" t="s">
        <v>9228</v>
      </c>
      <c r="D9150">
        <v>2008</v>
      </c>
      <c r="E9150" t="s">
        <v>36</v>
      </c>
      <c r="F9150" t="s">
        <v>1798</v>
      </c>
      <c r="G9150">
        <v>0</v>
      </c>
      <c r="H9150">
        <v>0</v>
      </c>
      <c r="I9150">
        <v>0</v>
      </c>
      <c r="J9150">
        <v>1</v>
      </c>
      <c r="K9150">
        <v>0</v>
      </c>
      <c r="L9150">
        <f t="shared" si="284"/>
        <v>5.4</v>
      </c>
      <c r="M9150">
        <f t="shared" si="285"/>
        <v>1</v>
      </c>
    </row>
    <row r="9151" spans="1:13" x14ac:dyDescent="0.3">
      <c r="A9151">
        <v>9149</v>
      </c>
      <c r="B9151">
        <v>9150</v>
      </c>
      <c r="C9151" t="s">
        <v>9229</v>
      </c>
      <c r="D9151">
        <v>1936</v>
      </c>
      <c r="F9151" t="s">
        <v>1798</v>
      </c>
      <c r="G9151">
        <v>0</v>
      </c>
      <c r="H9151">
        <v>0</v>
      </c>
      <c r="I9151">
        <v>0</v>
      </c>
      <c r="J9151">
        <v>1</v>
      </c>
      <c r="K9151">
        <v>0</v>
      </c>
      <c r="L9151">
        <f t="shared" si="284"/>
        <v>5.4</v>
      </c>
      <c r="M9151">
        <f t="shared" si="285"/>
        <v>1</v>
      </c>
    </row>
    <row r="9152" spans="1:13" x14ac:dyDescent="0.3">
      <c r="A9152">
        <v>9150</v>
      </c>
      <c r="B9152">
        <v>9151</v>
      </c>
      <c r="C9152" t="s">
        <v>9230</v>
      </c>
      <c r="D9152">
        <v>1997</v>
      </c>
      <c r="E9152" t="s">
        <v>36</v>
      </c>
      <c r="F9152" t="s">
        <v>1798</v>
      </c>
      <c r="G9152">
        <v>0</v>
      </c>
      <c r="H9152">
        <v>0</v>
      </c>
      <c r="I9152">
        <v>0</v>
      </c>
      <c r="J9152">
        <v>1</v>
      </c>
      <c r="K9152">
        <v>0</v>
      </c>
      <c r="L9152">
        <f t="shared" si="284"/>
        <v>5.4</v>
      </c>
      <c r="M9152">
        <f t="shared" si="285"/>
        <v>1</v>
      </c>
    </row>
    <row r="9153" spans="1:13" x14ac:dyDescent="0.3">
      <c r="A9153">
        <v>9151</v>
      </c>
      <c r="B9153">
        <v>9152</v>
      </c>
      <c r="C9153" t="s">
        <v>9231</v>
      </c>
      <c r="D9153">
        <v>2005</v>
      </c>
      <c r="E9153" t="s">
        <v>36</v>
      </c>
      <c r="F9153" t="s">
        <v>1798</v>
      </c>
      <c r="G9153">
        <v>0</v>
      </c>
      <c r="H9153">
        <v>0</v>
      </c>
      <c r="I9153">
        <v>0</v>
      </c>
      <c r="J9153">
        <v>1</v>
      </c>
      <c r="K9153">
        <v>0</v>
      </c>
      <c r="L9153">
        <f t="shared" si="284"/>
        <v>5.4</v>
      </c>
      <c r="M9153">
        <f t="shared" si="285"/>
        <v>1</v>
      </c>
    </row>
    <row r="9154" spans="1:13" x14ac:dyDescent="0.3">
      <c r="A9154">
        <v>9152</v>
      </c>
      <c r="B9154">
        <v>9153</v>
      </c>
      <c r="C9154" t="s">
        <v>9232</v>
      </c>
      <c r="D9154">
        <v>1976</v>
      </c>
      <c r="E9154" t="s">
        <v>36</v>
      </c>
      <c r="F9154" t="s">
        <v>1798</v>
      </c>
      <c r="G9154">
        <v>0</v>
      </c>
      <c r="H9154">
        <v>0</v>
      </c>
      <c r="I9154">
        <v>0</v>
      </c>
      <c r="J9154">
        <v>1</v>
      </c>
      <c r="K9154">
        <v>0</v>
      </c>
      <c r="L9154">
        <f t="shared" si="284"/>
        <v>5.4</v>
      </c>
      <c r="M9154">
        <f t="shared" si="285"/>
        <v>1</v>
      </c>
    </row>
    <row r="9155" spans="1:13" x14ac:dyDescent="0.3">
      <c r="A9155">
        <v>9153</v>
      </c>
      <c r="B9155">
        <v>9154</v>
      </c>
      <c r="C9155" t="s">
        <v>9233</v>
      </c>
      <c r="D9155">
        <v>2017</v>
      </c>
      <c r="E9155" t="s">
        <v>14</v>
      </c>
      <c r="F9155" t="s">
        <v>1798</v>
      </c>
      <c r="G9155">
        <v>0</v>
      </c>
      <c r="H9155">
        <v>0</v>
      </c>
      <c r="I9155">
        <v>0</v>
      </c>
      <c r="J9155">
        <v>1</v>
      </c>
      <c r="K9155">
        <v>0</v>
      </c>
      <c r="L9155">
        <f t="shared" ref="L9155:L9218" si="286">IFERROR(VALUE(LEFT(F9155,FIND("/",F9155)-1))/10,"")</f>
        <v>5.4</v>
      </c>
      <c r="M9155">
        <f t="shared" ref="M9155:M9218" si="287">SUM(G9155:J9155)</f>
        <v>1</v>
      </c>
    </row>
    <row r="9156" spans="1:13" x14ac:dyDescent="0.3">
      <c r="A9156">
        <v>9154</v>
      </c>
      <c r="B9156">
        <v>9155</v>
      </c>
      <c r="C9156" t="s">
        <v>9234</v>
      </c>
      <c r="D9156">
        <v>1969</v>
      </c>
      <c r="E9156" t="s">
        <v>36</v>
      </c>
      <c r="F9156" t="s">
        <v>1798</v>
      </c>
      <c r="G9156">
        <v>0</v>
      </c>
      <c r="H9156">
        <v>0</v>
      </c>
      <c r="I9156">
        <v>0</v>
      </c>
      <c r="J9156">
        <v>1</v>
      </c>
      <c r="K9156">
        <v>0</v>
      </c>
      <c r="L9156">
        <f t="shared" si="286"/>
        <v>5.4</v>
      </c>
      <c r="M9156">
        <f t="shared" si="287"/>
        <v>1</v>
      </c>
    </row>
    <row r="9157" spans="1:13" x14ac:dyDescent="0.3">
      <c r="A9157">
        <v>9155</v>
      </c>
      <c r="B9157">
        <v>9156</v>
      </c>
      <c r="C9157" t="s">
        <v>9235</v>
      </c>
      <c r="D9157">
        <v>1975</v>
      </c>
      <c r="E9157" t="s">
        <v>36</v>
      </c>
      <c r="F9157" t="s">
        <v>1798</v>
      </c>
      <c r="G9157">
        <v>0</v>
      </c>
      <c r="H9157">
        <v>0</v>
      </c>
      <c r="I9157">
        <v>0</v>
      </c>
      <c r="J9157">
        <v>1</v>
      </c>
      <c r="K9157">
        <v>0</v>
      </c>
      <c r="L9157">
        <f t="shared" si="286"/>
        <v>5.4</v>
      </c>
      <c r="M9157">
        <f t="shared" si="287"/>
        <v>1</v>
      </c>
    </row>
    <row r="9158" spans="1:13" x14ac:dyDescent="0.3">
      <c r="A9158">
        <v>9156</v>
      </c>
      <c r="B9158">
        <v>9157</v>
      </c>
      <c r="C9158" t="s">
        <v>9236</v>
      </c>
      <c r="D9158">
        <v>2020</v>
      </c>
      <c r="E9158" t="s">
        <v>36</v>
      </c>
      <c r="F9158" t="s">
        <v>1798</v>
      </c>
      <c r="G9158">
        <v>0</v>
      </c>
      <c r="H9158">
        <v>0</v>
      </c>
      <c r="I9158">
        <v>0</v>
      </c>
      <c r="J9158">
        <v>1</v>
      </c>
      <c r="K9158">
        <v>0</v>
      </c>
      <c r="L9158">
        <f t="shared" si="286"/>
        <v>5.4</v>
      </c>
      <c r="M9158">
        <f t="shared" si="287"/>
        <v>1</v>
      </c>
    </row>
    <row r="9159" spans="1:13" x14ac:dyDescent="0.3">
      <c r="A9159">
        <v>9157</v>
      </c>
      <c r="B9159">
        <v>9158</v>
      </c>
      <c r="C9159" t="s">
        <v>9237</v>
      </c>
      <c r="D9159">
        <v>2012</v>
      </c>
      <c r="E9159" t="s">
        <v>14</v>
      </c>
      <c r="F9159" t="s">
        <v>1798</v>
      </c>
      <c r="G9159">
        <v>0</v>
      </c>
      <c r="H9159">
        <v>0</v>
      </c>
      <c r="I9159">
        <v>0</v>
      </c>
      <c r="J9159">
        <v>1</v>
      </c>
      <c r="K9159">
        <v>0</v>
      </c>
      <c r="L9159">
        <f t="shared" si="286"/>
        <v>5.4</v>
      </c>
      <c r="M9159">
        <f t="shared" si="287"/>
        <v>1</v>
      </c>
    </row>
    <row r="9160" spans="1:13" x14ac:dyDescent="0.3">
      <c r="A9160">
        <v>9158</v>
      </c>
      <c r="B9160">
        <v>9159</v>
      </c>
      <c r="C9160" t="s">
        <v>9238</v>
      </c>
      <c r="D9160">
        <v>1961</v>
      </c>
      <c r="E9160" t="s">
        <v>14</v>
      </c>
      <c r="F9160" t="s">
        <v>1798</v>
      </c>
      <c r="G9160">
        <v>0</v>
      </c>
      <c r="H9160">
        <v>0</v>
      </c>
      <c r="I9160">
        <v>0</v>
      </c>
      <c r="J9160">
        <v>1</v>
      </c>
      <c r="K9160">
        <v>0</v>
      </c>
      <c r="L9160">
        <f t="shared" si="286"/>
        <v>5.4</v>
      </c>
      <c r="M9160">
        <f t="shared" si="287"/>
        <v>1</v>
      </c>
    </row>
    <row r="9161" spans="1:13" x14ac:dyDescent="0.3">
      <c r="A9161">
        <v>9159</v>
      </c>
      <c r="B9161">
        <v>9160</v>
      </c>
      <c r="C9161" t="s">
        <v>9239</v>
      </c>
      <c r="D9161">
        <v>2008</v>
      </c>
      <c r="E9161" t="s">
        <v>36</v>
      </c>
      <c r="F9161" t="s">
        <v>1798</v>
      </c>
      <c r="G9161">
        <v>0</v>
      </c>
      <c r="H9161">
        <v>0</v>
      </c>
      <c r="I9161">
        <v>0</v>
      </c>
      <c r="J9161">
        <v>1</v>
      </c>
      <c r="K9161">
        <v>0</v>
      </c>
      <c r="L9161">
        <f t="shared" si="286"/>
        <v>5.4</v>
      </c>
      <c r="M9161">
        <f t="shared" si="287"/>
        <v>1</v>
      </c>
    </row>
    <row r="9162" spans="1:13" x14ac:dyDescent="0.3">
      <c r="A9162">
        <v>9160</v>
      </c>
      <c r="B9162">
        <v>9161</v>
      </c>
      <c r="C9162" t="s">
        <v>9240</v>
      </c>
      <c r="D9162">
        <v>2020</v>
      </c>
      <c r="E9162" t="s">
        <v>14</v>
      </c>
      <c r="F9162" t="s">
        <v>1798</v>
      </c>
      <c r="G9162">
        <v>0</v>
      </c>
      <c r="H9162">
        <v>0</v>
      </c>
      <c r="I9162">
        <v>0</v>
      </c>
      <c r="J9162">
        <v>1</v>
      </c>
      <c r="K9162">
        <v>0</v>
      </c>
      <c r="L9162">
        <f t="shared" si="286"/>
        <v>5.4</v>
      </c>
      <c r="M9162">
        <f t="shared" si="287"/>
        <v>1</v>
      </c>
    </row>
    <row r="9163" spans="1:13" x14ac:dyDescent="0.3">
      <c r="A9163">
        <v>9161</v>
      </c>
      <c r="B9163">
        <v>9162</v>
      </c>
      <c r="C9163" t="s">
        <v>9241</v>
      </c>
      <c r="D9163">
        <v>1995</v>
      </c>
      <c r="E9163" t="s">
        <v>14</v>
      </c>
      <c r="F9163" t="s">
        <v>1890</v>
      </c>
      <c r="G9163">
        <v>0</v>
      </c>
      <c r="H9163">
        <v>0</v>
      </c>
      <c r="I9163">
        <v>0</v>
      </c>
      <c r="J9163">
        <v>1</v>
      </c>
      <c r="K9163">
        <v>0</v>
      </c>
      <c r="L9163">
        <f t="shared" si="286"/>
        <v>5.3</v>
      </c>
      <c r="M9163">
        <f t="shared" si="287"/>
        <v>1</v>
      </c>
    </row>
    <row r="9164" spans="1:13" x14ac:dyDescent="0.3">
      <c r="A9164">
        <v>9162</v>
      </c>
      <c r="B9164">
        <v>9163</v>
      </c>
      <c r="C9164" t="s">
        <v>9242</v>
      </c>
      <c r="D9164">
        <v>2019</v>
      </c>
      <c r="F9164" t="s">
        <v>1890</v>
      </c>
      <c r="G9164">
        <v>0</v>
      </c>
      <c r="H9164">
        <v>0</v>
      </c>
      <c r="I9164">
        <v>0</v>
      </c>
      <c r="J9164">
        <v>1</v>
      </c>
      <c r="K9164">
        <v>0</v>
      </c>
      <c r="L9164">
        <f t="shared" si="286"/>
        <v>5.3</v>
      </c>
      <c r="M9164">
        <f t="shared" si="287"/>
        <v>1</v>
      </c>
    </row>
    <row r="9165" spans="1:13" x14ac:dyDescent="0.3">
      <c r="A9165">
        <v>9163</v>
      </c>
      <c r="B9165">
        <v>9164</v>
      </c>
      <c r="C9165" t="s">
        <v>9243</v>
      </c>
      <c r="D9165">
        <v>2002</v>
      </c>
      <c r="E9165" t="s">
        <v>36</v>
      </c>
      <c r="F9165" t="s">
        <v>1890</v>
      </c>
      <c r="G9165">
        <v>0</v>
      </c>
      <c r="H9165">
        <v>0</v>
      </c>
      <c r="I9165">
        <v>0</v>
      </c>
      <c r="J9165">
        <v>1</v>
      </c>
      <c r="K9165">
        <v>0</v>
      </c>
      <c r="L9165">
        <f t="shared" si="286"/>
        <v>5.3</v>
      </c>
      <c r="M9165">
        <f t="shared" si="287"/>
        <v>1</v>
      </c>
    </row>
    <row r="9166" spans="1:13" x14ac:dyDescent="0.3">
      <c r="A9166">
        <v>9164</v>
      </c>
      <c r="B9166">
        <v>9165</v>
      </c>
      <c r="C9166" t="s">
        <v>9244</v>
      </c>
      <c r="D9166">
        <v>2005</v>
      </c>
      <c r="E9166" t="s">
        <v>36</v>
      </c>
      <c r="F9166" t="s">
        <v>1890</v>
      </c>
      <c r="G9166">
        <v>0</v>
      </c>
      <c r="H9166">
        <v>0</v>
      </c>
      <c r="I9166">
        <v>0</v>
      </c>
      <c r="J9166">
        <v>1</v>
      </c>
      <c r="K9166">
        <v>0</v>
      </c>
      <c r="L9166">
        <f t="shared" si="286"/>
        <v>5.3</v>
      </c>
      <c r="M9166">
        <f t="shared" si="287"/>
        <v>1</v>
      </c>
    </row>
    <row r="9167" spans="1:13" x14ac:dyDescent="0.3">
      <c r="A9167">
        <v>9165</v>
      </c>
      <c r="B9167">
        <v>9166</v>
      </c>
      <c r="C9167" t="s">
        <v>9245</v>
      </c>
      <c r="D9167">
        <v>1953</v>
      </c>
      <c r="E9167" t="s">
        <v>36</v>
      </c>
      <c r="F9167" t="s">
        <v>1890</v>
      </c>
      <c r="G9167">
        <v>0</v>
      </c>
      <c r="H9167">
        <v>0</v>
      </c>
      <c r="I9167">
        <v>0</v>
      </c>
      <c r="J9167">
        <v>1</v>
      </c>
      <c r="K9167">
        <v>0</v>
      </c>
      <c r="L9167">
        <f t="shared" si="286"/>
        <v>5.3</v>
      </c>
      <c r="M9167">
        <f t="shared" si="287"/>
        <v>1</v>
      </c>
    </row>
    <row r="9168" spans="1:13" x14ac:dyDescent="0.3">
      <c r="A9168">
        <v>9166</v>
      </c>
      <c r="B9168">
        <v>9167</v>
      </c>
      <c r="C9168" t="s">
        <v>9246</v>
      </c>
      <c r="D9168">
        <v>2012</v>
      </c>
      <c r="E9168" t="s">
        <v>36</v>
      </c>
      <c r="F9168" t="s">
        <v>1890</v>
      </c>
      <c r="G9168">
        <v>0</v>
      </c>
      <c r="H9168">
        <v>0</v>
      </c>
      <c r="I9168">
        <v>0</v>
      </c>
      <c r="J9168">
        <v>1</v>
      </c>
      <c r="K9168">
        <v>0</v>
      </c>
      <c r="L9168">
        <f t="shared" si="286"/>
        <v>5.3</v>
      </c>
      <c r="M9168">
        <f t="shared" si="287"/>
        <v>1</v>
      </c>
    </row>
    <row r="9169" spans="1:13" x14ac:dyDescent="0.3">
      <c r="A9169">
        <v>9167</v>
      </c>
      <c r="B9169">
        <v>9168</v>
      </c>
      <c r="C9169" t="s">
        <v>9247</v>
      </c>
      <c r="D9169">
        <v>2014</v>
      </c>
      <c r="E9169" t="s">
        <v>14</v>
      </c>
      <c r="F9169" t="s">
        <v>1890</v>
      </c>
      <c r="G9169">
        <v>0</v>
      </c>
      <c r="H9169">
        <v>0</v>
      </c>
      <c r="I9169">
        <v>0</v>
      </c>
      <c r="J9169">
        <v>1</v>
      </c>
      <c r="K9169">
        <v>0</v>
      </c>
      <c r="L9169">
        <f t="shared" si="286"/>
        <v>5.3</v>
      </c>
      <c r="M9169">
        <f t="shared" si="287"/>
        <v>1</v>
      </c>
    </row>
    <row r="9170" spans="1:13" x14ac:dyDescent="0.3">
      <c r="A9170">
        <v>9168</v>
      </c>
      <c r="B9170">
        <v>9169</v>
      </c>
      <c r="C9170" t="s">
        <v>9248</v>
      </c>
      <c r="D9170">
        <v>1997</v>
      </c>
      <c r="E9170" t="s">
        <v>14</v>
      </c>
      <c r="F9170" t="s">
        <v>1890</v>
      </c>
      <c r="G9170">
        <v>0</v>
      </c>
      <c r="H9170">
        <v>0</v>
      </c>
      <c r="I9170">
        <v>0</v>
      </c>
      <c r="J9170">
        <v>1</v>
      </c>
      <c r="K9170">
        <v>0</v>
      </c>
      <c r="L9170">
        <f t="shared" si="286"/>
        <v>5.3</v>
      </c>
      <c r="M9170">
        <f t="shared" si="287"/>
        <v>1</v>
      </c>
    </row>
    <row r="9171" spans="1:13" x14ac:dyDescent="0.3">
      <c r="A9171">
        <v>9169</v>
      </c>
      <c r="B9171">
        <v>9170</v>
      </c>
      <c r="C9171" t="s">
        <v>9249</v>
      </c>
      <c r="D9171">
        <v>1947</v>
      </c>
      <c r="F9171" t="s">
        <v>1890</v>
      </c>
      <c r="G9171">
        <v>0</v>
      </c>
      <c r="H9171">
        <v>0</v>
      </c>
      <c r="I9171">
        <v>0</v>
      </c>
      <c r="J9171">
        <v>1</v>
      </c>
      <c r="K9171">
        <v>0</v>
      </c>
      <c r="L9171">
        <f t="shared" si="286"/>
        <v>5.3</v>
      </c>
      <c r="M9171">
        <f t="shared" si="287"/>
        <v>1</v>
      </c>
    </row>
    <row r="9172" spans="1:13" x14ac:dyDescent="0.3">
      <c r="A9172">
        <v>9170</v>
      </c>
      <c r="B9172">
        <v>9171</v>
      </c>
      <c r="C9172" t="s">
        <v>9250</v>
      </c>
      <c r="D9172">
        <v>2019</v>
      </c>
      <c r="E9172" t="s">
        <v>14</v>
      </c>
      <c r="F9172" t="s">
        <v>1890</v>
      </c>
      <c r="G9172">
        <v>0</v>
      </c>
      <c r="H9172">
        <v>0</v>
      </c>
      <c r="I9172">
        <v>0</v>
      </c>
      <c r="J9172">
        <v>1</v>
      </c>
      <c r="K9172">
        <v>0</v>
      </c>
      <c r="L9172">
        <f t="shared" si="286"/>
        <v>5.3</v>
      </c>
      <c r="M9172">
        <f t="shared" si="287"/>
        <v>1</v>
      </c>
    </row>
    <row r="9173" spans="1:13" x14ac:dyDescent="0.3">
      <c r="A9173">
        <v>9171</v>
      </c>
      <c r="B9173">
        <v>9172</v>
      </c>
      <c r="C9173" t="s">
        <v>9251</v>
      </c>
      <c r="D9173">
        <v>2006</v>
      </c>
      <c r="E9173" t="s">
        <v>36</v>
      </c>
      <c r="F9173" t="s">
        <v>1890</v>
      </c>
      <c r="G9173">
        <v>0</v>
      </c>
      <c r="H9173">
        <v>0</v>
      </c>
      <c r="I9173">
        <v>0</v>
      </c>
      <c r="J9173">
        <v>1</v>
      </c>
      <c r="K9173">
        <v>0</v>
      </c>
      <c r="L9173">
        <f t="shared" si="286"/>
        <v>5.3</v>
      </c>
      <c r="M9173">
        <f t="shared" si="287"/>
        <v>1</v>
      </c>
    </row>
    <row r="9174" spans="1:13" x14ac:dyDescent="0.3">
      <c r="A9174">
        <v>9172</v>
      </c>
      <c r="B9174">
        <v>9173</v>
      </c>
      <c r="C9174" t="s">
        <v>9252</v>
      </c>
      <c r="D9174">
        <v>1956</v>
      </c>
      <c r="E9174" t="s">
        <v>36</v>
      </c>
      <c r="F9174" t="s">
        <v>1890</v>
      </c>
      <c r="G9174">
        <v>0</v>
      </c>
      <c r="H9174">
        <v>0</v>
      </c>
      <c r="I9174">
        <v>0</v>
      </c>
      <c r="J9174">
        <v>1</v>
      </c>
      <c r="K9174">
        <v>0</v>
      </c>
      <c r="L9174">
        <f t="shared" si="286"/>
        <v>5.3</v>
      </c>
      <c r="M9174">
        <f t="shared" si="287"/>
        <v>1</v>
      </c>
    </row>
    <row r="9175" spans="1:13" x14ac:dyDescent="0.3">
      <c r="A9175">
        <v>9173</v>
      </c>
      <c r="B9175">
        <v>9174</v>
      </c>
      <c r="C9175" t="s">
        <v>9253</v>
      </c>
      <c r="D9175">
        <v>1952</v>
      </c>
      <c r="F9175" t="s">
        <v>1890</v>
      </c>
      <c r="G9175">
        <v>0</v>
      </c>
      <c r="H9175">
        <v>0</v>
      </c>
      <c r="I9175">
        <v>0</v>
      </c>
      <c r="J9175">
        <v>1</v>
      </c>
      <c r="K9175">
        <v>0</v>
      </c>
      <c r="L9175">
        <f t="shared" si="286"/>
        <v>5.3</v>
      </c>
      <c r="M9175">
        <f t="shared" si="287"/>
        <v>1</v>
      </c>
    </row>
    <row r="9176" spans="1:13" x14ac:dyDescent="0.3">
      <c r="A9176">
        <v>9174</v>
      </c>
      <c r="B9176">
        <v>9175</v>
      </c>
      <c r="C9176" t="s">
        <v>9254</v>
      </c>
      <c r="D9176">
        <v>2002</v>
      </c>
      <c r="E9176" t="s">
        <v>36</v>
      </c>
      <c r="F9176" t="s">
        <v>1890</v>
      </c>
      <c r="G9176">
        <v>0</v>
      </c>
      <c r="H9176">
        <v>0</v>
      </c>
      <c r="I9176">
        <v>0</v>
      </c>
      <c r="J9176">
        <v>1</v>
      </c>
      <c r="K9176">
        <v>0</v>
      </c>
      <c r="L9176">
        <f t="shared" si="286"/>
        <v>5.3</v>
      </c>
      <c r="M9176">
        <f t="shared" si="287"/>
        <v>1</v>
      </c>
    </row>
    <row r="9177" spans="1:13" x14ac:dyDescent="0.3">
      <c r="A9177">
        <v>9175</v>
      </c>
      <c r="B9177">
        <v>9176</v>
      </c>
      <c r="C9177" t="s">
        <v>9255</v>
      </c>
      <c r="D9177">
        <v>2021</v>
      </c>
      <c r="F9177" t="s">
        <v>1890</v>
      </c>
      <c r="G9177">
        <v>0</v>
      </c>
      <c r="H9177">
        <v>0</v>
      </c>
      <c r="I9177">
        <v>0</v>
      </c>
      <c r="J9177">
        <v>1</v>
      </c>
      <c r="K9177">
        <v>0</v>
      </c>
      <c r="L9177">
        <f t="shared" si="286"/>
        <v>5.3</v>
      </c>
      <c r="M9177">
        <f t="shared" si="287"/>
        <v>1</v>
      </c>
    </row>
    <row r="9178" spans="1:13" x14ac:dyDescent="0.3">
      <c r="A9178">
        <v>9176</v>
      </c>
      <c r="B9178">
        <v>9177</v>
      </c>
      <c r="C9178" t="s">
        <v>9256</v>
      </c>
      <c r="D9178">
        <v>2021</v>
      </c>
      <c r="E9178" t="s">
        <v>22</v>
      </c>
      <c r="F9178" t="s">
        <v>1890</v>
      </c>
      <c r="G9178">
        <v>0</v>
      </c>
      <c r="H9178">
        <v>0</v>
      </c>
      <c r="I9178">
        <v>0</v>
      </c>
      <c r="J9178">
        <v>1</v>
      </c>
      <c r="K9178">
        <v>0</v>
      </c>
      <c r="L9178">
        <f t="shared" si="286"/>
        <v>5.3</v>
      </c>
      <c r="M9178">
        <f t="shared" si="287"/>
        <v>1</v>
      </c>
    </row>
    <row r="9179" spans="1:13" x14ac:dyDescent="0.3">
      <c r="A9179">
        <v>9177</v>
      </c>
      <c r="B9179">
        <v>9178</v>
      </c>
      <c r="C9179" t="s">
        <v>9257</v>
      </c>
      <c r="D9179">
        <v>2021</v>
      </c>
      <c r="E9179" t="s">
        <v>22</v>
      </c>
      <c r="F9179" t="s">
        <v>1890</v>
      </c>
      <c r="G9179">
        <v>0</v>
      </c>
      <c r="H9179">
        <v>0</v>
      </c>
      <c r="I9179">
        <v>0</v>
      </c>
      <c r="J9179">
        <v>1</v>
      </c>
      <c r="K9179">
        <v>0</v>
      </c>
      <c r="L9179">
        <f t="shared" si="286"/>
        <v>5.3</v>
      </c>
      <c r="M9179">
        <f t="shared" si="287"/>
        <v>1</v>
      </c>
    </row>
    <row r="9180" spans="1:13" x14ac:dyDescent="0.3">
      <c r="A9180">
        <v>9178</v>
      </c>
      <c r="B9180">
        <v>9179</v>
      </c>
      <c r="C9180" t="s">
        <v>9258</v>
      </c>
      <c r="D9180">
        <v>2003</v>
      </c>
      <c r="E9180" t="s">
        <v>36</v>
      </c>
      <c r="F9180" t="s">
        <v>1890</v>
      </c>
      <c r="G9180">
        <v>0</v>
      </c>
      <c r="H9180">
        <v>0</v>
      </c>
      <c r="I9180">
        <v>0</v>
      </c>
      <c r="J9180">
        <v>1</v>
      </c>
      <c r="K9180">
        <v>0</v>
      </c>
      <c r="L9180">
        <f t="shared" si="286"/>
        <v>5.3</v>
      </c>
      <c r="M9180">
        <f t="shared" si="287"/>
        <v>1</v>
      </c>
    </row>
    <row r="9181" spans="1:13" x14ac:dyDescent="0.3">
      <c r="A9181">
        <v>9179</v>
      </c>
      <c r="B9181">
        <v>9180</v>
      </c>
      <c r="C9181" t="s">
        <v>9259</v>
      </c>
      <c r="D9181">
        <v>2000</v>
      </c>
      <c r="E9181" t="s">
        <v>36</v>
      </c>
      <c r="F9181" t="s">
        <v>1890</v>
      </c>
      <c r="G9181">
        <v>0</v>
      </c>
      <c r="H9181">
        <v>0</v>
      </c>
      <c r="I9181">
        <v>0</v>
      </c>
      <c r="J9181">
        <v>1</v>
      </c>
      <c r="K9181">
        <v>0</v>
      </c>
      <c r="L9181">
        <f t="shared" si="286"/>
        <v>5.3</v>
      </c>
      <c r="M9181">
        <f t="shared" si="287"/>
        <v>1</v>
      </c>
    </row>
    <row r="9182" spans="1:13" x14ac:dyDescent="0.3">
      <c r="A9182">
        <v>9180</v>
      </c>
      <c r="B9182">
        <v>9181</v>
      </c>
      <c r="C9182" t="s">
        <v>9260</v>
      </c>
      <c r="D9182">
        <v>1971</v>
      </c>
      <c r="E9182" t="s">
        <v>36</v>
      </c>
      <c r="F9182" t="s">
        <v>1890</v>
      </c>
      <c r="G9182">
        <v>0</v>
      </c>
      <c r="H9182">
        <v>0</v>
      </c>
      <c r="I9182">
        <v>0</v>
      </c>
      <c r="J9182">
        <v>1</v>
      </c>
      <c r="K9182">
        <v>0</v>
      </c>
      <c r="L9182">
        <f t="shared" si="286"/>
        <v>5.3</v>
      </c>
      <c r="M9182">
        <f t="shared" si="287"/>
        <v>1</v>
      </c>
    </row>
    <row r="9183" spans="1:13" x14ac:dyDescent="0.3">
      <c r="A9183">
        <v>9181</v>
      </c>
      <c r="B9183">
        <v>9182</v>
      </c>
      <c r="C9183" t="s">
        <v>9261</v>
      </c>
      <c r="D9183">
        <v>1940</v>
      </c>
      <c r="E9183" t="s">
        <v>36</v>
      </c>
      <c r="F9183" t="s">
        <v>1985</v>
      </c>
      <c r="G9183">
        <v>0</v>
      </c>
      <c r="H9183">
        <v>0</v>
      </c>
      <c r="I9183">
        <v>0</v>
      </c>
      <c r="J9183">
        <v>1</v>
      </c>
      <c r="K9183">
        <v>0</v>
      </c>
      <c r="L9183">
        <f t="shared" si="286"/>
        <v>5.2</v>
      </c>
      <c r="M9183">
        <f t="shared" si="287"/>
        <v>1</v>
      </c>
    </row>
    <row r="9184" spans="1:13" x14ac:dyDescent="0.3">
      <c r="A9184">
        <v>9182</v>
      </c>
      <c r="B9184">
        <v>9183</v>
      </c>
      <c r="C9184" t="s">
        <v>9262</v>
      </c>
      <c r="D9184">
        <v>1986</v>
      </c>
      <c r="E9184" t="s">
        <v>36</v>
      </c>
      <c r="F9184" t="s">
        <v>1985</v>
      </c>
      <c r="G9184">
        <v>0</v>
      </c>
      <c r="H9184">
        <v>0</v>
      </c>
      <c r="I9184">
        <v>0</v>
      </c>
      <c r="J9184">
        <v>1</v>
      </c>
      <c r="K9184">
        <v>0</v>
      </c>
      <c r="L9184">
        <f t="shared" si="286"/>
        <v>5.2</v>
      </c>
      <c r="M9184">
        <f t="shared" si="287"/>
        <v>1</v>
      </c>
    </row>
    <row r="9185" spans="1:13" x14ac:dyDescent="0.3">
      <c r="A9185">
        <v>9183</v>
      </c>
      <c r="B9185">
        <v>9184</v>
      </c>
      <c r="C9185" t="s">
        <v>9263</v>
      </c>
      <c r="D9185">
        <v>2008</v>
      </c>
      <c r="E9185" t="s">
        <v>36</v>
      </c>
      <c r="F9185" t="s">
        <v>1985</v>
      </c>
      <c r="G9185">
        <v>0</v>
      </c>
      <c r="H9185">
        <v>0</v>
      </c>
      <c r="I9185">
        <v>0</v>
      </c>
      <c r="J9185">
        <v>1</v>
      </c>
      <c r="K9185">
        <v>0</v>
      </c>
      <c r="L9185">
        <f t="shared" si="286"/>
        <v>5.2</v>
      </c>
      <c r="M9185">
        <f t="shared" si="287"/>
        <v>1</v>
      </c>
    </row>
    <row r="9186" spans="1:13" x14ac:dyDescent="0.3">
      <c r="A9186">
        <v>9184</v>
      </c>
      <c r="B9186">
        <v>9185</v>
      </c>
      <c r="C9186" t="s">
        <v>9264</v>
      </c>
      <c r="D9186">
        <v>2007</v>
      </c>
      <c r="E9186" t="s">
        <v>14</v>
      </c>
      <c r="F9186" t="s">
        <v>1985</v>
      </c>
      <c r="G9186">
        <v>0</v>
      </c>
      <c r="H9186">
        <v>0</v>
      </c>
      <c r="I9186">
        <v>0</v>
      </c>
      <c r="J9186">
        <v>1</v>
      </c>
      <c r="K9186">
        <v>0</v>
      </c>
      <c r="L9186">
        <f t="shared" si="286"/>
        <v>5.2</v>
      </c>
      <c r="M9186">
        <f t="shared" si="287"/>
        <v>1</v>
      </c>
    </row>
    <row r="9187" spans="1:13" x14ac:dyDescent="0.3">
      <c r="A9187">
        <v>9185</v>
      </c>
      <c r="B9187">
        <v>9186</v>
      </c>
      <c r="C9187" t="s">
        <v>9265</v>
      </c>
      <c r="D9187">
        <v>2018</v>
      </c>
      <c r="E9187" t="s">
        <v>14</v>
      </c>
      <c r="F9187" t="s">
        <v>1985</v>
      </c>
      <c r="G9187">
        <v>0</v>
      </c>
      <c r="H9187">
        <v>0</v>
      </c>
      <c r="I9187">
        <v>0</v>
      </c>
      <c r="J9187">
        <v>1</v>
      </c>
      <c r="K9187">
        <v>0</v>
      </c>
      <c r="L9187">
        <f t="shared" si="286"/>
        <v>5.2</v>
      </c>
      <c r="M9187">
        <f t="shared" si="287"/>
        <v>1</v>
      </c>
    </row>
    <row r="9188" spans="1:13" x14ac:dyDescent="0.3">
      <c r="A9188">
        <v>9186</v>
      </c>
      <c r="B9188">
        <v>9187</v>
      </c>
      <c r="C9188" t="s">
        <v>9266</v>
      </c>
      <c r="D9188">
        <v>1941</v>
      </c>
      <c r="F9188" t="s">
        <v>1985</v>
      </c>
      <c r="G9188">
        <v>0</v>
      </c>
      <c r="H9188">
        <v>0</v>
      </c>
      <c r="I9188">
        <v>0</v>
      </c>
      <c r="J9188">
        <v>1</v>
      </c>
      <c r="K9188">
        <v>0</v>
      </c>
      <c r="L9188">
        <f t="shared" si="286"/>
        <v>5.2</v>
      </c>
      <c r="M9188">
        <f t="shared" si="287"/>
        <v>1</v>
      </c>
    </row>
    <row r="9189" spans="1:13" x14ac:dyDescent="0.3">
      <c r="A9189">
        <v>9187</v>
      </c>
      <c r="B9189">
        <v>9188</v>
      </c>
      <c r="C9189" t="s">
        <v>9267</v>
      </c>
      <c r="D9189">
        <v>1934</v>
      </c>
      <c r="F9189" t="s">
        <v>1985</v>
      </c>
      <c r="G9189">
        <v>0</v>
      </c>
      <c r="H9189">
        <v>0</v>
      </c>
      <c r="I9189">
        <v>0</v>
      </c>
      <c r="J9189">
        <v>1</v>
      </c>
      <c r="K9189">
        <v>0</v>
      </c>
      <c r="L9189">
        <f t="shared" si="286"/>
        <v>5.2</v>
      </c>
      <c r="M9189">
        <f t="shared" si="287"/>
        <v>1</v>
      </c>
    </row>
    <row r="9190" spans="1:13" x14ac:dyDescent="0.3">
      <c r="A9190">
        <v>9188</v>
      </c>
      <c r="B9190">
        <v>9189</v>
      </c>
      <c r="C9190" t="s">
        <v>9268</v>
      </c>
      <c r="D9190">
        <v>2004</v>
      </c>
      <c r="E9190" t="s">
        <v>36</v>
      </c>
      <c r="F9190" t="s">
        <v>1985</v>
      </c>
      <c r="G9190">
        <v>0</v>
      </c>
      <c r="H9190">
        <v>0</v>
      </c>
      <c r="I9190">
        <v>0</v>
      </c>
      <c r="J9190">
        <v>1</v>
      </c>
      <c r="K9190">
        <v>0</v>
      </c>
      <c r="L9190">
        <f t="shared" si="286"/>
        <v>5.2</v>
      </c>
      <c r="M9190">
        <f t="shared" si="287"/>
        <v>1</v>
      </c>
    </row>
    <row r="9191" spans="1:13" x14ac:dyDescent="0.3">
      <c r="A9191">
        <v>9189</v>
      </c>
      <c r="B9191">
        <v>9190</v>
      </c>
      <c r="C9191" t="s">
        <v>9269</v>
      </c>
      <c r="D9191">
        <v>1989</v>
      </c>
      <c r="E9191" t="s">
        <v>36</v>
      </c>
      <c r="F9191" t="s">
        <v>1985</v>
      </c>
      <c r="G9191">
        <v>0</v>
      </c>
      <c r="H9191">
        <v>0</v>
      </c>
      <c r="I9191">
        <v>0</v>
      </c>
      <c r="J9191">
        <v>1</v>
      </c>
      <c r="K9191">
        <v>0</v>
      </c>
      <c r="L9191">
        <f t="shared" si="286"/>
        <v>5.2</v>
      </c>
      <c r="M9191">
        <f t="shared" si="287"/>
        <v>1</v>
      </c>
    </row>
    <row r="9192" spans="1:13" x14ac:dyDescent="0.3">
      <c r="A9192">
        <v>9190</v>
      </c>
      <c r="B9192">
        <v>9191</v>
      </c>
      <c r="C9192" t="s">
        <v>9270</v>
      </c>
      <c r="D9192">
        <v>2000</v>
      </c>
      <c r="E9192" t="s">
        <v>36</v>
      </c>
      <c r="F9192" t="s">
        <v>1985</v>
      </c>
      <c r="G9192">
        <v>0</v>
      </c>
      <c r="H9192">
        <v>0</v>
      </c>
      <c r="I9192">
        <v>0</v>
      </c>
      <c r="J9192">
        <v>1</v>
      </c>
      <c r="K9192">
        <v>0</v>
      </c>
      <c r="L9192">
        <f t="shared" si="286"/>
        <v>5.2</v>
      </c>
      <c r="M9192">
        <f t="shared" si="287"/>
        <v>1</v>
      </c>
    </row>
    <row r="9193" spans="1:13" x14ac:dyDescent="0.3">
      <c r="A9193">
        <v>9191</v>
      </c>
      <c r="B9193">
        <v>9192</v>
      </c>
      <c r="C9193" t="s">
        <v>9271</v>
      </c>
      <c r="D9193">
        <v>2007</v>
      </c>
      <c r="F9193" t="s">
        <v>1985</v>
      </c>
      <c r="G9193">
        <v>0</v>
      </c>
      <c r="H9193">
        <v>0</v>
      </c>
      <c r="I9193">
        <v>0</v>
      </c>
      <c r="J9193">
        <v>1</v>
      </c>
      <c r="K9193">
        <v>0</v>
      </c>
      <c r="L9193">
        <f t="shared" si="286"/>
        <v>5.2</v>
      </c>
      <c r="M9193">
        <f t="shared" si="287"/>
        <v>1</v>
      </c>
    </row>
    <row r="9194" spans="1:13" x14ac:dyDescent="0.3">
      <c r="A9194">
        <v>9192</v>
      </c>
      <c r="B9194">
        <v>9193</v>
      </c>
      <c r="C9194" t="s">
        <v>9272</v>
      </c>
      <c r="D9194">
        <v>1948</v>
      </c>
      <c r="E9194" t="s">
        <v>36</v>
      </c>
      <c r="F9194" t="s">
        <v>1985</v>
      </c>
      <c r="G9194">
        <v>0</v>
      </c>
      <c r="H9194">
        <v>0</v>
      </c>
      <c r="I9194">
        <v>0</v>
      </c>
      <c r="J9194">
        <v>1</v>
      </c>
      <c r="K9194">
        <v>0</v>
      </c>
      <c r="L9194">
        <f t="shared" si="286"/>
        <v>5.2</v>
      </c>
      <c r="M9194">
        <f t="shared" si="287"/>
        <v>1</v>
      </c>
    </row>
    <row r="9195" spans="1:13" x14ac:dyDescent="0.3">
      <c r="A9195">
        <v>9193</v>
      </c>
      <c r="B9195">
        <v>9194</v>
      </c>
      <c r="C9195" t="s">
        <v>9273</v>
      </c>
      <c r="D9195">
        <v>1942</v>
      </c>
      <c r="F9195" t="s">
        <v>1985</v>
      </c>
      <c r="G9195">
        <v>0</v>
      </c>
      <c r="H9195">
        <v>0</v>
      </c>
      <c r="I9195">
        <v>0</v>
      </c>
      <c r="J9195">
        <v>1</v>
      </c>
      <c r="K9195">
        <v>0</v>
      </c>
      <c r="L9195">
        <f t="shared" si="286"/>
        <v>5.2</v>
      </c>
      <c r="M9195">
        <f t="shared" si="287"/>
        <v>1</v>
      </c>
    </row>
    <row r="9196" spans="1:13" x14ac:dyDescent="0.3">
      <c r="A9196">
        <v>9194</v>
      </c>
      <c r="B9196">
        <v>9195</v>
      </c>
      <c r="C9196" t="s">
        <v>9274</v>
      </c>
      <c r="D9196">
        <v>1998</v>
      </c>
      <c r="E9196" t="s">
        <v>36</v>
      </c>
      <c r="F9196" t="s">
        <v>1985</v>
      </c>
      <c r="G9196">
        <v>0</v>
      </c>
      <c r="H9196">
        <v>0</v>
      </c>
      <c r="I9196">
        <v>0</v>
      </c>
      <c r="J9196">
        <v>1</v>
      </c>
      <c r="K9196">
        <v>0</v>
      </c>
      <c r="L9196">
        <f t="shared" si="286"/>
        <v>5.2</v>
      </c>
      <c r="M9196">
        <f t="shared" si="287"/>
        <v>1</v>
      </c>
    </row>
    <row r="9197" spans="1:13" x14ac:dyDescent="0.3">
      <c r="A9197">
        <v>9195</v>
      </c>
      <c r="B9197">
        <v>9196</v>
      </c>
      <c r="C9197" t="s">
        <v>9275</v>
      </c>
      <c r="D9197">
        <v>1949</v>
      </c>
      <c r="F9197" t="s">
        <v>1985</v>
      </c>
      <c r="G9197">
        <v>0</v>
      </c>
      <c r="H9197">
        <v>0</v>
      </c>
      <c r="I9197">
        <v>0</v>
      </c>
      <c r="J9197">
        <v>1</v>
      </c>
      <c r="K9197">
        <v>0</v>
      </c>
      <c r="L9197">
        <f t="shared" si="286"/>
        <v>5.2</v>
      </c>
      <c r="M9197">
        <f t="shared" si="287"/>
        <v>1</v>
      </c>
    </row>
    <row r="9198" spans="1:13" x14ac:dyDescent="0.3">
      <c r="A9198">
        <v>9196</v>
      </c>
      <c r="B9198">
        <v>9197</v>
      </c>
      <c r="C9198" t="s">
        <v>9276</v>
      </c>
      <c r="D9198">
        <v>2019</v>
      </c>
      <c r="E9198" t="s">
        <v>14</v>
      </c>
      <c r="F9198" t="s">
        <v>1985</v>
      </c>
      <c r="G9198">
        <v>0</v>
      </c>
      <c r="H9198">
        <v>0</v>
      </c>
      <c r="I9198">
        <v>0</v>
      </c>
      <c r="J9198">
        <v>1</v>
      </c>
      <c r="K9198">
        <v>0</v>
      </c>
      <c r="L9198">
        <f t="shared" si="286"/>
        <v>5.2</v>
      </c>
      <c r="M9198">
        <f t="shared" si="287"/>
        <v>1</v>
      </c>
    </row>
    <row r="9199" spans="1:13" x14ac:dyDescent="0.3">
      <c r="A9199">
        <v>9197</v>
      </c>
      <c r="B9199">
        <v>9198</v>
      </c>
      <c r="C9199" t="s">
        <v>9277</v>
      </c>
      <c r="D9199">
        <v>2009</v>
      </c>
      <c r="E9199" t="s">
        <v>36</v>
      </c>
      <c r="F9199" t="s">
        <v>1985</v>
      </c>
      <c r="G9199">
        <v>0</v>
      </c>
      <c r="H9199">
        <v>0</v>
      </c>
      <c r="I9199">
        <v>0</v>
      </c>
      <c r="J9199">
        <v>1</v>
      </c>
      <c r="K9199">
        <v>0</v>
      </c>
      <c r="L9199">
        <f t="shared" si="286"/>
        <v>5.2</v>
      </c>
      <c r="M9199">
        <f t="shared" si="287"/>
        <v>1</v>
      </c>
    </row>
    <row r="9200" spans="1:13" x14ac:dyDescent="0.3">
      <c r="A9200">
        <v>9198</v>
      </c>
      <c r="B9200">
        <v>9199</v>
      </c>
      <c r="C9200" t="s">
        <v>9278</v>
      </c>
      <c r="D9200">
        <v>2009</v>
      </c>
      <c r="E9200" t="s">
        <v>36</v>
      </c>
      <c r="F9200" t="s">
        <v>1985</v>
      </c>
      <c r="G9200">
        <v>0</v>
      </c>
      <c r="H9200">
        <v>0</v>
      </c>
      <c r="I9200">
        <v>0</v>
      </c>
      <c r="J9200">
        <v>1</v>
      </c>
      <c r="K9200">
        <v>0</v>
      </c>
      <c r="L9200">
        <f t="shared" si="286"/>
        <v>5.2</v>
      </c>
      <c r="M9200">
        <f t="shared" si="287"/>
        <v>1</v>
      </c>
    </row>
    <row r="9201" spans="1:13" x14ac:dyDescent="0.3">
      <c r="A9201">
        <v>9199</v>
      </c>
      <c r="B9201">
        <v>9200</v>
      </c>
      <c r="C9201" t="s">
        <v>9279</v>
      </c>
      <c r="D9201">
        <v>1941</v>
      </c>
      <c r="F9201" t="s">
        <v>1985</v>
      </c>
      <c r="G9201">
        <v>0</v>
      </c>
      <c r="H9201">
        <v>0</v>
      </c>
      <c r="I9201">
        <v>0</v>
      </c>
      <c r="J9201">
        <v>1</v>
      </c>
      <c r="K9201">
        <v>0</v>
      </c>
      <c r="L9201">
        <f t="shared" si="286"/>
        <v>5.2</v>
      </c>
      <c r="M9201">
        <f t="shared" si="287"/>
        <v>1</v>
      </c>
    </row>
    <row r="9202" spans="1:13" x14ac:dyDescent="0.3">
      <c r="A9202">
        <v>9200</v>
      </c>
      <c r="B9202">
        <v>9201</v>
      </c>
      <c r="C9202" t="s">
        <v>9280</v>
      </c>
      <c r="D9202">
        <v>2005</v>
      </c>
      <c r="E9202" t="s">
        <v>14</v>
      </c>
      <c r="F9202" t="s">
        <v>1985</v>
      </c>
      <c r="G9202">
        <v>0</v>
      </c>
      <c r="H9202">
        <v>0</v>
      </c>
      <c r="I9202">
        <v>0</v>
      </c>
      <c r="J9202">
        <v>1</v>
      </c>
      <c r="K9202">
        <v>0</v>
      </c>
      <c r="L9202">
        <f t="shared" si="286"/>
        <v>5.2</v>
      </c>
      <c r="M9202">
        <f t="shared" si="287"/>
        <v>1</v>
      </c>
    </row>
    <row r="9203" spans="1:13" x14ac:dyDescent="0.3">
      <c r="A9203">
        <v>9201</v>
      </c>
      <c r="B9203">
        <v>9202</v>
      </c>
      <c r="C9203" t="s">
        <v>9281</v>
      </c>
      <c r="D9203">
        <v>1942</v>
      </c>
      <c r="F9203" t="s">
        <v>1985</v>
      </c>
      <c r="G9203">
        <v>0</v>
      </c>
      <c r="H9203">
        <v>0</v>
      </c>
      <c r="I9203">
        <v>0</v>
      </c>
      <c r="J9203">
        <v>1</v>
      </c>
      <c r="K9203">
        <v>0</v>
      </c>
      <c r="L9203">
        <f t="shared" si="286"/>
        <v>5.2</v>
      </c>
      <c r="M9203">
        <f t="shared" si="287"/>
        <v>1</v>
      </c>
    </row>
    <row r="9204" spans="1:13" x14ac:dyDescent="0.3">
      <c r="A9204">
        <v>9202</v>
      </c>
      <c r="B9204">
        <v>9203</v>
      </c>
      <c r="C9204" t="s">
        <v>9282</v>
      </c>
      <c r="D9204">
        <v>2021</v>
      </c>
      <c r="E9204" t="s">
        <v>36</v>
      </c>
      <c r="F9204" t="s">
        <v>1985</v>
      </c>
      <c r="G9204">
        <v>0</v>
      </c>
      <c r="H9204">
        <v>0</v>
      </c>
      <c r="I9204">
        <v>0</v>
      </c>
      <c r="J9204">
        <v>1</v>
      </c>
      <c r="K9204">
        <v>0</v>
      </c>
      <c r="L9204">
        <f t="shared" si="286"/>
        <v>5.2</v>
      </c>
      <c r="M9204">
        <f t="shared" si="287"/>
        <v>1</v>
      </c>
    </row>
    <row r="9205" spans="1:13" x14ac:dyDescent="0.3">
      <c r="A9205">
        <v>9203</v>
      </c>
      <c r="B9205">
        <v>9204</v>
      </c>
      <c r="C9205" t="s">
        <v>9283</v>
      </c>
      <c r="D9205">
        <v>1981</v>
      </c>
      <c r="E9205" t="s">
        <v>36</v>
      </c>
      <c r="F9205" t="s">
        <v>1985</v>
      </c>
      <c r="G9205">
        <v>0</v>
      </c>
      <c r="H9205">
        <v>0</v>
      </c>
      <c r="I9205">
        <v>0</v>
      </c>
      <c r="J9205">
        <v>1</v>
      </c>
      <c r="K9205">
        <v>0</v>
      </c>
      <c r="L9205">
        <f t="shared" si="286"/>
        <v>5.2</v>
      </c>
      <c r="M9205">
        <f t="shared" si="287"/>
        <v>1</v>
      </c>
    </row>
    <row r="9206" spans="1:13" x14ac:dyDescent="0.3">
      <c r="A9206">
        <v>9204</v>
      </c>
      <c r="B9206">
        <v>9205</v>
      </c>
      <c r="C9206" t="s">
        <v>9284</v>
      </c>
      <c r="D9206">
        <v>2004</v>
      </c>
      <c r="E9206" t="s">
        <v>14</v>
      </c>
      <c r="F9206" t="s">
        <v>1985</v>
      </c>
      <c r="G9206">
        <v>0</v>
      </c>
      <c r="H9206">
        <v>0</v>
      </c>
      <c r="I9206">
        <v>0</v>
      </c>
      <c r="J9206">
        <v>1</v>
      </c>
      <c r="K9206">
        <v>0</v>
      </c>
      <c r="L9206">
        <f t="shared" si="286"/>
        <v>5.2</v>
      </c>
      <c r="M9206">
        <f t="shared" si="287"/>
        <v>1</v>
      </c>
    </row>
    <row r="9207" spans="1:13" x14ac:dyDescent="0.3">
      <c r="A9207">
        <v>9205</v>
      </c>
      <c r="B9207">
        <v>9206</v>
      </c>
      <c r="C9207" t="s">
        <v>9285</v>
      </c>
      <c r="D9207">
        <v>1993</v>
      </c>
      <c r="E9207" t="s">
        <v>36</v>
      </c>
      <c r="F9207" t="s">
        <v>1985</v>
      </c>
      <c r="G9207">
        <v>0</v>
      </c>
      <c r="H9207">
        <v>0</v>
      </c>
      <c r="I9207">
        <v>0</v>
      </c>
      <c r="J9207">
        <v>1</v>
      </c>
      <c r="K9207">
        <v>0</v>
      </c>
      <c r="L9207">
        <f t="shared" si="286"/>
        <v>5.2</v>
      </c>
      <c r="M9207">
        <f t="shared" si="287"/>
        <v>1</v>
      </c>
    </row>
    <row r="9208" spans="1:13" x14ac:dyDescent="0.3">
      <c r="A9208">
        <v>9206</v>
      </c>
      <c r="B9208">
        <v>9207</v>
      </c>
      <c r="C9208" t="s">
        <v>9286</v>
      </c>
      <c r="D9208">
        <v>2005</v>
      </c>
      <c r="E9208" t="s">
        <v>14</v>
      </c>
      <c r="F9208" t="s">
        <v>1985</v>
      </c>
      <c r="G9208">
        <v>0</v>
      </c>
      <c r="H9208">
        <v>0</v>
      </c>
      <c r="I9208">
        <v>0</v>
      </c>
      <c r="J9208">
        <v>1</v>
      </c>
      <c r="K9208">
        <v>0</v>
      </c>
      <c r="L9208">
        <f t="shared" si="286"/>
        <v>5.2</v>
      </c>
      <c r="M9208">
        <f t="shared" si="287"/>
        <v>1</v>
      </c>
    </row>
    <row r="9209" spans="1:13" x14ac:dyDescent="0.3">
      <c r="A9209">
        <v>9207</v>
      </c>
      <c r="B9209">
        <v>9208</v>
      </c>
      <c r="C9209" t="s">
        <v>9287</v>
      </c>
      <c r="D9209">
        <v>2002</v>
      </c>
      <c r="E9209" t="s">
        <v>36</v>
      </c>
      <c r="F9209" t="s">
        <v>1985</v>
      </c>
      <c r="G9209">
        <v>0</v>
      </c>
      <c r="H9209">
        <v>0</v>
      </c>
      <c r="I9209">
        <v>0</v>
      </c>
      <c r="J9209">
        <v>1</v>
      </c>
      <c r="K9209">
        <v>0</v>
      </c>
      <c r="L9209">
        <f t="shared" si="286"/>
        <v>5.2</v>
      </c>
      <c r="M9209">
        <f t="shared" si="287"/>
        <v>1</v>
      </c>
    </row>
    <row r="9210" spans="1:13" x14ac:dyDescent="0.3">
      <c r="A9210">
        <v>9208</v>
      </c>
      <c r="B9210">
        <v>9209</v>
      </c>
      <c r="C9210" t="s">
        <v>9288</v>
      </c>
      <c r="D9210">
        <v>2003</v>
      </c>
      <c r="E9210" t="s">
        <v>36</v>
      </c>
      <c r="F9210" t="s">
        <v>1985</v>
      </c>
      <c r="G9210">
        <v>0</v>
      </c>
      <c r="H9210">
        <v>0</v>
      </c>
      <c r="I9210">
        <v>0</v>
      </c>
      <c r="J9210">
        <v>1</v>
      </c>
      <c r="K9210">
        <v>0</v>
      </c>
      <c r="L9210">
        <f t="shared" si="286"/>
        <v>5.2</v>
      </c>
      <c r="M9210">
        <f t="shared" si="287"/>
        <v>1</v>
      </c>
    </row>
    <row r="9211" spans="1:13" x14ac:dyDescent="0.3">
      <c r="A9211">
        <v>9209</v>
      </c>
      <c r="B9211">
        <v>9210</v>
      </c>
      <c r="C9211" t="s">
        <v>9289</v>
      </c>
      <c r="D9211">
        <v>2011</v>
      </c>
      <c r="E9211" t="s">
        <v>36</v>
      </c>
      <c r="F9211" t="s">
        <v>1985</v>
      </c>
      <c r="G9211">
        <v>0</v>
      </c>
      <c r="H9211">
        <v>0</v>
      </c>
      <c r="I9211">
        <v>0</v>
      </c>
      <c r="J9211">
        <v>1</v>
      </c>
      <c r="K9211">
        <v>0</v>
      </c>
      <c r="L9211">
        <f t="shared" si="286"/>
        <v>5.2</v>
      </c>
      <c r="M9211">
        <f t="shared" si="287"/>
        <v>1</v>
      </c>
    </row>
    <row r="9212" spans="1:13" x14ac:dyDescent="0.3">
      <c r="A9212">
        <v>9210</v>
      </c>
      <c r="B9212">
        <v>9211</v>
      </c>
      <c r="C9212" t="s">
        <v>9290</v>
      </c>
      <c r="D9212">
        <v>1997</v>
      </c>
      <c r="E9212" t="s">
        <v>14</v>
      </c>
      <c r="F9212" t="s">
        <v>1985</v>
      </c>
      <c r="G9212">
        <v>0</v>
      </c>
      <c r="H9212">
        <v>0</v>
      </c>
      <c r="I9212">
        <v>0</v>
      </c>
      <c r="J9212">
        <v>1</v>
      </c>
      <c r="K9212">
        <v>0</v>
      </c>
      <c r="L9212">
        <f t="shared" si="286"/>
        <v>5.2</v>
      </c>
      <c r="M9212">
        <f t="shared" si="287"/>
        <v>1</v>
      </c>
    </row>
    <row r="9213" spans="1:13" x14ac:dyDescent="0.3">
      <c r="A9213">
        <v>9211</v>
      </c>
      <c r="B9213">
        <v>9212</v>
      </c>
      <c r="C9213" t="s">
        <v>9291</v>
      </c>
      <c r="D9213">
        <v>2007</v>
      </c>
      <c r="E9213" t="s">
        <v>14</v>
      </c>
      <c r="F9213" t="s">
        <v>2084</v>
      </c>
      <c r="G9213">
        <v>0</v>
      </c>
      <c r="H9213">
        <v>0</v>
      </c>
      <c r="I9213">
        <v>0</v>
      </c>
      <c r="J9213">
        <v>1</v>
      </c>
      <c r="K9213">
        <v>0</v>
      </c>
      <c r="L9213">
        <f t="shared" si="286"/>
        <v>5.0999999999999996</v>
      </c>
      <c r="M9213">
        <f t="shared" si="287"/>
        <v>1</v>
      </c>
    </row>
    <row r="9214" spans="1:13" x14ac:dyDescent="0.3">
      <c r="A9214">
        <v>9212</v>
      </c>
      <c r="B9214">
        <v>9213</v>
      </c>
      <c r="C9214" t="s">
        <v>9292</v>
      </c>
      <c r="D9214">
        <v>1994</v>
      </c>
      <c r="E9214" t="s">
        <v>14</v>
      </c>
      <c r="F9214" t="s">
        <v>2084</v>
      </c>
      <c r="G9214">
        <v>0</v>
      </c>
      <c r="H9214">
        <v>0</v>
      </c>
      <c r="I9214">
        <v>0</v>
      </c>
      <c r="J9214">
        <v>1</v>
      </c>
      <c r="K9214">
        <v>0</v>
      </c>
      <c r="L9214">
        <f t="shared" si="286"/>
        <v>5.0999999999999996</v>
      </c>
      <c r="M9214">
        <f t="shared" si="287"/>
        <v>1</v>
      </c>
    </row>
    <row r="9215" spans="1:13" x14ac:dyDescent="0.3">
      <c r="A9215">
        <v>9213</v>
      </c>
      <c r="B9215">
        <v>9214</v>
      </c>
      <c r="C9215" t="s">
        <v>9293</v>
      </c>
      <c r="D9215">
        <v>1976</v>
      </c>
      <c r="E9215" t="s">
        <v>36</v>
      </c>
      <c r="F9215" t="s">
        <v>2084</v>
      </c>
      <c r="G9215">
        <v>0</v>
      </c>
      <c r="H9215">
        <v>0</v>
      </c>
      <c r="I9215">
        <v>0</v>
      </c>
      <c r="J9215">
        <v>1</v>
      </c>
      <c r="K9215">
        <v>0</v>
      </c>
      <c r="L9215">
        <f t="shared" si="286"/>
        <v>5.0999999999999996</v>
      </c>
      <c r="M9215">
        <f t="shared" si="287"/>
        <v>1</v>
      </c>
    </row>
    <row r="9216" spans="1:13" x14ac:dyDescent="0.3">
      <c r="A9216">
        <v>9214</v>
      </c>
      <c r="B9216">
        <v>9215</v>
      </c>
      <c r="C9216" t="s">
        <v>9294</v>
      </c>
      <c r="D9216">
        <v>2020</v>
      </c>
      <c r="F9216" t="s">
        <v>2084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f t="shared" si="286"/>
        <v>5.0999999999999996</v>
      </c>
      <c r="M9216">
        <f t="shared" si="287"/>
        <v>1</v>
      </c>
    </row>
    <row r="9217" spans="1:13" x14ac:dyDescent="0.3">
      <c r="A9217">
        <v>9215</v>
      </c>
      <c r="B9217">
        <v>9216</v>
      </c>
      <c r="C9217" t="s">
        <v>9295</v>
      </c>
      <c r="D9217">
        <v>1939</v>
      </c>
      <c r="F9217" t="s">
        <v>2084</v>
      </c>
      <c r="G9217">
        <v>0</v>
      </c>
      <c r="H9217">
        <v>0</v>
      </c>
      <c r="I9217">
        <v>0</v>
      </c>
      <c r="J9217">
        <v>1</v>
      </c>
      <c r="K9217">
        <v>0</v>
      </c>
      <c r="L9217">
        <f t="shared" si="286"/>
        <v>5.0999999999999996</v>
      </c>
      <c r="M9217">
        <f t="shared" si="287"/>
        <v>1</v>
      </c>
    </row>
    <row r="9218" spans="1:13" x14ac:dyDescent="0.3">
      <c r="A9218">
        <v>9216</v>
      </c>
      <c r="B9218">
        <v>9217</v>
      </c>
      <c r="C9218" t="s">
        <v>9296</v>
      </c>
      <c r="D9218">
        <v>1999</v>
      </c>
      <c r="E9218" t="s">
        <v>36</v>
      </c>
      <c r="F9218" t="s">
        <v>2084</v>
      </c>
      <c r="G9218">
        <v>0</v>
      </c>
      <c r="H9218">
        <v>0</v>
      </c>
      <c r="I9218">
        <v>0</v>
      </c>
      <c r="J9218">
        <v>1</v>
      </c>
      <c r="K9218">
        <v>0</v>
      </c>
      <c r="L9218">
        <f t="shared" si="286"/>
        <v>5.0999999999999996</v>
      </c>
      <c r="M9218">
        <f t="shared" si="287"/>
        <v>1</v>
      </c>
    </row>
    <row r="9219" spans="1:13" x14ac:dyDescent="0.3">
      <c r="A9219">
        <v>9217</v>
      </c>
      <c r="B9219">
        <v>9218</v>
      </c>
      <c r="C9219" t="s">
        <v>9297</v>
      </c>
      <c r="D9219">
        <v>1935</v>
      </c>
      <c r="F9219" t="s">
        <v>2084</v>
      </c>
      <c r="G9219">
        <v>0</v>
      </c>
      <c r="H9219">
        <v>0</v>
      </c>
      <c r="I9219">
        <v>0</v>
      </c>
      <c r="J9219">
        <v>1</v>
      </c>
      <c r="K9219">
        <v>0</v>
      </c>
      <c r="L9219">
        <f t="shared" ref="L9219:L9282" si="288">IFERROR(VALUE(LEFT(F9219,FIND("/",F9219)-1))/10,"")</f>
        <v>5.0999999999999996</v>
      </c>
      <c r="M9219">
        <f t="shared" ref="M9219:M9282" si="289">SUM(G9219:J9219)</f>
        <v>1</v>
      </c>
    </row>
    <row r="9220" spans="1:13" x14ac:dyDescent="0.3">
      <c r="A9220">
        <v>9218</v>
      </c>
      <c r="B9220">
        <v>9219</v>
      </c>
      <c r="C9220" t="s">
        <v>9298</v>
      </c>
      <c r="D9220">
        <v>2001</v>
      </c>
      <c r="E9220" t="s">
        <v>36</v>
      </c>
      <c r="F9220" t="s">
        <v>2084</v>
      </c>
      <c r="G9220">
        <v>0</v>
      </c>
      <c r="H9220">
        <v>0</v>
      </c>
      <c r="I9220">
        <v>0</v>
      </c>
      <c r="J9220">
        <v>1</v>
      </c>
      <c r="K9220">
        <v>0</v>
      </c>
      <c r="L9220">
        <f t="shared" si="288"/>
        <v>5.0999999999999996</v>
      </c>
      <c r="M9220">
        <f t="shared" si="289"/>
        <v>1</v>
      </c>
    </row>
    <row r="9221" spans="1:13" x14ac:dyDescent="0.3">
      <c r="A9221">
        <v>9219</v>
      </c>
      <c r="B9221">
        <v>9220</v>
      </c>
      <c r="C9221" t="s">
        <v>9299</v>
      </c>
      <c r="D9221">
        <v>1938</v>
      </c>
      <c r="F9221" t="s">
        <v>2084</v>
      </c>
      <c r="G9221">
        <v>0</v>
      </c>
      <c r="H9221">
        <v>0</v>
      </c>
      <c r="I9221">
        <v>0</v>
      </c>
      <c r="J9221">
        <v>1</v>
      </c>
      <c r="K9221">
        <v>0</v>
      </c>
      <c r="L9221">
        <f t="shared" si="288"/>
        <v>5.0999999999999996</v>
      </c>
      <c r="M9221">
        <f t="shared" si="289"/>
        <v>1</v>
      </c>
    </row>
    <row r="9222" spans="1:13" x14ac:dyDescent="0.3">
      <c r="A9222">
        <v>9220</v>
      </c>
      <c r="B9222">
        <v>9221</v>
      </c>
      <c r="C9222" t="s">
        <v>9300</v>
      </c>
      <c r="D9222">
        <v>1946</v>
      </c>
      <c r="F9222" t="s">
        <v>2084</v>
      </c>
      <c r="G9222">
        <v>0</v>
      </c>
      <c r="H9222">
        <v>0</v>
      </c>
      <c r="I9222">
        <v>0</v>
      </c>
      <c r="J9222">
        <v>1</v>
      </c>
      <c r="K9222">
        <v>0</v>
      </c>
      <c r="L9222">
        <f t="shared" si="288"/>
        <v>5.0999999999999996</v>
      </c>
      <c r="M9222">
        <f t="shared" si="289"/>
        <v>1</v>
      </c>
    </row>
    <row r="9223" spans="1:13" x14ac:dyDescent="0.3">
      <c r="A9223">
        <v>9221</v>
      </c>
      <c r="B9223">
        <v>9222</v>
      </c>
      <c r="C9223" t="s">
        <v>9301</v>
      </c>
      <c r="D9223">
        <v>2006</v>
      </c>
      <c r="E9223" t="s">
        <v>14</v>
      </c>
      <c r="F9223" t="s">
        <v>2084</v>
      </c>
      <c r="G9223">
        <v>0</v>
      </c>
      <c r="H9223">
        <v>0</v>
      </c>
      <c r="I9223">
        <v>0</v>
      </c>
      <c r="J9223">
        <v>1</v>
      </c>
      <c r="K9223">
        <v>0</v>
      </c>
      <c r="L9223">
        <f t="shared" si="288"/>
        <v>5.0999999999999996</v>
      </c>
      <c r="M9223">
        <f t="shared" si="289"/>
        <v>1</v>
      </c>
    </row>
    <row r="9224" spans="1:13" x14ac:dyDescent="0.3">
      <c r="A9224">
        <v>9222</v>
      </c>
      <c r="B9224">
        <v>9223</v>
      </c>
      <c r="C9224" t="s">
        <v>9302</v>
      </c>
      <c r="D9224">
        <v>1998</v>
      </c>
      <c r="E9224" t="s">
        <v>14</v>
      </c>
      <c r="F9224" t="s">
        <v>2084</v>
      </c>
      <c r="G9224">
        <v>0</v>
      </c>
      <c r="H9224">
        <v>0</v>
      </c>
      <c r="I9224">
        <v>0</v>
      </c>
      <c r="J9224">
        <v>1</v>
      </c>
      <c r="K9224">
        <v>0</v>
      </c>
      <c r="L9224">
        <f t="shared" si="288"/>
        <v>5.0999999999999996</v>
      </c>
      <c r="M9224">
        <f t="shared" si="289"/>
        <v>1</v>
      </c>
    </row>
    <row r="9225" spans="1:13" x14ac:dyDescent="0.3">
      <c r="A9225">
        <v>9223</v>
      </c>
      <c r="B9225">
        <v>9224</v>
      </c>
      <c r="C9225" t="s">
        <v>9303</v>
      </c>
      <c r="D9225">
        <v>2021</v>
      </c>
      <c r="E9225" t="s">
        <v>14</v>
      </c>
      <c r="F9225" t="s">
        <v>2084</v>
      </c>
      <c r="G9225">
        <v>0</v>
      </c>
      <c r="H9225">
        <v>0</v>
      </c>
      <c r="I9225">
        <v>0</v>
      </c>
      <c r="J9225">
        <v>1</v>
      </c>
      <c r="K9225">
        <v>0</v>
      </c>
      <c r="L9225">
        <f t="shared" si="288"/>
        <v>5.0999999999999996</v>
      </c>
      <c r="M9225">
        <f t="shared" si="289"/>
        <v>1</v>
      </c>
    </row>
    <row r="9226" spans="1:13" x14ac:dyDescent="0.3">
      <c r="A9226">
        <v>9224</v>
      </c>
      <c r="B9226">
        <v>9225</v>
      </c>
      <c r="C9226" t="s">
        <v>9304</v>
      </c>
      <c r="D9226">
        <v>2002</v>
      </c>
      <c r="E9226" t="s">
        <v>14</v>
      </c>
      <c r="F9226" t="s">
        <v>2084</v>
      </c>
      <c r="G9226">
        <v>0</v>
      </c>
      <c r="H9226">
        <v>0</v>
      </c>
      <c r="I9226">
        <v>0</v>
      </c>
      <c r="J9226">
        <v>1</v>
      </c>
      <c r="K9226">
        <v>0</v>
      </c>
      <c r="L9226">
        <f t="shared" si="288"/>
        <v>5.0999999999999996</v>
      </c>
      <c r="M9226">
        <f t="shared" si="289"/>
        <v>1</v>
      </c>
    </row>
    <row r="9227" spans="1:13" x14ac:dyDescent="0.3">
      <c r="A9227">
        <v>9225</v>
      </c>
      <c r="B9227">
        <v>9226</v>
      </c>
      <c r="C9227" t="s">
        <v>9305</v>
      </c>
      <c r="D9227">
        <v>1936</v>
      </c>
      <c r="E9227" t="s">
        <v>36</v>
      </c>
      <c r="F9227" t="s">
        <v>2084</v>
      </c>
      <c r="G9227">
        <v>0</v>
      </c>
      <c r="H9227">
        <v>0</v>
      </c>
      <c r="I9227">
        <v>0</v>
      </c>
      <c r="J9227">
        <v>1</v>
      </c>
      <c r="K9227">
        <v>0</v>
      </c>
      <c r="L9227">
        <f t="shared" si="288"/>
        <v>5.0999999999999996</v>
      </c>
      <c r="M9227">
        <f t="shared" si="289"/>
        <v>1</v>
      </c>
    </row>
    <row r="9228" spans="1:13" x14ac:dyDescent="0.3">
      <c r="A9228">
        <v>9226</v>
      </c>
      <c r="B9228">
        <v>9227</v>
      </c>
      <c r="C9228" t="s">
        <v>9306</v>
      </c>
      <c r="D9228">
        <v>2002</v>
      </c>
      <c r="E9228" t="s">
        <v>36</v>
      </c>
      <c r="F9228" t="s">
        <v>2084</v>
      </c>
      <c r="G9228">
        <v>0</v>
      </c>
      <c r="H9228">
        <v>0</v>
      </c>
      <c r="I9228">
        <v>0</v>
      </c>
      <c r="J9228">
        <v>1</v>
      </c>
      <c r="K9228">
        <v>0</v>
      </c>
      <c r="L9228">
        <f t="shared" si="288"/>
        <v>5.0999999999999996</v>
      </c>
      <c r="M9228">
        <f t="shared" si="289"/>
        <v>1</v>
      </c>
    </row>
    <row r="9229" spans="1:13" x14ac:dyDescent="0.3">
      <c r="A9229">
        <v>9227</v>
      </c>
      <c r="B9229">
        <v>9228</v>
      </c>
      <c r="C9229" t="s">
        <v>9307</v>
      </c>
      <c r="D9229">
        <v>2002</v>
      </c>
      <c r="E9229" t="s">
        <v>36</v>
      </c>
      <c r="F9229" t="s">
        <v>2084</v>
      </c>
      <c r="G9229">
        <v>0</v>
      </c>
      <c r="H9229">
        <v>0</v>
      </c>
      <c r="I9229">
        <v>0</v>
      </c>
      <c r="J9229">
        <v>1</v>
      </c>
      <c r="K9229">
        <v>0</v>
      </c>
      <c r="L9229">
        <f t="shared" si="288"/>
        <v>5.0999999999999996</v>
      </c>
      <c r="M9229">
        <f t="shared" si="289"/>
        <v>1</v>
      </c>
    </row>
    <row r="9230" spans="1:13" x14ac:dyDescent="0.3">
      <c r="A9230">
        <v>9228</v>
      </c>
      <c r="B9230">
        <v>9229</v>
      </c>
      <c r="C9230" t="s">
        <v>9308</v>
      </c>
      <c r="D9230">
        <v>2000</v>
      </c>
      <c r="E9230" t="s">
        <v>36</v>
      </c>
      <c r="F9230" t="s">
        <v>2084</v>
      </c>
      <c r="G9230">
        <v>0</v>
      </c>
      <c r="H9230">
        <v>0</v>
      </c>
      <c r="I9230">
        <v>0</v>
      </c>
      <c r="J9230">
        <v>1</v>
      </c>
      <c r="K9230">
        <v>0</v>
      </c>
      <c r="L9230">
        <f t="shared" si="288"/>
        <v>5.0999999999999996</v>
      </c>
      <c r="M9230">
        <f t="shared" si="289"/>
        <v>1</v>
      </c>
    </row>
    <row r="9231" spans="1:13" x14ac:dyDescent="0.3">
      <c r="A9231">
        <v>9229</v>
      </c>
      <c r="B9231">
        <v>9230</v>
      </c>
      <c r="C9231" t="s">
        <v>9309</v>
      </c>
      <c r="D9231">
        <v>2002</v>
      </c>
      <c r="E9231" t="s">
        <v>36</v>
      </c>
      <c r="F9231" t="s">
        <v>2084</v>
      </c>
      <c r="G9231">
        <v>0</v>
      </c>
      <c r="H9231">
        <v>0</v>
      </c>
      <c r="I9231">
        <v>0</v>
      </c>
      <c r="J9231">
        <v>1</v>
      </c>
      <c r="K9231">
        <v>0</v>
      </c>
      <c r="L9231">
        <f t="shared" si="288"/>
        <v>5.0999999999999996</v>
      </c>
      <c r="M9231">
        <f t="shared" si="289"/>
        <v>1</v>
      </c>
    </row>
    <row r="9232" spans="1:13" x14ac:dyDescent="0.3">
      <c r="A9232">
        <v>9230</v>
      </c>
      <c r="B9232">
        <v>9231</v>
      </c>
      <c r="C9232" t="s">
        <v>9310</v>
      </c>
      <c r="D9232">
        <v>1998</v>
      </c>
      <c r="E9232" t="s">
        <v>36</v>
      </c>
      <c r="F9232" t="s">
        <v>2084</v>
      </c>
      <c r="G9232">
        <v>0</v>
      </c>
      <c r="H9232">
        <v>0</v>
      </c>
      <c r="I9232">
        <v>0</v>
      </c>
      <c r="J9232">
        <v>1</v>
      </c>
      <c r="K9232">
        <v>0</v>
      </c>
      <c r="L9232">
        <f t="shared" si="288"/>
        <v>5.0999999999999996</v>
      </c>
      <c r="M9232">
        <f t="shared" si="289"/>
        <v>1</v>
      </c>
    </row>
    <row r="9233" spans="1:13" x14ac:dyDescent="0.3">
      <c r="A9233">
        <v>9231</v>
      </c>
      <c r="B9233">
        <v>9232</v>
      </c>
      <c r="C9233" t="s">
        <v>9311</v>
      </c>
      <c r="D9233">
        <v>2019</v>
      </c>
      <c r="F9233" t="s">
        <v>2084</v>
      </c>
      <c r="G9233">
        <v>0</v>
      </c>
      <c r="H9233">
        <v>0</v>
      </c>
      <c r="I9233">
        <v>0</v>
      </c>
      <c r="J9233">
        <v>1</v>
      </c>
      <c r="K9233">
        <v>0</v>
      </c>
      <c r="L9233">
        <f t="shared" si="288"/>
        <v>5.0999999999999996</v>
      </c>
      <c r="M9233">
        <f t="shared" si="289"/>
        <v>1</v>
      </c>
    </row>
    <row r="9234" spans="1:13" x14ac:dyDescent="0.3">
      <c r="A9234">
        <v>9232</v>
      </c>
      <c r="B9234">
        <v>9233</v>
      </c>
      <c r="C9234" t="s">
        <v>9312</v>
      </c>
      <c r="D9234">
        <v>2001</v>
      </c>
      <c r="E9234" t="s">
        <v>36</v>
      </c>
      <c r="F9234" t="s">
        <v>2084</v>
      </c>
      <c r="G9234">
        <v>0</v>
      </c>
      <c r="H9234">
        <v>0</v>
      </c>
      <c r="I9234">
        <v>0</v>
      </c>
      <c r="J9234">
        <v>1</v>
      </c>
      <c r="K9234">
        <v>0</v>
      </c>
      <c r="L9234">
        <f t="shared" si="288"/>
        <v>5.0999999999999996</v>
      </c>
      <c r="M9234">
        <f t="shared" si="289"/>
        <v>1</v>
      </c>
    </row>
    <row r="9235" spans="1:13" x14ac:dyDescent="0.3">
      <c r="A9235">
        <v>9233</v>
      </c>
      <c r="B9235">
        <v>9234</v>
      </c>
      <c r="C9235" t="s">
        <v>9313</v>
      </c>
      <c r="D9235">
        <v>1934</v>
      </c>
      <c r="F9235" t="s">
        <v>2084</v>
      </c>
      <c r="G9235">
        <v>0</v>
      </c>
      <c r="H9235">
        <v>0</v>
      </c>
      <c r="I9235">
        <v>0</v>
      </c>
      <c r="J9235">
        <v>1</v>
      </c>
      <c r="K9235">
        <v>0</v>
      </c>
      <c r="L9235">
        <f t="shared" si="288"/>
        <v>5.0999999999999996</v>
      </c>
      <c r="M9235">
        <f t="shared" si="289"/>
        <v>1</v>
      </c>
    </row>
    <row r="9236" spans="1:13" x14ac:dyDescent="0.3">
      <c r="A9236">
        <v>9234</v>
      </c>
      <c r="B9236">
        <v>9235</v>
      </c>
      <c r="C9236" t="s">
        <v>9314</v>
      </c>
      <c r="D9236">
        <v>1937</v>
      </c>
      <c r="F9236" t="s">
        <v>2084</v>
      </c>
      <c r="G9236">
        <v>0</v>
      </c>
      <c r="H9236">
        <v>0</v>
      </c>
      <c r="I9236">
        <v>0</v>
      </c>
      <c r="J9236">
        <v>1</v>
      </c>
      <c r="K9236">
        <v>0</v>
      </c>
      <c r="L9236">
        <f t="shared" si="288"/>
        <v>5.0999999999999996</v>
      </c>
      <c r="M9236">
        <f t="shared" si="289"/>
        <v>1</v>
      </c>
    </row>
    <row r="9237" spans="1:13" x14ac:dyDescent="0.3">
      <c r="A9237">
        <v>9235</v>
      </c>
      <c r="B9237">
        <v>9236</v>
      </c>
      <c r="C9237" t="s">
        <v>9315</v>
      </c>
      <c r="D9237">
        <v>2013</v>
      </c>
      <c r="E9237" t="s">
        <v>14</v>
      </c>
      <c r="F9237" t="s">
        <v>2084</v>
      </c>
      <c r="G9237">
        <v>0</v>
      </c>
      <c r="H9237">
        <v>0</v>
      </c>
      <c r="I9237">
        <v>0</v>
      </c>
      <c r="J9237">
        <v>1</v>
      </c>
      <c r="K9237">
        <v>0</v>
      </c>
      <c r="L9237">
        <f t="shared" si="288"/>
        <v>5.0999999999999996</v>
      </c>
      <c r="M9237">
        <f t="shared" si="289"/>
        <v>1</v>
      </c>
    </row>
    <row r="9238" spans="1:13" x14ac:dyDescent="0.3">
      <c r="A9238">
        <v>9236</v>
      </c>
      <c r="B9238">
        <v>9237</v>
      </c>
      <c r="C9238" t="s">
        <v>9316</v>
      </c>
      <c r="D9238">
        <v>1936</v>
      </c>
      <c r="F9238" t="s">
        <v>2084</v>
      </c>
      <c r="G9238">
        <v>0</v>
      </c>
      <c r="H9238">
        <v>0</v>
      </c>
      <c r="I9238">
        <v>0</v>
      </c>
      <c r="J9238">
        <v>1</v>
      </c>
      <c r="K9238">
        <v>0</v>
      </c>
      <c r="L9238">
        <f t="shared" si="288"/>
        <v>5.0999999999999996</v>
      </c>
      <c r="M9238">
        <f t="shared" si="289"/>
        <v>1</v>
      </c>
    </row>
    <row r="9239" spans="1:13" x14ac:dyDescent="0.3">
      <c r="A9239">
        <v>9237</v>
      </c>
      <c r="B9239">
        <v>9238</v>
      </c>
      <c r="C9239" t="s">
        <v>9317</v>
      </c>
      <c r="D9239">
        <v>1994</v>
      </c>
      <c r="E9239" t="s">
        <v>14</v>
      </c>
      <c r="F9239" t="s">
        <v>2084</v>
      </c>
      <c r="G9239">
        <v>0</v>
      </c>
      <c r="H9239">
        <v>0</v>
      </c>
      <c r="I9239">
        <v>0</v>
      </c>
      <c r="J9239">
        <v>1</v>
      </c>
      <c r="K9239">
        <v>0</v>
      </c>
      <c r="L9239">
        <f t="shared" si="288"/>
        <v>5.0999999999999996</v>
      </c>
      <c r="M9239">
        <f t="shared" si="289"/>
        <v>1</v>
      </c>
    </row>
    <row r="9240" spans="1:13" x14ac:dyDescent="0.3">
      <c r="A9240">
        <v>9238</v>
      </c>
      <c r="B9240">
        <v>9239</v>
      </c>
      <c r="C9240" t="s">
        <v>9318</v>
      </c>
      <c r="D9240">
        <v>2009</v>
      </c>
      <c r="E9240" t="s">
        <v>36</v>
      </c>
      <c r="F9240" t="s">
        <v>2084</v>
      </c>
      <c r="G9240">
        <v>0</v>
      </c>
      <c r="H9240">
        <v>0</v>
      </c>
      <c r="I9240">
        <v>0</v>
      </c>
      <c r="J9240">
        <v>1</v>
      </c>
      <c r="K9240">
        <v>0</v>
      </c>
      <c r="L9240">
        <f t="shared" si="288"/>
        <v>5.0999999999999996</v>
      </c>
      <c r="M9240">
        <f t="shared" si="289"/>
        <v>1</v>
      </c>
    </row>
    <row r="9241" spans="1:13" x14ac:dyDescent="0.3">
      <c r="A9241">
        <v>9239</v>
      </c>
      <c r="B9241">
        <v>9240</v>
      </c>
      <c r="C9241" t="s">
        <v>9319</v>
      </c>
      <c r="D9241">
        <v>1957</v>
      </c>
      <c r="F9241" t="s">
        <v>2084</v>
      </c>
      <c r="G9241">
        <v>0</v>
      </c>
      <c r="H9241">
        <v>0</v>
      </c>
      <c r="I9241">
        <v>0</v>
      </c>
      <c r="J9241">
        <v>1</v>
      </c>
      <c r="K9241">
        <v>0</v>
      </c>
      <c r="L9241">
        <f t="shared" si="288"/>
        <v>5.0999999999999996</v>
      </c>
      <c r="M9241">
        <f t="shared" si="289"/>
        <v>1</v>
      </c>
    </row>
    <row r="9242" spans="1:13" x14ac:dyDescent="0.3">
      <c r="A9242">
        <v>9240</v>
      </c>
      <c r="B9242">
        <v>9241</v>
      </c>
      <c r="C9242" t="s">
        <v>9320</v>
      </c>
      <c r="D9242">
        <v>2000</v>
      </c>
      <c r="E9242" t="s">
        <v>36</v>
      </c>
      <c r="F9242" t="s">
        <v>2084</v>
      </c>
      <c r="G9242">
        <v>0</v>
      </c>
      <c r="H9242">
        <v>0</v>
      </c>
      <c r="I9242">
        <v>0</v>
      </c>
      <c r="J9242">
        <v>1</v>
      </c>
      <c r="K9242">
        <v>0</v>
      </c>
      <c r="L9242">
        <f t="shared" si="288"/>
        <v>5.0999999999999996</v>
      </c>
      <c r="M9242">
        <f t="shared" si="289"/>
        <v>1</v>
      </c>
    </row>
    <row r="9243" spans="1:13" x14ac:dyDescent="0.3">
      <c r="A9243">
        <v>9241</v>
      </c>
      <c r="B9243">
        <v>9242</v>
      </c>
      <c r="C9243" t="s">
        <v>9321</v>
      </c>
      <c r="D9243">
        <v>1959</v>
      </c>
      <c r="E9243" t="s">
        <v>36</v>
      </c>
      <c r="F9243" t="s">
        <v>2195</v>
      </c>
      <c r="G9243">
        <v>0</v>
      </c>
      <c r="H9243">
        <v>0</v>
      </c>
      <c r="I9243">
        <v>0</v>
      </c>
      <c r="J9243">
        <v>1</v>
      </c>
      <c r="K9243">
        <v>0</v>
      </c>
      <c r="L9243">
        <f t="shared" si="288"/>
        <v>5</v>
      </c>
      <c r="M9243">
        <f t="shared" si="289"/>
        <v>1</v>
      </c>
    </row>
    <row r="9244" spans="1:13" x14ac:dyDescent="0.3">
      <c r="A9244">
        <v>9242</v>
      </c>
      <c r="B9244">
        <v>9243</v>
      </c>
      <c r="C9244" t="s">
        <v>9322</v>
      </c>
      <c r="D9244">
        <v>2017</v>
      </c>
      <c r="F9244" t="s">
        <v>2195</v>
      </c>
      <c r="G9244">
        <v>0</v>
      </c>
      <c r="H9244">
        <v>0</v>
      </c>
      <c r="I9244">
        <v>0</v>
      </c>
      <c r="J9244">
        <v>1</v>
      </c>
      <c r="K9244">
        <v>0</v>
      </c>
      <c r="L9244">
        <f t="shared" si="288"/>
        <v>5</v>
      </c>
      <c r="M9244">
        <f t="shared" si="289"/>
        <v>1</v>
      </c>
    </row>
    <row r="9245" spans="1:13" x14ac:dyDescent="0.3">
      <c r="A9245">
        <v>9243</v>
      </c>
      <c r="B9245">
        <v>9244</v>
      </c>
      <c r="C9245" t="s">
        <v>9323</v>
      </c>
      <c r="D9245">
        <v>2003</v>
      </c>
      <c r="E9245" t="s">
        <v>14</v>
      </c>
      <c r="F9245" t="s">
        <v>2195</v>
      </c>
      <c r="G9245">
        <v>0</v>
      </c>
      <c r="H9245">
        <v>0</v>
      </c>
      <c r="I9245">
        <v>0</v>
      </c>
      <c r="J9245">
        <v>1</v>
      </c>
      <c r="K9245">
        <v>0</v>
      </c>
      <c r="L9245">
        <f t="shared" si="288"/>
        <v>5</v>
      </c>
      <c r="M9245">
        <f t="shared" si="289"/>
        <v>1</v>
      </c>
    </row>
    <row r="9246" spans="1:13" x14ac:dyDescent="0.3">
      <c r="A9246">
        <v>9244</v>
      </c>
      <c r="B9246">
        <v>9245</v>
      </c>
      <c r="C9246" t="s">
        <v>9324</v>
      </c>
      <c r="D9246">
        <v>2019</v>
      </c>
      <c r="E9246" t="s">
        <v>14</v>
      </c>
      <c r="F9246" t="s">
        <v>2195</v>
      </c>
      <c r="G9246">
        <v>0</v>
      </c>
      <c r="H9246">
        <v>0</v>
      </c>
      <c r="I9246">
        <v>0</v>
      </c>
      <c r="J9246">
        <v>1</v>
      </c>
      <c r="K9246">
        <v>0</v>
      </c>
      <c r="L9246">
        <f t="shared" si="288"/>
        <v>5</v>
      </c>
      <c r="M9246">
        <f t="shared" si="289"/>
        <v>1</v>
      </c>
    </row>
    <row r="9247" spans="1:13" x14ac:dyDescent="0.3">
      <c r="A9247">
        <v>9245</v>
      </c>
      <c r="B9247">
        <v>9246</v>
      </c>
      <c r="C9247" t="s">
        <v>9325</v>
      </c>
      <c r="D9247">
        <v>1999</v>
      </c>
      <c r="E9247" t="s">
        <v>36</v>
      </c>
      <c r="F9247" t="s">
        <v>2195</v>
      </c>
      <c r="G9247">
        <v>0</v>
      </c>
      <c r="H9247">
        <v>0</v>
      </c>
      <c r="I9247">
        <v>0</v>
      </c>
      <c r="J9247">
        <v>1</v>
      </c>
      <c r="K9247">
        <v>0</v>
      </c>
      <c r="L9247">
        <f t="shared" si="288"/>
        <v>5</v>
      </c>
      <c r="M9247">
        <f t="shared" si="289"/>
        <v>1</v>
      </c>
    </row>
    <row r="9248" spans="1:13" x14ac:dyDescent="0.3">
      <c r="A9248">
        <v>9246</v>
      </c>
      <c r="B9248">
        <v>9247</v>
      </c>
      <c r="C9248" t="s">
        <v>9326</v>
      </c>
      <c r="D9248">
        <v>2013</v>
      </c>
      <c r="E9248" t="s">
        <v>36</v>
      </c>
      <c r="F9248" t="s">
        <v>2195</v>
      </c>
      <c r="G9248">
        <v>0</v>
      </c>
      <c r="H9248">
        <v>0</v>
      </c>
      <c r="I9248">
        <v>0</v>
      </c>
      <c r="J9248">
        <v>1</v>
      </c>
      <c r="K9248">
        <v>0</v>
      </c>
      <c r="L9248">
        <f t="shared" si="288"/>
        <v>5</v>
      </c>
      <c r="M9248">
        <f t="shared" si="289"/>
        <v>1</v>
      </c>
    </row>
    <row r="9249" spans="1:13" x14ac:dyDescent="0.3">
      <c r="A9249">
        <v>9247</v>
      </c>
      <c r="B9249">
        <v>9248</v>
      </c>
      <c r="C9249" t="s">
        <v>9327</v>
      </c>
      <c r="D9249">
        <v>1984</v>
      </c>
      <c r="E9249" t="s">
        <v>36</v>
      </c>
      <c r="F9249" t="s">
        <v>2195</v>
      </c>
      <c r="G9249">
        <v>0</v>
      </c>
      <c r="H9249">
        <v>0</v>
      </c>
      <c r="I9249">
        <v>0</v>
      </c>
      <c r="J9249">
        <v>1</v>
      </c>
      <c r="K9249">
        <v>0</v>
      </c>
      <c r="L9249">
        <f t="shared" si="288"/>
        <v>5</v>
      </c>
      <c r="M9249">
        <f t="shared" si="289"/>
        <v>1</v>
      </c>
    </row>
    <row r="9250" spans="1:13" x14ac:dyDescent="0.3">
      <c r="A9250">
        <v>9248</v>
      </c>
      <c r="B9250">
        <v>9249</v>
      </c>
      <c r="C9250" t="s">
        <v>9328</v>
      </c>
      <c r="D9250">
        <v>1989</v>
      </c>
      <c r="E9250" t="s">
        <v>36</v>
      </c>
      <c r="F9250" t="s">
        <v>2195</v>
      </c>
      <c r="G9250">
        <v>0</v>
      </c>
      <c r="H9250">
        <v>0</v>
      </c>
      <c r="I9250">
        <v>0</v>
      </c>
      <c r="J9250">
        <v>1</v>
      </c>
      <c r="K9250">
        <v>0</v>
      </c>
      <c r="L9250">
        <f t="shared" si="288"/>
        <v>5</v>
      </c>
      <c r="M9250">
        <f t="shared" si="289"/>
        <v>1</v>
      </c>
    </row>
    <row r="9251" spans="1:13" x14ac:dyDescent="0.3">
      <c r="A9251">
        <v>9249</v>
      </c>
      <c r="B9251">
        <v>9250</v>
      </c>
      <c r="C9251" t="s">
        <v>9329</v>
      </c>
      <c r="D9251">
        <v>1940</v>
      </c>
      <c r="F9251" t="s">
        <v>2195</v>
      </c>
      <c r="G9251">
        <v>0</v>
      </c>
      <c r="H9251">
        <v>0</v>
      </c>
      <c r="I9251">
        <v>0</v>
      </c>
      <c r="J9251">
        <v>1</v>
      </c>
      <c r="K9251">
        <v>0</v>
      </c>
      <c r="L9251">
        <f t="shared" si="288"/>
        <v>5</v>
      </c>
      <c r="M9251">
        <f t="shared" si="289"/>
        <v>1</v>
      </c>
    </row>
    <row r="9252" spans="1:13" x14ac:dyDescent="0.3">
      <c r="A9252">
        <v>9250</v>
      </c>
      <c r="B9252">
        <v>9251</v>
      </c>
      <c r="C9252" t="s">
        <v>9330</v>
      </c>
      <c r="D9252">
        <v>1934</v>
      </c>
      <c r="F9252" t="s">
        <v>2195</v>
      </c>
      <c r="G9252">
        <v>0</v>
      </c>
      <c r="H9252">
        <v>0</v>
      </c>
      <c r="I9252">
        <v>0</v>
      </c>
      <c r="J9252">
        <v>1</v>
      </c>
      <c r="K9252">
        <v>0</v>
      </c>
      <c r="L9252">
        <f t="shared" si="288"/>
        <v>5</v>
      </c>
      <c r="M9252">
        <f t="shared" si="289"/>
        <v>1</v>
      </c>
    </row>
    <row r="9253" spans="1:13" x14ac:dyDescent="0.3">
      <c r="A9253">
        <v>9251</v>
      </c>
      <c r="B9253">
        <v>9252</v>
      </c>
      <c r="C9253" t="s">
        <v>9331</v>
      </c>
      <c r="D9253">
        <v>2010</v>
      </c>
      <c r="F9253" t="s">
        <v>2195</v>
      </c>
      <c r="G9253">
        <v>0</v>
      </c>
      <c r="H9253">
        <v>0</v>
      </c>
      <c r="I9253">
        <v>0</v>
      </c>
      <c r="J9253">
        <v>1</v>
      </c>
      <c r="K9253">
        <v>0</v>
      </c>
      <c r="L9253">
        <f t="shared" si="288"/>
        <v>5</v>
      </c>
      <c r="M9253">
        <f t="shared" si="289"/>
        <v>1</v>
      </c>
    </row>
    <row r="9254" spans="1:13" x14ac:dyDescent="0.3">
      <c r="A9254">
        <v>9252</v>
      </c>
      <c r="B9254">
        <v>9253</v>
      </c>
      <c r="C9254" t="s">
        <v>9332</v>
      </c>
      <c r="D9254">
        <v>2018</v>
      </c>
      <c r="E9254" t="s">
        <v>14</v>
      </c>
      <c r="F9254" t="s">
        <v>2195</v>
      </c>
      <c r="G9254">
        <v>0</v>
      </c>
      <c r="H9254">
        <v>0</v>
      </c>
      <c r="I9254">
        <v>0</v>
      </c>
      <c r="J9254">
        <v>1</v>
      </c>
      <c r="K9254">
        <v>0</v>
      </c>
      <c r="L9254">
        <f t="shared" si="288"/>
        <v>5</v>
      </c>
      <c r="M9254">
        <f t="shared" si="289"/>
        <v>1</v>
      </c>
    </row>
    <row r="9255" spans="1:13" x14ac:dyDescent="0.3">
      <c r="A9255">
        <v>9253</v>
      </c>
      <c r="B9255">
        <v>9254</v>
      </c>
      <c r="C9255" t="s">
        <v>9333</v>
      </c>
      <c r="D9255">
        <v>1934</v>
      </c>
      <c r="F9255" t="s">
        <v>2195</v>
      </c>
      <c r="G9255">
        <v>0</v>
      </c>
      <c r="H9255">
        <v>0</v>
      </c>
      <c r="I9255">
        <v>0</v>
      </c>
      <c r="J9255">
        <v>1</v>
      </c>
      <c r="K9255">
        <v>0</v>
      </c>
      <c r="L9255">
        <f t="shared" si="288"/>
        <v>5</v>
      </c>
      <c r="M9255">
        <f t="shared" si="289"/>
        <v>1</v>
      </c>
    </row>
    <row r="9256" spans="1:13" x14ac:dyDescent="0.3">
      <c r="A9256">
        <v>9254</v>
      </c>
      <c r="B9256">
        <v>9255</v>
      </c>
      <c r="C9256" t="s">
        <v>9334</v>
      </c>
      <c r="D9256">
        <v>1936</v>
      </c>
      <c r="F9256" t="s">
        <v>2195</v>
      </c>
      <c r="G9256">
        <v>0</v>
      </c>
      <c r="H9256">
        <v>0</v>
      </c>
      <c r="I9256">
        <v>0</v>
      </c>
      <c r="J9256">
        <v>1</v>
      </c>
      <c r="K9256">
        <v>0</v>
      </c>
      <c r="L9256">
        <f t="shared" si="288"/>
        <v>5</v>
      </c>
      <c r="M9256">
        <f t="shared" si="289"/>
        <v>1</v>
      </c>
    </row>
    <row r="9257" spans="1:13" x14ac:dyDescent="0.3">
      <c r="A9257">
        <v>9255</v>
      </c>
      <c r="B9257">
        <v>9256</v>
      </c>
      <c r="C9257" t="s">
        <v>9335</v>
      </c>
      <c r="D9257">
        <v>1951</v>
      </c>
      <c r="F9257" t="s">
        <v>2195</v>
      </c>
      <c r="G9257">
        <v>0</v>
      </c>
      <c r="H9257">
        <v>0</v>
      </c>
      <c r="I9257">
        <v>0</v>
      </c>
      <c r="J9257">
        <v>1</v>
      </c>
      <c r="K9257">
        <v>0</v>
      </c>
      <c r="L9257">
        <f t="shared" si="288"/>
        <v>5</v>
      </c>
      <c r="M9257">
        <f t="shared" si="289"/>
        <v>1</v>
      </c>
    </row>
    <row r="9258" spans="1:13" x14ac:dyDescent="0.3">
      <c r="A9258">
        <v>9256</v>
      </c>
      <c r="B9258">
        <v>9257</v>
      </c>
      <c r="C9258" t="s">
        <v>9336</v>
      </c>
      <c r="D9258">
        <v>1940</v>
      </c>
      <c r="F9258" t="s">
        <v>2195</v>
      </c>
      <c r="G9258">
        <v>0</v>
      </c>
      <c r="H9258">
        <v>0</v>
      </c>
      <c r="I9258">
        <v>0</v>
      </c>
      <c r="J9258">
        <v>1</v>
      </c>
      <c r="K9258">
        <v>0</v>
      </c>
      <c r="L9258">
        <f t="shared" si="288"/>
        <v>5</v>
      </c>
      <c r="M9258">
        <f t="shared" si="289"/>
        <v>1</v>
      </c>
    </row>
    <row r="9259" spans="1:13" x14ac:dyDescent="0.3">
      <c r="A9259">
        <v>9257</v>
      </c>
      <c r="B9259">
        <v>9258</v>
      </c>
      <c r="C9259" t="s">
        <v>9337</v>
      </c>
      <c r="D9259">
        <v>2000</v>
      </c>
      <c r="E9259" t="s">
        <v>36</v>
      </c>
      <c r="F9259" t="s">
        <v>2315</v>
      </c>
      <c r="G9259">
        <v>0</v>
      </c>
      <c r="H9259">
        <v>0</v>
      </c>
      <c r="I9259">
        <v>0</v>
      </c>
      <c r="J9259">
        <v>1</v>
      </c>
      <c r="K9259">
        <v>0</v>
      </c>
      <c r="L9259">
        <f t="shared" si="288"/>
        <v>4.9000000000000004</v>
      </c>
      <c r="M9259">
        <f t="shared" si="289"/>
        <v>1</v>
      </c>
    </row>
    <row r="9260" spans="1:13" x14ac:dyDescent="0.3">
      <c r="A9260">
        <v>9258</v>
      </c>
      <c r="B9260">
        <v>9259</v>
      </c>
      <c r="C9260" t="s">
        <v>9338</v>
      </c>
      <c r="D9260">
        <v>2019</v>
      </c>
      <c r="F9260" t="s">
        <v>2315</v>
      </c>
      <c r="G9260">
        <v>0</v>
      </c>
      <c r="H9260">
        <v>0</v>
      </c>
      <c r="I9260">
        <v>0</v>
      </c>
      <c r="J9260">
        <v>1</v>
      </c>
      <c r="K9260">
        <v>0</v>
      </c>
      <c r="L9260">
        <f t="shared" si="288"/>
        <v>4.9000000000000004</v>
      </c>
      <c r="M9260">
        <f t="shared" si="289"/>
        <v>1</v>
      </c>
    </row>
    <row r="9261" spans="1:13" x14ac:dyDescent="0.3">
      <c r="A9261">
        <v>9259</v>
      </c>
      <c r="B9261">
        <v>9260</v>
      </c>
      <c r="C9261" t="s">
        <v>9339</v>
      </c>
      <c r="D9261">
        <v>1939</v>
      </c>
      <c r="F9261" t="s">
        <v>2315</v>
      </c>
      <c r="G9261">
        <v>0</v>
      </c>
      <c r="H9261">
        <v>0</v>
      </c>
      <c r="I9261">
        <v>0</v>
      </c>
      <c r="J9261">
        <v>1</v>
      </c>
      <c r="K9261">
        <v>0</v>
      </c>
      <c r="L9261">
        <f t="shared" si="288"/>
        <v>4.9000000000000004</v>
      </c>
      <c r="M9261">
        <f t="shared" si="289"/>
        <v>1</v>
      </c>
    </row>
    <row r="9262" spans="1:13" x14ac:dyDescent="0.3">
      <c r="A9262">
        <v>9260</v>
      </c>
      <c r="B9262">
        <v>9261</v>
      </c>
      <c r="C9262" t="s">
        <v>9340</v>
      </c>
      <c r="D9262">
        <v>1962</v>
      </c>
      <c r="F9262" t="s">
        <v>2315</v>
      </c>
      <c r="G9262">
        <v>0</v>
      </c>
      <c r="H9262">
        <v>0</v>
      </c>
      <c r="I9262">
        <v>0</v>
      </c>
      <c r="J9262">
        <v>1</v>
      </c>
      <c r="K9262">
        <v>0</v>
      </c>
      <c r="L9262">
        <f t="shared" si="288"/>
        <v>4.9000000000000004</v>
      </c>
      <c r="M9262">
        <f t="shared" si="289"/>
        <v>1</v>
      </c>
    </row>
    <row r="9263" spans="1:13" x14ac:dyDescent="0.3">
      <c r="A9263">
        <v>9261</v>
      </c>
      <c r="B9263">
        <v>9262</v>
      </c>
      <c r="C9263" t="s">
        <v>9341</v>
      </c>
      <c r="D9263">
        <v>1932</v>
      </c>
      <c r="F9263" t="s">
        <v>2315</v>
      </c>
      <c r="G9263">
        <v>0</v>
      </c>
      <c r="H9263">
        <v>0</v>
      </c>
      <c r="I9263">
        <v>0</v>
      </c>
      <c r="J9263">
        <v>1</v>
      </c>
      <c r="K9263">
        <v>0</v>
      </c>
      <c r="L9263">
        <f t="shared" si="288"/>
        <v>4.9000000000000004</v>
      </c>
      <c r="M9263">
        <f t="shared" si="289"/>
        <v>1</v>
      </c>
    </row>
    <row r="9264" spans="1:13" x14ac:dyDescent="0.3">
      <c r="A9264">
        <v>9262</v>
      </c>
      <c r="B9264">
        <v>9263</v>
      </c>
      <c r="C9264" t="s">
        <v>9342</v>
      </c>
      <c r="D9264">
        <v>2019</v>
      </c>
      <c r="F9264" t="s">
        <v>2315</v>
      </c>
      <c r="G9264">
        <v>0</v>
      </c>
      <c r="H9264">
        <v>0</v>
      </c>
      <c r="I9264">
        <v>0</v>
      </c>
      <c r="J9264">
        <v>1</v>
      </c>
      <c r="K9264">
        <v>0</v>
      </c>
      <c r="L9264">
        <f t="shared" si="288"/>
        <v>4.9000000000000004</v>
      </c>
      <c r="M9264">
        <f t="shared" si="289"/>
        <v>1</v>
      </c>
    </row>
    <row r="9265" spans="1:13" x14ac:dyDescent="0.3">
      <c r="A9265">
        <v>9263</v>
      </c>
      <c r="B9265">
        <v>9264</v>
      </c>
      <c r="C9265" t="s">
        <v>9343</v>
      </c>
      <c r="D9265">
        <v>1941</v>
      </c>
      <c r="F9265" t="s">
        <v>2315</v>
      </c>
      <c r="G9265">
        <v>0</v>
      </c>
      <c r="H9265">
        <v>0</v>
      </c>
      <c r="I9265">
        <v>0</v>
      </c>
      <c r="J9265">
        <v>1</v>
      </c>
      <c r="K9265">
        <v>0</v>
      </c>
      <c r="L9265">
        <f t="shared" si="288"/>
        <v>4.9000000000000004</v>
      </c>
      <c r="M9265">
        <f t="shared" si="289"/>
        <v>1</v>
      </c>
    </row>
    <row r="9266" spans="1:13" x14ac:dyDescent="0.3">
      <c r="A9266">
        <v>9264</v>
      </c>
      <c r="B9266">
        <v>9265</v>
      </c>
      <c r="C9266" t="s">
        <v>9344</v>
      </c>
      <c r="D9266">
        <v>1974</v>
      </c>
      <c r="E9266" t="s">
        <v>36</v>
      </c>
      <c r="F9266" t="s">
        <v>2315</v>
      </c>
      <c r="G9266">
        <v>0</v>
      </c>
      <c r="H9266">
        <v>0</v>
      </c>
      <c r="I9266">
        <v>0</v>
      </c>
      <c r="J9266">
        <v>1</v>
      </c>
      <c r="K9266">
        <v>0</v>
      </c>
      <c r="L9266">
        <f t="shared" si="288"/>
        <v>4.9000000000000004</v>
      </c>
      <c r="M9266">
        <f t="shared" si="289"/>
        <v>1</v>
      </c>
    </row>
    <row r="9267" spans="1:13" x14ac:dyDescent="0.3">
      <c r="A9267">
        <v>9265</v>
      </c>
      <c r="B9267">
        <v>9266</v>
      </c>
      <c r="C9267" t="s">
        <v>9345</v>
      </c>
      <c r="D9267">
        <v>1937</v>
      </c>
      <c r="F9267" t="s">
        <v>2315</v>
      </c>
      <c r="G9267">
        <v>0</v>
      </c>
      <c r="H9267">
        <v>0</v>
      </c>
      <c r="I9267">
        <v>0</v>
      </c>
      <c r="J9267">
        <v>1</v>
      </c>
      <c r="K9267">
        <v>0</v>
      </c>
      <c r="L9267">
        <f t="shared" si="288"/>
        <v>4.9000000000000004</v>
      </c>
      <c r="M9267">
        <f t="shared" si="289"/>
        <v>1</v>
      </c>
    </row>
    <row r="9268" spans="1:13" x14ac:dyDescent="0.3">
      <c r="A9268">
        <v>9266</v>
      </c>
      <c r="B9268">
        <v>9267</v>
      </c>
      <c r="C9268" t="s">
        <v>9346</v>
      </c>
      <c r="D9268">
        <v>1941</v>
      </c>
      <c r="F9268" t="s">
        <v>2315</v>
      </c>
      <c r="G9268">
        <v>0</v>
      </c>
      <c r="H9268">
        <v>0</v>
      </c>
      <c r="I9268">
        <v>0</v>
      </c>
      <c r="J9268">
        <v>1</v>
      </c>
      <c r="K9268">
        <v>0</v>
      </c>
      <c r="L9268">
        <f t="shared" si="288"/>
        <v>4.9000000000000004</v>
      </c>
      <c r="M9268">
        <f t="shared" si="289"/>
        <v>1</v>
      </c>
    </row>
    <row r="9269" spans="1:13" x14ac:dyDescent="0.3">
      <c r="A9269">
        <v>9267</v>
      </c>
      <c r="B9269">
        <v>9268</v>
      </c>
      <c r="C9269" t="s">
        <v>9347</v>
      </c>
      <c r="D9269">
        <v>1951</v>
      </c>
      <c r="F9269" t="s">
        <v>2315</v>
      </c>
      <c r="G9269">
        <v>0</v>
      </c>
      <c r="H9269">
        <v>0</v>
      </c>
      <c r="I9269">
        <v>0</v>
      </c>
      <c r="J9269">
        <v>1</v>
      </c>
      <c r="K9269">
        <v>0</v>
      </c>
      <c r="L9269">
        <f t="shared" si="288"/>
        <v>4.9000000000000004</v>
      </c>
      <c r="M9269">
        <f t="shared" si="289"/>
        <v>1</v>
      </c>
    </row>
    <row r="9270" spans="1:13" x14ac:dyDescent="0.3">
      <c r="A9270">
        <v>9268</v>
      </c>
      <c r="B9270">
        <v>9269</v>
      </c>
      <c r="C9270" t="s">
        <v>9348</v>
      </c>
      <c r="D9270">
        <v>1955</v>
      </c>
      <c r="E9270" t="s">
        <v>36</v>
      </c>
      <c r="F9270" t="s">
        <v>2315</v>
      </c>
      <c r="G9270">
        <v>0</v>
      </c>
      <c r="H9270">
        <v>0</v>
      </c>
      <c r="I9270">
        <v>0</v>
      </c>
      <c r="J9270">
        <v>1</v>
      </c>
      <c r="K9270">
        <v>0</v>
      </c>
      <c r="L9270">
        <f t="shared" si="288"/>
        <v>4.9000000000000004</v>
      </c>
      <c r="M9270">
        <f t="shared" si="289"/>
        <v>1</v>
      </c>
    </row>
    <row r="9271" spans="1:13" x14ac:dyDescent="0.3">
      <c r="A9271">
        <v>9269</v>
      </c>
      <c r="B9271">
        <v>9270</v>
      </c>
      <c r="C9271" t="s">
        <v>9349</v>
      </c>
      <c r="D9271">
        <v>2020</v>
      </c>
      <c r="F9271" t="s">
        <v>2315</v>
      </c>
      <c r="G9271">
        <v>0</v>
      </c>
      <c r="H9271">
        <v>0</v>
      </c>
      <c r="I9271">
        <v>0</v>
      </c>
      <c r="J9271">
        <v>1</v>
      </c>
      <c r="K9271">
        <v>0</v>
      </c>
      <c r="L9271">
        <f t="shared" si="288"/>
        <v>4.9000000000000004</v>
      </c>
      <c r="M9271">
        <f t="shared" si="289"/>
        <v>1</v>
      </c>
    </row>
    <row r="9272" spans="1:13" x14ac:dyDescent="0.3">
      <c r="A9272">
        <v>9270</v>
      </c>
      <c r="B9272">
        <v>9271</v>
      </c>
      <c r="C9272" t="s">
        <v>9350</v>
      </c>
      <c r="D9272">
        <v>2004</v>
      </c>
      <c r="E9272" t="s">
        <v>36</v>
      </c>
      <c r="F9272" t="s">
        <v>2315</v>
      </c>
      <c r="G9272">
        <v>0</v>
      </c>
      <c r="H9272">
        <v>0</v>
      </c>
      <c r="I9272">
        <v>0</v>
      </c>
      <c r="J9272">
        <v>1</v>
      </c>
      <c r="K9272">
        <v>0</v>
      </c>
      <c r="L9272">
        <f t="shared" si="288"/>
        <v>4.9000000000000004</v>
      </c>
      <c r="M9272">
        <f t="shared" si="289"/>
        <v>1</v>
      </c>
    </row>
    <row r="9273" spans="1:13" x14ac:dyDescent="0.3">
      <c r="A9273">
        <v>9271</v>
      </c>
      <c r="B9273">
        <v>9272</v>
      </c>
      <c r="C9273" t="s">
        <v>9351</v>
      </c>
      <c r="D9273">
        <v>2017</v>
      </c>
      <c r="E9273" t="s">
        <v>14</v>
      </c>
      <c r="F9273" t="s">
        <v>2315</v>
      </c>
      <c r="G9273">
        <v>0</v>
      </c>
      <c r="H9273">
        <v>0</v>
      </c>
      <c r="I9273">
        <v>0</v>
      </c>
      <c r="J9273">
        <v>1</v>
      </c>
      <c r="K9273">
        <v>0</v>
      </c>
      <c r="L9273">
        <f t="shared" si="288"/>
        <v>4.9000000000000004</v>
      </c>
      <c r="M9273">
        <f t="shared" si="289"/>
        <v>1</v>
      </c>
    </row>
    <row r="9274" spans="1:13" x14ac:dyDescent="0.3">
      <c r="A9274">
        <v>9272</v>
      </c>
      <c r="B9274">
        <v>9273</v>
      </c>
      <c r="C9274" t="s">
        <v>9352</v>
      </c>
      <c r="D9274">
        <v>2018</v>
      </c>
      <c r="E9274" t="s">
        <v>28</v>
      </c>
      <c r="F9274" t="s">
        <v>2315</v>
      </c>
      <c r="G9274">
        <v>0</v>
      </c>
      <c r="H9274">
        <v>0</v>
      </c>
      <c r="I9274">
        <v>0</v>
      </c>
      <c r="J9274">
        <v>1</v>
      </c>
      <c r="K9274">
        <v>0</v>
      </c>
      <c r="L9274">
        <f t="shared" si="288"/>
        <v>4.9000000000000004</v>
      </c>
      <c r="M9274">
        <f t="shared" si="289"/>
        <v>1</v>
      </c>
    </row>
    <row r="9275" spans="1:13" x14ac:dyDescent="0.3">
      <c r="A9275">
        <v>9273</v>
      </c>
      <c r="B9275">
        <v>9274</v>
      </c>
      <c r="C9275" t="s">
        <v>9353</v>
      </c>
      <c r="D9275">
        <v>1949</v>
      </c>
      <c r="F9275" t="s">
        <v>2315</v>
      </c>
      <c r="G9275">
        <v>0</v>
      </c>
      <c r="H9275">
        <v>0</v>
      </c>
      <c r="I9275">
        <v>0</v>
      </c>
      <c r="J9275">
        <v>1</v>
      </c>
      <c r="K9275">
        <v>0</v>
      </c>
      <c r="L9275">
        <f t="shared" si="288"/>
        <v>4.9000000000000004</v>
      </c>
      <c r="M9275">
        <f t="shared" si="289"/>
        <v>1</v>
      </c>
    </row>
    <row r="9276" spans="1:13" x14ac:dyDescent="0.3">
      <c r="A9276">
        <v>9274</v>
      </c>
      <c r="B9276">
        <v>9275</v>
      </c>
      <c r="C9276" t="s">
        <v>9354</v>
      </c>
      <c r="D9276">
        <v>1942</v>
      </c>
      <c r="F9276" t="s">
        <v>2315</v>
      </c>
      <c r="G9276">
        <v>0</v>
      </c>
      <c r="H9276">
        <v>0</v>
      </c>
      <c r="I9276">
        <v>0</v>
      </c>
      <c r="J9276">
        <v>1</v>
      </c>
      <c r="K9276">
        <v>0</v>
      </c>
      <c r="L9276">
        <f t="shared" si="288"/>
        <v>4.9000000000000004</v>
      </c>
      <c r="M9276">
        <f t="shared" si="289"/>
        <v>1</v>
      </c>
    </row>
    <row r="9277" spans="1:13" x14ac:dyDescent="0.3">
      <c r="A9277">
        <v>9275</v>
      </c>
      <c r="B9277">
        <v>9276</v>
      </c>
      <c r="C9277" t="s">
        <v>9355</v>
      </c>
      <c r="D9277">
        <v>2021</v>
      </c>
      <c r="F9277" t="s">
        <v>2315</v>
      </c>
      <c r="G9277">
        <v>0</v>
      </c>
      <c r="H9277">
        <v>0</v>
      </c>
      <c r="I9277">
        <v>0</v>
      </c>
      <c r="J9277">
        <v>1</v>
      </c>
      <c r="K9277">
        <v>0</v>
      </c>
      <c r="L9277">
        <f t="shared" si="288"/>
        <v>4.9000000000000004</v>
      </c>
      <c r="M9277">
        <f t="shared" si="289"/>
        <v>1</v>
      </c>
    </row>
    <row r="9278" spans="1:13" x14ac:dyDescent="0.3">
      <c r="A9278">
        <v>9276</v>
      </c>
      <c r="B9278">
        <v>9277</v>
      </c>
      <c r="C9278" t="s">
        <v>9356</v>
      </c>
      <c r="D9278">
        <v>2019</v>
      </c>
      <c r="E9278" t="s">
        <v>36</v>
      </c>
      <c r="F9278" t="s">
        <v>2315</v>
      </c>
      <c r="G9278">
        <v>0</v>
      </c>
      <c r="H9278">
        <v>0</v>
      </c>
      <c r="I9278">
        <v>0</v>
      </c>
      <c r="J9278">
        <v>1</v>
      </c>
      <c r="K9278">
        <v>0</v>
      </c>
      <c r="L9278">
        <f t="shared" si="288"/>
        <v>4.9000000000000004</v>
      </c>
      <c r="M9278">
        <f t="shared" si="289"/>
        <v>1</v>
      </c>
    </row>
    <row r="9279" spans="1:13" x14ac:dyDescent="0.3">
      <c r="A9279">
        <v>9277</v>
      </c>
      <c r="B9279">
        <v>9278</v>
      </c>
      <c r="C9279" t="s">
        <v>9357</v>
      </c>
      <c r="D9279">
        <v>1936</v>
      </c>
      <c r="F9279" t="s">
        <v>2315</v>
      </c>
      <c r="G9279">
        <v>0</v>
      </c>
      <c r="H9279">
        <v>0</v>
      </c>
      <c r="I9279">
        <v>0</v>
      </c>
      <c r="J9279">
        <v>1</v>
      </c>
      <c r="K9279">
        <v>0</v>
      </c>
      <c r="L9279">
        <f t="shared" si="288"/>
        <v>4.9000000000000004</v>
      </c>
      <c r="M9279">
        <f t="shared" si="289"/>
        <v>1</v>
      </c>
    </row>
    <row r="9280" spans="1:13" x14ac:dyDescent="0.3">
      <c r="A9280">
        <v>9278</v>
      </c>
      <c r="B9280">
        <v>9279</v>
      </c>
      <c r="C9280" t="s">
        <v>9358</v>
      </c>
      <c r="D9280">
        <v>2003</v>
      </c>
      <c r="E9280" t="s">
        <v>36</v>
      </c>
      <c r="F9280" t="s">
        <v>2315</v>
      </c>
      <c r="G9280">
        <v>0</v>
      </c>
      <c r="H9280">
        <v>0</v>
      </c>
      <c r="I9280">
        <v>0</v>
      </c>
      <c r="J9280">
        <v>1</v>
      </c>
      <c r="K9280">
        <v>0</v>
      </c>
      <c r="L9280">
        <f t="shared" si="288"/>
        <v>4.9000000000000004</v>
      </c>
      <c r="M9280">
        <f t="shared" si="289"/>
        <v>1</v>
      </c>
    </row>
    <row r="9281" spans="1:13" x14ac:dyDescent="0.3">
      <c r="A9281">
        <v>9279</v>
      </c>
      <c r="B9281">
        <v>9280</v>
      </c>
      <c r="C9281" t="s">
        <v>9359</v>
      </c>
      <c r="D9281">
        <v>1950</v>
      </c>
      <c r="F9281" t="s">
        <v>2315</v>
      </c>
      <c r="G9281">
        <v>0</v>
      </c>
      <c r="H9281">
        <v>0</v>
      </c>
      <c r="I9281">
        <v>0</v>
      </c>
      <c r="J9281">
        <v>1</v>
      </c>
      <c r="K9281">
        <v>0</v>
      </c>
      <c r="L9281">
        <f t="shared" si="288"/>
        <v>4.9000000000000004</v>
      </c>
      <c r="M9281">
        <f t="shared" si="289"/>
        <v>1</v>
      </c>
    </row>
    <row r="9282" spans="1:13" x14ac:dyDescent="0.3">
      <c r="A9282">
        <v>9280</v>
      </c>
      <c r="B9282">
        <v>9281</v>
      </c>
      <c r="C9282" t="s">
        <v>9360</v>
      </c>
      <c r="D9282">
        <v>1942</v>
      </c>
      <c r="F9282" t="s">
        <v>2315</v>
      </c>
      <c r="G9282">
        <v>0</v>
      </c>
      <c r="H9282">
        <v>0</v>
      </c>
      <c r="I9282">
        <v>0</v>
      </c>
      <c r="J9282">
        <v>1</v>
      </c>
      <c r="K9282">
        <v>0</v>
      </c>
      <c r="L9282">
        <f t="shared" si="288"/>
        <v>4.9000000000000004</v>
      </c>
      <c r="M9282">
        <f t="shared" si="289"/>
        <v>1</v>
      </c>
    </row>
    <row r="9283" spans="1:13" x14ac:dyDescent="0.3">
      <c r="A9283">
        <v>9281</v>
      </c>
      <c r="B9283">
        <v>9282</v>
      </c>
      <c r="C9283" t="s">
        <v>9361</v>
      </c>
      <c r="D9283">
        <v>1996</v>
      </c>
      <c r="E9283" t="s">
        <v>14</v>
      </c>
      <c r="F9283" t="s">
        <v>2315</v>
      </c>
      <c r="G9283">
        <v>0</v>
      </c>
      <c r="H9283">
        <v>0</v>
      </c>
      <c r="I9283">
        <v>0</v>
      </c>
      <c r="J9283">
        <v>1</v>
      </c>
      <c r="K9283">
        <v>0</v>
      </c>
      <c r="L9283">
        <f t="shared" ref="L9283:L9346" si="290">IFERROR(VALUE(LEFT(F9283,FIND("/",F9283)-1))/10,"")</f>
        <v>4.9000000000000004</v>
      </c>
      <c r="M9283">
        <f t="shared" ref="M9283:M9346" si="291">SUM(G9283:J9283)</f>
        <v>1</v>
      </c>
    </row>
    <row r="9284" spans="1:13" x14ac:dyDescent="0.3">
      <c r="A9284">
        <v>9282</v>
      </c>
      <c r="B9284">
        <v>9283</v>
      </c>
      <c r="C9284" t="s">
        <v>9362</v>
      </c>
      <c r="D9284">
        <v>1946</v>
      </c>
      <c r="F9284" t="s">
        <v>2315</v>
      </c>
      <c r="G9284">
        <v>0</v>
      </c>
      <c r="H9284">
        <v>0</v>
      </c>
      <c r="I9284">
        <v>0</v>
      </c>
      <c r="J9284">
        <v>1</v>
      </c>
      <c r="K9284">
        <v>0</v>
      </c>
      <c r="L9284">
        <f t="shared" si="290"/>
        <v>4.9000000000000004</v>
      </c>
      <c r="M9284">
        <f t="shared" si="291"/>
        <v>1</v>
      </c>
    </row>
    <row r="9285" spans="1:13" x14ac:dyDescent="0.3">
      <c r="A9285">
        <v>9283</v>
      </c>
      <c r="B9285">
        <v>9284</v>
      </c>
      <c r="C9285" t="s">
        <v>9363</v>
      </c>
      <c r="D9285">
        <v>1944</v>
      </c>
      <c r="F9285" t="s">
        <v>2315</v>
      </c>
      <c r="G9285">
        <v>0</v>
      </c>
      <c r="H9285">
        <v>0</v>
      </c>
      <c r="I9285">
        <v>0</v>
      </c>
      <c r="J9285">
        <v>1</v>
      </c>
      <c r="K9285">
        <v>0</v>
      </c>
      <c r="L9285">
        <f t="shared" si="290"/>
        <v>4.9000000000000004</v>
      </c>
      <c r="M9285">
        <f t="shared" si="291"/>
        <v>1</v>
      </c>
    </row>
    <row r="9286" spans="1:13" x14ac:dyDescent="0.3">
      <c r="A9286">
        <v>9284</v>
      </c>
      <c r="B9286">
        <v>9285</v>
      </c>
      <c r="C9286" t="s">
        <v>9364</v>
      </c>
      <c r="D9286">
        <v>2021</v>
      </c>
      <c r="E9286" t="s">
        <v>22</v>
      </c>
      <c r="F9286" t="s">
        <v>2315</v>
      </c>
      <c r="G9286">
        <v>0</v>
      </c>
      <c r="H9286">
        <v>0</v>
      </c>
      <c r="I9286">
        <v>0</v>
      </c>
      <c r="J9286">
        <v>1</v>
      </c>
      <c r="K9286">
        <v>0</v>
      </c>
      <c r="L9286">
        <f t="shared" si="290"/>
        <v>4.9000000000000004</v>
      </c>
      <c r="M9286">
        <f t="shared" si="291"/>
        <v>1</v>
      </c>
    </row>
    <row r="9287" spans="1:13" x14ac:dyDescent="0.3">
      <c r="A9287">
        <v>9285</v>
      </c>
      <c r="B9287">
        <v>9286</v>
      </c>
      <c r="C9287" t="s">
        <v>9365</v>
      </c>
      <c r="D9287">
        <v>1933</v>
      </c>
      <c r="F9287" t="s">
        <v>2426</v>
      </c>
      <c r="G9287">
        <v>0</v>
      </c>
      <c r="H9287">
        <v>0</v>
      </c>
      <c r="I9287">
        <v>0</v>
      </c>
      <c r="J9287">
        <v>1</v>
      </c>
      <c r="K9287">
        <v>0</v>
      </c>
      <c r="L9287">
        <f t="shared" si="290"/>
        <v>4.8</v>
      </c>
      <c r="M9287">
        <f t="shared" si="291"/>
        <v>1</v>
      </c>
    </row>
    <row r="9288" spans="1:13" x14ac:dyDescent="0.3">
      <c r="A9288">
        <v>9286</v>
      </c>
      <c r="B9288">
        <v>9287</v>
      </c>
      <c r="C9288" t="s">
        <v>9366</v>
      </c>
      <c r="D9288">
        <v>1941</v>
      </c>
      <c r="F9288" t="s">
        <v>2426</v>
      </c>
      <c r="G9288">
        <v>0</v>
      </c>
      <c r="H9288">
        <v>0</v>
      </c>
      <c r="I9288">
        <v>0</v>
      </c>
      <c r="J9288">
        <v>1</v>
      </c>
      <c r="K9288">
        <v>0</v>
      </c>
      <c r="L9288">
        <f t="shared" si="290"/>
        <v>4.8</v>
      </c>
      <c r="M9288">
        <f t="shared" si="291"/>
        <v>1</v>
      </c>
    </row>
    <row r="9289" spans="1:13" x14ac:dyDescent="0.3">
      <c r="A9289">
        <v>9287</v>
      </c>
      <c r="B9289">
        <v>9288</v>
      </c>
      <c r="C9289" t="s">
        <v>9367</v>
      </c>
      <c r="D9289">
        <v>1987</v>
      </c>
      <c r="E9289" t="s">
        <v>36</v>
      </c>
      <c r="F9289" t="s">
        <v>2426</v>
      </c>
      <c r="G9289">
        <v>0</v>
      </c>
      <c r="H9289">
        <v>0</v>
      </c>
      <c r="I9289">
        <v>0</v>
      </c>
      <c r="J9289">
        <v>1</v>
      </c>
      <c r="K9289">
        <v>0</v>
      </c>
      <c r="L9289">
        <f t="shared" si="290"/>
        <v>4.8</v>
      </c>
      <c r="M9289">
        <f t="shared" si="291"/>
        <v>1</v>
      </c>
    </row>
    <row r="9290" spans="1:13" x14ac:dyDescent="0.3">
      <c r="A9290">
        <v>9288</v>
      </c>
      <c r="B9290">
        <v>9289</v>
      </c>
      <c r="C9290" t="s">
        <v>9368</v>
      </c>
      <c r="D9290">
        <v>2021</v>
      </c>
      <c r="F9290" t="s">
        <v>2426</v>
      </c>
      <c r="G9290">
        <v>0</v>
      </c>
      <c r="H9290">
        <v>0</v>
      </c>
      <c r="I9290">
        <v>0</v>
      </c>
      <c r="J9290">
        <v>1</v>
      </c>
      <c r="K9290">
        <v>0</v>
      </c>
      <c r="L9290">
        <f t="shared" si="290"/>
        <v>4.8</v>
      </c>
      <c r="M9290">
        <f t="shared" si="291"/>
        <v>1</v>
      </c>
    </row>
    <row r="9291" spans="1:13" x14ac:dyDescent="0.3">
      <c r="A9291">
        <v>9289</v>
      </c>
      <c r="B9291">
        <v>9290</v>
      </c>
      <c r="C9291" t="s">
        <v>9369</v>
      </c>
      <c r="D9291">
        <v>2020</v>
      </c>
      <c r="F9291" t="s">
        <v>2426</v>
      </c>
      <c r="G9291">
        <v>0</v>
      </c>
      <c r="H9291">
        <v>0</v>
      </c>
      <c r="I9291">
        <v>0</v>
      </c>
      <c r="J9291">
        <v>1</v>
      </c>
      <c r="K9291">
        <v>0</v>
      </c>
      <c r="L9291">
        <f t="shared" si="290"/>
        <v>4.8</v>
      </c>
      <c r="M9291">
        <f t="shared" si="291"/>
        <v>1</v>
      </c>
    </row>
    <row r="9292" spans="1:13" x14ac:dyDescent="0.3">
      <c r="A9292">
        <v>9290</v>
      </c>
      <c r="B9292">
        <v>9291</v>
      </c>
      <c r="C9292" t="s">
        <v>9370</v>
      </c>
      <c r="D9292">
        <v>2014</v>
      </c>
      <c r="E9292" t="s">
        <v>36</v>
      </c>
      <c r="F9292" t="s">
        <v>2426</v>
      </c>
      <c r="G9292">
        <v>0</v>
      </c>
      <c r="H9292">
        <v>0</v>
      </c>
      <c r="I9292">
        <v>0</v>
      </c>
      <c r="J9292">
        <v>1</v>
      </c>
      <c r="K9292">
        <v>0</v>
      </c>
      <c r="L9292">
        <f t="shared" si="290"/>
        <v>4.8</v>
      </c>
      <c r="M9292">
        <f t="shared" si="291"/>
        <v>1</v>
      </c>
    </row>
    <row r="9293" spans="1:13" x14ac:dyDescent="0.3">
      <c r="A9293">
        <v>9291</v>
      </c>
      <c r="B9293">
        <v>9292</v>
      </c>
      <c r="C9293" t="s">
        <v>9371</v>
      </c>
      <c r="D9293">
        <v>2019</v>
      </c>
      <c r="F9293" t="s">
        <v>2426</v>
      </c>
      <c r="G9293">
        <v>0</v>
      </c>
      <c r="H9293">
        <v>0</v>
      </c>
      <c r="I9293">
        <v>0</v>
      </c>
      <c r="J9293">
        <v>1</v>
      </c>
      <c r="K9293">
        <v>0</v>
      </c>
      <c r="L9293">
        <f t="shared" si="290"/>
        <v>4.8</v>
      </c>
      <c r="M9293">
        <f t="shared" si="291"/>
        <v>1</v>
      </c>
    </row>
    <row r="9294" spans="1:13" x14ac:dyDescent="0.3">
      <c r="A9294">
        <v>9292</v>
      </c>
      <c r="B9294">
        <v>9293</v>
      </c>
      <c r="C9294" t="s">
        <v>9372</v>
      </c>
      <c r="D9294">
        <v>1953</v>
      </c>
      <c r="F9294" t="s">
        <v>2426</v>
      </c>
      <c r="G9294">
        <v>0</v>
      </c>
      <c r="H9294">
        <v>0</v>
      </c>
      <c r="I9294">
        <v>0</v>
      </c>
      <c r="J9294">
        <v>1</v>
      </c>
      <c r="K9294">
        <v>0</v>
      </c>
      <c r="L9294">
        <f t="shared" si="290"/>
        <v>4.8</v>
      </c>
      <c r="M9294">
        <f t="shared" si="291"/>
        <v>1</v>
      </c>
    </row>
    <row r="9295" spans="1:13" x14ac:dyDescent="0.3">
      <c r="A9295">
        <v>9293</v>
      </c>
      <c r="B9295">
        <v>9294</v>
      </c>
      <c r="C9295" t="s">
        <v>9373</v>
      </c>
      <c r="D9295">
        <v>2021</v>
      </c>
      <c r="F9295" t="s">
        <v>2426</v>
      </c>
      <c r="G9295">
        <v>0</v>
      </c>
      <c r="H9295">
        <v>0</v>
      </c>
      <c r="I9295">
        <v>0</v>
      </c>
      <c r="J9295">
        <v>1</v>
      </c>
      <c r="K9295">
        <v>0</v>
      </c>
      <c r="L9295">
        <f t="shared" si="290"/>
        <v>4.8</v>
      </c>
      <c r="M9295">
        <f t="shared" si="291"/>
        <v>1</v>
      </c>
    </row>
    <row r="9296" spans="1:13" x14ac:dyDescent="0.3">
      <c r="A9296">
        <v>9294</v>
      </c>
      <c r="B9296">
        <v>9295</v>
      </c>
      <c r="C9296" t="s">
        <v>9374</v>
      </c>
      <c r="D9296">
        <v>2013</v>
      </c>
      <c r="F9296" t="s">
        <v>2426</v>
      </c>
      <c r="G9296">
        <v>0</v>
      </c>
      <c r="H9296">
        <v>0</v>
      </c>
      <c r="I9296">
        <v>0</v>
      </c>
      <c r="J9296">
        <v>1</v>
      </c>
      <c r="K9296">
        <v>0</v>
      </c>
      <c r="L9296">
        <f t="shared" si="290"/>
        <v>4.8</v>
      </c>
      <c r="M9296">
        <f t="shared" si="291"/>
        <v>1</v>
      </c>
    </row>
    <row r="9297" spans="1:13" x14ac:dyDescent="0.3">
      <c r="A9297">
        <v>9295</v>
      </c>
      <c r="B9297">
        <v>9296</v>
      </c>
      <c r="C9297" t="s">
        <v>9375</v>
      </c>
      <c r="D9297">
        <v>2020</v>
      </c>
      <c r="E9297" t="s">
        <v>22</v>
      </c>
      <c r="F9297" t="s">
        <v>2426</v>
      </c>
      <c r="G9297">
        <v>0</v>
      </c>
      <c r="H9297">
        <v>0</v>
      </c>
      <c r="I9297">
        <v>0</v>
      </c>
      <c r="J9297">
        <v>1</v>
      </c>
      <c r="K9297">
        <v>0</v>
      </c>
      <c r="L9297">
        <f t="shared" si="290"/>
        <v>4.8</v>
      </c>
      <c r="M9297">
        <f t="shared" si="291"/>
        <v>1</v>
      </c>
    </row>
    <row r="9298" spans="1:13" x14ac:dyDescent="0.3">
      <c r="A9298">
        <v>9296</v>
      </c>
      <c r="B9298">
        <v>9297</v>
      </c>
      <c r="C9298" t="s">
        <v>9376</v>
      </c>
      <c r="D9298">
        <v>2017</v>
      </c>
      <c r="E9298" t="s">
        <v>14</v>
      </c>
      <c r="F9298" t="s">
        <v>2426</v>
      </c>
      <c r="G9298">
        <v>0</v>
      </c>
      <c r="H9298">
        <v>0</v>
      </c>
      <c r="I9298">
        <v>0</v>
      </c>
      <c r="J9298">
        <v>1</v>
      </c>
      <c r="K9298">
        <v>0</v>
      </c>
      <c r="L9298">
        <f t="shared" si="290"/>
        <v>4.8</v>
      </c>
      <c r="M9298">
        <f t="shared" si="291"/>
        <v>1</v>
      </c>
    </row>
    <row r="9299" spans="1:13" x14ac:dyDescent="0.3">
      <c r="A9299">
        <v>9297</v>
      </c>
      <c r="B9299">
        <v>9298</v>
      </c>
      <c r="C9299" t="s">
        <v>9377</v>
      </c>
      <c r="D9299">
        <v>1933</v>
      </c>
      <c r="F9299" t="s">
        <v>2426</v>
      </c>
      <c r="G9299">
        <v>0</v>
      </c>
      <c r="H9299">
        <v>0</v>
      </c>
      <c r="I9299">
        <v>0</v>
      </c>
      <c r="J9299">
        <v>1</v>
      </c>
      <c r="K9299">
        <v>0</v>
      </c>
      <c r="L9299">
        <f t="shared" si="290"/>
        <v>4.8</v>
      </c>
      <c r="M9299">
        <f t="shared" si="291"/>
        <v>1</v>
      </c>
    </row>
    <row r="9300" spans="1:13" x14ac:dyDescent="0.3">
      <c r="A9300">
        <v>9298</v>
      </c>
      <c r="B9300">
        <v>9299</v>
      </c>
      <c r="C9300" t="s">
        <v>9378</v>
      </c>
      <c r="D9300">
        <v>1998</v>
      </c>
      <c r="E9300" t="s">
        <v>14</v>
      </c>
      <c r="F9300" t="s">
        <v>2426</v>
      </c>
      <c r="G9300">
        <v>0</v>
      </c>
      <c r="H9300">
        <v>0</v>
      </c>
      <c r="I9300">
        <v>0</v>
      </c>
      <c r="J9300">
        <v>1</v>
      </c>
      <c r="K9300">
        <v>0</v>
      </c>
      <c r="L9300">
        <f t="shared" si="290"/>
        <v>4.8</v>
      </c>
      <c r="M9300">
        <f t="shared" si="291"/>
        <v>1</v>
      </c>
    </row>
    <row r="9301" spans="1:13" x14ac:dyDescent="0.3">
      <c r="A9301">
        <v>9299</v>
      </c>
      <c r="B9301">
        <v>9300</v>
      </c>
      <c r="C9301" t="s">
        <v>9379</v>
      </c>
      <c r="D9301">
        <v>1942</v>
      </c>
      <c r="F9301" t="s">
        <v>2426</v>
      </c>
      <c r="G9301">
        <v>0</v>
      </c>
      <c r="H9301">
        <v>0</v>
      </c>
      <c r="I9301">
        <v>0</v>
      </c>
      <c r="J9301">
        <v>1</v>
      </c>
      <c r="K9301">
        <v>0</v>
      </c>
      <c r="L9301">
        <f t="shared" si="290"/>
        <v>4.8</v>
      </c>
      <c r="M9301">
        <f t="shared" si="291"/>
        <v>1</v>
      </c>
    </row>
    <row r="9302" spans="1:13" x14ac:dyDescent="0.3">
      <c r="A9302">
        <v>9300</v>
      </c>
      <c r="B9302">
        <v>9301</v>
      </c>
      <c r="C9302" t="s">
        <v>9380</v>
      </c>
      <c r="D9302">
        <v>2000</v>
      </c>
      <c r="E9302" t="s">
        <v>36</v>
      </c>
      <c r="F9302" t="s">
        <v>2426</v>
      </c>
      <c r="G9302">
        <v>0</v>
      </c>
      <c r="H9302">
        <v>0</v>
      </c>
      <c r="I9302">
        <v>0</v>
      </c>
      <c r="J9302">
        <v>1</v>
      </c>
      <c r="K9302">
        <v>0</v>
      </c>
      <c r="L9302">
        <f t="shared" si="290"/>
        <v>4.8</v>
      </c>
      <c r="M9302">
        <f t="shared" si="291"/>
        <v>1</v>
      </c>
    </row>
    <row r="9303" spans="1:13" x14ac:dyDescent="0.3">
      <c r="A9303">
        <v>9301</v>
      </c>
      <c r="B9303">
        <v>9302</v>
      </c>
      <c r="C9303" t="s">
        <v>9381</v>
      </c>
      <c r="D9303">
        <v>2018</v>
      </c>
      <c r="E9303" t="s">
        <v>36</v>
      </c>
      <c r="F9303" t="s">
        <v>2426</v>
      </c>
      <c r="G9303">
        <v>0</v>
      </c>
      <c r="H9303">
        <v>0</v>
      </c>
      <c r="I9303">
        <v>0</v>
      </c>
      <c r="J9303">
        <v>1</v>
      </c>
      <c r="K9303">
        <v>0</v>
      </c>
      <c r="L9303">
        <f t="shared" si="290"/>
        <v>4.8</v>
      </c>
      <c r="M9303">
        <f t="shared" si="291"/>
        <v>1</v>
      </c>
    </row>
    <row r="9304" spans="1:13" x14ac:dyDescent="0.3">
      <c r="A9304">
        <v>9302</v>
      </c>
      <c r="B9304">
        <v>9303</v>
      </c>
      <c r="C9304" t="s">
        <v>9382</v>
      </c>
      <c r="D9304">
        <v>1954</v>
      </c>
      <c r="F9304" t="s">
        <v>2426</v>
      </c>
      <c r="G9304">
        <v>0</v>
      </c>
      <c r="H9304">
        <v>0</v>
      </c>
      <c r="I9304">
        <v>0</v>
      </c>
      <c r="J9304">
        <v>1</v>
      </c>
      <c r="K9304">
        <v>0</v>
      </c>
      <c r="L9304">
        <f t="shared" si="290"/>
        <v>4.8</v>
      </c>
      <c r="M9304">
        <f t="shared" si="291"/>
        <v>1</v>
      </c>
    </row>
    <row r="9305" spans="1:13" x14ac:dyDescent="0.3">
      <c r="A9305">
        <v>9303</v>
      </c>
      <c r="B9305">
        <v>9304</v>
      </c>
      <c r="C9305" t="s">
        <v>9383</v>
      </c>
      <c r="D9305">
        <v>2014</v>
      </c>
      <c r="F9305" t="s">
        <v>2426</v>
      </c>
      <c r="G9305">
        <v>0</v>
      </c>
      <c r="H9305">
        <v>0</v>
      </c>
      <c r="I9305">
        <v>0</v>
      </c>
      <c r="J9305">
        <v>1</v>
      </c>
      <c r="K9305">
        <v>0</v>
      </c>
      <c r="L9305">
        <f t="shared" si="290"/>
        <v>4.8</v>
      </c>
      <c r="M9305">
        <f t="shared" si="291"/>
        <v>1</v>
      </c>
    </row>
    <row r="9306" spans="1:13" x14ac:dyDescent="0.3">
      <c r="A9306">
        <v>9304</v>
      </c>
      <c r="B9306">
        <v>9305</v>
      </c>
      <c r="C9306" t="s">
        <v>9384</v>
      </c>
      <c r="D9306">
        <v>1936</v>
      </c>
      <c r="F9306" t="s">
        <v>2426</v>
      </c>
      <c r="G9306">
        <v>0</v>
      </c>
      <c r="H9306">
        <v>0</v>
      </c>
      <c r="I9306">
        <v>0</v>
      </c>
      <c r="J9306">
        <v>1</v>
      </c>
      <c r="K9306">
        <v>0</v>
      </c>
      <c r="L9306">
        <f t="shared" si="290"/>
        <v>4.8</v>
      </c>
      <c r="M9306">
        <f t="shared" si="291"/>
        <v>1</v>
      </c>
    </row>
    <row r="9307" spans="1:13" x14ac:dyDescent="0.3">
      <c r="A9307">
        <v>9305</v>
      </c>
      <c r="B9307">
        <v>9306</v>
      </c>
      <c r="C9307" t="s">
        <v>9385</v>
      </c>
      <c r="D9307">
        <v>2012</v>
      </c>
      <c r="E9307" t="s">
        <v>36</v>
      </c>
      <c r="F9307" t="s">
        <v>2426</v>
      </c>
      <c r="G9307">
        <v>0</v>
      </c>
      <c r="H9307">
        <v>0</v>
      </c>
      <c r="I9307">
        <v>0</v>
      </c>
      <c r="J9307">
        <v>1</v>
      </c>
      <c r="K9307">
        <v>0</v>
      </c>
      <c r="L9307">
        <f t="shared" si="290"/>
        <v>4.8</v>
      </c>
      <c r="M9307">
        <f t="shared" si="291"/>
        <v>1</v>
      </c>
    </row>
    <row r="9308" spans="1:13" x14ac:dyDescent="0.3">
      <c r="A9308">
        <v>9306</v>
      </c>
      <c r="B9308">
        <v>9307</v>
      </c>
      <c r="C9308" t="s">
        <v>9386</v>
      </c>
      <c r="D9308">
        <v>2020</v>
      </c>
      <c r="F9308" t="s">
        <v>2426</v>
      </c>
      <c r="G9308">
        <v>0</v>
      </c>
      <c r="H9308">
        <v>0</v>
      </c>
      <c r="I9308">
        <v>0</v>
      </c>
      <c r="J9308">
        <v>1</v>
      </c>
      <c r="K9308">
        <v>0</v>
      </c>
      <c r="L9308">
        <f t="shared" si="290"/>
        <v>4.8</v>
      </c>
      <c r="M9308">
        <f t="shared" si="291"/>
        <v>1</v>
      </c>
    </row>
    <row r="9309" spans="1:13" x14ac:dyDescent="0.3">
      <c r="A9309">
        <v>9307</v>
      </c>
      <c r="B9309">
        <v>9308</v>
      </c>
      <c r="C9309" t="s">
        <v>9387</v>
      </c>
      <c r="D9309">
        <v>2010</v>
      </c>
      <c r="E9309" t="s">
        <v>36</v>
      </c>
      <c r="F9309" t="s">
        <v>2426</v>
      </c>
      <c r="G9309">
        <v>0</v>
      </c>
      <c r="H9309">
        <v>0</v>
      </c>
      <c r="I9309">
        <v>0</v>
      </c>
      <c r="J9309">
        <v>1</v>
      </c>
      <c r="K9309">
        <v>0</v>
      </c>
      <c r="L9309">
        <f t="shared" si="290"/>
        <v>4.8</v>
      </c>
      <c r="M9309">
        <f t="shared" si="291"/>
        <v>1</v>
      </c>
    </row>
    <row r="9310" spans="1:13" x14ac:dyDescent="0.3">
      <c r="A9310">
        <v>9308</v>
      </c>
      <c r="B9310">
        <v>9309</v>
      </c>
      <c r="C9310" t="s">
        <v>9388</v>
      </c>
      <c r="D9310">
        <v>1938</v>
      </c>
      <c r="F9310" t="s">
        <v>2426</v>
      </c>
      <c r="G9310">
        <v>0</v>
      </c>
      <c r="H9310">
        <v>0</v>
      </c>
      <c r="I9310">
        <v>0</v>
      </c>
      <c r="J9310">
        <v>1</v>
      </c>
      <c r="K9310">
        <v>0</v>
      </c>
      <c r="L9310">
        <f t="shared" si="290"/>
        <v>4.8</v>
      </c>
      <c r="M9310">
        <f t="shared" si="291"/>
        <v>1</v>
      </c>
    </row>
    <row r="9311" spans="1:13" x14ac:dyDescent="0.3">
      <c r="A9311">
        <v>9309</v>
      </c>
      <c r="B9311">
        <v>9310</v>
      </c>
      <c r="C9311" t="s">
        <v>9389</v>
      </c>
      <c r="D9311">
        <v>1965</v>
      </c>
      <c r="E9311" t="s">
        <v>14</v>
      </c>
      <c r="F9311" t="s">
        <v>2426</v>
      </c>
      <c r="G9311">
        <v>0</v>
      </c>
      <c r="H9311">
        <v>0</v>
      </c>
      <c r="I9311">
        <v>0</v>
      </c>
      <c r="J9311">
        <v>1</v>
      </c>
      <c r="K9311">
        <v>0</v>
      </c>
      <c r="L9311">
        <f t="shared" si="290"/>
        <v>4.8</v>
      </c>
      <c r="M9311">
        <f t="shared" si="291"/>
        <v>1</v>
      </c>
    </row>
    <row r="9312" spans="1:13" x14ac:dyDescent="0.3">
      <c r="A9312">
        <v>9310</v>
      </c>
      <c r="B9312">
        <v>9311</v>
      </c>
      <c r="C9312" t="s">
        <v>9390</v>
      </c>
      <c r="D9312">
        <v>2014</v>
      </c>
      <c r="F9312" t="s">
        <v>2426</v>
      </c>
      <c r="G9312">
        <v>0</v>
      </c>
      <c r="H9312">
        <v>0</v>
      </c>
      <c r="I9312">
        <v>0</v>
      </c>
      <c r="J9312">
        <v>1</v>
      </c>
      <c r="K9312">
        <v>0</v>
      </c>
      <c r="L9312">
        <f t="shared" si="290"/>
        <v>4.8</v>
      </c>
      <c r="M9312">
        <f t="shared" si="291"/>
        <v>1</v>
      </c>
    </row>
    <row r="9313" spans="1:13" x14ac:dyDescent="0.3">
      <c r="A9313">
        <v>9311</v>
      </c>
      <c r="B9313">
        <v>9312</v>
      </c>
      <c r="C9313" t="s">
        <v>9391</v>
      </c>
      <c r="D9313">
        <v>1953</v>
      </c>
      <c r="F9313" t="s">
        <v>2426</v>
      </c>
      <c r="G9313">
        <v>0</v>
      </c>
      <c r="H9313">
        <v>0</v>
      </c>
      <c r="I9313">
        <v>0</v>
      </c>
      <c r="J9313">
        <v>1</v>
      </c>
      <c r="K9313">
        <v>0</v>
      </c>
      <c r="L9313">
        <f t="shared" si="290"/>
        <v>4.8</v>
      </c>
      <c r="M9313">
        <f t="shared" si="291"/>
        <v>1</v>
      </c>
    </row>
    <row r="9314" spans="1:13" x14ac:dyDescent="0.3">
      <c r="A9314">
        <v>9312</v>
      </c>
      <c r="B9314">
        <v>9313</v>
      </c>
      <c r="C9314" t="s">
        <v>9392</v>
      </c>
      <c r="D9314">
        <v>1940</v>
      </c>
      <c r="F9314" t="s">
        <v>2426</v>
      </c>
      <c r="G9314">
        <v>0</v>
      </c>
      <c r="H9314">
        <v>0</v>
      </c>
      <c r="I9314">
        <v>0</v>
      </c>
      <c r="J9314">
        <v>1</v>
      </c>
      <c r="K9314">
        <v>0</v>
      </c>
      <c r="L9314">
        <f t="shared" si="290"/>
        <v>4.8</v>
      </c>
      <c r="M9314">
        <f t="shared" si="291"/>
        <v>1</v>
      </c>
    </row>
    <row r="9315" spans="1:13" x14ac:dyDescent="0.3">
      <c r="A9315">
        <v>9313</v>
      </c>
      <c r="B9315">
        <v>9314</v>
      </c>
      <c r="C9315" t="s">
        <v>9393</v>
      </c>
      <c r="D9315">
        <v>1939</v>
      </c>
      <c r="E9315" t="s">
        <v>36</v>
      </c>
      <c r="F9315" t="s">
        <v>2426</v>
      </c>
      <c r="G9315">
        <v>0</v>
      </c>
      <c r="H9315">
        <v>0</v>
      </c>
      <c r="I9315">
        <v>0</v>
      </c>
      <c r="J9315">
        <v>1</v>
      </c>
      <c r="K9315">
        <v>0</v>
      </c>
      <c r="L9315">
        <f t="shared" si="290"/>
        <v>4.8</v>
      </c>
      <c r="M9315">
        <f t="shared" si="291"/>
        <v>1</v>
      </c>
    </row>
    <row r="9316" spans="1:13" x14ac:dyDescent="0.3">
      <c r="A9316">
        <v>9314</v>
      </c>
      <c r="B9316">
        <v>9315</v>
      </c>
      <c r="C9316" t="s">
        <v>9394</v>
      </c>
      <c r="D9316">
        <v>1959</v>
      </c>
      <c r="E9316" t="s">
        <v>14</v>
      </c>
      <c r="F9316" t="s">
        <v>2426</v>
      </c>
      <c r="G9316">
        <v>0</v>
      </c>
      <c r="H9316">
        <v>0</v>
      </c>
      <c r="I9316">
        <v>0</v>
      </c>
      <c r="J9316">
        <v>1</v>
      </c>
      <c r="K9316">
        <v>0</v>
      </c>
      <c r="L9316">
        <f t="shared" si="290"/>
        <v>4.8</v>
      </c>
      <c r="M9316">
        <f t="shared" si="291"/>
        <v>1</v>
      </c>
    </row>
    <row r="9317" spans="1:13" x14ac:dyDescent="0.3">
      <c r="A9317">
        <v>9315</v>
      </c>
      <c r="B9317">
        <v>9316</v>
      </c>
      <c r="C9317" t="s">
        <v>9395</v>
      </c>
      <c r="D9317">
        <v>2012</v>
      </c>
      <c r="E9317" t="s">
        <v>36</v>
      </c>
      <c r="F9317" t="s">
        <v>2426</v>
      </c>
      <c r="G9317">
        <v>0</v>
      </c>
      <c r="H9317">
        <v>0</v>
      </c>
      <c r="I9317">
        <v>0</v>
      </c>
      <c r="J9317">
        <v>1</v>
      </c>
      <c r="K9317">
        <v>0</v>
      </c>
      <c r="L9317">
        <f t="shared" si="290"/>
        <v>4.8</v>
      </c>
      <c r="M9317">
        <f t="shared" si="291"/>
        <v>1</v>
      </c>
    </row>
    <row r="9318" spans="1:13" x14ac:dyDescent="0.3">
      <c r="A9318">
        <v>9316</v>
      </c>
      <c r="B9318">
        <v>9317</v>
      </c>
      <c r="C9318" t="s">
        <v>9396</v>
      </c>
      <c r="D9318">
        <v>2019</v>
      </c>
      <c r="F9318" t="s">
        <v>2426</v>
      </c>
      <c r="G9318">
        <v>0</v>
      </c>
      <c r="H9318">
        <v>0</v>
      </c>
      <c r="I9318">
        <v>0</v>
      </c>
      <c r="J9318">
        <v>1</v>
      </c>
      <c r="K9318">
        <v>0</v>
      </c>
      <c r="L9318">
        <f t="shared" si="290"/>
        <v>4.8</v>
      </c>
      <c r="M9318">
        <f t="shared" si="291"/>
        <v>1</v>
      </c>
    </row>
    <row r="9319" spans="1:13" x14ac:dyDescent="0.3">
      <c r="A9319">
        <v>9317</v>
      </c>
      <c r="B9319">
        <v>9318</v>
      </c>
      <c r="C9319" t="s">
        <v>9397</v>
      </c>
      <c r="D9319">
        <v>2021</v>
      </c>
      <c r="E9319" t="s">
        <v>22</v>
      </c>
      <c r="F9319" t="s">
        <v>2540</v>
      </c>
      <c r="G9319">
        <v>0</v>
      </c>
      <c r="H9319">
        <v>0</v>
      </c>
      <c r="I9319">
        <v>0</v>
      </c>
      <c r="J9319">
        <v>1</v>
      </c>
      <c r="K9319">
        <v>0</v>
      </c>
      <c r="L9319">
        <f t="shared" si="290"/>
        <v>4.7</v>
      </c>
      <c r="M9319">
        <f t="shared" si="291"/>
        <v>1</v>
      </c>
    </row>
    <row r="9320" spans="1:13" x14ac:dyDescent="0.3">
      <c r="A9320">
        <v>9318</v>
      </c>
      <c r="B9320">
        <v>9319</v>
      </c>
      <c r="C9320" t="s">
        <v>9398</v>
      </c>
      <c r="D9320">
        <v>1947</v>
      </c>
      <c r="F9320" t="s">
        <v>2540</v>
      </c>
      <c r="G9320">
        <v>0</v>
      </c>
      <c r="H9320">
        <v>0</v>
      </c>
      <c r="I9320">
        <v>0</v>
      </c>
      <c r="J9320">
        <v>1</v>
      </c>
      <c r="K9320">
        <v>0</v>
      </c>
      <c r="L9320">
        <f t="shared" si="290"/>
        <v>4.7</v>
      </c>
      <c r="M9320">
        <f t="shared" si="291"/>
        <v>1</v>
      </c>
    </row>
    <row r="9321" spans="1:13" x14ac:dyDescent="0.3">
      <c r="A9321">
        <v>9319</v>
      </c>
      <c r="B9321">
        <v>9320</v>
      </c>
      <c r="C9321" t="s">
        <v>9399</v>
      </c>
      <c r="D9321">
        <v>2008</v>
      </c>
      <c r="E9321" t="s">
        <v>14</v>
      </c>
      <c r="F9321" t="s">
        <v>2540</v>
      </c>
      <c r="G9321">
        <v>0</v>
      </c>
      <c r="H9321">
        <v>0</v>
      </c>
      <c r="I9321">
        <v>0</v>
      </c>
      <c r="J9321">
        <v>1</v>
      </c>
      <c r="K9321">
        <v>0</v>
      </c>
      <c r="L9321">
        <f t="shared" si="290"/>
        <v>4.7</v>
      </c>
      <c r="M9321">
        <f t="shared" si="291"/>
        <v>1</v>
      </c>
    </row>
    <row r="9322" spans="1:13" x14ac:dyDescent="0.3">
      <c r="A9322">
        <v>9320</v>
      </c>
      <c r="B9322">
        <v>9321</v>
      </c>
      <c r="C9322" t="s">
        <v>9400</v>
      </c>
      <c r="D9322">
        <v>2019</v>
      </c>
      <c r="F9322" t="s">
        <v>2540</v>
      </c>
      <c r="G9322">
        <v>0</v>
      </c>
      <c r="H9322">
        <v>0</v>
      </c>
      <c r="I9322">
        <v>0</v>
      </c>
      <c r="J9322">
        <v>1</v>
      </c>
      <c r="K9322">
        <v>0</v>
      </c>
      <c r="L9322">
        <f t="shared" si="290"/>
        <v>4.7</v>
      </c>
      <c r="M9322">
        <f t="shared" si="291"/>
        <v>1</v>
      </c>
    </row>
    <row r="9323" spans="1:13" x14ac:dyDescent="0.3">
      <c r="A9323">
        <v>9321</v>
      </c>
      <c r="B9323">
        <v>9322</v>
      </c>
      <c r="C9323" t="s">
        <v>9401</v>
      </c>
      <c r="D9323">
        <v>1935</v>
      </c>
      <c r="F9323" t="s">
        <v>2540</v>
      </c>
      <c r="G9323">
        <v>0</v>
      </c>
      <c r="H9323">
        <v>0</v>
      </c>
      <c r="I9323">
        <v>0</v>
      </c>
      <c r="J9323">
        <v>1</v>
      </c>
      <c r="K9323">
        <v>0</v>
      </c>
      <c r="L9323">
        <f t="shared" si="290"/>
        <v>4.7</v>
      </c>
      <c r="M9323">
        <f t="shared" si="291"/>
        <v>1</v>
      </c>
    </row>
    <row r="9324" spans="1:13" x14ac:dyDescent="0.3">
      <c r="A9324">
        <v>9322</v>
      </c>
      <c r="B9324">
        <v>9323</v>
      </c>
      <c r="C9324" t="s">
        <v>9402</v>
      </c>
      <c r="D9324">
        <v>2003</v>
      </c>
      <c r="E9324" t="s">
        <v>36</v>
      </c>
      <c r="F9324" t="s">
        <v>2540</v>
      </c>
      <c r="G9324">
        <v>0</v>
      </c>
      <c r="H9324">
        <v>0</v>
      </c>
      <c r="I9324">
        <v>0</v>
      </c>
      <c r="J9324">
        <v>1</v>
      </c>
      <c r="K9324">
        <v>0</v>
      </c>
      <c r="L9324">
        <f t="shared" si="290"/>
        <v>4.7</v>
      </c>
      <c r="M9324">
        <f t="shared" si="291"/>
        <v>1</v>
      </c>
    </row>
    <row r="9325" spans="1:13" x14ac:dyDescent="0.3">
      <c r="A9325">
        <v>9323</v>
      </c>
      <c r="B9325">
        <v>9324</v>
      </c>
      <c r="C9325" t="s">
        <v>9403</v>
      </c>
      <c r="D9325">
        <v>2003</v>
      </c>
      <c r="E9325" t="s">
        <v>36</v>
      </c>
      <c r="F9325" t="s">
        <v>2540</v>
      </c>
      <c r="G9325">
        <v>0</v>
      </c>
      <c r="H9325">
        <v>0</v>
      </c>
      <c r="I9325">
        <v>0</v>
      </c>
      <c r="J9325">
        <v>1</v>
      </c>
      <c r="K9325">
        <v>0</v>
      </c>
      <c r="L9325">
        <f t="shared" si="290"/>
        <v>4.7</v>
      </c>
      <c r="M9325">
        <f t="shared" si="291"/>
        <v>1</v>
      </c>
    </row>
    <row r="9326" spans="1:13" x14ac:dyDescent="0.3">
      <c r="A9326">
        <v>9324</v>
      </c>
      <c r="B9326">
        <v>9325</v>
      </c>
      <c r="C9326" t="s">
        <v>9404</v>
      </c>
      <c r="D9326">
        <v>2019</v>
      </c>
      <c r="F9326" t="s">
        <v>2540</v>
      </c>
      <c r="G9326">
        <v>0</v>
      </c>
      <c r="H9326">
        <v>0</v>
      </c>
      <c r="I9326">
        <v>0</v>
      </c>
      <c r="J9326">
        <v>1</v>
      </c>
      <c r="K9326">
        <v>0</v>
      </c>
      <c r="L9326">
        <f t="shared" si="290"/>
        <v>4.7</v>
      </c>
      <c r="M9326">
        <f t="shared" si="291"/>
        <v>1</v>
      </c>
    </row>
    <row r="9327" spans="1:13" x14ac:dyDescent="0.3">
      <c r="A9327">
        <v>9325</v>
      </c>
      <c r="B9327">
        <v>9326</v>
      </c>
      <c r="C9327" t="s">
        <v>9405</v>
      </c>
      <c r="D9327">
        <v>1943</v>
      </c>
      <c r="F9327" t="s">
        <v>2540</v>
      </c>
      <c r="G9327">
        <v>0</v>
      </c>
      <c r="H9327">
        <v>0</v>
      </c>
      <c r="I9327">
        <v>0</v>
      </c>
      <c r="J9327">
        <v>1</v>
      </c>
      <c r="K9327">
        <v>0</v>
      </c>
      <c r="L9327">
        <f t="shared" si="290"/>
        <v>4.7</v>
      </c>
      <c r="M9327">
        <f t="shared" si="291"/>
        <v>1</v>
      </c>
    </row>
    <row r="9328" spans="1:13" x14ac:dyDescent="0.3">
      <c r="A9328">
        <v>9326</v>
      </c>
      <c r="B9328">
        <v>9327</v>
      </c>
      <c r="C9328" t="s">
        <v>9406</v>
      </c>
      <c r="D9328">
        <v>2000</v>
      </c>
      <c r="E9328" t="s">
        <v>36</v>
      </c>
      <c r="F9328" t="s">
        <v>2540</v>
      </c>
      <c r="G9328">
        <v>0</v>
      </c>
      <c r="H9328">
        <v>0</v>
      </c>
      <c r="I9328">
        <v>0</v>
      </c>
      <c r="J9328">
        <v>1</v>
      </c>
      <c r="K9328">
        <v>0</v>
      </c>
      <c r="L9328">
        <f t="shared" si="290"/>
        <v>4.7</v>
      </c>
      <c r="M9328">
        <f t="shared" si="291"/>
        <v>1</v>
      </c>
    </row>
    <row r="9329" spans="1:13" x14ac:dyDescent="0.3">
      <c r="A9329">
        <v>9327</v>
      </c>
      <c r="B9329">
        <v>9328</v>
      </c>
      <c r="C9329" t="s">
        <v>9407</v>
      </c>
      <c r="D9329">
        <v>1953</v>
      </c>
      <c r="F9329" t="s">
        <v>2540</v>
      </c>
      <c r="G9329">
        <v>0</v>
      </c>
      <c r="H9329">
        <v>0</v>
      </c>
      <c r="I9329">
        <v>0</v>
      </c>
      <c r="J9329">
        <v>1</v>
      </c>
      <c r="K9329">
        <v>0</v>
      </c>
      <c r="L9329">
        <f t="shared" si="290"/>
        <v>4.7</v>
      </c>
      <c r="M9329">
        <f t="shared" si="291"/>
        <v>1</v>
      </c>
    </row>
    <row r="9330" spans="1:13" x14ac:dyDescent="0.3">
      <c r="A9330">
        <v>9328</v>
      </c>
      <c r="B9330">
        <v>9329</v>
      </c>
      <c r="C9330" t="s">
        <v>9408</v>
      </c>
      <c r="D9330">
        <v>2018</v>
      </c>
      <c r="F9330" t="s">
        <v>2540</v>
      </c>
      <c r="G9330">
        <v>0</v>
      </c>
      <c r="H9330">
        <v>0</v>
      </c>
      <c r="I9330">
        <v>0</v>
      </c>
      <c r="J9330">
        <v>1</v>
      </c>
      <c r="K9330">
        <v>0</v>
      </c>
      <c r="L9330">
        <f t="shared" si="290"/>
        <v>4.7</v>
      </c>
      <c r="M9330">
        <f t="shared" si="291"/>
        <v>1</v>
      </c>
    </row>
    <row r="9331" spans="1:13" x14ac:dyDescent="0.3">
      <c r="A9331">
        <v>9329</v>
      </c>
      <c r="B9331">
        <v>9330</v>
      </c>
      <c r="C9331" t="s">
        <v>9409</v>
      </c>
      <c r="D9331">
        <v>2009</v>
      </c>
      <c r="E9331" t="s">
        <v>36</v>
      </c>
      <c r="F9331" t="s">
        <v>2540</v>
      </c>
      <c r="G9331">
        <v>0</v>
      </c>
      <c r="H9331">
        <v>0</v>
      </c>
      <c r="I9331">
        <v>0</v>
      </c>
      <c r="J9331">
        <v>1</v>
      </c>
      <c r="K9331">
        <v>0</v>
      </c>
      <c r="L9331">
        <f t="shared" si="290"/>
        <v>4.7</v>
      </c>
      <c r="M9331">
        <f t="shared" si="291"/>
        <v>1</v>
      </c>
    </row>
    <row r="9332" spans="1:13" x14ac:dyDescent="0.3">
      <c r="A9332">
        <v>9330</v>
      </c>
      <c r="B9332">
        <v>9331</v>
      </c>
      <c r="C9332" t="s">
        <v>9410</v>
      </c>
      <c r="D9332">
        <v>2019</v>
      </c>
      <c r="F9332" t="s">
        <v>2540</v>
      </c>
      <c r="G9332">
        <v>0</v>
      </c>
      <c r="H9332">
        <v>0</v>
      </c>
      <c r="I9332">
        <v>0</v>
      </c>
      <c r="J9332">
        <v>1</v>
      </c>
      <c r="K9332">
        <v>0</v>
      </c>
      <c r="L9332">
        <f t="shared" si="290"/>
        <v>4.7</v>
      </c>
      <c r="M9332">
        <f t="shared" si="291"/>
        <v>1</v>
      </c>
    </row>
    <row r="9333" spans="1:13" x14ac:dyDescent="0.3">
      <c r="A9333">
        <v>9331</v>
      </c>
      <c r="B9333">
        <v>9332</v>
      </c>
      <c r="C9333" t="s">
        <v>9411</v>
      </c>
      <c r="D9333">
        <v>1967</v>
      </c>
      <c r="F9333" t="s">
        <v>2540</v>
      </c>
      <c r="G9333">
        <v>0</v>
      </c>
      <c r="H9333">
        <v>0</v>
      </c>
      <c r="I9333">
        <v>0</v>
      </c>
      <c r="J9333">
        <v>1</v>
      </c>
      <c r="K9333">
        <v>0</v>
      </c>
      <c r="L9333">
        <f t="shared" si="290"/>
        <v>4.7</v>
      </c>
      <c r="M9333">
        <f t="shared" si="291"/>
        <v>1</v>
      </c>
    </row>
    <row r="9334" spans="1:13" x14ac:dyDescent="0.3">
      <c r="A9334">
        <v>9332</v>
      </c>
      <c r="B9334">
        <v>9333</v>
      </c>
      <c r="C9334" t="s">
        <v>9412</v>
      </c>
      <c r="D9334">
        <v>1955</v>
      </c>
      <c r="F9334" t="s">
        <v>2540</v>
      </c>
      <c r="G9334">
        <v>0</v>
      </c>
      <c r="H9334">
        <v>0</v>
      </c>
      <c r="I9334">
        <v>0</v>
      </c>
      <c r="J9334">
        <v>1</v>
      </c>
      <c r="K9334">
        <v>0</v>
      </c>
      <c r="L9334">
        <f t="shared" si="290"/>
        <v>4.7</v>
      </c>
      <c r="M9334">
        <f t="shared" si="291"/>
        <v>1</v>
      </c>
    </row>
    <row r="9335" spans="1:13" x14ac:dyDescent="0.3">
      <c r="A9335">
        <v>9333</v>
      </c>
      <c r="B9335">
        <v>9334</v>
      </c>
      <c r="C9335" t="s">
        <v>9413</v>
      </c>
      <c r="D9335">
        <v>1939</v>
      </c>
      <c r="F9335" t="s">
        <v>2540</v>
      </c>
      <c r="G9335">
        <v>0</v>
      </c>
      <c r="H9335">
        <v>0</v>
      </c>
      <c r="I9335">
        <v>0</v>
      </c>
      <c r="J9335">
        <v>1</v>
      </c>
      <c r="K9335">
        <v>0</v>
      </c>
      <c r="L9335">
        <f t="shared" si="290"/>
        <v>4.7</v>
      </c>
      <c r="M9335">
        <f t="shared" si="291"/>
        <v>1</v>
      </c>
    </row>
    <row r="9336" spans="1:13" x14ac:dyDescent="0.3">
      <c r="A9336">
        <v>9334</v>
      </c>
      <c r="B9336">
        <v>9335</v>
      </c>
      <c r="C9336" t="s">
        <v>9414</v>
      </c>
      <c r="D9336">
        <v>2019</v>
      </c>
      <c r="F9336" t="s">
        <v>2540</v>
      </c>
      <c r="G9336">
        <v>0</v>
      </c>
      <c r="H9336">
        <v>0</v>
      </c>
      <c r="I9336">
        <v>0</v>
      </c>
      <c r="J9336">
        <v>1</v>
      </c>
      <c r="K9336">
        <v>0</v>
      </c>
      <c r="L9336">
        <f t="shared" si="290"/>
        <v>4.7</v>
      </c>
      <c r="M9336">
        <f t="shared" si="291"/>
        <v>1</v>
      </c>
    </row>
    <row r="9337" spans="1:13" x14ac:dyDescent="0.3">
      <c r="A9337">
        <v>9335</v>
      </c>
      <c r="B9337">
        <v>9336</v>
      </c>
      <c r="C9337" t="s">
        <v>9415</v>
      </c>
      <c r="D9337">
        <v>1955</v>
      </c>
      <c r="F9337" t="s">
        <v>2540</v>
      </c>
      <c r="G9337">
        <v>0</v>
      </c>
      <c r="H9337">
        <v>0</v>
      </c>
      <c r="I9337">
        <v>0</v>
      </c>
      <c r="J9337">
        <v>1</v>
      </c>
      <c r="K9337">
        <v>0</v>
      </c>
      <c r="L9337">
        <f t="shared" si="290"/>
        <v>4.7</v>
      </c>
      <c r="M9337">
        <f t="shared" si="291"/>
        <v>1</v>
      </c>
    </row>
    <row r="9338" spans="1:13" x14ac:dyDescent="0.3">
      <c r="A9338">
        <v>9336</v>
      </c>
      <c r="B9338">
        <v>9337</v>
      </c>
      <c r="C9338" t="s">
        <v>9416</v>
      </c>
      <c r="D9338">
        <v>2020</v>
      </c>
      <c r="E9338" t="s">
        <v>14</v>
      </c>
      <c r="F9338" t="s">
        <v>2540</v>
      </c>
      <c r="G9338">
        <v>0</v>
      </c>
      <c r="H9338">
        <v>0</v>
      </c>
      <c r="I9338">
        <v>0</v>
      </c>
      <c r="J9338">
        <v>1</v>
      </c>
      <c r="K9338">
        <v>0</v>
      </c>
      <c r="L9338">
        <f t="shared" si="290"/>
        <v>4.7</v>
      </c>
      <c r="M9338">
        <f t="shared" si="291"/>
        <v>1</v>
      </c>
    </row>
    <row r="9339" spans="1:13" x14ac:dyDescent="0.3">
      <c r="A9339">
        <v>9337</v>
      </c>
      <c r="B9339">
        <v>9338</v>
      </c>
      <c r="C9339" t="s">
        <v>9417</v>
      </c>
      <c r="D9339">
        <v>1964</v>
      </c>
      <c r="E9339" t="s">
        <v>14</v>
      </c>
      <c r="F9339" t="s">
        <v>2540</v>
      </c>
      <c r="G9339">
        <v>0</v>
      </c>
      <c r="H9339">
        <v>0</v>
      </c>
      <c r="I9339">
        <v>0</v>
      </c>
      <c r="J9339">
        <v>1</v>
      </c>
      <c r="K9339">
        <v>0</v>
      </c>
      <c r="L9339">
        <f t="shared" si="290"/>
        <v>4.7</v>
      </c>
      <c r="M9339">
        <f t="shared" si="291"/>
        <v>1</v>
      </c>
    </row>
    <row r="9340" spans="1:13" x14ac:dyDescent="0.3">
      <c r="A9340">
        <v>9338</v>
      </c>
      <c r="B9340">
        <v>9339</v>
      </c>
      <c r="C9340" t="s">
        <v>9418</v>
      </c>
      <c r="D9340">
        <v>2020</v>
      </c>
      <c r="F9340" t="s">
        <v>2540</v>
      </c>
      <c r="G9340">
        <v>0</v>
      </c>
      <c r="H9340">
        <v>0</v>
      </c>
      <c r="I9340">
        <v>0</v>
      </c>
      <c r="J9340">
        <v>1</v>
      </c>
      <c r="K9340">
        <v>0</v>
      </c>
      <c r="L9340">
        <f t="shared" si="290"/>
        <v>4.7</v>
      </c>
      <c r="M9340">
        <f t="shared" si="291"/>
        <v>1</v>
      </c>
    </row>
    <row r="9341" spans="1:13" x14ac:dyDescent="0.3">
      <c r="A9341">
        <v>9339</v>
      </c>
      <c r="B9341">
        <v>9340</v>
      </c>
      <c r="C9341" t="s">
        <v>9419</v>
      </c>
      <c r="D9341">
        <v>2019</v>
      </c>
      <c r="E9341" t="s">
        <v>14</v>
      </c>
      <c r="F9341" t="s">
        <v>2540</v>
      </c>
      <c r="G9341">
        <v>0</v>
      </c>
      <c r="H9341">
        <v>0</v>
      </c>
      <c r="I9341">
        <v>0</v>
      </c>
      <c r="J9341">
        <v>1</v>
      </c>
      <c r="K9341">
        <v>0</v>
      </c>
      <c r="L9341">
        <f t="shared" si="290"/>
        <v>4.7</v>
      </c>
      <c r="M9341">
        <f t="shared" si="291"/>
        <v>1</v>
      </c>
    </row>
    <row r="9342" spans="1:13" x14ac:dyDescent="0.3">
      <c r="A9342">
        <v>9340</v>
      </c>
      <c r="B9342">
        <v>9341</v>
      </c>
      <c r="C9342" t="s">
        <v>9420</v>
      </c>
      <c r="D9342">
        <v>2005</v>
      </c>
      <c r="E9342" t="s">
        <v>14</v>
      </c>
      <c r="F9342" t="s">
        <v>2540</v>
      </c>
      <c r="G9342">
        <v>0</v>
      </c>
      <c r="H9342">
        <v>0</v>
      </c>
      <c r="I9342">
        <v>0</v>
      </c>
      <c r="J9342">
        <v>1</v>
      </c>
      <c r="K9342">
        <v>0</v>
      </c>
      <c r="L9342">
        <f t="shared" si="290"/>
        <v>4.7</v>
      </c>
      <c r="M9342">
        <f t="shared" si="291"/>
        <v>1</v>
      </c>
    </row>
    <row r="9343" spans="1:13" x14ac:dyDescent="0.3">
      <c r="A9343">
        <v>9341</v>
      </c>
      <c r="B9343">
        <v>9342</v>
      </c>
      <c r="C9343" t="s">
        <v>9421</v>
      </c>
      <c r="D9343">
        <v>1947</v>
      </c>
      <c r="F9343" t="s">
        <v>2540</v>
      </c>
      <c r="G9343">
        <v>0</v>
      </c>
      <c r="H9343">
        <v>0</v>
      </c>
      <c r="I9343">
        <v>0</v>
      </c>
      <c r="J9343">
        <v>1</v>
      </c>
      <c r="K9343">
        <v>0</v>
      </c>
      <c r="L9343">
        <f t="shared" si="290"/>
        <v>4.7</v>
      </c>
      <c r="M9343">
        <f t="shared" si="291"/>
        <v>1</v>
      </c>
    </row>
    <row r="9344" spans="1:13" x14ac:dyDescent="0.3">
      <c r="A9344">
        <v>9342</v>
      </c>
      <c r="B9344">
        <v>9343</v>
      </c>
      <c r="C9344" t="s">
        <v>9422</v>
      </c>
      <c r="D9344">
        <v>2008</v>
      </c>
      <c r="E9344" t="s">
        <v>14</v>
      </c>
      <c r="F9344" t="s">
        <v>2540</v>
      </c>
      <c r="G9344">
        <v>0</v>
      </c>
      <c r="H9344">
        <v>0</v>
      </c>
      <c r="I9344">
        <v>0</v>
      </c>
      <c r="J9344">
        <v>1</v>
      </c>
      <c r="K9344">
        <v>0</v>
      </c>
      <c r="L9344">
        <f t="shared" si="290"/>
        <v>4.7</v>
      </c>
      <c r="M9344">
        <f t="shared" si="291"/>
        <v>1</v>
      </c>
    </row>
    <row r="9345" spans="1:13" x14ac:dyDescent="0.3">
      <c r="A9345">
        <v>9343</v>
      </c>
      <c r="B9345">
        <v>9344</v>
      </c>
      <c r="C9345" t="s">
        <v>9423</v>
      </c>
      <c r="D9345">
        <v>1954</v>
      </c>
      <c r="F9345" t="s">
        <v>2633</v>
      </c>
      <c r="G9345">
        <v>0</v>
      </c>
      <c r="H9345">
        <v>0</v>
      </c>
      <c r="I9345">
        <v>0</v>
      </c>
      <c r="J9345">
        <v>1</v>
      </c>
      <c r="K9345">
        <v>0</v>
      </c>
      <c r="L9345">
        <f t="shared" si="290"/>
        <v>4.5999999999999996</v>
      </c>
      <c r="M9345">
        <f t="shared" si="291"/>
        <v>1</v>
      </c>
    </row>
    <row r="9346" spans="1:13" x14ac:dyDescent="0.3">
      <c r="A9346">
        <v>9344</v>
      </c>
      <c r="B9346">
        <v>9345</v>
      </c>
      <c r="C9346" t="s">
        <v>9424</v>
      </c>
      <c r="D9346">
        <v>1976</v>
      </c>
      <c r="E9346" t="s">
        <v>36</v>
      </c>
      <c r="F9346" t="s">
        <v>2633</v>
      </c>
      <c r="G9346">
        <v>0</v>
      </c>
      <c r="H9346">
        <v>0</v>
      </c>
      <c r="I9346">
        <v>0</v>
      </c>
      <c r="J9346">
        <v>1</v>
      </c>
      <c r="K9346">
        <v>0</v>
      </c>
      <c r="L9346">
        <f t="shared" si="290"/>
        <v>4.5999999999999996</v>
      </c>
      <c r="M9346">
        <f t="shared" si="291"/>
        <v>1</v>
      </c>
    </row>
    <row r="9347" spans="1:13" x14ac:dyDescent="0.3">
      <c r="A9347">
        <v>9345</v>
      </c>
      <c r="B9347">
        <v>9346</v>
      </c>
      <c r="C9347" t="s">
        <v>9425</v>
      </c>
      <c r="D9347">
        <v>1952</v>
      </c>
      <c r="F9347" t="s">
        <v>2633</v>
      </c>
      <c r="G9347">
        <v>0</v>
      </c>
      <c r="H9347">
        <v>0</v>
      </c>
      <c r="I9347">
        <v>0</v>
      </c>
      <c r="J9347">
        <v>1</v>
      </c>
      <c r="K9347">
        <v>0</v>
      </c>
      <c r="L9347">
        <f t="shared" ref="L9347:L9410" si="292">IFERROR(VALUE(LEFT(F9347,FIND("/",F9347)-1))/10,"")</f>
        <v>4.5999999999999996</v>
      </c>
      <c r="M9347">
        <f t="shared" ref="M9347:M9410" si="293">SUM(G9347:J9347)</f>
        <v>1</v>
      </c>
    </row>
    <row r="9348" spans="1:13" x14ac:dyDescent="0.3">
      <c r="A9348">
        <v>9346</v>
      </c>
      <c r="B9348">
        <v>9347</v>
      </c>
      <c r="C9348" t="s">
        <v>9426</v>
      </c>
      <c r="D9348">
        <v>1972</v>
      </c>
      <c r="E9348" t="s">
        <v>36</v>
      </c>
      <c r="F9348" t="s">
        <v>2633</v>
      </c>
      <c r="G9348">
        <v>0</v>
      </c>
      <c r="H9348">
        <v>0</v>
      </c>
      <c r="I9348">
        <v>0</v>
      </c>
      <c r="J9348">
        <v>1</v>
      </c>
      <c r="K9348">
        <v>0</v>
      </c>
      <c r="L9348">
        <f t="shared" si="292"/>
        <v>4.5999999999999996</v>
      </c>
      <c r="M9348">
        <f t="shared" si="293"/>
        <v>1</v>
      </c>
    </row>
    <row r="9349" spans="1:13" x14ac:dyDescent="0.3">
      <c r="A9349">
        <v>9347</v>
      </c>
      <c r="B9349">
        <v>9348</v>
      </c>
      <c r="C9349" t="s">
        <v>9427</v>
      </c>
      <c r="D9349">
        <v>1952</v>
      </c>
      <c r="F9349" t="s">
        <v>2633</v>
      </c>
      <c r="G9349">
        <v>0</v>
      </c>
      <c r="H9349">
        <v>0</v>
      </c>
      <c r="I9349">
        <v>0</v>
      </c>
      <c r="J9349">
        <v>1</v>
      </c>
      <c r="K9349">
        <v>0</v>
      </c>
      <c r="L9349">
        <f t="shared" si="292"/>
        <v>4.5999999999999996</v>
      </c>
      <c r="M9349">
        <f t="shared" si="293"/>
        <v>1</v>
      </c>
    </row>
    <row r="9350" spans="1:13" x14ac:dyDescent="0.3">
      <c r="A9350">
        <v>9348</v>
      </c>
      <c r="B9350">
        <v>9349</v>
      </c>
      <c r="C9350" t="s">
        <v>9428</v>
      </c>
      <c r="D9350">
        <v>2016</v>
      </c>
      <c r="F9350" t="s">
        <v>2633</v>
      </c>
      <c r="G9350">
        <v>0</v>
      </c>
      <c r="H9350">
        <v>0</v>
      </c>
      <c r="I9350">
        <v>0</v>
      </c>
      <c r="J9350">
        <v>1</v>
      </c>
      <c r="K9350">
        <v>0</v>
      </c>
      <c r="L9350">
        <f t="shared" si="292"/>
        <v>4.5999999999999996</v>
      </c>
      <c r="M9350">
        <f t="shared" si="293"/>
        <v>1</v>
      </c>
    </row>
    <row r="9351" spans="1:13" x14ac:dyDescent="0.3">
      <c r="A9351">
        <v>9349</v>
      </c>
      <c r="B9351">
        <v>9350</v>
      </c>
      <c r="C9351" t="s">
        <v>9429</v>
      </c>
      <c r="D9351">
        <v>2008</v>
      </c>
      <c r="E9351" t="s">
        <v>36</v>
      </c>
      <c r="F9351" t="s">
        <v>2633</v>
      </c>
      <c r="G9351">
        <v>0</v>
      </c>
      <c r="H9351">
        <v>0</v>
      </c>
      <c r="I9351">
        <v>0</v>
      </c>
      <c r="J9351">
        <v>1</v>
      </c>
      <c r="K9351">
        <v>0</v>
      </c>
      <c r="L9351">
        <f t="shared" si="292"/>
        <v>4.5999999999999996</v>
      </c>
      <c r="M9351">
        <f t="shared" si="293"/>
        <v>1</v>
      </c>
    </row>
    <row r="9352" spans="1:13" x14ac:dyDescent="0.3">
      <c r="A9352">
        <v>9350</v>
      </c>
      <c r="B9352">
        <v>9351</v>
      </c>
      <c r="C9352" t="s">
        <v>9430</v>
      </c>
      <c r="D9352">
        <v>1955</v>
      </c>
      <c r="F9352" t="s">
        <v>2633</v>
      </c>
      <c r="G9352">
        <v>0</v>
      </c>
      <c r="H9352">
        <v>0</v>
      </c>
      <c r="I9352">
        <v>0</v>
      </c>
      <c r="J9352">
        <v>1</v>
      </c>
      <c r="K9352">
        <v>0</v>
      </c>
      <c r="L9352">
        <f t="shared" si="292"/>
        <v>4.5999999999999996</v>
      </c>
      <c r="M9352">
        <f t="shared" si="293"/>
        <v>1</v>
      </c>
    </row>
    <row r="9353" spans="1:13" x14ac:dyDescent="0.3">
      <c r="A9353">
        <v>9351</v>
      </c>
      <c r="B9353">
        <v>9352</v>
      </c>
      <c r="C9353" t="s">
        <v>9431</v>
      </c>
      <c r="D9353">
        <v>1998</v>
      </c>
      <c r="F9353" t="s">
        <v>2633</v>
      </c>
      <c r="G9353">
        <v>0</v>
      </c>
      <c r="H9353">
        <v>0</v>
      </c>
      <c r="I9353">
        <v>0</v>
      </c>
      <c r="J9353">
        <v>1</v>
      </c>
      <c r="K9353">
        <v>0</v>
      </c>
      <c r="L9353">
        <f t="shared" si="292"/>
        <v>4.5999999999999996</v>
      </c>
      <c r="M9353">
        <f t="shared" si="293"/>
        <v>1</v>
      </c>
    </row>
    <row r="9354" spans="1:13" x14ac:dyDescent="0.3">
      <c r="A9354">
        <v>9352</v>
      </c>
      <c r="B9354">
        <v>9353</v>
      </c>
      <c r="C9354" t="s">
        <v>9432</v>
      </c>
      <c r="D9354">
        <v>2021</v>
      </c>
      <c r="E9354" t="s">
        <v>14</v>
      </c>
      <c r="F9354" t="s">
        <v>2633</v>
      </c>
      <c r="G9354">
        <v>0</v>
      </c>
      <c r="H9354">
        <v>0</v>
      </c>
      <c r="I9354">
        <v>0</v>
      </c>
      <c r="J9354">
        <v>1</v>
      </c>
      <c r="K9354">
        <v>0</v>
      </c>
      <c r="L9354">
        <f t="shared" si="292"/>
        <v>4.5999999999999996</v>
      </c>
      <c r="M9354">
        <f t="shared" si="293"/>
        <v>1</v>
      </c>
    </row>
    <row r="9355" spans="1:13" x14ac:dyDescent="0.3">
      <c r="A9355">
        <v>9353</v>
      </c>
      <c r="B9355">
        <v>9354</v>
      </c>
      <c r="C9355" t="s">
        <v>9433</v>
      </c>
      <c r="D9355">
        <v>2003</v>
      </c>
      <c r="E9355" t="s">
        <v>36</v>
      </c>
      <c r="F9355" t="s">
        <v>2633</v>
      </c>
      <c r="G9355">
        <v>0</v>
      </c>
      <c r="H9355">
        <v>0</v>
      </c>
      <c r="I9355">
        <v>0</v>
      </c>
      <c r="J9355">
        <v>1</v>
      </c>
      <c r="K9355">
        <v>0</v>
      </c>
      <c r="L9355">
        <f t="shared" si="292"/>
        <v>4.5999999999999996</v>
      </c>
      <c r="M9355">
        <f t="shared" si="293"/>
        <v>1</v>
      </c>
    </row>
    <row r="9356" spans="1:13" x14ac:dyDescent="0.3">
      <c r="A9356">
        <v>9354</v>
      </c>
      <c r="B9356">
        <v>9355</v>
      </c>
      <c r="C9356" t="s">
        <v>9434</v>
      </c>
      <c r="D9356">
        <v>1950</v>
      </c>
      <c r="F9356" t="s">
        <v>2633</v>
      </c>
      <c r="G9356">
        <v>0</v>
      </c>
      <c r="H9356">
        <v>0</v>
      </c>
      <c r="I9356">
        <v>0</v>
      </c>
      <c r="J9356">
        <v>1</v>
      </c>
      <c r="K9356">
        <v>0</v>
      </c>
      <c r="L9356">
        <f t="shared" si="292"/>
        <v>4.5999999999999996</v>
      </c>
      <c r="M9356">
        <f t="shared" si="293"/>
        <v>1</v>
      </c>
    </row>
    <row r="9357" spans="1:13" x14ac:dyDescent="0.3">
      <c r="A9357">
        <v>9355</v>
      </c>
      <c r="B9357">
        <v>9356</v>
      </c>
      <c r="C9357" t="s">
        <v>9435</v>
      </c>
      <c r="D9357">
        <v>2007</v>
      </c>
      <c r="E9357" t="s">
        <v>36</v>
      </c>
      <c r="F9357" t="s">
        <v>2633</v>
      </c>
      <c r="G9357">
        <v>0</v>
      </c>
      <c r="H9357">
        <v>0</v>
      </c>
      <c r="I9357">
        <v>0</v>
      </c>
      <c r="J9357">
        <v>1</v>
      </c>
      <c r="K9357">
        <v>0</v>
      </c>
      <c r="L9357">
        <f t="shared" si="292"/>
        <v>4.5999999999999996</v>
      </c>
      <c r="M9357">
        <f t="shared" si="293"/>
        <v>1</v>
      </c>
    </row>
    <row r="9358" spans="1:13" x14ac:dyDescent="0.3">
      <c r="A9358">
        <v>9356</v>
      </c>
      <c r="B9358">
        <v>9357</v>
      </c>
      <c r="C9358" t="s">
        <v>9436</v>
      </c>
      <c r="D9358">
        <v>2019</v>
      </c>
      <c r="F9358" t="s">
        <v>2633</v>
      </c>
      <c r="G9358">
        <v>0</v>
      </c>
      <c r="H9358">
        <v>0</v>
      </c>
      <c r="I9358">
        <v>0</v>
      </c>
      <c r="J9358">
        <v>1</v>
      </c>
      <c r="K9358">
        <v>0</v>
      </c>
      <c r="L9358">
        <f t="shared" si="292"/>
        <v>4.5999999999999996</v>
      </c>
      <c r="M9358">
        <f t="shared" si="293"/>
        <v>1</v>
      </c>
    </row>
    <row r="9359" spans="1:13" x14ac:dyDescent="0.3">
      <c r="A9359">
        <v>9357</v>
      </c>
      <c r="B9359">
        <v>9358</v>
      </c>
      <c r="C9359" t="s">
        <v>9437</v>
      </c>
      <c r="D9359">
        <v>1999</v>
      </c>
      <c r="E9359" t="s">
        <v>14</v>
      </c>
      <c r="F9359" t="s">
        <v>2633</v>
      </c>
      <c r="G9359">
        <v>0</v>
      </c>
      <c r="H9359">
        <v>0</v>
      </c>
      <c r="I9359">
        <v>0</v>
      </c>
      <c r="J9359">
        <v>1</v>
      </c>
      <c r="K9359">
        <v>0</v>
      </c>
      <c r="L9359">
        <f t="shared" si="292"/>
        <v>4.5999999999999996</v>
      </c>
      <c r="M9359">
        <f t="shared" si="293"/>
        <v>1</v>
      </c>
    </row>
    <row r="9360" spans="1:13" x14ac:dyDescent="0.3">
      <c r="A9360">
        <v>9358</v>
      </c>
      <c r="B9360">
        <v>9359</v>
      </c>
      <c r="C9360" t="s">
        <v>9438</v>
      </c>
      <c r="D9360">
        <v>2019</v>
      </c>
      <c r="E9360" t="s">
        <v>14</v>
      </c>
      <c r="F9360" t="s">
        <v>2633</v>
      </c>
      <c r="G9360">
        <v>0</v>
      </c>
      <c r="H9360">
        <v>0</v>
      </c>
      <c r="I9360">
        <v>0</v>
      </c>
      <c r="J9360">
        <v>1</v>
      </c>
      <c r="K9360">
        <v>0</v>
      </c>
      <c r="L9360">
        <f t="shared" si="292"/>
        <v>4.5999999999999996</v>
      </c>
      <c r="M9360">
        <f t="shared" si="293"/>
        <v>1</v>
      </c>
    </row>
    <row r="9361" spans="1:13" x14ac:dyDescent="0.3">
      <c r="A9361">
        <v>9359</v>
      </c>
      <c r="B9361">
        <v>9360</v>
      </c>
      <c r="C9361" t="s">
        <v>9439</v>
      </c>
      <c r="D9361">
        <v>2020</v>
      </c>
      <c r="F9361" t="s">
        <v>2633</v>
      </c>
      <c r="G9361">
        <v>0</v>
      </c>
      <c r="H9361">
        <v>0</v>
      </c>
      <c r="I9361">
        <v>0</v>
      </c>
      <c r="J9361">
        <v>1</v>
      </c>
      <c r="K9361">
        <v>0</v>
      </c>
      <c r="L9361">
        <f t="shared" si="292"/>
        <v>4.5999999999999996</v>
      </c>
      <c r="M9361">
        <f t="shared" si="293"/>
        <v>1</v>
      </c>
    </row>
    <row r="9362" spans="1:13" x14ac:dyDescent="0.3">
      <c r="A9362">
        <v>9360</v>
      </c>
      <c r="B9362">
        <v>9361</v>
      </c>
      <c r="C9362" t="s">
        <v>9440</v>
      </c>
      <c r="D9362">
        <v>1948</v>
      </c>
      <c r="F9362" t="s">
        <v>2633</v>
      </c>
      <c r="G9362">
        <v>0</v>
      </c>
      <c r="H9362">
        <v>0</v>
      </c>
      <c r="I9362">
        <v>0</v>
      </c>
      <c r="J9362">
        <v>1</v>
      </c>
      <c r="K9362">
        <v>0</v>
      </c>
      <c r="L9362">
        <f t="shared" si="292"/>
        <v>4.5999999999999996</v>
      </c>
      <c r="M9362">
        <f t="shared" si="293"/>
        <v>1</v>
      </c>
    </row>
    <row r="9363" spans="1:13" x14ac:dyDescent="0.3">
      <c r="A9363">
        <v>9361</v>
      </c>
      <c r="B9363">
        <v>9362</v>
      </c>
      <c r="C9363" t="s">
        <v>9441</v>
      </c>
      <c r="D9363">
        <v>1950</v>
      </c>
      <c r="F9363" t="s">
        <v>2633</v>
      </c>
      <c r="G9363">
        <v>0</v>
      </c>
      <c r="H9363">
        <v>0</v>
      </c>
      <c r="I9363">
        <v>0</v>
      </c>
      <c r="J9363">
        <v>1</v>
      </c>
      <c r="K9363">
        <v>0</v>
      </c>
      <c r="L9363">
        <f t="shared" si="292"/>
        <v>4.5999999999999996</v>
      </c>
      <c r="M9363">
        <f t="shared" si="293"/>
        <v>1</v>
      </c>
    </row>
    <row r="9364" spans="1:13" x14ac:dyDescent="0.3">
      <c r="A9364">
        <v>9362</v>
      </c>
      <c r="B9364">
        <v>9363</v>
      </c>
      <c r="C9364" t="s">
        <v>9442</v>
      </c>
      <c r="D9364">
        <v>2017</v>
      </c>
      <c r="E9364" t="s">
        <v>14</v>
      </c>
      <c r="F9364" t="s">
        <v>2633</v>
      </c>
      <c r="G9364">
        <v>0</v>
      </c>
      <c r="H9364">
        <v>0</v>
      </c>
      <c r="I9364">
        <v>0</v>
      </c>
      <c r="J9364">
        <v>1</v>
      </c>
      <c r="K9364">
        <v>0</v>
      </c>
      <c r="L9364">
        <f t="shared" si="292"/>
        <v>4.5999999999999996</v>
      </c>
      <c r="M9364">
        <f t="shared" si="293"/>
        <v>1</v>
      </c>
    </row>
    <row r="9365" spans="1:13" x14ac:dyDescent="0.3">
      <c r="A9365">
        <v>9363</v>
      </c>
      <c r="B9365">
        <v>9364</v>
      </c>
      <c r="C9365" t="s">
        <v>9443</v>
      </c>
      <c r="D9365">
        <v>1954</v>
      </c>
      <c r="E9365" t="s">
        <v>36</v>
      </c>
      <c r="F9365" t="s">
        <v>2633</v>
      </c>
      <c r="G9365">
        <v>0</v>
      </c>
      <c r="H9365">
        <v>0</v>
      </c>
      <c r="I9365">
        <v>0</v>
      </c>
      <c r="J9365">
        <v>1</v>
      </c>
      <c r="K9365">
        <v>0</v>
      </c>
      <c r="L9365">
        <f t="shared" si="292"/>
        <v>4.5999999999999996</v>
      </c>
      <c r="M9365">
        <f t="shared" si="293"/>
        <v>1</v>
      </c>
    </row>
    <row r="9366" spans="1:13" x14ac:dyDescent="0.3">
      <c r="A9366">
        <v>9364</v>
      </c>
      <c r="B9366">
        <v>9365</v>
      </c>
      <c r="C9366" t="s">
        <v>9444</v>
      </c>
      <c r="D9366">
        <v>2001</v>
      </c>
      <c r="E9366" t="s">
        <v>36</v>
      </c>
      <c r="F9366" t="s">
        <v>2633</v>
      </c>
      <c r="G9366">
        <v>0</v>
      </c>
      <c r="H9366">
        <v>0</v>
      </c>
      <c r="I9366">
        <v>0</v>
      </c>
      <c r="J9366">
        <v>1</v>
      </c>
      <c r="K9366">
        <v>0</v>
      </c>
      <c r="L9366">
        <f t="shared" si="292"/>
        <v>4.5999999999999996</v>
      </c>
      <c r="M9366">
        <f t="shared" si="293"/>
        <v>1</v>
      </c>
    </row>
    <row r="9367" spans="1:13" x14ac:dyDescent="0.3">
      <c r="A9367">
        <v>9365</v>
      </c>
      <c r="B9367">
        <v>9366</v>
      </c>
      <c r="C9367" t="s">
        <v>9445</v>
      </c>
      <c r="D9367">
        <v>1957</v>
      </c>
      <c r="E9367" t="s">
        <v>36</v>
      </c>
      <c r="F9367" t="s">
        <v>2755</v>
      </c>
      <c r="G9367">
        <v>0</v>
      </c>
      <c r="H9367">
        <v>0</v>
      </c>
      <c r="I9367">
        <v>0</v>
      </c>
      <c r="J9367">
        <v>1</v>
      </c>
      <c r="K9367">
        <v>0</v>
      </c>
      <c r="L9367">
        <f t="shared" si="292"/>
        <v>4.5</v>
      </c>
      <c r="M9367">
        <f t="shared" si="293"/>
        <v>1</v>
      </c>
    </row>
    <row r="9368" spans="1:13" x14ac:dyDescent="0.3">
      <c r="A9368">
        <v>9366</v>
      </c>
      <c r="B9368">
        <v>9367</v>
      </c>
      <c r="C9368" t="s">
        <v>9446</v>
      </c>
      <c r="D9368">
        <v>2004</v>
      </c>
      <c r="E9368" t="s">
        <v>36</v>
      </c>
      <c r="F9368" t="s">
        <v>2755</v>
      </c>
      <c r="G9368">
        <v>0</v>
      </c>
      <c r="H9368">
        <v>0</v>
      </c>
      <c r="I9368">
        <v>0</v>
      </c>
      <c r="J9368">
        <v>1</v>
      </c>
      <c r="K9368">
        <v>0</v>
      </c>
      <c r="L9368">
        <f t="shared" si="292"/>
        <v>4.5</v>
      </c>
      <c r="M9368">
        <f t="shared" si="293"/>
        <v>1</v>
      </c>
    </row>
    <row r="9369" spans="1:13" x14ac:dyDescent="0.3">
      <c r="A9369">
        <v>9367</v>
      </c>
      <c r="B9369">
        <v>9368</v>
      </c>
      <c r="C9369" t="s">
        <v>9447</v>
      </c>
      <c r="D9369">
        <v>1974</v>
      </c>
      <c r="E9369" t="s">
        <v>36</v>
      </c>
      <c r="F9369" t="s">
        <v>2755</v>
      </c>
      <c r="G9369">
        <v>0</v>
      </c>
      <c r="H9369">
        <v>0</v>
      </c>
      <c r="I9369">
        <v>0</v>
      </c>
      <c r="J9369">
        <v>1</v>
      </c>
      <c r="K9369">
        <v>0</v>
      </c>
      <c r="L9369">
        <f t="shared" si="292"/>
        <v>4.5</v>
      </c>
      <c r="M9369">
        <f t="shared" si="293"/>
        <v>1</v>
      </c>
    </row>
    <row r="9370" spans="1:13" x14ac:dyDescent="0.3">
      <c r="A9370">
        <v>9368</v>
      </c>
      <c r="B9370">
        <v>9369</v>
      </c>
      <c r="C9370" t="s">
        <v>9448</v>
      </c>
      <c r="D9370">
        <v>2021</v>
      </c>
      <c r="E9370" t="s">
        <v>22</v>
      </c>
      <c r="F9370" t="s">
        <v>2755</v>
      </c>
      <c r="G9370">
        <v>0</v>
      </c>
      <c r="H9370">
        <v>0</v>
      </c>
      <c r="I9370">
        <v>0</v>
      </c>
      <c r="J9370">
        <v>1</v>
      </c>
      <c r="K9370">
        <v>0</v>
      </c>
      <c r="L9370">
        <f t="shared" si="292"/>
        <v>4.5</v>
      </c>
      <c r="M9370">
        <f t="shared" si="293"/>
        <v>1</v>
      </c>
    </row>
    <row r="9371" spans="1:13" x14ac:dyDescent="0.3">
      <c r="A9371">
        <v>9369</v>
      </c>
      <c r="B9371">
        <v>9370</v>
      </c>
      <c r="C9371" t="s">
        <v>9449</v>
      </c>
      <c r="D9371">
        <v>1941</v>
      </c>
      <c r="F9371" t="s">
        <v>2755</v>
      </c>
      <c r="G9371">
        <v>0</v>
      </c>
      <c r="H9371">
        <v>0</v>
      </c>
      <c r="I9371">
        <v>0</v>
      </c>
      <c r="J9371">
        <v>1</v>
      </c>
      <c r="K9371">
        <v>0</v>
      </c>
      <c r="L9371">
        <f t="shared" si="292"/>
        <v>4.5</v>
      </c>
      <c r="M9371">
        <f t="shared" si="293"/>
        <v>1</v>
      </c>
    </row>
    <row r="9372" spans="1:13" x14ac:dyDescent="0.3">
      <c r="A9372">
        <v>9370</v>
      </c>
      <c r="B9372">
        <v>9371</v>
      </c>
      <c r="C9372" t="s">
        <v>9450</v>
      </c>
      <c r="D9372">
        <v>1979</v>
      </c>
      <c r="E9372" t="s">
        <v>36</v>
      </c>
      <c r="F9372" t="s">
        <v>2755</v>
      </c>
      <c r="G9372">
        <v>0</v>
      </c>
      <c r="H9372">
        <v>0</v>
      </c>
      <c r="I9372">
        <v>0</v>
      </c>
      <c r="J9372">
        <v>1</v>
      </c>
      <c r="K9372">
        <v>0</v>
      </c>
      <c r="L9372">
        <f t="shared" si="292"/>
        <v>4.5</v>
      </c>
      <c r="M9372">
        <f t="shared" si="293"/>
        <v>1</v>
      </c>
    </row>
    <row r="9373" spans="1:13" x14ac:dyDescent="0.3">
      <c r="A9373">
        <v>9371</v>
      </c>
      <c r="B9373">
        <v>9372</v>
      </c>
      <c r="C9373" t="s">
        <v>9451</v>
      </c>
      <c r="D9373">
        <v>1956</v>
      </c>
      <c r="E9373" t="s">
        <v>36</v>
      </c>
      <c r="F9373" t="s">
        <v>2755</v>
      </c>
      <c r="G9373">
        <v>0</v>
      </c>
      <c r="H9373">
        <v>0</v>
      </c>
      <c r="I9373">
        <v>0</v>
      </c>
      <c r="J9373">
        <v>1</v>
      </c>
      <c r="K9373">
        <v>0</v>
      </c>
      <c r="L9373">
        <f t="shared" si="292"/>
        <v>4.5</v>
      </c>
      <c r="M9373">
        <f t="shared" si="293"/>
        <v>1</v>
      </c>
    </row>
    <row r="9374" spans="1:13" x14ac:dyDescent="0.3">
      <c r="A9374">
        <v>9372</v>
      </c>
      <c r="B9374">
        <v>9373</v>
      </c>
      <c r="C9374" t="s">
        <v>9452</v>
      </c>
      <c r="D9374">
        <v>2019</v>
      </c>
      <c r="F9374" t="s">
        <v>2755</v>
      </c>
      <c r="G9374">
        <v>0</v>
      </c>
      <c r="H9374">
        <v>0</v>
      </c>
      <c r="I9374">
        <v>0</v>
      </c>
      <c r="J9374">
        <v>1</v>
      </c>
      <c r="K9374">
        <v>0</v>
      </c>
      <c r="L9374">
        <f t="shared" si="292"/>
        <v>4.5</v>
      </c>
      <c r="M9374">
        <f t="shared" si="293"/>
        <v>1</v>
      </c>
    </row>
    <row r="9375" spans="1:13" x14ac:dyDescent="0.3">
      <c r="A9375">
        <v>9373</v>
      </c>
      <c r="B9375">
        <v>9374</v>
      </c>
      <c r="C9375" t="s">
        <v>9453</v>
      </c>
      <c r="D9375">
        <v>2019</v>
      </c>
      <c r="F9375" t="s">
        <v>2755</v>
      </c>
      <c r="G9375">
        <v>0</v>
      </c>
      <c r="H9375">
        <v>0</v>
      </c>
      <c r="I9375">
        <v>0</v>
      </c>
      <c r="J9375">
        <v>1</v>
      </c>
      <c r="K9375">
        <v>0</v>
      </c>
      <c r="L9375">
        <f t="shared" si="292"/>
        <v>4.5</v>
      </c>
      <c r="M9375">
        <f t="shared" si="293"/>
        <v>1</v>
      </c>
    </row>
    <row r="9376" spans="1:13" x14ac:dyDescent="0.3">
      <c r="A9376">
        <v>9374</v>
      </c>
      <c r="B9376">
        <v>9375</v>
      </c>
      <c r="C9376" t="s">
        <v>9454</v>
      </c>
      <c r="D9376">
        <v>2021</v>
      </c>
      <c r="E9376" t="s">
        <v>22</v>
      </c>
      <c r="F9376" t="s">
        <v>2755</v>
      </c>
      <c r="G9376">
        <v>0</v>
      </c>
      <c r="H9376">
        <v>0</v>
      </c>
      <c r="I9376">
        <v>0</v>
      </c>
      <c r="J9376">
        <v>1</v>
      </c>
      <c r="K9376">
        <v>0</v>
      </c>
      <c r="L9376">
        <f t="shared" si="292"/>
        <v>4.5</v>
      </c>
      <c r="M9376">
        <f t="shared" si="293"/>
        <v>1</v>
      </c>
    </row>
    <row r="9377" spans="1:13" x14ac:dyDescent="0.3">
      <c r="A9377">
        <v>9375</v>
      </c>
      <c r="B9377">
        <v>9376</v>
      </c>
      <c r="C9377" t="s">
        <v>9455</v>
      </c>
      <c r="D9377">
        <v>1984</v>
      </c>
      <c r="E9377" t="s">
        <v>36</v>
      </c>
      <c r="F9377" t="s">
        <v>2755</v>
      </c>
      <c r="G9377">
        <v>0</v>
      </c>
      <c r="H9377">
        <v>0</v>
      </c>
      <c r="I9377">
        <v>0</v>
      </c>
      <c r="J9377">
        <v>1</v>
      </c>
      <c r="K9377">
        <v>0</v>
      </c>
      <c r="L9377">
        <f t="shared" si="292"/>
        <v>4.5</v>
      </c>
      <c r="M9377">
        <f t="shared" si="293"/>
        <v>1</v>
      </c>
    </row>
    <row r="9378" spans="1:13" x14ac:dyDescent="0.3">
      <c r="A9378">
        <v>9376</v>
      </c>
      <c r="B9378">
        <v>9377</v>
      </c>
      <c r="C9378" t="s">
        <v>9456</v>
      </c>
      <c r="D9378">
        <v>2005</v>
      </c>
      <c r="E9378" t="s">
        <v>36</v>
      </c>
      <c r="F9378" t="s">
        <v>2755</v>
      </c>
      <c r="G9378">
        <v>0</v>
      </c>
      <c r="H9378">
        <v>0</v>
      </c>
      <c r="I9378">
        <v>0</v>
      </c>
      <c r="J9378">
        <v>1</v>
      </c>
      <c r="K9378">
        <v>0</v>
      </c>
      <c r="L9378">
        <f t="shared" si="292"/>
        <v>4.5</v>
      </c>
      <c r="M9378">
        <f t="shared" si="293"/>
        <v>1</v>
      </c>
    </row>
    <row r="9379" spans="1:13" x14ac:dyDescent="0.3">
      <c r="A9379">
        <v>9377</v>
      </c>
      <c r="B9379">
        <v>9378</v>
      </c>
      <c r="C9379" t="s">
        <v>9457</v>
      </c>
      <c r="D9379">
        <v>1991</v>
      </c>
      <c r="F9379" t="s">
        <v>2755</v>
      </c>
      <c r="G9379">
        <v>0</v>
      </c>
      <c r="H9379">
        <v>0</v>
      </c>
      <c r="I9379">
        <v>0</v>
      </c>
      <c r="J9379">
        <v>1</v>
      </c>
      <c r="K9379">
        <v>0</v>
      </c>
      <c r="L9379">
        <f t="shared" si="292"/>
        <v>4.5</v>
      </c>
      <c r="M9379">
        <f t="shared" si="293"/>
        <v>1</v>
      </c>
    </row>
    <row r="9380" spans="1:13" x14ac:dyDescent="0.3">
      <c r="A9380">
        <v>9378</v>
      </c>
      <c r="B9380">
        <v>9379</v>
      </c>
      <c r="C9380" t="s">
        <v>9458</v>
      </c>
      <c r="D9380">
        <v>2020</v>
      </c>
      <c r="E9380" t="s">
        <v>36</v>
      </c>
      <c r="F9380" t="s">
        <v>2755</v>
      </c>
      <c r="G9380">
        <v>0</v>
      </c>
      <c r="H9380">
        <v>0</v>
      </c>
      <c r="I9380">
        <v>0</v>
      </c>
      <c r="J9380">
        <v>1</v>
      </c>
      <c r="K9380">
        <v>0</v>
      </c>
      <c r="L9380">
        <f t="shared" si="292"/>
        <v>4.5</v>
      </c>
      <c r="M9380">
        <f t="shared" si="293"/>
        <v>1</v>
      </c>
    </row>
    <row r="9381" spans="1:13" x14ac:dyDescent="0.3">
      <c r="A9381">
        <v>9379</v>
      </c>
      <c r="B9381">
        <v>9380</v>
      </c>
      <c r="C9381" t="s">
        <v>9459</v>
      </c>
      <c r="D9381">
        <v>2001</v>
      </c>
      <c r="E9381" t="s">
        <v>36</v>
      </c>
      <c r="F9381" t="s">
        <v>2755</v>
      </c>
      <c r="G9381">
        <v>0</v>
      </c>
      <c r="H9381">
        <v>0</v>
      </c>
      <c r="I9381">
        <v>0</v>
      </c>
      <c r="J9381">
        <v>1</v>
      </c>
      <c r="K9381">
        <v>0</v>
      </c>
      <c r="L9381">
        <f t="shared" si="292"/>
        <v>4.5</v>
      </c>
      <c r="M9381">
        <f t="shared" si="293"/>
        <v>1</v>
      </c>
    </row>
    <row r="9382" spans="1:13" x14ac:dyDescent="0.3">
      <c r="A9382">
        <v>9380</v>
      </c>
      <c r="B9382">
        <v>9381</v>
      </c>
      <c r="C9382" t="s">
        <v>9460</v>
      </c>
      <c r="D9382">
        <v>1963</v>
      </c>
      <c r="E9382" t="s">
        <v>36</v>
      </c>
      <c r="F9382" t="s">
        <v>2755</v>
      </c>
      <c r="G9382">
        <v>0</v>
      </c>
      <c r="H9382">
        <v>0</v>
      </c>
      <c r="I9382">
        <v>0</v>
      </c>
      <c r="J9382">
        <v>1</v>
      </c>
      <c r="K9382">
        <v>0</v>
      </c>
      <c r="L9382">
        <f t="shared" si="292"/>
        <v>4.5</v>
      </c>
      <c r="M9382">
        <f t="shared" si="293"/>
        <v>1</v>
      </c>
    </row>
    <row r="9383" spans="1:13" x14ac:dyDescent="0.3">
      <c r="A9383">
        <v>9381</v>
      </c>
      <c r="B9383">
        <v>9382</v>
      </c>
      <c r="C9383" t="s">
        <v>9461</v>
      </c>
      <c r="D9383">
        <v>2020</v>
      </c>
      <c r="F9383" t="s">
        <v>2755</v>
      </c>
      <c r="G9383">
        <v>0</v>
      </c>
      <c r="H9383">
        <v>0</v>
      </c>
      <c r="I9383">
        <v>0</v>
      </c>
      <c r="J9383">
        <v>1</v>
      </c>
      <c r="K9383">
        <v>0</v>
      </c>
      <c r="L9383">
        <f t="shared" si="292"/>
        <v>4.5</v>
      </c>
      <c r="M9383">
        <f t="shared" si="293"/>
        <v>1</v>
      </c>
    </row>
    <row r="9384" spans="1:13" x14ac:dyDescent="0.3">
      <c r="A9384">
        <v>9382</v>
      </c>
      <c r="B9384">
        <v>9383</v>
      </c>
      <c r="C9384" t="s">
        <v>9462</v>
      </c>
      <c r="D9384">
        <v>1986</v>
      </c>
      <c r="E9384" t="s">
        <v>36</v>
      </c>
      <c r="F9384" t="s">
        <v>2755</v>
      </c>
      <c r="G9384">
        <v>0</v>
      </c>
      <c r="H9384">
        <v>0</v>
      </c>
      <c r="I9384">
        <v>0</v>
      </c>
      <c r="J9384">
        <v>1</v>
      </c>
      <c r="K9384">
        <v>0</v>
      </c>
      <c r="L9384">
        <f t="shared" si="292"/>
        <v>4.5</v>
      </c>
      <c r="M9384">
        <f t="shared" si="293"/>
        <v>1</v>
      </c>
    </row>
    <row r="9385" spans="1:13" x14ac:dyDescent="0.3">
      <c r="A9385">
        <v>9383</v>
      </c>
      <c r="B9385">
        <v>9384</v>
      </c>
      <c r="C9385" t="s">
        <v>9463</v>
      </c>
      <c r="D9385">
        <v>1947</v>
      </c>
      <c r="F9385" t="s">
        <v>2755</v>
      </c>
      <c r="G9385">
        <v>0</v>
      </c>
      <c r="H9385">
        <v>0</v>
      </c>
      <c r="I9385">
        <v>0</v>
      </c>
      <c r="J9385">
        <v>1</v>
      </c>
      <c r="K9385">
        <v>0</v>
      </c>
      <c r="L9385">
        <f t="shared" si="292"/>
        <v>4.5</v>
      </c>
      <c r="M9385">
        <f t="shared" si="293"/>
        <v>1</v>
      </c>
    </row>
    <row r="9386" spans="1:13" x14ac:dyDescent="0.3">
      <c r="A9386">
        <v>9384</v>
      </c>
      <c r="B9386">
        <v>9385</v>
      </c>
      <c r="C9386" t="s">
        <v>9464</v>
      </c>
      <c r="D9386">
        <v>2003</v>
      </c>
      <c r="E9386" t="s">
        <v>36</v>
      </c>
      <c r="F9386" t="s">
        <v>2755</v>
      </c>
      <c r="G9386">
        <v>0</v>
      </c>
      <c r="H9386">
        <v>0</v>
      </c>
      <c r="I9386">
        <v>0</v>
      </c>
      <c r="J9386">
        <v>1</v>
      </c>
      <c r="K9386">
        <v>0</v>
      </c>
      <c r="L9386">
        <f t="shared" si="292"/>
        <v>4.5</v>
      </c>
      <c r="M9386">
        <f t="shared" si="293"/>
        <v>1</v>
      </c>
    </row>
    <row r="9387" spans="1:13" x14ac:dyDescent="0.3">
      <c r="A9387">
        <v>9385</v>
      </c>
      <c r="B9387">
        <v>9386</v>
      </c>
      <c r="C9387" t="s">
        <v>9465</v>
      </c>
      <c r="D9387">
        <v>2012</v>
      </c>
      <c r="F9387" t="s">
        <v>2755</v>
      </c>
      <c r="G9387">
        <v>0</v>
      </c>
      <c r="H9387">
        <v>0</v>
      </c>
      <c r="I9387">
        <v>0</v>
      </c>
      <c r="J9387">
        <v>1</v>
      </c>
      <c r="K9387">
        <v>0</v>
      </c>
      <c r="L9387">
        <f t="shared" si="292"/>
        <v>4.5</v>
      </c>
      <c r="M9387">
        <f t="shared" si="293"/>
        <v>1</v>
      </c>
    </row>
    <row r="9388" spans="1:13" x14ac:dyDescent="0.3">
      <c r="A9388">
        <v>9386</v>
      </c>
      <c r="B9388">
        <v>9387</v>
      </c>
      <c r="C9388" t="s">
        <v>9466</v>
      </c>
      <c r="D9388">
        <v>1948</v>
      </c>
      <c r="F9388" t="s">
        <v>2755</v>
      </c>
      <c r="G9388">
        <v>0</v>
      </c>
      <c r="H9388">
        <v>0</v>
      </c>
      <c r="I9388">
        <v>0</v>
      </c>
      <c r="J9388">
        <v>1</v>
      </c>
      <c r="K9388">
        <v>0</v>
      </c>
      <c r="L9388">
        <f t="shared" si="292"/>
        <v>4.5</v>
      </c>
      <c r="M9388">
        <f t="shared" si="293"/>
        <v>1</v>
      </c>
    </row>
    <row r="9389" spans="1:13" x14ac:dyDescent="0.3">
      <c r="A9389">
        <v>9387</v>
      </c>
      <c r="B9389">
        <v>9388</v>
      </c>
      <c r="C9389" t="s">
        <v>9467</v>
      </c>
      <c r="D9389">
        <v>2020</v>
      </c>
      <c r="E9389" t="s">
        <v>36</v>
      </c>
      <c r="F9389" t="s">
        <v>2755</v>
      </c>
      <c r="G9389">
        <v>0</v>
      </c>
      <c r="H9389">
        <v>0</v>
      </c>
      <c r="I9389">
        <v>0</v>
      </c>
      <c r="J9389">
        <v>1</v>
      </c>
      <c r="K9389">
        <v>0</v>
      </c>
      <c r="L9389">
        <f t="shared" si="292"/>
        <v>4.5</v>
      </c>
      <c r="M9389">
        <f t="shared" si="293"/>
        <v>1</v>
      </c>
    </row>
    <row r="9390" spans="1:13" x14ac:dyDescent="0.3">
      <c r="A9390">
        <v>9388</v>
      </c>
      <c r="B9390">
        <v>9389</v>
      </c>
      <c r="C9390" t="s">
        <v>9468</v>
      </c>
      <c r="D9390">
        <v>2019</v>
      </c>
      <c r="E9390" t="s">
        <v>14</v>
      </c>
      <c r="F9390" t="s">
        <v>2755</v>
      </c>
      <c r="G9390">
        <v>0</v>
      </c>
      <c r="H9390">
        <v>0</v>
      </c>
      <c r="I9390">
        <v>0</v>
      </c>
      <c r="J9390">
        <v>1</v>
      </c>
      <c r="K9390">
        <v>0</v>
      </c>
      <c r="L9390">
        <f t="shared" si="292"/>
        <v>4.5</v>
      </c>
      <c r="M9390">
        <f t="shared" si="293"/>
        <v>1</v>
      </c>
    </row>
    <row r="9391" spans="1:13" x14ac:dyDescent="0.3">
      <c r="A9391">
        <v>9389</v>
      </c>
      <c r="B9391">
        <v>9390</v>
      </c>
      <c r="C9391" t="s">
        <v>9469</v>
      </c>
      <c r="D9391">
        <v>2020</v>
      </c>
      <c r="E9391" t="s">
        <v>36</v>
      </c>
      <c r="F9391" t="s">
        <v>2755</v>
      </c>
      <c r="G9391">
        <v>0</v>
      </c>
      <c r="H9391">
        <v>0</v>
      </c>
      <c r="I9391">
        <v>0</v>
      </c>
      <c r="J9391">
        <v>1</v>
      </c>
      <c r="K9391">
        <v>0</v>
      </c>
      <c r="L9391">
        <f t="shared" si="292"/>
        <v>4.5</v>
      </c>
      <c r="M9391">
        <f t="shared" si="293"/>
        <v>1</v>
      </c>
    </row>
    <row r="9392" spans="1:13" x14ac:dyDescent="0.3">
      <c r="A9392">
        <v>9390</v>
      </c>
      <c r="B9392">
        <v>9391</v>
      </c>
      <c r="C9392" t="s">
        <v>9470</v>
      </c>
      <c r="D9392">
        <v>2020</v>
      </c>
      <c r="E9392" t="s">
        <v>36</v>
      </c>
      <c r="F9392" t="s">
        <v>2755</v>
      </c>
      <c r="G9392">
        <v>0</v>
      </c>
      <c r="H9392">
        <v>0</v>
      </c>
      <c r="I9392">
        <v>0</v>
      </c>
      <c r="J9392">
        <v>1</v>
      </c>
      <c r="K9392">
        <v>0</v>
      </c>
      <c r="L9392">
        <f t="shared" si="292"/>
        <v>4.5</v>
      </c>
      <c r="M9392">
        <f t="shared" si="293"/>
        <v>1</v>
      </c>
    </row>
    <row r="9393" spans="1:13" x14ac:dyDescent="0.3">
      <c r="A9393">
        <v>9391</v>
      </c>
      <c r="B9393">
        <v>9392</v>
      </c>
      <c r="C9393" t="s">
        <v>9471</v>
      </c>
      <c r="D9393">
        <v>2019</v>
      </c>
      <c r="F9393" t="s">
        <v>2833</v>
      </c>
      <c r="G9393">
        <v>0</v>
      </c>
      <c r="H9393">
        <v>0</v>
      </c>
      <c r="I9393">
        <v>0</v>
      </c>
      <c r="J9393">
        <v>1</v>
      </c>
      <c r="K9393">
        <v>0</v>
      </c>
      <c r="L9393">
        <f t="shared" si="292"/>
        <v>4.4000000000000004</v>
      </c>
      <c r="M9393">
        <f t="shared" si="293"/>
        <v>1</v>
      </c>
    </row>
    <row r="9394" spans="1:13" x14ac:dyDescent="0.3">
      <c r="A9394">
        <v>9392</v>
      </c>
      <c r="B9394">
        <v>9393</v>
      </c>
      <c r="C9394" t="s">
        <v>9472</v>
      </c>
      <c r="D9394">
        <v>1980</v>
      </c>
      <c r="E9394" t="s">
        <v>36</v>
      </c>
      <c r="F9394" t="s">
        <v>2833</v>
      </c>
      <c r="G9394">
        <v>0</v>
      </c>
      <c r="H9394">
        <v>0</v>
      </c>
      <c r="I9394">
        <v>0</v>
      </c>
      <c r="J9394">
        <v>1</v>
      </c>
      <c r="K9394">
        <v>0</v>
      </c>
      <c r="L9394">
        <f t="shared" si="292"/>
        <v>4.4000000000000004</v>
      </c>
      <c r="M9394">
        <f t="shared" si="293"/>
        <v>1</v>
      </c>
    </row>
    <row r="9395" spans="1:13" x14ac:dyDescent="0.3">
      <c r="A9395">
        <v>9393</v>
      </c>
      <c r="B9395">
        <v>9394</v>
      </c>
      <c r="C9395" t="s">
        <v>9473</v>
      </c>
      <c r="D9395">
        <v>1949</v>
      </c>
      <c r="F9395" t="s">
        <v>2833</v>
      </c>
      <c r="G9395">
        <v>0</v>
      </c>
      <c r="H9395">
        <v>0</v>
      </c>
      <c r="I9395">
        <v>0</v>
      </c>
      <c r="J9395">
        <v>1</v>
      </c>
      <c r="K9395">
        <v>0</v>
      </c>
      <c r="L9395">
        <f t="shared" si="292"/>
        <v>4.4000000000000004</v>
      </c>
      <c r="M9395">
        <f t="shared" si="293"/>
        <v>1</v>
      </c>
    </row>
    <row r="9396" spans="1:13" x14ac:dyDescent="0.3">
      <c r="A9396">
        <v>9394</v>
      </c>
      <c r="B9396">
        <v>9395</v>
      </c>
      <c r="C9396" t="s">
        <v>9474</v>
      </c>
      <c r="D9396">
        <v>1986</v>
      </c>
      <c r="E9396" t="s">
        <v>36</v>
      </c>
      <c r="F9396" t="s">
        <v>2833</v>
      </c>
      <c r="G9396">
        <v>0</v>
      </c>
      <c r="H9396">
        <v>0</v>
      </c>
      <c r="I9396">
        <v>0</v>
      </c>
      <c r="J9396">
        <v>1</v>
      </c>
      <c r="K9396">
        <v>0</v>
      </c>
      <c r="L9396">
        <f t="shared" si="292"/>
        <v>4.4000000000000004</v>
      </c>
      <c r="M9396">
        <f t="shared" si="293"/>
        <v>1</v>
      </c>
    </row>
    <row r="9397" spans="1:13" x14ac:dyDescent="0.3">
      <c r="A9397">
        <v>9395</v>
      </c>
      <c r="B9397">
        <v>9396</v>
      </c>
      <c r="C9397" t="s">
        <v>9475</v>
      </c>
      <c r="D9397">
        <v>2018</v>
      </c>
      <c r="E9397" t="s">
        <v>14</v>
      </c>
      <c r="F9397" t="s">
        <v>2833</v>
      </c>
      <c r="G9397">
        <v>0</v>
      </c>
      <c r="H9397">
        <v>0</v>
      </c>
      <c r="I9397">
        <v>0</v>
      </c>
      <c r="J9397">
        <v>1</v>
      </c>
      <c r="K9397">
        <v>0</v>
      </c>
      <c r="L9397">
        <f t="shared" si="292"/>
        <v>4.4000000000000004</v>
      </c>
      <c r="M9397">
        <f t="shared" si="293"/>
        <v>1</v>
      </c>
    </row>
    <row r="9398" spans="1:13" x14ac:dyDescent="0.3">
      <c r="A9398">
        <v>9396</v>
      </c>
      <c r="B9398">
        <v>9397</v>
      </c>
      <c r="C9398" t="s">
        <v>9476</v>
      </c>
      <c r="D9398">
        <v>2013</v>
      </c>
      <c r="E9398" t="s">
        <v>14</v>
      </c>
      <c r="F9398" t="s">
        <v>2833</v>
      </c>
      <c r="G9398">
        <v>0</v>
      </c>
      <c r="H9398">
        <v>0</v>
      </c>
      <c r="I9398">
        <v>0</v>
      </c>
      <c r="J9398">
        <v>1</v>
      </c>
      <c r="K9398">
        <v>0</v>
      </c>
      <c r="L9398">
        <f t="shared" si="292"/>
        <v>4.4000000000000004</v>
      </c>
      <c r="M9398">
        <f t="shared" si="293"/>
        <v>1</v>
      </c>
    </row>
    <row r="9399" spans="1:13" x14ac:dyDescent="0.3">
      <c r="A9399">
        <v>9397</v>
      </c>
      <c r="B9399">
        <v>9398</v>
      </c>
      <c r="C9399" t="s">
        <v>9477</v>
      </c>
      <c r="D9399">
        <v>2017</v>
      </c>
      <c r="F9399" t="s">
        <v>2833</v>
      </c>
      <c r="G9399">
        <v>0</v>
      </c>
      <c r="H9399">
        <v>0</v>
      </c>
      <c r="I9399">
        <v>0</v>
      </c>
      <c r="J9399">
        <v>1</v>
      </c>
      <c r="K9399">
        <v>0</v>
      </c>
      <c r="L9399">
        <f t="shared" si="292"/>
        <v>4.4000000000000004</v>
      </c>
      <c r="M9399">
        <f t="shared" si="293"/>
        <v>1</v>
      </c>
    </row>
    <row r="9400" spans="1:13" x14ac:dyDescent="0.3">
      <c r="A9400">
        <v>9398</v>
      </c>
      <c r="B9400">
        <v>9399</v>
      </c>
      <c r="C9400" t="s">
        <v>9478</v>
      </c>
      <c r="D9400">
        <v>2014</v>
      </c>
      <c r="F9400" t="s">
        <v>2833</v>
      </c>
      <c r="G9400">
        <v>0</v>
      </c>
      <c r="H9400">
        <v>0</v>
      </c>
      <c r="I9400">
        <v>0</v>
      </c>
      <c r="J9400">
        <v>1</v>
      </c>
      <c r="K9400">
        <v>0</v>
      </c>
      <c r="L9400">
        <f t="shared" si="292"/>
        <v>4.4000000000000004</v>
      </c>
      <c r="M9400">
        <f t="shared" si="293"/>
        <v>1</v>
      </c>
    </row>
    <row r="9401" spans="1:13" x14ac:dyDescent="0.3">
      <c r="A9401">
        <v>9399</v>
      </c>
      <c r="B9401">
        <v>9400</v>
      </c>
      <c r="C9401" t="s">
        <v>9479</v>
      </c>
      <c r="D9401">
        <v>2019</v>
      </c>
      <c r="E9401" t="s">
        <v>14</v>
      </c>
      <c r="F9401" t="s">
        <v>2833</v>
      </c>
      <c r="G9401">
        <v>0</v>
      </c>
      <c r="H9401">
        <v>0</v>
      </c>
      <c r="I9401">
        <v>0</v>
      </c>
      <c r="J9401">
        <v>1</v>
      </c>
      <c r="K9401">
        <v>0</v>
      </c>
      <c r="L9401">
        <f t="shared" si="292"/>
        <v>4.4000000000000004</v>
      </c>
      <c r="M9401">
        <f t="shared" si="293"/>
        <v>1</v>
      </c>
    </row>
    <row r="9402" spans="1:13" x14ac:dyDescent="0.3">
      <c r="A9402">
        <v>9400</v>
      </c>
      <c r="B9402">
        <v>9401</v>
      </c>
      <c r="C9402" t="s">
        <v>9480</v>
      </c>
      <c r="D9402">
        <v>2020</v>
      </c>
      <c r="E9402" t="s">
        <v>14</v>
      </c>
      <c r="F9402" t="s">
        <v>2833</v>
      </c>
      <c r="G9402">
        <v>0</v>
      </c>
      <c r="H9402">
        <v>0</v>
      </c>
      <c r="I9402">
        <v>0</v>
      </c>
      <c r="J9402">
        <v>1</v>
      </c>
      <c r="K9402">
        <v>0</v>
      </c>
      <c r="L9402">
        <f t="shared" si="292"/>
        <v>4.4000000000000004</v>
      </c>
      <c r="M9402">
        <f t="shared" si="293"/>
        <v>1</v>
      </c>
    </row>
    <row r="9403" spans="1:13" x14ac:dyDescent="0.3">
      <c r="A9403">
        <v>9401</v>
      </c>
      <c r="B9403">
        <v>9402</v>
      </c>
      <c r="C9403" t="s">
        <v>9481</v>
      </c>
      <c r="D9403">
        <v>2009</v>
      </c>
      <c r="E9403" t="s">
        <v>36</v>
      </c>
      <c r="F9403" t="s">
        <v>2833</v>
      </c>
      <c r="G9403">
        <v>0</v>
      </c>
      <c r="H9403">
        <v>0</v>
      </c>
      <c r="I9403">
        <v>0</v>
      </c>
      <c r="J9403">
        <v>1</v>
      </c>
      <c r="K9403">
        <v>0</v>
      </c>
      <c r="L9403">
        <f t="shared" si="292"/>
        <v>4.4000000000000004</v>
      </c>
      <c r="M9403">
        <f t="shared" si="293"/>
        <v>1</v>
      </c>
    </row>
    <row r="9404" spans="1:13" x14ac:dyDescent="0.3">
      <c r="A9404">
        <v>9402</v>
      </c>
      <c r="B9404">
        <v>9403</v>
      </c>
      <c r="C9404" t="s">
        <v>9482</v>
      </c>
      <c r="D9404">
        <v>1956</v>
      </c>
      <c r="F9404" t="s">
        <v>2833</v>
      </c>
      <c r="G9404">
        <v>0</v>
      </c>
      <c r="H9404">
        <v>0</v>
      </c>
      <c r="I9404">
        <v>0</v>
      </c>
      <c r="J9404">
        <v>1</v>
      </c>
      <c r="K9404">
        <v>0</v>
      </c>
      <c r="L9404">
        <f t="shared" si="292"/>
        <v>4.4000000000000004</v>
      </c>
      <c r="M9404">
        <f t="shared" si="293"/>
        <v>1</v>
      </c>
    </row>
    <row r="9405" spans="1:13" x14ac:dyDescent="0.3">
      <c r="A9405">
        <v>9403</v>
      </c>
      <c r="B9405">
        <v>9404</v>
      </c>
      <c r="C9405" t="s">
        <v>9483</v>
      </c>
      <c r="D9405">
        <v>2009</v>
      </c>
      <c r="F9405" t="s">
        <v>2833</v>
      </c>
      <c r="G9405">
        <v>0</v>
      </c>
      <c r="H9405">
        <v>0</v>
      </c>
      <c r="I9405">
        <v>0</v>
      </c>
      <c r="J9405">
        <v>1</v>
      </c>
      <c r="K9405">
        <v>0</v>
      </c>
      <c r="L9405">
        <f t="shared" si="292"/>
        <v>4.4000000000000004</v>
      </c>
      <c r="M9405">
        <f t="shared" si="293"/>
        <v>1</v>
      </c>
    </row>
    <row r="9406" spans="1:13" x14ac:dyDescent="0.3">
      <c r="A9406">
        <v>9404</v>
      </c>
      <c r="B9406">
        <v>9405</v>
      </c>
      <c r="C9406" t="s">
        <v>9484</v>
      </c>
      <c r="D9406">
        <v>2019</v>
      </c>
      <c r="E9406" t="s">
        <v>14</v>
      </c>
      <c r="F9406" t="s">
        <v>2833</v>
      </c>
      <c r="G9406">
        <v>0</v>
      </c>
      <c r="H9406">
        <v>0</v>
      </c>
      <c r="I9406">
        <v>0</v>
      </c>
      <c r="J9406">
        <v>1</v>
      </c>
      <c r="K9406">
        <v>0</v>
      </c>
      <c r="L9406">
        <f t="shared" si="292"/>
        <v>4.4000000000000004</v>
      </c>
      <c r="M9406">
        <f t="shared" si="293"/>
        <v>1</v>
      </c>
    </row>
    <row r="9407" spans="1:13" x14ac:dyDescent="0.3">
      <c r="A9407">
        <v>9405</v>
      </c>
      <c r="B9407">
        <v>9406</v>
      </c>
      <c r="C9407" t="s">
        <v>9485</v>
      </c>
      <c r="D9407">
        <v>2009</v>
      </c>
      <c r="E9407" t="s">
        <v>36</v>
      </c>
      <c r="F9407" t="s">
        <v>2941</v>
      </c>
      <c r="G9407">
        <v>0</v>
      </c>
      <c r="H9407">
        <v>0</v>
      </c>
      <c r="I9407">
        <v>0</v>
      </c>
      <c r="J9407">
        <v>1</v>
      </c>
      <c r="K9407">
        <v>0</v>
      </c>
      <c r="L9407">
        <f t="shared" si="292"/>
        <v>4.3</v>
      </c>
      <c r="M9407">
        <f t="shared" si="293"/>
        <v>1</v>
      </c>
    </row>
    <row r="9408" spans="1:13" x14ac:dyDescent="0.3">
      <c r="A9408">
        <v>9406</v>
      </c>
      <c r="B9408">
        <v>9407</v>
      </c>
      <c r="C9408" t="s">
        <v>9486</v>
      </c>
      <c r="D9408">
        <v>2015</v>
      </c>
      <c r="E9408" t="s">
        <v>14</v>
      </c>
      <c r="F9408" t="s">
        <v>2941</v>
      </c>
      <c r="G9408">
        <v>0</v>
      </c>
      <c r="H9408">
        <v>0</v>
      </c>
      <c r="I9408">
        <v>0</v>
      </c>
      <c r="J9408">
        <v>1</v>
      </c>
      <c r="K9408">
        <v>0</v>
      </c>
      <c r="L9408">
        <f t="shared" si="292"/>
        <v>4.3</v>
      </c>
      <c r="M9408">
        <f t="shared" si="293"/>
        <v>1</v>
      </c>
    </row>
    <row r="9409" spans="1:13" x14ac:dyDescent="0.3">
      <c r="A9409">
        <v>9407</v>
      </c>
      <c r="B9409">
        <v>9408</v>
      </c>
      <c r="C9409" t="s">
        <v>9487</v>
      </c>
      <c r="D9409">
        <v>2019</v>
      </c>
      <c r="F9409" t="s">
        <v>2941</v>
      </c>
      <c r="G9409">
        <v>0</v>
      </c>
      <c r="H9409">
        <v>0</v>
      </c>
      <c r="I9409">
        <v>0</v>
      </c>
      <c r="J9409">
        <v>1</v>
      </c>
      <c r="K9409">
        <v>0</v>
      </c>
      <c r="L9409">
        <f t="shared" si="292"/>
        <v>4.3</v>
      </c>
      <c r="M9409">
        <f t="shared" si="293"/>
        <v>1</v>
      </c>
    </row>
    <row r="9410" spans="1:13" x14ac:dyDescent="0.3">
      <c r="A9410">
        <v>9408</v>
      </c>
      <c r="B9410">
        <v>9409</v>
      </c>
      <c r="C9410" t="s">
        <v>9488</v>
      </c>
      <c r="D9410">
        <v>2020</v>
      </c>
      <c r="F9410" t="s">
        <v>2941</v>
      </c>
      <c r="G9410">
        <v>0</v>
      </c>
      <c r="H9410">
        <v>0</v>
      </c>
      <c r="I9410">
        <v>0</v>
      </c>
      <c r="J9410">
        <v>1</v>
      </c>
      <c r="K9410">
        <v>0</v>
      </c>
      <c r="L9410">
        <f t="shared" si="292"/>
        <v>4.3</v>
      </c>
      <c r="M9410">
        <f t="shared" si="293"/>
        <v>1</v>
      </c>
    </row>
    <row r="9411" spans="1:13" x14ac:dyDescent="0.3">
      <c r="A9411">
        <v>9409</v>
      </c>
      <c r="B9411">
        <v>9410</v>
      </c>
      <c r="C9411" t="s">
        <v>9489</v>
      </c>
      <c r="D9411">
        <v>1953</v>
      </c>
      <c r="F9411" t="s">
        <v>2941</v>
      </c>
      <c r="G9411">
        <v>0</v>
      </c>
      <c r="H9411">
        <v>0</v>
      </c>
      <c r="I9411">
        <v>0</v>
      </c>
      <c r="J9411">
        <v>1</v>
      </c>
      <c r="K9411">
        <v>0</v>
      </c>
      <c r="L9411">
        <f t="shared" ref="L9411:L9474" si="294">IFERROR(VALUE(LEFT(F9411,FIND("/",F9411)-1))/10,"")</f>
        <v>4.3</v>
      </c>
      <c r="M9411">
        <f t="shared" ref="M9411:M9474" si="295">SUM(G9411:J9411)</f>
        <v>1</v>
      </c>
    </row>
    <row r="9412" spans="1:13" x14ac:dyDescent="0.3">
      <c r="A9412">
        <v>9410</v>
      </c>
      <c r="B9412">
        <v>9411</v>
      </c>
      <c r="C9412" t="s">
        <v>9490</v>
      </c>
      <c r="D9412">
        <v>1948</v>
      </c>
      <c r="F9412" t="s">
        <v>2941</v>
      </c>
      <c r="G9412">
        <v>0</v>
      </c>
      <c r="H9412">
        <v>0</v>
      </c>
      <c r="I9412">
        <v>0</v>
      </c>
      <c r="J9412">
        <v>1</v>
      </c>
      <c r="K9412">
        <v>0</v>
      </c>
      <c r="L9412">
        <f t="shared" si="294"/>
        <v>4.3</v>
      </c>
      <c r="M9412">
        <f t="shared" si="295"/>
        <v>1</v>
      </c>
    </row>
    <row r="9413" spans="1:13" x14ac:dyDescent="0.3">
      <c r="A9413">
        <v>9411</v>
      </c>
      <c r="B9413">
        <v>9412</v>
      </c>
      <c r="C9413" t="s">
        <v>9491</v>
      </c>
      <c r="D9413">
        <v>2014</v>
      </c>
      <c r="F9413" t="s">
        <v>2941</v>
      </c>
      <c r="G9413">
        <v>0</v>
      </c>
      <c r="H9413">
        <v>0</v>
      </c>
      <c r="I9413">
        <v>0</v>
      </c>
      <c r="J9413">
        <v>1</v>
      </c>
      <c r="K9413">
        <v>0</v>
      </c>
      <c r="L9413">
        <f t="shared" si="294"/>
        <v>4.3</v>
      </c>
      <c r="M9413">
        <f t="shared" si="295"/>
        <v>1</v>
      </c>
    </row>
    <row r="9414" spans="1:13" x14ac:dyDescent="0.3">
      <c r="A9414">
        <v>9412</v>
      </c>
      <c r="B9414">
        <v>9413</v>
      </c>
      <c r="C9414" t="s">
        <v>9492</v>
      </c>
      <c r="D9414">
        <v>2016</v>
      </c>
      <c r="E9414" t="s">
        <v>14</v>
      </c>
      <c r="F9414" t="s">
        <v>2941</v>
      </c>
      <c r="G9414">
        <v>0</v>
      </c>
      <c r="H9414">
        <v>0</v>
      </c>
      <c r="I9414">
        <v>0</v>
      </c>
      <c r="J9414">
        <v>1</v>
      </c>
      <c r="K9414">
        <v>0</v>
      </c>
      <c r="L9414">
        <f t="shared" si="294"/>
        <v>4.3</v>
      </c>
      <c r="M9414">
        <f t="shared" si="295"/>
        <v>1</v>
      </c>
    </row>
    <row r="9415" spans="1:13" x14ac:dyDescent="0.3">
      <c r="A9415">
        <v>9413</v>
      </c>
      <c r="B9415">
        <v>9414</v>
      </c>
      <c r="C9415" t="s">
        <v>9493</v>
      </c>
      <c r="D9415">
        <v>2009</v>
      </c>
      <c r="E9415" t="s">
        <v>36</v>
      </c>
      <c r="F9415" t="s">
        <v>2941</v>
      </c>
      <c r="G9415">
        <v>0</v>
      </c>
      <c r="H9415">
        <v>0</v>
      </c>
      <c r="I9415">
        <v>0</v>
      </c>
      <c r="J9415">
        <v>1</v>
      </c>
      <c r="K9415">
        <v>0</v>
      </c>
      <c r="L9415">
        <f t="shared" si="294"/>
        <v>4.3</v>
      </c>
      <c r="M9415">
        <f t="shared" si="295"/>
        <v>1</v>
      </c>
    </row>
    <row r="9416" spans="1:13" x14ac:dyDescent="0.3">
      <c r="A9416">
        <v>9414</v>
      </c>
      <c r="B9416">
        <v>9415</v>
      </c>
      <c r="C9416" t="s">
        <v>9494</v>
      </c>
      <c r="D9416">
        <v>1958</v>
      </c>
      <c r="E9416" t="s">
        <v>36</v>
      </c>
      <c r="F9416" t="s">
        <v>2941</v>
      </c>
      <c r="G9416">
        <v>0</v>
      </c>
      <c r="H9416">
        <v>0</v>
      </c>
      <c r="I9416">
        <v>0</v>
      </c>
      <c r="J9416">
        <v>1</v>
      </c>
      <c r="K9416">
        <v>0</v>
      </c>
      <c r="L9416">
        <f t="shared" si="294"/>
        <v>4.3</v>
      </c>
      <c r="M9416">
        <f t="shared" si="295"/>
        <v>1</v>
      </c>
    </row>
    <row r="9417" spans="1:13" x14ac:dyDescent="0.3">
      <c r="A9417">
        <v>9415</v>
      </c>
      <c r="B9417">
        <v>9416</v>
      </c>
      <c r="C9417" t="s">
        <v>9495</v>
      </c>
      <c r="D9417">
        <v>1986</v>
      </c>
      <c r="E9417" t="s">
        <v>36</v>
      </c>
      <c r="F9417" t="s">
        <v>2941</v>
      </c>
      <c r="G9417">
        <v>0</v>
      </c>
      <c r="H9417">
        <v>0</v>
      </c>
      <c r="I9417">
        <v>0</v>
      </c>
      <c r="J9417">
        <v>1</v>
      </c>
      <c r="K9417">
        <v>0</v>
      </c>
      <c r="L9417">
        <f t="shared" si="294"/>
        <v>4.3</v>
      </c>
      <c r="M9417">
        <f t="shared" si="295"/>
        <v>1</v>
      </c>
    </row>
    <row r="9418" spans="1:13" x14ac:dyDescent="0.3">
      <c r="A9418">
        <v>9416</v>
      </c>
      <c r="B9418">
        <v>9417</v>
      </c>
      <c r="C9418" t="s">
        <v>9496</v>
      </c>
      <c r="D9418">
        <v>2014</v>
      </c>
      <c r="F9418" t="s">
        <v>2941</v>
      </c>
      <c r="G9418">
        <v>0</v>
      </c>
      <c r="H9418">
        <v>0</v>
      </c>
      <c r="I9418">
        <v>0</v>
      </c>
      <c r="J9418">
        <v>1</v>
      </c>
      <c r="K9418">
        <v>0</v>
      </c>
      <c r="L9418">
        <f t="shared" si="294"/>
        <v>4.3</v>
      </c>
      <c r="M9418">
        <f t="shared" si="295"/>
        <v>1</v>
      </c>
    </row>
    <row r="9419" spans="1:13" x14ac:dyDescent="0.3">
      <c r="A9419">
        <v>9417</v>
      </c>
      <c r="B9419">
        <v>9418</v>
      </c>
      <c r="C9419" t="s">
        <v>9497</v>
      </c>
      <c r="D9419">
        <v>2020</v>
      </c>
      <c r="E9419" t="s">
        <v>14</v>
      </c>
      <c r="F9419" t="s">
        <v>3038</v>
      </c>
      <c r="G9419">
        <v>0</v>
      </c>
      <c r="H9419">
        <v>0</v>
      </c>
      <c r="I9419">
        <v>0</v>
      </c>
      <c r="J9419">
        <v>1</v>
      </c>
      <c r="K9419">
        <v>0</v>
      </c>
      <c r="L9419">
        <f t="shared" si="294"/>
        <v>4.2</v>
      </c>
      <c r="M9419">
        <f t="shared" si="295"/>
        <v>1</v>
      </c>
    </row>
    <row r="9420" spans="1:13" x14ac:dyDescent="0.3">
      <c r="A9420">
        <v>9418</v>
      </c>
      <c r="B9420">
        <v>9419</v>
      </c>
      <c r="C9420" t="s">
        <v>9498</v>
      </c>
      <c r="D9420">
        <v>1955</v>
      </c>
      <c r="F9420" t="s">
        <v>3038</v>
      </c>
      <c r="G9420">
        <v>0</v>
      </c>
      <c r="H9420">
        <v>0</v>
      </c>
      <c r="I9420">
        <v>0</v>
      </c>
      <c r="J9420">
        <v>1</v>
      </c>
      <c r="K9420">
        <v>0</v>
      </c>
      <c r="L9420">
        <f t="shared" si="294"/>
        <v>4.2</v>
      </c>
      <c r="M9420">
        <f t="shared" si="295"/>
        <v>1</v>
      </c>
    </row>
    <row r="9421" spans="1:13" x14ac:dyDescent="0.3">
      <c r="A9421">
        <v>9419</v>
      </c>
      <c r="B9421">
        <v>9420</v>
      </c>
      <c r="C9421" t="s">
        <v>9499</v>
      </c>
      <c r="D9421">
        <v>2000</v>
      </c>
      <c r="E9421" t="s">
        <v>36</v>
      </c>
      <c r="F9421" t="s">
        <v>3038</v>
      </c>
      <c r="G9421">
        <v>0</v>
      </c>
      <c r="H9421">
        <v>0</v>
      </c>
      <c r="I9421">
        <v>0</v>
      </c>
      <c r="J9421">
        <v>1</v>
      </c>
      <c r="K9421">
        <v>0</v>
      </c>
      <c r="L9421">
        <f t="shared" si="294"/>
        <v>4.2</v>
      </c>
      <c r="M9421">
        <f t="shared" si="295"/>
        <v>1</v>
      </c>
    </row>
    <row r="9422" spans="1:13" x14ac:dyDescent="0.3">
      <c r="A9422">
        <v>9420</v>
      </c>
      <c r="B9422">
        <v>9421</v>
      </c>
      <c r="C9422" t="s">
        <v>9500</v>
      </c>
      <c r="D9422">
        <v>2020</v>
      </c>
      <c r="F9422" t="s">
        <v>3038</v>
      </c>
      <c r="G9422">
        <v>0</v>
      </c>
      <c r="H9422">
        <v>0</v>
      </c>
      <c r="I9422">
        <v>0</v>
      </c>
      <c r="J9422">
        <v>1</v>
      </c>
      <c r="K9422">
        <v>0</v>
      </c>
      <c r="L9422">
        <f t="shared" si="294"/>
        <v>4.2</v>
      </c>
      <c r="M9422">
        <f t="shared" si="295"/>
        <v>1</v>
      </c>
    </row>
    <row r="9423" spans="1:13" x14ac:dyDescent="0.3">
      <c r="A9423">
        <v>9421</v>
      </c>
      <c r="B9423">
        <v>9422</v>
      </c>
      <c r="C9423" t="s">
        <v>9501</v>
      </c>
      <c r="D9423">
        <v>2001</v>
      </c>
      <c r="E9423" t="s">
        <v>14</v>
      </c>
      <c r="F9423" t="s">
        <v>3038</v>
      </c>
      <c r="G9423">
        <v>0</v>
      </c>
      <c r="H9423">
        <v>0</v>
      </c>
      <c r="I9423">
        <v>0</v>
      </c>
      <c r="J9423">
        <v>1</v>
      </c>
      <c r="K9423">
        <v>0</v>
      </c>
      <c r="L9423">
        <f t="shared" si="294"/>
        <v>4.2</v>
      </c>
      <c r="M9423">
        <f t="shared" si="295"/>
        <v>1</v>
      </c>
    </row>
    <row r="9424" spans="1:13" x14ac:dyDescent="0.3">
      <c r="A9424">
        <v>9422</v>
      </c>
      <c r="B9424">
        <v>9423</v>
      </c>
      <c r="C9424" t="s">
        <v>9502</v>
      </c>
      <c r="D9424">
        <v>2018</v>
      </c>
      <c r="F9424" t="s">
        <v>3038</v>
      </c>
      <c r="G9424">
        <v>0</v>
      </c>
      <c r="H9424">
        <v>0</v>
      </c>
      <c r="I9424">
        <v>0</v>
      </c>
      <c r="J9424">
        <v>1</v>
      </c>
      <c r="K9424">
        <v>0</v>
      </c>
      <c r="L9424">
        <f t="shared" si="294"/>
        <v>4.2</v>
      </c>
      <c r="M9424">
        <f t="shared" si="295"/>
        <v>1</v>
      </c>
    </row>
    <row r="9425" spans="1:13" x14ac:dyDescent="0.3">
      <c r="A9425">
        <v>9423</v>
      </c>
      <c r="B9425">
        <v>9424</v>
      </c>
      <c r="C9425" t="s">
        <v>9503</v>
      </c>
      <c r="D9425">
        <v>2016</v>
      </c>
      <c r="F9425" t="s">
        <v>3038</v>
      </c>
      <c r="G9425">
        <v>0</v>
      </c>
      <c r="H9425">
        <v>0</v>
      </c>
      <c r="I9425">
        <v>0</v>
      </c>
      <c r="J9425">
        <v>1</v>
      </c>
      <c r="K9425">
        <v>0</v>
      </c>
      <c r="L9425">
        <f t="shared" si="294"/>
        <v>4.2</v>
      </c>
      <c r="M9425">
        <f t="shared" si="295"/>
        <v>1</v>
      </c>
    </row>
    <row r="9426" spans="1:13" x14ac:dyDescent="0.3">
      <c r="A9426">
        <v>9424</v>
      </c>
      <c r="B9426">
        <v>9425</v>
      </c>
      <c r="C9426" t="s">
        <v>9504</v>
      </c>
      <c r="D9426">
        <v>1949</v>
      </c>
      <c r="F9426" t="s">
        <v>3038</v>
      </c>
      <c r="G9426">
        <v>0</v>
      </c>
      <c r="H9426">
        <v>0</v>
      </c>
      <c r="I9426">
        <v>0</v>
      </c>
      <c r="J9426">
        <v>1</v>
      </c>
      <c r="K9426">
        <v>0</v>
      </c>
      <c r="L9426">
        <f t="shared" si="294"/>
        <v>4.2</v>
      </c>
      <c r="M9426">
        <f t="shared" si="295"/>
        <v>1</v>
      </c>
    </row>
    <row r="9427" spans="1:13" x14ac:dyDescent="0.3">
      <c r="A9427">
        <v>9425</v>
      </c>
      <c r="B9427">
        <v>9426</v>
      </c>
      <c r="C9427" t="s">
        <v>9505</v>
      </c>
      <c r="D9427">
        <v>2020</v>
      </c>
      <c r="F9427" t="s">
        <v>3038</v>
      </c>
      <c r="G9427">
        <v>0</v>
      </c>
      <c r="H9427">
        <v>0</v>
      </c>
      <c r="I9427">
        <v>0</v>
      </c>
      <c r="J9427">
        <v>1</v>
      </c>
      <c r="K9427">
        <v>0</v>
      </c>
      <c r="L9427">
        <f t="shared" si="294"/>
        <v>4.2</v>
      </c>
      <c r="M9427">
        <f t="shared" si="295"/>
        <v>1</v>
      </c>
    </row>
    <row r="9428" spans="1:13" x14ac:dyDescent="0.3">
      <c r="A9428">
        <v>9426</v>
      </c>
      <c r="B9428">
        <v>9427</v>
      </c>
      <c r="C9428" t="s">
        <v>9506</v>
      </c>
      <c r="D9428">
        <v>2020</v>
      </c>
      <c r="E9428" t="s">
        <v>36</v>
      </c>
      <c r="F9428" t="s">
        <v>3038</v>
      </c>
      <c r="G9428">
        <v>0</v>
      </c>
      <c r="H9428">
        <v>0</v>
      </c>
      <c r="I9428">
        <v>0</v>
      </c>
      <c r="J9428">
        <v>1</v>
      </c>
      <c r="K9428">
        <v>0</v>
      </c>
      <c r="L9428">
        <f t="shared" si="294"/>
        <v>4.2</v>
      </c>
      <c r="M9428">
        <f t="shared" si="295"/>
        <v>1</v>
      </c>
    </row>
    <row r="9429" spans="1:13" x14ac:dyDescent="0.3">
      <c r="A9429">
        <v>9427</v>
      </c>
      <c r="B9429">
        <v>9428</v>
      </c>
      <c r="C9429" t="s">
        <v>9507</v>
      </c>
      <c r="D9429">
        <v>2020</v>
      </c>
      <c r="F9429" t="s">
        <v>3038</v>
      </c>
      <c r="G9429">
        <v>0</v>
      </c>
      <c r="H9429">
        <v>0</v>
      </c>
      <c r="I9429">
        <v>0</v>
      </c>
      <c r="J9429">
        <v>1</v>
      </c>
      <c r="K9429">
        <v>0</v>
      </c>
      <c r="L9429">
        <f t="shared" si="294"/>
        <v>4.2</v>
      </c>
      <c r="M9429">
        <f t="shared" si="295"/>
        <v>1</v>
      </c>
    </row>
    <row r="9430" spans="1:13" x14ac:dyDescent="0.3">
      <c r="A9430">
        <v>9428</v>
      </c>
      <c r="B9430">
        <v>9429</v>
      </c>
      <c r="C9430" t="s">
        <v>9508</v>
      </c>
      <c r="D9430">
        <v>1977</v>
      </c>
      <c r="E9430" t="s">
        <v>36</v>
      </c>
      <c r="F9430" t="s">
        <v>3038</v>
      </c>
      <c r="G9430">
        <v>0</v>
      </c>
      <c r="H9430">
        <v>0</v>
      </c>
      <c r="I9430">
        <v>0</v>
      </c>
      <c r="J9430">
        <v>1</v>
      </c>
      <c r="K9430">
        <v>0</v>
      </c>
      <c r="L9430">
        <f t="shared" si="294"/>
        <v>4.2</v>
      </c>
      <c r="M9430">
        <f t="shared" si="295"/>
        <v>1</v>
      </c>
    </row>
    <row r="9431" spans="1:13" x14ac:dyDescent="0.3">
      <c r="A9431">
        <v>9429</v>
      </c>
      <c r="B9431">
        <v>9430</v>
      </c>
      <c r="C9431" t="s">
        <v>9509</v>
      </c>
      <c r="D9431">
        <v>1952</v>
      </c>
      <c r="F9431" t="s">
        <v>3038</v>
      </c>
      <c r="G9431">
        <v>0</v>
      </c>
      <c r="H9431">
        <v>0</v>
      </c>
      <c r="I9431">
        <v>0</v>
      </c>
      <c r="J9431">
        <v>1</v>
      </c>
      <c r="K9431">
        <v>0</v>
      </c>
      <c r="L9431">
        <f t="shared" si="294"/>
        <v>4.2</v>
      </c>
      <c r="M9431">
        <f t="shared" si="295"/>
        <v>1</v>
      </c>
    </row>
    <row r="9432" spans="1:13" x14ac:dyDescent="0.3">
      <c r="A9432">
        <v>9430</v>
      </c>
      <c r="B9432">
        <v>9431</v>
      </c>
      <c r="C9432" t="s">
        <v>9510</v>
      </c>
      <c r="D9432">
        <v>1998</v>
      </c>
      <c r="E9432" t="s">
        <v>36</v>
      </c>
      <c r="F9432" t="s">
        <v>3038</v>
      </c>
      <c r="G9432">
        <v>0</v>
      </c>
      <c r="H9432">
        <v>0</v>
      </c>
      <c r="I9432">
        <v>0</v>
      </c>
      <c r="J9432">
        <v>1</v>
      </c>
      <c r="K9432">
        <v>0</v>
      </c>
      <c r="L9432">
        <f t="shared" si="294"/>
        <v>4.2</v>
      </c>
      <c r="M9432">
        <f t="shared" si="295"/>
        <v>1</v>
      </c>
    </row>
    <row r="9433" spans="1:13" x14ac:dyDescent="0.3">
      <c r="A9433">
        <v>9431</v>
      </c>
      <c r="B9433">
        <v>9432</v>
      </c>
      <c r="C9433" t="s">
        <v>9511</v>
      </c>
      <c r="D9433">
        <v>2018</v>
      </c>
      <c r="E9433" t="s">
        <v>14</v>
      </c>
      <c r="F9433" t="s">
        <v>3038</v>
      </c>
      <c r="G9433">
        <v>0</v>
      </c>
      <c r="H9433">
        <v>0</v>
      </c>
      <c r="I9433">
        <v>0</v>
      </c>
      <c r="J9433">
        <v>1</v>
      </c>
      <c r="K9433">
        <v>0</v>
      </c>
      <c r="L9433">
        <f t="shared" si="294"/>
        <v>4.2</v>
      </c>
      <c r="M9433">
        <f t="shared" si="295"/>
        <v>1</v>
      </c>
    </row>
    <row r="9434" spans="1:13" x14ac:dyDescent="0.3">
      <c r="A9434">
        <v>9432</v>
      </c>
      <c r="B9434">
        <v>9433</v>
      </c>
      <c r="C9434" t="s">
        <v>9512</v>
      </c>
      <c r="D9434">
        <v>2009</v>
      </c>
      <c r="E9434" t="s">
        <v>14</v>
      </c>
      <c r="F9434" t="s">
        <v>3038</v>
      </c>
      <c r="G9434">
        <v>0</v>
      </c>
      <c r="H9434">
        <v>0</v>
      </c>
      <c r="I9434">
        <v>0</v>
      </c>
      <c r="J9434">
        <v>1</v>
      </c>
      <c r="K9434">
        <v>0</v>
      </c>
      <c r="L9434">
        <f t="shared" si="294"/>
        <v>4.2</v>
      </c>
      <c r="M9434">
        <f t="shared" si="295"/>
        <v>1</v>
      </c>
    </row>
    <row r="9435" spans="1:13" x14ac:dyDescent="0.3">
      <c r="A9435">
        <v>9433</v>
      </c>
      <c r="B9435">
        <v>9434</v>
      </c>
      <c r="C9435" t="s">
        <v>9513</v>
      </c>
      <c r="D9435">
        <v>1978</v>
      </c>
      <c r="F9435" t="s">
        <v>3129</v>
      </c>
      <c r="G9435">
        <v>0</v>
      </c>
      <c r="H9435">
        <v>0</v>
      </c>
      <c r="I9435">
        <v>0</v>
      </c>
      <c r="J9435">
        <v>1</v>
      </c>
      <c r="K9435">
        <v>0</v>
      </c>
      <c r="L9435">
        <f t="shared" si="294"/>
        <v>4.0999999999999996</v>
      </c>
      <c r="M9435">
        <f t="shared" si="295"/>
        <v>1</v>
      </c>
    </row>
    <row r="9436" spans="1:13" x14ac:dyDescent="0.3">
      <c r="A9436">
        <v>9434</v>
      </c>
      <c r="B9436">
        <v>9435</v>
      </c>
      <c r="C9436" t="s">
        <v>9514</v>
      </c>
      <c r="D9436">
        <v>2020</v>
      </c>
      <c r="F9436" t="s">
        <v>3129</v>
      </c>
      <c r="G9436">
        <v>0</v>
      </c>
      <c r="H9436">
        <v>0</v>
      </c>
      <c r="I9436">
        <v>0</v>
      </c>
      <c r="J9436">
        <v>1</v>
      </c>
      <c r="K9436">
        <v>0</v>
      </c>
      <c r="L9436">
        <f t="shared" si="294"/>
        <v>4.0999999999999996</v>
      </c>
      <c r="M9436">
        <f t="shared" si="295"/>
        <v>1</v>
      </c>
    </row>
    <row r="9437" spans="1:13" x14ac:dyDescent="0.3">
      <c r="A9437">
        <v>9435</v>
      </c>
      <c r="B9437">
        <v>9436</v>
      </c>
      <c r="C9437" t="s">
        <v>9515</v>
      </c>
      <c r="D9437">
        <v>2011</v>
      </c>
      <c r="E9437" t="s">
        <v>36</v>
      </c>
      <c r="F9437" t="s">
        <v>3129</v>
      </c>
      <c r="G9437">
        <v>0</v>
      </c>
      <c r="H9437">
        <v>0</v>
      </c>
      <c r="I9437">
        <v>0</v>
      </c>
      <c r="J9437">
        <v>1</v>
      </c>
      <c r="K9437">
        <v>0</v>
      </c>
      <c r="L9437">
        <f t="shared" si="294"/>
        <v>4.0999999999999996</v>
      </c>
      <c r="M9437">
        <f t="shared" si="295"/>
        <v>1</v>
      </c>
    </row>
    <row r="9438" spans="1:13" x14ac:dyDescent="0.3">
      <c r="A9438">
        <v>9436</v>
      </c>
      <c r="B9438">
        <v>9437</v>
      </c>
      <c r="C9438" t="s">
        <v>9516</v>
      </c>
      <c r="D9438">
        <v>2017</v>
      </c>
      <c r="F9438" t="s">
        <v>3129</v>
      </c>
      <c r="G9438">
        <v>0</v>
      </c>
      <c r="H9438">
        <v>0</v>
      </c>
      <c r="I9438">
        <v>0</v>
      </c>
      <c r="J9438">
        <v>1</v>
      </c>
      <c r="K9438">
        <v>0</v>
      </c>
      <c r="L9438">
        <f t="shared" si="294"/>
        <v>4.0999999999999996</v>
      </c>
      <c r="M9438">
        <f t="shared" si="295"/>
        <v>1</v>
      </c>
    </row>
    <row r="9439" spans="1:13" x14ac:dyDescent="0.3">
      <c r="A9439">
        <v>9437</v>
      </c>
      <c r="B9439">
        <v>9438</v>
      </c>
      <c r="C9439" t="s">
        <v>9517</v>
      </c>
      <c r="D9439">
        <v>2000</v>
      </c>
      <c r="E9439" t="s">
        <v>36</v>
      </c>
      <c r="F9439" t="s">
        <v>3129</v>
      </c>
      <c r="G9439">
        <v>0</v>
      </c>
      <c r="H9439">
        <v>0</v>
      </c>
      <c r="I9439">
        <v>0</v>
      </c>
      <c r="J9439">
        <v>1</v>
      </c>
      <c r="K9439">
        <v>0</v>
      </c>
      <c r="L9439">
        <f t="shared" si="294"/>
        <v>4.0999999999999996</v>
      </c>
      <c r="M9439">
        <f t="shared" si="295"/>
        <v>1</v>
      </c>
    </row>
    <row r="9440" spans="1:13" x14ac:dyDescent="0.3">
      <c r="A9440">
        <v>9438</v>
      </c>
      <c r="B9440">
        <v>9439</v>
      </c>
      <c r="C9440" t="s">
        <v>9518</v>
      </c>
      <c r="D9440">
        <v>2013</v>
      </c>
      <c r="F9440" t="s">
        <v>3129</v>
      </c>
      <c r="G9440">
        <v>0</v>
      </c>
      <c r="H9440">
        <v>0</v>
      </c>
      <c r="I9440">
        <v>0</v>
      </c>
      <c r="J9440">
        <v>1</v>
      </c>
      <c r="K9440">
        <v>0</v>
      </c>
      <c r="L9440">
        <f t="shared" si="294"/>
        <v>4.0999999999999996</v>
      </c>
      <c r="M9440">
        <f t="shared" si="295"/>
        <v>1</v>
      </c>
    </row>
    <row r="9441" spans="1:13" x14ac:dyDescent="0.3">
      <c r="A9441">
        <v>9439</v>
      </c>
      <c r="B9441">
        <v>9440</v>
      </c>
      <c r="C9441" t="s">
        <v>9519</v>
      </c>
      <c r="D9441">
        <v>1951</v>
      </c>
      <c r="F9441" t="s">
        <v>3129</v>
      </c>
      <c r="G9441">
        <v>0</v>
      </c>
      <c r="H9441">
        <v>0</v>
      </c>
      <c r="I9441">
        <v>0</v>
      </c>
      <c r="J9441">
        <v>1</v>
      </c>
      <c r="K9441">
        <v>0</v>
      </c>
      <c r="L9441">
        <f t="shared" si="294"/>
        <v>4.0999999999999996</v>
      </c>
      <c r="M9441">
        <f t="shared" si="295"/>
        <v>1</v>
      </c>
    </row>
    <row r="9442" spans="1:13" x14ac:dyDescent="0.3">
      <c r="A9442">
        <v>9440</v>
      </c>
      <c r="B9442">
        <v>9441</v>
      </c>
      <c r="C9442" t="s">
        <v>9520</v>
      </c>
      <c r="D9442">
        <v>1998</v>
      </c>
      <c r="E9442" t="s">
        <v>36</v>
      </c>
      <c r="F9442" t="s">
        <v>3129</v>
      </c>
      <c r="G9442">
        <v>0</v>
      </c>
      <c r="H9442">
        <v>0</v>
      </c>
      <c r="I9442">
        <v>0</v>
      </c>
      <c r="J9442">
        <v>1</v>
      </c>
      <c r="K9442">
        <v>0</v>
      </c>
      <c r="L9442">
        <f t="shared" si="294"/>
        <v>4.0999999999999996</v>
      </c>
      <c r="M9442">
        <f t="shared" si="295"/>
        <v>1</v>
      </c>
    </row>
    <row r="9443" spans="1:13" x14ac:dyDescent="0.3">
      <c r="A9443">
        <v>9441</v>
      </c>
      <c r="B9443">
        <v>9442</v>
      </c>
      <c r="C9443" t="s">
        <v>9521</v>
      </c>
      <c r="D9443">
        <v>2020</v>
      </c>
      <c r="F9443" t="s">
        <v>3129</v>
      </c>
      <c r="G9443">
        <v>0</v>
      </c>
      <c r="H9443">
        <v>0</v>
      </c>
      <c r="I9443">
        <v>0</v>
      </c>
      <c r="J9443">
        <v>1</v>
      </c>
      <c r="K9443">
        <v>0</v>
      </c>
      <c r="L9443">
        <f t="shared" si="294"/>
        <v>4.0999999999999996</v>
      </c>
      <c r="M9443">
        <f t="shared" si="295"/>
        <v>1</v>
      </c>
    </row>
    <row r="9444" spans="1:13" x14ac:dyDescent="0.3">
      <c r="A9444">
        <v>9442</v>
      </c>
      <c r="B9444">
        <v>9443</v>
      </c>
      <c r="C9444" t="s">
        <v>9522</v>
      </c>
      <c r="D9444">
        <v>2016</v>
      </c>
      <c r="E9444" t="s">
        <v>14</v>
      </c>
      <c r="F9444" t="s">
        <v>3129</v>
      </c>
      <c r="G9444">
        <v>0</v>
      </c>
      <c r="H9444">
        <v>0</v>
      </c>
      <c r="I9444">
        <v>0</v>
      </c>
      <c r="J9444">
        <v>1</v>
      </c>
      <c r="K9444">
        <v>0</v>
      </c>
      <c r="L9444">
        <f t="shared" si="294"/>
        <v>4.0999999999999996</v>
      </c>
      <c r="M9444">
        <f t="shared" si="295"/>
        <v>1</v>
      </c>
    </row>
    <row r="9445" spans="1:13" x14ac:dyDescent="0.3">
      <c r="A9445">
        <v>9443</v>
      </c>
      <c r="B9445">
        <v>9444</v>
      </c>
      <c r="C9445" t="s">
        <v>9523</v>
      </c>
      <c r="D9445">
        <v>2008</v>
      </c>
      <c r="F9445" t="s">
        <v>3129</v>
      </c>
      <c r="G9445">
        <v>0</v>
      </c>
      <c r="H9445">
        <v>0</v>
      </c>
      <c r="I9445">
        <v>0</v>
      </c>
      <c r="J9445">
        <v>1</v>
      </c>
      <c r="K9445">
        <v>0</v>
      </c>
      <c r="L9445">
        <f t="shared" si="294"/>
        <v>4.0999999999999996</v>
      </c>
      <c r="M9445">
        <f t="shared" si="295"/>
        <v>1</v>
      </c>
    </row>
    <row r="9446" spans="1:13" x14ac:dyDescent="0.3">
      <c r="A9446">
        <v>9444</v>
      </c>
      <c r="B9446">
        <v>9445</v>
      </c>
      <c r="C9446" t="s">
        <v>9524</v>
      </c>
      <c r="D9446">
        <v>2018</v>
      </c>
      <c r="F9446" t="s">
        <v>3129</v>
      </c>
      <c r="G9446">
        <v>0</v>
      </c>
      <c r="H9446">
        <v>0</v>
      </c>
      <c r="I9446">
        <v>0</v>
      </c>
      <c r="J9446">
        <v>1</v>
      </c>
      <c r="K9446">
        <v>0</v>
      </c>
      <c r="L9446">
        <f t="shared" si="294"/>
        <v>4.0999999999999996</v>
      </c>
      <c r="M9446">
        <f t="shared" si="295"/>
        <v>1</v>
      </c>
    </row>
    <row r="9447" spans="1:13" x14ac:dyDescent="0.3">
      <c r="A9447">
        <v>9445</v>
      </c>
      <c r="B9447">
        <v>9446</v>
      </c>
      <c r="C9447" t="s">
        <v>9525</v>
      </c>
      <c r="D9447">
        <v>1955</v>
      </c>
      <c r="E9447" t="s">
        <v>36</v>
      </c>
      <c r="F9447" t="s">
        <v>3129</v>
      </c>
      <c r="G9447">
        <v>0</v>
      </c>
      <c r="H9447">
        <v>0</v>
      </c>
      <c r="I9447">
        <v>0</v>
      </c>
      <c r="J9447">
        <v>1</v>
      </c>
      <c r="K9447">
        <v>0</v>
      </c>
      <c r="L9447">
        <f t="shared" si="294"/>
        <v>4.0999999999999996</v>
      </c>
      <c r="M9447">
        <f t="shared" si="295"/>
        <v>1</v>
      </c>
    </row>
    <row r="9448" spans="1:13" x14ac:dyDescent="0.3">
      <c r="A9448">
        <v>9446</v>
      </c>
      <c r="B9448">
        <v>9447</v>
      </c>
      <c r="C9448" t="s">
        <v>9526</v>
      </c>
      <c r="D9448">
        <v>1952</v>
      </c>
      <c r="F9448" t="s">
        <v>3129</v>
      </c>
      <c r="G9448">
        <v>0</v>
      </c>
      <c r="H9448">
        <v>0</v>
      </c>
      <c r="I9448">
        <v>0</v>
      </c>
      <c r="J9448">
        <v>1</v>
      </c>
      <c r="K9448">
        <v>0</v>
      </c>
      <c r="L9448">
        <f t="shared" si="294"/>
        <v>4.0999999999999996</v>
      </c>
      <c r="M9448">
        <f t="shared" si="295"/>
        <v>1</v>
      </c>
    </row>
    <row r="9449" spans="1:13" x14ac:dyDescent="0.3">
      <c r="A9449">
        <v>9447</v>
      </c>
      <c r="B9449">
        <v>9448</v>
      </c>
      <c r="C9449" t="s">
        <v>9527</v>
      </c>
      <c r="D9449">
        <v>2020</v>
      </c>
      <c r="E9449" t="s">
        <v>14</v>
      </c>
      <c r="F9449" t="s">
        <v>3129</v>
      </c>
      <c r="G9449">
        <v>0</v>
      </c>
      <c r="H9449">
        <v>0</v>
      </c>
      <c r="I9449">
        <v>0</v>
      </c>
      <c r="J9449">
        <v>1</v>
      </c>
      <c r="K9449">
        <v>0</v>
      </c>
      <c r="L9449">
        <f t="shared" si="294"/>
        <v>4.0999999999999996</v>
      </c>
      <c r="M9449">
        <f t="shared" si="295"/>
        <v>1</v>
      </c>
    </row>
    <row r="9450" spans="1:13" x14ac:dyDescent="0.3">
      <c r="A9450">
        <v>9448</v>
      </c>
      <c r="B9450">
        <v>9449</v>
      </c>
      <c r="C9450" t="s">
        <v>9528</v>
      </c>
      <c r="D9450">
        <v>2020</v>
      </c>
      <c r="F9450" t="s">
        <v>3129</v>
      </c>
      <c r="G9450">
        <v>0</v>
      </c>
      <c r="H9450">
        <v>0</v>
      </c>
      <c r="I9450">
        <v>0</v>
      </c>
      <c r="J9450">
        <v>1</v>
      </c>
      <c r="K9450">
        <v>0</v>
      </c>
      <c r="L9450">
        <f t="shared" si="294"/>
        <v>4.0999999999999996</v>
      </c>
      <c r="M9450">
        <f t="shared" si="295"/>
        <v>1</v>
      </c>
    </row>
    <row r="9451" spans="1:13" x14ac:dyDescent="0.3">
      <c r="A9451">
        <v>9449</v>
      </c>
      <c r="B9451">
        <v>9450</v>
      </c>
      <c r="C9451" t="s">
        <v>9529</v>
      </c>
      <c r="D9451">
        <v>2014</v>
      </c>
      <c r="F9451" t="s">
        <v>3129</v>
      </c>
      <c r="G9451">
        <v>0</v>
      </c>
      <c r="H9451">
        <v>0</v>
      </c>
      <c r="I9451">
        <v>0</v>
      </c>
      <c r="J9451">
        <v>1</v>
      </c>
      <c r="K9451">
        <v>0</v>
      </c>
      <c r="L9451">
        <f t="shared" si="294"/>
        <v>4.0999999999999996</v>
      </c>
      <c r="M9451">
        <f t="shared" si="295"/>
        <v>1</v>
      </c>
    </row>
    <row r="9452" spans="1:13" x14ac:dyDescent="0.3">
      <c r="A9452">
        <v>9450</v>
      </c>
      <c r="B9452">
        <v>9451</v>
      </c>
      <c r="C9452" t="s">
        <v>9530</v>
      </c>
      <c r="D9452">
        <v>2016</v>
      </c>
      <c r="F9452" t="s">
        <v>3129</v>
      </c>
      <c r="G9452">
        <v>0</v>
      </c>
      <c r="H9452">
        <v>0</v>
      </c>
      <c r="I9452">
        <v>0</v>
      </c>
      <c r="J9452">
        <v>1</v>
      </c>
      <c r="K9452">
        <v>0</v>
      </c>
      <c r="L9452">
        <f t="shared" si="294"/>
        <v>4.0999999999999996</v>
      </c>
      <c r="M9452">
        <f t="shared" si="295"/>
        <v>1</v>
      </c>
    </row>
    <row r="9453" spans="1:13" x14ac:dyDescent="0.3">
      <c r="A9453">
        <v>9451</v>
      </c>
      <c r="B9453">
        <v>9452</v>
      </c>
      <c r="C9453" t="s">
        <v>9531</v>
      </c>
      <c r="D9453">
        <v>1977</v>
      </c>
      <c r="F9453" t="s">
        <v>3226</v>
      </c>
      <c r="G9453">
        <v>0</v>
      </c>
      <c r="H9453">
        <v>0</v>
      </c>
      <c r="I9453">
        <v>0</v>
      </c>
      <c r="J9453">
        <v>1</v>
      </c>
      <c r="K9453">
        <v>0</v>
      </c>
      <c r="L9453">
        <f t="shared" si="294"/>
        <v>4</v>
      </c>
      <c r="M9453">
        <f t="shared" si="295"/>
        <v>1</v>
      </c>
    </row>
    <row r="9454" spans="1:13" x14ac:dyDescent="0.3">
      <c r="A9454">
        <v>9452</v>
      </c>
      <c r="B9454">
        <v>9453</v>
      </c>
      <c r="C9454" t="s">
        <v>9532</v>
      </c>
      <c r="D9454">
        <v>2020</v>
      </c>
      <c r="E9454" t="s">
        <v>14</v>
      </c>
      <c r="F9454" t="s">
        <v>3226</v>
      </c>
      <c r="G9454">
        <v>0</v>
      </c>
      <c r="H9454">
        <v>0</v>
      </c>
      <c r="I9454">
        <v>0</v>
      </c>
      <c r="J9454">
        <v>1</v>
      </c>
      <c r="K9454">
        <v>0</v>
      </c>
      <c r="L9454">
        <f t="shared" si="294"/>
        <v>4</v>
      </c>
      <c r="M9454">
        <f t="shared" si="295"/>
        <v>1</v>
      </c>
    </row>
    <row r="9455" spans="1:13" x14ac:dyDescent="0.3">
      <c r="A9455">
        <v>9453</v>
      </c>
      <c r="B9455">
        <v>9454</v>
      </c>
      <c r="C9455" t="s">
        <v>9533</v>
      </c>
      <c r="D9455">
        <v>1962</v>
      </c>
      <c r="E9455" t="s">
        <v>36</v>
      </c>
      <c r="F9455" t="s">
        <v>3226</v>
      </c>
      <c r="G9455">
        <v>0</v>
      </c>
      <c r="H9455">
        <v>0</v>
      </c>
      <c r="I9455">
        <v>0</v>
      </c>
      <c r="J9455">
        <v>1</v>
      </c>
      <c r="K9455">
        <v>0</v>
      </c>
      <c r="L9455">
        <f t="shared" si="294"/>
        <v>4</v>
      </c>
      <c r="M9455">
        <f t="shared" si="295"/>
        <v>1</v>
      </c>
    </row>
    <row r="9456" spans="1:13" x14ac:dyDescent="0.3">
      <c r="A9456">
        <v>9454</v>
      </c>
      <c r="B9456">
        <v>9455</v>
      </c>
      <c r="C9456" t="s">
        <v>9534</v>
      </c>
      <c r="D9456">
        <v>2020</v>
      </c>
      <c r="F9456" t="s">
        <v>3226</v>
      </c>
      <c r="G9456">
        <v>0</v>
      </c>
      <c r="H9456">
        <v>0</v>
      </c>
      <c r="I9456">
        <v>0</v>
      </c>
      <c r="J9456">
        <v>1</v>
      </c>
      <c r="K9456">
        <v>0</v>
      </c>
      <c r="L9456">
        <f t="shared" si="294"/>
        <v>4</v>
      </c>
      <c r="M9456">
        <f t="shared" si="295"/>
        <v>1</v>
      </c>
    </row>
    <row r="9457" spans="1:13" x14ac:dyDescent="0.3">
      <c r="A9457">
        <v>9455</v>
      </c>
      <c r="B9457">
        <v>9456</v>
      </c>
      <c r="C9457" t="s">
        <v>9535</v>
      </c>
      <c r="D9457">
        <v>2018</v>
      </c>
      <c r="E9457" t="s">
        <v>22</v>
      </c>
      <c r="F9457" t="s">
        <v>3226</v>
      </c>
      <c r="G9457">
        <v>0</v>
      </c>
      <c r="H9457">
        <v>0</v>
      </c>
      <c r="I9457">
        <v>0</v>
      </c>
      <c r="J9457">
        <v>1</v>
      </c>
      <c r="K9457">
        <v>0</v>
      </c>
      <c r="L9457">
        <f t="shared" si="294"/>
        <v>4</v>
      </c>
      <c r="M9457">
        <f t="shared" si="295"/>
        <v>1</v>
      </c>
    </row>
    <row r="9458" spans="1:13" x14ac:dyDescent="0.3">
      <c r="A9458">
        <v>9456</v>
      </c>
      <c r="B9458">
        <v>9457</v>
      </c>
      <c r="C9458" t="s">
        <v>9536</v>
      </c>
      <c r="D9458">
        <v>1969</v>
      </c>
      <c r="E9458" t="s">
        <v>36</v>
      </c>
      <c r="F9458" t="s">
        <v>3226</v>
      </c>
      <c r="G9458">
        <v>0</v>
      </c>
      <c r="H9458">
        <v>0</v>
      </c>
      <c r="I9458">
        <v>0</v>
      </c>
      <c r="J9458">
        <v>1</v>
      </c>
      <c r="K9458">
        <v>0</v>
      </c>
      <c r="L9458">
        <f t="shared" si="294"/>
        <v>4</v>
      </c>
      <c r="M9458">
        <f t="shared" si="295"/>
        <v>1</v>
      </c>
    </row>
    <row r="9459" spans="1:13" x14ac:dyDescent="0.3">
      <c r="A9459">
        <v>9457</v>
      </c>
      <c r="B9459">
        <v>9458</v>
      </c>
      <c r="C9459" t="s">
        <v>9537</v>
      </c>
      <c r="D9459">
        <v>1957</v>
      </c>
      <c r="E9459" t="s">
        <v>36</v>
      </c>
      <c r="F9459" t="s">
        <v>3226</v>
      </c>
      <c r="G9459">
        <v>0</v>
      </c>
      <c r="H9459">
        <v>0</v>
      </c>
      <c r="I9459">
        <v>0</v>
      </c>
      <c r="J9459">
        <v>1</v>
      </c>
      <c r="K9459">
        <v>0</v>
      </c>
      <c r="L9459">
        <f t="shared" si="294"/>
        <v>4</v>
      </c>
      <c r="M9459">
        <f t="shared" si="295"/>
        <v>1</v>
      </c>
    </row>
    <row r="9460" spans="1:13" x14ac:dyDescent="0.3">
      <c r="A9460">
        <v>9458</v>
      </c>
      <c r="B9460">
        <v>9459</v>
      </c>
      <c r="C9460" t="s">
        <v>9538</v>
      </c>
      <c r="D9460">
        <v>1971</v>
      </c>
      <c r="E9460" t="s">
        <v>14</v>
      </c>
      <c r="F9460" t="s">
        <v>3226</v>
      </c>
      <c r="G9460">
        <v>0</v>
      </c>
      <c r="H9460">
        <v>0</v>
      </c>
      <c r="I9460">
        <v>0</v>
      </c>
      <c r="J9460">
        <v>1</v>
      </c>
      <c r="K9460">
        <v>0</v>
      </c>
      <c r="L9460">
        <f t="shared" si="294"/>
        <v>4</v>
      </c>
      <c r="M9460">
        <f t="shared" si="295"/>
        <v>1</v>
      </c>
    </row>
    <row r="9461" spans="1:13" x14ac:dyDescent="0.3">
      <c r="A9461">
        <v>9459</v>
      </c>
      <c r="B9461">
        <v>9460</v>
      </c>
      <c r="C9461" t="s">
        <v>9539</v>
      </c>
      <c r="D9461">
        <v>2010</v>
      </c>
      <c r="E9461" t="s">
        <v>36</v>
      </c>
      <c r="F9461" t="s">
        <v>3226</v>
      </c>
      <c r="G9461">
        <v>0</v>
      </c>
      <c r="H9461">
        <v>0</v>
      </c>
      <c r="I9461">
        <v>0</v>
      </c>
      <c r="J9461">
        <v>1</v>
      </c>
      <c r="K9461">
        <v>0</v>
      </c>
      <c r="L9461">
        <f t="shared" si="294"/>
        <v>4</v>
      </c>
      <c r="M9461">
        <f t="shared" si="295"/>
        <v>1</v>
      </c>
    </row>
    <row r="9462" spans="1:13" x14ac:dyDescent="0.3">
      <c r="A9462">
        <v>9460</v>
      </c>
      <c r="B9462">
        <v>9461</v>
      </c>
      <c r="C9462" t="s">
        <v>9540</v>
      </c>
      <c r="D9462">
        <v>2017</v>
      </c>
      <c r="F9462" t="s">
        <v>3226</v>
      </c>
      <c r="G9462">
        <v>0</v>
      </c>
      <c r="H9462">
        <v>0</v>
      </c>
      <c r="I9462">
        <v>0</v>
      </c>
      <c r="J9462">
        <v>1</v>
      </c>
      <c r="K9462">
        <v>0</v>
      </c>
      <c r="L9462">
        <f t="shared" si="294"/>
        <v>4</v>
      </c>
      <c r="M9462">
        <f t="shared" si="295"/>
        <v>1</v>
      </c>
    </row>
    <row r="9463" spans="1:13" x14ac:dyDescent="0.3">
      <c r="A9463">
        <v>9461</v>
      </c>
      <c r="B9463">
        <v>9462</v>
      </c>
      <c r="C9463" t="s">
        <v>9541</v>
      </c>
      <c r="D9463">
        <v>2012</v>
      </c>
      <c r="F9463" t="s">
        <v>3313</v>
      </c>
      <c r="G9463">
        <v>0</v>
      </c>
      <c r="H9463">
        <v>0</v>
      </c>
      <c r="I9463">
        <v>0</v>
      </c>
      <c r="J9463">
        <v>1</v>
      </c>
      <c r="K9463">
        <v>0</v>
      </c>
      <c r="L9463">
        <f t="shared" si="294"/>
        <v>3.9</v>
      </c>
      <c r="M9463">
        <f t="shared" si="295"/>
        <v>1</v>
      </c>
    </row>
    <row r="9464" spans="1:13" x14ac:dyDescent="0.3">
      <c r="A9464">
        <v>9462</v>
      </c>
      <c r="B9464">
        <v>9463</v>
      </c>
      <c r="C9464" t="s">
        <v>9542</v>
      </c>
      <c r="D9464">
        <v>1972</v>
      </c>
      <c r="E9464" t="s">
        <v>36</v>
      </c>
      <c r="F9464" t="s">
        <v>3313</v>
      </c>
      <c r="G9464">
        <v>0</v>
      </c>
      <c r="H9464">
        <v>0</v>
      </c>
      <c r="I9464">
        <v>0</v>
      </c>
      <c r="J9464">
        <v>1</v>
      </c>
      <c r="K9464">
        <v>0</v>
      </c>
      <c r="L9464">
        <f t="shared" si="294"/>
        <v>3.9</v>
      </c>
      <c r="M9464">
        <f t="shared" si="295"/>
        <v>1</v>
      </c>
    </row>
    <row r="9465" spans="1:13" x14ac:dyDescent="0.3">
      <c r="A9465">
        <v>9463</v>
      </c>
      <c r="B9465">
        <v>9464</v>
      </c>
      <c r="C9465" t="s">
        <v>9543</v>
      </c>
      <c r="D9465">
        <v>2017</v>
      </c>
      <c r="F9465" t="s">
        <v>3313</v>
      </c>
      <c r="G9465">
        <v>0</v>
      </c>
      <c r="H9465">
        <v>0</v>
      </c>
      <c r="I9465">
        <v>0</v>
      </c>
      <c r="J9465">
        <v>1</v>
      </c>
      <c r="K9465">
        <v>0</v>
      </c>
      <c r="L9465">
        <f t="shared" si="294"/>
        <v>3.9</v>
      </c>
      <c r="M9465">
        <f t="shared" si="295"/>
        <v>1</v>
      </c>
    </row>
    <row r="9466" spans="1:13" x14ac:dyDescent="0.3">
      <c r="A9466">
        <v>9464</v>
      </c>
      <c r="B9466">
        <v>9465</v>
      </c>
      <c r="C9466" t="s">
        <v>9544</v>
      </c>
      <c r="D9466">
        <v>1998</v>
      </c>
      <c r="E9466" t="s">
        <v>36</v>
      </c>
      <c r="F9466" t="s">
        <v>3313</v>
      </c>
      <c r="G9466">
        <v>0</v>
      </c>
      <c r="H9466">
        <v>0</v>
      </c>
      <c r="I9466">
        <v>0</v>
      </c>
      <c r="J9466">
        <v>1</v>
      </c>
      <c r="K9466">
        <v>0</v>
      </c>
      <c r="L9466">
        <f t="shared" si="294"/>
        <v>3.9</v>
      </c>
      <c r="M9466">
        <f t="shared" si="295"/>
        <v>1</v>
      </c>
    </row>
    <row r="9467" spans="1:13" x14ac:dyDescent="0.3">
      <c r="A9467">
        <v>9465</v>
      </c>
      <c r="B9467">
        <v>9466</v>
      </c>
      <c r="C9467" t="s">
        <v>9545</v>
      </c>
      <c r="D9467">
        <v>2010</v>
      </c>
      <c r="F9467" t="s">
        <v>3313</v>
      </c>
      <c r="G9467">
        <v>0</v>
      </c>
      <c r="H9467">
        <v>0</v>
      </c>
      <c r="I9467">
        <v>0</v>
      </c>
      <c r="J9467">
        <v>1</v>
      </c>
      <c r="K9467">
        <v>0</v>
      </c>
      <c r="L9467">
        <f t="shared" si="294"/>
        <v>3.9</v>
      </c>
      <c r="M9467">
        <f t="shared" si="295"/>
        <v>1</v>
      </c>
    </row>
    <row r="9468" spans="1:13" x14ac:dyDescent="0.3">
      <c r="A9468">
        <v>9466</v>
      </c>
      <c r="B9468">
        <v>9467</v>
      </c>
      <c r="C9468" t="s">
        <v>9546</v>
      </c>
      <c r="D9468">
        <v>2019</v>
      </c>
      <c r="F9468" t="s">
        <v>3313</v>
      </c>
      <c r="G9468">
        <v>0</v>
      </c>
      <c r="H9468">
        <v>0</v>
      </c>
      <c r="I9468">
        <v>0</v>
      </c>
      <c r="J9468">
        <v>1</v>
      </c>
      <c r="K9468">
        <v>0</v>
      </c>
      <c r="L9468">
        <f t="shared" si="294"/>
        <v>3.9</v>
      </c>
      <c r="M9468">
        <f t="shared" si="295"/>
        <v>1</v>
      </c>
    </row>
    <row r="9469" spans="1:13" x14ac:dyDescent="0.3">
      <c r="A9469">
        <v>9467</v>
      </c>
      <c r="B9469">
        <v>9468</v>
      </c>
      <c r="C9469" t="s">
        <v>9547</v>
      </c>
      <c r="D9469">
        <v>2016</v>
      </c>
      <c r="F9469" t="s">
        <v>3404</v>
      </c>
      <c r="G9469">
        <v>0</v>
      </c>
      <c r="H9469">
        <v>0</v>
      </c>
      <c r="I9469">
        <v>0</v>
      </c>
      <c r="J9469">
        <v>1</v>
      </c>
      <c r="K9469">
        <v>0</v>
      </c>
      <c r="L9469">
        <f t="shared" si="294"/>
        <v>3.8</v>
      </c>
      <c r="M9469">
        <f t="shared" si="295"/>
        <v>1</v>
      </c>
    </row>
    <row r="9470" spans="1:13" x14ac:dyDescent="0.3">
      <c r="A9470">
        <v>9468</v>
      </c>
      <c r="B9470">
        <v>9469</v>
      </c>
      <c r="C9470" t="s">
        <v>9548</v>
      </c>
      <c r="D9470">
        <v>2020</v>
      </c>
      <c r="E9470" t="s">
        <v>36</v>
      </c>
      <c r="F9470" t="s">
        <v>3404</v>
      </c>
      <c r="G9470">
        <v>0</v>
      </c>
      <c r="H9470">
        <v>0</v>
      </c>
      <c r="I9470">
        <v>0</v>
      </c>
      <c r="J9470">
        <v>1</v>
      </c>
      <c r="K9470">
        <v>0</v>
      </c>
      <c r="L9470">
        <f t="shared" si="294"/>
        <v>3.8</v>
      </c>
      <c r="M9470">
        <f t="shared" si="295"/>
        <v>1</v>
      </c>
    </row>
    <row r="9471" spans="1:13" x14ac:dyDescent="0.3">
      <c r="A9471">
        <v>9469</v>
      </c>
      <c r="B9471">
        <v>9470</v>
      </c>
      <c r="C9471" t="s">
        <v>9549</v>
      </c>
      <c r="D9471">
        <v>2019</v>
      </c>
      <c r="F9471" t="s">
        <v>3404</v>
      </c>
      <c r="G9471">
        <v>0</v>
      </c>
      <c r="H9471">
        <v>0</v>
      </c>
      <c r="I9471">
        <v>0</v>
      </c>
      <c r="J9471">
        <v>1</v>
      </c>
      <c r="K9471">
        <v>0</v>
      </c>
      <c r="L9471">
        <f t="shared" si="294"/>
        <v>3.8</v>
      </c>
      <c r="M9471">
        <f t="shared" si="295"/>
        <v>1</v>
      </c>
    </row>
    <row r="9472" spans="1:13" x14ac:dyDescent="0.3">
      <c r="A9472">
        <v>9470</v>
      </c>
      <c r="B9472">
        <v>9471</v>
      </c>
      <c r="C9472" t="s">
        <v>9550</v>
      </c>
      <c r="D9472">
        <v>2014</v>
      </c>
      <c r="E9472" t="s">
        <v>14</v>
      </c>
      <c r="F9472" t="s">
        <v>3404</v>
      </c>
      <c r="G9472">
        <v>0</v>
      </c>
      <c r="H9472">
        <v>0</v>
      </c>
      <c r="I9472">
        <v>0</v>
      </c>
      <c r="J9472">
        <v>1</v>
      </c>
      <c r="K9472">
        <v>0</v>
      </c>
      <c r="L9472">
        <f t="shared" si="294"/>
        <v>3.8</v>
      </c>
      <c r="M9472">
        <f t="shared" si="295"/>
        <v>1</v>
      </c>
    </row>
    <row r="9473" spans="1:13" x14ac:dyDescent="0.3">
      <c r="A9473">
        <v>9471</v>
      </c>
      <c r="B9473">
        <v>9472</v>
      </c>
      <c r="C9473" t="s">
        <v>9551</v>
      </c>
      <c r="D9473">
        <v>2019</v>
      </c>
      <c r="E9473" t="s">
        <v>36</v>
      </c>
      <c r="F9473" t="s">
        <v>3404</v>
      </c>
      <c r="G9473">
        <v>0</v>
      </c>
      <c r="H9473">
        <v>0</v>
      </c>
      <c r="I9473">
        <v>0</v>
      </c>
      <c r="J9473">
        <v>1</v>
      </c>
      <c r="K9473">
        <v>0</v>
      </c>
      <c r="L9473">
        <f t="shared" si="294"/>
        <v>3.8</v>
      </c>
      <c r="M9473">
        <f t="shared" si="295"/>
        <v>1</v>
      </c>
    </row>
    <row r="9474" spans="1:13" x14ac:dyDescent="0.3">
      <c r="A9474">
        <v>9472</v>
      </c>
      <c r="B9474">
        <v>9473</v>
      </c>
      <c r="C9474" t="s">
        <v>9552</v>
      </c>
      <c r="D9474">
        <v>2017</v>
      </c>
      <c r="E9474" t="s">
        <v>14</v>
      </c>
      <c r="F9474" t="s">
        <v>3404</v>
      </c>
      <c r="G9474">
        <v>0</v>
      </c>
      <c r="H9474">
        <v>0</v>
      </c>
      <c r="I9474">
        <v>0</v>
      </c>
      <c r="J9474">
        <v>1</v>
      </c>
      <c r="K9474">
        <v>0</v>
      </c>
      <c r="L9474">
        <f t="shared" si="294"/>
        <v>3.8</v>
      </c>
      <c r="M9474">
        <f t="shared" si="295"/>
        <v>1</v>
      </c>
    </row>
    <row r="9475" spans="1:13" x14ac:dyDescent="0.3">
      <c r="A9475">
        <v>9473</v>
      </c>
      <c r="B9475">
        <v>9474</v>
      </c>
      <c r="C9475" t="s">
        <v>9553</v>
      </c>
      <c r="D9475">
        <v>2012</v>
      </c>
      <c r="F9475" t="s">
        <v>3404</v>
      </c>
      <c r="G9475">
        <v>0</v>
      </c>
      <c r="H9475">
        <v>0</v>
      </c>
      <c r="I9475">
        <v>0</v>
      </c>
      <c r="J9475">
        <v>1</v>
      </c>
      <c r="K9475">
        <v>0</v>
      </c>
      <c r="L9475">
        <f t="shared" ref="L9475:L9516" si="296">IFERROR(VALUE(LEFT(F9475,FIND("/",F9475)-1))/10,"")</f>
        <v>3.8</v>
      </c>
      <c r="M9475">
        <f t="shared" ref="M9475:M9516" si="297">SUM(G9475:J9475)</f>
        <v>1</v>
      </c>
    </row>
    <row r="9476" spans="1:13" x14ac:dyDescent="0.3">
      <c r="A9476">
        <v>9474</v>
      </c>
      <c r="B9476">
        <v>9475</v>
      </c>
      <c r="C9476" t="s">
        <v>9554</v>
      </c>
      <c r="D9476">
        <v>2017</v>
      </c>
      <c r="F9476" t="s">
        <v>3404</v>
      </c>
      <c r="G9476">
        <v>0</v>
      </c>
      <c r="H9476">
        <v>0</v>
      </c>
      <c r="I9476">
        <v>0</v>
      </c>
      <c r="J9476">
        <v>1</v>
      </c>
      <c r="K9476">
        <v>0</v>
      </c>
      <c r="L9476">
        <f t="shared" si="296"/>
        <v>3.8</v>
      </c>
      <c r="M9476">
        <f t="shared" si="297"/>
        <v>1</v>
      </c>
    </row>
    <row r="9477" spans="1:13" x14ac:dyDescent="0.3">
      <c r="A9477">
        <v>9475</v>
      </c>
      <c r="B9477">
        <v>9476</v>
      </c>
      <c r="C9477" t="s">
        <v>9555</v>
      </c>
      <c r="D9477">
        <v>2020</v>
      </c>
      <c r="E9477" t="s">
        <v>22</v>
      </c>
      <c r="F9477" t="s">
        <v>3404</v>
      </c>
      <c r="G9477">
        <v>0</v>
      </c>
      <c r="H9477">
        <v>0</v>
      </c>
      <c r="I9477">
        <v>0</v>
      </c>
      <c r="J9477">
        <v>1</v>
      </c>
      <c r="K9477">
        <v>0</v>
      </c>
      <c r="L9477">
        <f t="shared" si="296"/>
        <v>3.8</v>
      </c>
      <c r="M9477">
        <f t="shared" si="297"/>
        <v>1</v>
      </c>
    </row>
    <row r="9478" spans="1:13" x14ac:dyDescent="0.3">
      <c r="A9478">
        <v>9476</v>
      </c>
      <c r="B9478">
        <v>9477</v>
      </c>
      <c r="C9478" t="s">
        <v>9556</v>
      </c>
      <c r="D9478">
        <v>2012</v>
      </c>
      <c r="F9478" t="s">
        <v>3404</v>
      </c>
      <c r="G9478">
        <v>0</v>
      </c>
      <c r="H9478">
        <v>0</v>
      </c>
      <c r="I9478">
        <v>0</v>
      </c>
      <c r="J9478">
        <v>1</v>
      </c>
      <c r="K9478">
        <v>0</v>
      </c>
      <c r="L9478">
        <f t="shared" si="296"/>
        <v>3.8</v>
      </c>
      <c r="M9478">
        <f t="shared" si="297"/>
        <v>1</v>
      </c>
    </row>
    <row r="9479" spans="1:13" x14ac:dyDescent="0.3">
      <c r="A9479">
        <v>9477</v>
      </c>
      <c r="B9479">
        <v>9478</v>
      </c>
      <c r="C9479" t="s">
        <v>9557</v>
      </c>
      <c r="D9479">
        <v>1975</v>
      </c>
      <c r="F9479" t="s">
        <v>3404</v>
      </c>
      <c r="G9479">
        <v>0</v>
      </c>
      <c r="H9479">
        <v>0</v>
      </c>
      <c r="I9479">
        <v>0</v>
      </c>
      <c r="J9479">
        <v>1</v>
      </c>
      <c r="K9479">
        <v>0</v>
      </c>
      <c r="L9479">
        <f t="shared" si="296"/>
        <v>3.8</v>
      </c>
      <c r="M9479">
        <f t="shared" si="297"/>
        <v>1</v>
      </c>
    </row>
    <row r="9480" spans="1:13" x14ac:dyDescent="0.3">
      <c r="A9480">
        <v>9478</v>
      </c>
      <c r="B9480">
        <v>9479</v>
      </c>
      <c r="C9480" t="s">
        <v>9558</v>
      </c>
      <c r="D9480">
        <v>2019</v>
      </c>
      <c r="F9480" t="s">
        <v>3404</v>
      </c>
      <c r="G9480">
        <v>0</v>
      </c>
      <c r="H9480">
        <v>0</v>
      </c>
      <c r="I9480">
        <v>0</v>
      </c>
      <c r="J9480">
        <v>1</v>
      </c>
      <c r="K9480">
        <v>0</v>
      </c>
      <c r="L9480">
        <f t="shared" si="296"/>
        <v>3.8</v>
      </c>
      <c r="M9480">
        <f t="shared" si="297"/>
        <v>1</v>
      </c>
    </row>
    <row r="9481" spans="1:13" x14ac:dyDescent="0.3">
      <c r="A9481">
        <v>9479</v>
      </c>
      <c r="B9481">
        <v>9480</v>
      </c>
      <c r="C9481" t="s">
        <v>9559</v>
      </c>
      <c r="D9481">
        <v>2019</v>
      </c>
      <c r="E9481" t="s">
        <v>22</v>
      </c>
      <c r="F9481" t="s">
        <v>3404</v>
      </c>
      <c r="G9481">
        <v>0</v>
      </c>
      <c r="H9481">
        <v>0</v>
      </c>
      <c r="I9481">
        <v>0</v>
      </c>
      <c r="J9481">
        <v>1</v>
      </c>
      <c r="K9481">
        <v>0</v>
      </c>
      <c r="L9481">
        <f t="shared" si="296"/>
        <v>3.8</v>
      </c>
      <c r="M9481">
        <f t="shared" si="297"/>
        <v>1</v>
      </c>
    </row>
    <row r="9482" spans="1:13" x14ac:dyDescent="0.3">
      <c r="A9482">
        <v>9480</v>
      </c>
      <c r="B9482">
        <v>9481</v>
      </c>
      <c r="C9482" t="s">
        <v>9560</v>
      </c>
      <c r="D9482">
        <v>2018</v>
      </c>
      <c r="E9482" t="s">
        <v>14</v>
      </c>
      <c r="F9482" t="s">
        <v>3404</v>
      </c>
      <c r="G9482">
        <v>0</v>
      </c>
      <c r="H9482">
        <v>0</v>
      </c>
      <c r="I9482">
        <v>0</v>
      </c>
      <c r="J9482">
        <v>1</v>
      </c>
      <c r="K9482">
        <v>0</v>
      </c>
      <c r="L9482">
        <f t="shared" si="296"/>
        <v>3.8</v>
      </c>
      <c r="M9482">
        <f t="shared" si="297"/>
        <v>1</v>
      </c>
    </row>
    <row r="9483" spans="1:13" x14ac:dyDescent="0.3">
      <c r="A9483">
        <v>9481</v>
      </c>
      <c r="B9483">
        <v>9482</v>
      </c>
      <c r="C9483" t="s">
        <v>9561</v>
      </c>
      <c r="D9483">
        <v>2018</v>
      </c>
      <c r="F9483" t="s">
        <v>3469</v>
      </c>
      <c r="G9483">
        <v>0</v>
      </c>
      <c r="H9483">
        <v>0</v>
      </c>
      <c r="I9483">
        <v>0</v>
      </c>
      <c r="J9483">
        <v>1</v>
      </c>
      <c r="K9483">
        <v>0</v>
      </c>
      <c r="L9483">
        <f t="shared" si="296"/>
        <v>3.7</v>
      </c>
      <c r="M9483">
        <f t="shared" si="297"/>
        <v>1</v>
      </c>
    </row>
    <row r="9484" spans="1:13" x14ac:dyDescent="0.3">
      <c r="A9484">
        <v>9482</v>
      </c>
      <c r="B9484">
        <v>9483</v>
      </c>
      <c r="C9484" t="s">
        <v>9562</v>
      </c>
      <c r="D9484">
        <v>2020</v>
      </c>
      <c r="F9484" t="s">
        <v>3469</v>
      </c>
      <c r="G9484">
        <v>0</v>
      </c>
      <c r="H9484">
        <v>0</v>
      </c>
      <c r="I9484">
        <v>0</v>
      </c>
      <c r="J9484">
        <v>1</v>
      </c>
      <c r="K9484">
        <v>0</v>
      </c>
      <c r="L9484">
        <f t="shared" si="296"/>
        <v>3.7</v>
      </c>
      <c r="M9484">
        <f t="shared" si="297"/>
        <v>1</v>
      </c>
    </row>
    <row r="9485" spans="1:13" x14ac:dyDescent="0.3">
      <c r="A9485">
        <v>9483</v>
      </c>
      <c r="B9485">
        <v>9484</v>
      </c>
      <c r="C9485" t="s">
        <v>9563</v>
      </c>
      <c r="D9485">
        <v>2020</v>
      </c>
      <c r="F9485" t="s">
        <v>3469</v>
      </c>
      <c r="G9485">
        <v>0</v>
      </c>
      <c r="H9485">
        <v>0</v>
      </c>
      <c r="I9485">
        <v>0</v>
      </c>
      <c r="J9485">
        <v>1</v>
      </c>
      <c r="K9485">
        <v>0</v>
      </c>
      <c r="L9485">
        <f t="shared" si="296"/>
        <v>3.7</v>
      </c>
      <c r="M9485">
        <f t="shared" si="297"/>
        <v>1</v>
      </c>
    </row>
    <row r="9486" spans="1:13" x14ac:dyDescent="0.3">
      <c r="A9486">
        <v>9484</v>
      </c>
      <c r="B9486">
        <v>9485</v>
      </c>
      <c r="C9486" t="s">
        <v>9564</v>
      </c>
      <c r="D9486">
        <v>2020</v>
      </c>
      <c r="E9486" t="s">
        <v>22</v>
      </c>
      <c r="F9486" t="s">
        <v>3469</v>
      </c>
      <c r="G9486">
        <v>0</v>
      </c>
      <c r="H9486">
        <v>0</v>
      </c>
      <c r="I9486">
        <v>0</v>
      </c>
      <c r="J9486">
        <v>1</v>
      </c>
      <c r="K9486">
        <v>0</v>
      </c>
      <c r="L9486">
        <f t="shared" si="296"/>
        <v>3.7</v>
      </c>
      <c r="M9486">
        <f t="shared" si="297"/>
        <v>1</v>
      </c>
    </row>
    <row r="9487" spans="1:13" x14ac:dyDescent="0.3">
      <c r="A9487">
        <v>9485</v>
      </c>
      <c r="B9487">
        <v>9486</v>
      </c>
      <c r="C9487" t="s">
        <v>9565</v>
      </c>
      <c r="D9487">
        <v>2020</v>
      </c>
      <c r="F9487" t="s">
        <v>3469</v>
      </c>
      <c r="G9487">
        <v>0</v>
      </c>
      <c r="H9487">
        <v>0</v>
      </c>
      <c r="I9487">
        <v>0</v>
      </c>
      <c r="J9487">
        <v>1</v>
      </c>
      <c r="K9487">
        <v>0</v>
      </c>
      <c r="L9487">
        <f t="shared" si="296"/>
        <v>3.7</v>
      </c>
      <c r="M9487">
        <f t="shared" si="297"/>
        <v>1</v>
      </c>
    </row>
    <row r="9488" spans="1:13" x14ac:dyDescent="0.3">
      <c r="A9488">
        <v>9486</v>
      </c>
      <c r="B9488">
        <v>9487</v>
      </c>
      <c r="C9488" t="s">
        <v>9566</v>
      </c>
      <c r="D9488">
        <v>2016</v>
      </c>
      <c r="F9488" t="s">
        <v>3579</v>
      </c>
      <c r="G9488">
        <v>0</v>
      </c>
      <c r="H9488">
        <v>0</v>
      </c>
      <c r="I9488">
        <v>0</v>
      </c>
      <c r="J9488">
        <v>1</v>
      </c>
      <c r="K9488">
        <v>0</v>
      </c>
      <c r="L9488">
        <f t="shared" si="296"/>
        <v>3.5</v>
      </c>
      <c r="M9488">
        <f t="shared" si="297"/>
        <v>1</v>
      </c>
    </row>
    <row r="9489" spans="1:13" x14ac:dyDescent="0.3">
      <c r="A9489">
        <v>9487</v>
      </c>
      <c r="B9489">
        <v>9488</v>
      </c>
      <c r="C9489" t="s">
        <v>9567</v>
      </c>
      <c r="D9489">
        <v>2020</v>
      </c>
      <c r="E9489" t="s">
        <v>14</v>
      </c>
      <c r="F9489" t="s">
        <v>3579</v>
      </c>
      <c r="G9489">
        <v>0</v>
      </c>
      <c r="H9489">
        <v>0</v>
      </c>
      <c r="I9489">
        <v>0</v>
      </c>
      <c r="J9489">
        <v>1</v>
      </c>
      <c r="K9489">
        <v>0</v>
      </c>
      <c r="L9489">
        <f t="shared" si="296"/>
        <v>3.5</v>
      </c>
      <c r="M9489">
        <f t="shared" si="297"/>
        <v>1</v>
      </c>
    </row>
    <row r="9490" spans="1:13" x14ac:dyDescent="0.3">
      <c r="A9490">
        <v>9488</v>
      </c>
      <c r="B9490">
        <v>9489</v>
      </c>
      <c r="C9490" t="s">
        <v>9568</v>
      </c>
      <c r="D9490">
        <v>2020</v>
      </c>
      <c r="E9490" t="s">
        <v>22</v>
      </c>
      <c r="F9490" t="s">
        <v>3579</v>
      </c>
      <c r="G9490">
        <v>0</v>
      </c>
      <c r="H9490">
        <v>0</v>
      </c>
      <c r="I9490">
        <v>0</v>
      </c>
      <c r="J9490">
        <v>1</v>
      </c>
      <c r="K9490">
        <v>0</v>
      </c>
      <c r="L9490">
        <f t="shared" si="296"/>
        <v>3.5</v>
      </c>
      <c r="M9490">
        <f t="shared" si="297"/>
        <v>1</v>
      </c>
    </row>
    <row r="9491" spans="1:13" x14ac:dyDescent="0.3">
      <c r="A9491">
        <v>9489</v>
      </c>
      <c r="B9491">
        <v>9490</v>
      </c>
      <c r="C9491" t="s">
        <v>9569</v>
      </c>
      <c r="D9491">
        <v>2020</v>
      </c>
      <c r="F9491" t="s">
        <v>3579</v>
      </c>
      <c r="G9491">
        <v>0</v>
      </c>
      <c r="H9491">
        <v>0</v>
      </c>
      <c r="I9491">
        <v>0</v>
      </c>
      <c r="J9491">
        <v>1</v>
      </c>
      <c r="K9491">
        <v>0</v>
      </c>
      <c r="L9491">
        <f t="shared" si="296"/>
        <v>3.5</v>
      </c>
      <c r="M9491">
        <f t="shared" si="297"/>
        <v>1</v>
      </c>
    </row>
    <row r="9492" spans="1:13" x14ac:dyDescent="0.3">
      <c r="A9492">
        <v>9490</v>
      </c>
      <c r="B9492">
        <v>9491</v>
      </c>
      <c r="C9492" t="s">
        <v>9570</v>
      </c>
      <c r="D9492">
        <v>2020</v>
      </c>
      <c r="F9492" t="s">
        <v>3579</v>
      </c>
      <c r="G9492">
        <v>0</v>
      </c>
      <c r="H9492">
        <v>0</v>
      </c>
      <c r="I9492">
        <v>0</v>
      </c>
      <c r="J9492">
        <v>1</v>
      </c>
      <c r="K9492">
        <v>0</v>
      </c>
      <c r="L9492">
        <f t="shared" si="296"/>
        <v>3.5</v>
      </c>
      <c r="M9492">
        <f t="shared" si="297"/>
        <v>1</v>
      </c>
    </row>
    <row r="9493" spans="1:13" x14ac:dyDescent="0.3">
      <c r="A9493">
        <v>9491</v>
      </c>
      <c r="B9493">
        <v>9492</v>
      </c>
      <c r="C9493" t="s">
        <v>9571</v>
      </c>
      <c r="D9493">
        <v>2009</v>
      </c>
      <c r="F9493" t="s">
        <v>3579</v>
      </c>
      <c r="G9493">
        <v>0</v>
      </c>
      <c r="H9493">
        <v>0</v>
      </c>
      <c r="I9493">
        <v>0</v>
      </c>
      <c r="J9493">
        <v>1</v>
      </c>
      <c r="K9493">
        <v>0</v>
      </c>
      <c r="L9493">
        <f t="shared" si="296"/>
        <v>3.5</v>
      </c>
      <c r="M9493">
        <f t="shared" si="297"/>
        <v>1</v>
      </c>
    </row>
    <row r="9494" spans="1:13" x14ac:dyDescent="0.3">
      <c r="A9494">
        <v>9492</v>
      </c>
      <c r="B9494">
        <v>9493</v>
      </c>
      <c r="C9494" t="s">
        <v>9572</v>
      </c>
      <c r="D9494">
        <v>2017</v>
      </c>
      <c r="F9494" t="s">
        <v>3579</v>
      </c>
      <c r="G9494">
        <v>0</v>
      </c>
      <c r="H9494">
        <v>0</v>
      </c>
      <c r="I9494">
        <v>0</v>
      </c>
      <c r="J9494">
        <v>1</v>
      </c>
      <c r="K9494">
        <v>0</v>
      </c>
      <c r="L9494">
        <f t="shared" si="296"/>
        <v>3.5</v>
      </c>
      <c r="M9494">
        <f t="shared" si="297"/>
        <v>1</v>
      </c>
    </row>
    <row r="9495" spans="1:13" x14ac:dyDescent="0.3">
      <c r="A9495">
        <v>9493</v>
      </c>
      <c r="B9495">
        <v>9494</v>
      </c>
      <c r="C9495" t="s">
        <v>9573</v>
      </c>
      <c r="D9495">
        <v>2018</v>
      </c>
      <c r="E9495" t="s">
        <v>14</v>
      </c>
      <c r="F9495" t="s">
        <v>3579</v>
      </c>
      <c r="G9495">
        <v>0</v>
      </c>
      <c r="H9495">
        <v>0</v>
      </c>
      <c r="I9495">
        <v>0</v>
      </c>
      <c r="J9495">
        <v>1</v>
      </c>
      <c r="K9495">
        <v>0</v>
      </c>
      <c r="L9495">
        <f t="shared" si="296"/>
        <v>3.5</v>
      </c>
      <c r="M9495">
        <f t="shared" si="297"/>
        <v>1</v>
      </c>
    </row>
    <row r="9496" spans="1:13" x14ac:dyDescent="0.3">
      <c r="A9496">
        <v>9494</v>
      </c>
      <c r="B9496">
        <v>9495</v>
      </c>
      <c r="C9496" t="s">
        <v>9574</v>
      </c>
      <c r="D9496">
        <v>1980</v>
      </c>
      <c r="E9496" t="s">
        <v>36</v>
      </c>
      <c r="F9496" t="s">
        <v>3619</v>
      </c>
      <c r="G9496">
        <v>0</v>
      </c>
      <c r="H9496">
        <v>0</v>
      </c>
      <c r="I9496">
        <v>0</v>
      </c>
      <c r="J9496">
        <v>1</v>
      </c>
      <c r="K9496">
        <v>0</v>
      </c>
      <c r="L9496">
        <f t="shared" si="296"/>
        <v>3.4</v>
      </c>
      <c r="M9496">
        <f t="shared" si="297"/>
        <v>1</v>
      </c>
    </row>
    <row r="9497" spans="1:13" x14ac:dyDescent="0.3">
      <c r="A9497">
        <v>9495</v>
      </c>
      <c r="B9497">
        <v>9496</v>
      </c>
      <c r="C9497" t="s">
        <v>9575</v>
      </c>
      <c r="D9497">
        <v>2021</v>
      </c>
      <c r="E9497" t="s">
        <v>28</v>
      </c>
      <c r="F9497" t="s">
        <v>3652</v>
      </c>
      <c r="G9497">
        <v>0</v>
      </c>
      <c r="H9497">
        <v>0</v>
      </c>
      <c r="I9497">
        <v>0</v>
      </c>
      <c r="J9497">
        <v>1</v>
      </c>
      <c r="K9497">
        <v>0</v>
      </c>
      <c r="L9497">
        <f t="shared" si="296"/>
        <v>3.3</v>
      </c>
      <c r="M9497">
        <f t="shared" si="297"/>
        <v>1</v>
      </c>
    </row>
    <row r="9498" spans="1:13" x14ac:dyDescent="0.3">
      <c r="A9498">
        <v>9496</v>
      </c>
      <c r="B9498">
        <v>9497</v>
      </c>
      <c r="C9498" t="s">
        <v>9576</v>
      </c>
      <c r="D9498">
        <v>2020</v>
      </c>
      <c r="F9498" t="s">
        <v>3652</v>
      </c>
      <c r="G9498">
        <v>0</v>
      </c>
      <c r="H9498">
        <v>0</v>
      </c>
      <c r="I9498">
        <v>0</v>
      </c>
      <c r="J9498">
        <v>1</v>
      </c>
      <c r="K9498">
        <v>0</v>
      </c>
      <c r="L9498">
        <f t="shared" si="296"/>
        <v>3.3</v>
      </c>
      <c r="M9498">
        <f t="shared" si="297"/>
        <v>1</v>
      </c>
    </row>
    <row r="9499" spans="1:13" x14ac:dyDescent="0.3">
      <c r="A9499">
        <v>9497</v>
      </c>
      <c r="B9499">
        <v>9498</v>
      </c>
      <c r="C9499" t="s">
        <v>9577</v>
      </c>
      <c r="D9499">
        <v>2017</v>
      </c>
      <c r="F9499" t="s">
        <v>3652</v>
      </c>
      <c r="G9499">
        <v>0</v>
      </c>
      <c r="H9499">
        <v>0</v>
      </c>
      <c r="I9499">
        <v>0</v>
      </c>
      <c r="J9499">
        <v>1</v>
      </c>
      <c r="K9499">
        <v>0</v>
      </c>
      <c r="L9499">
        <f t="shared" si="296"/>
        <v>3.3</v>
      </c>
      <c r="M9499">
        <f t="shared" si="297"/>
        <v>1</v>
      </c>
    </row>
    <row r="9500" spans="1:13" x14ac:dyDescent="0.3">
      <c r="A9500">
        <v>9498</v>
      </c>
      <c r="B9500">
        <v>9499</v>
      </c>
      <c r="C9500" t="s">
        <v>9578</v>
      </c>
      <c r="D9500">
        <v>2015</v>
      </c>
      <c r="F9500" t="s">
        <v>3652</v>
      </c>
      <c r="G9500">
        <v>0</v>
      </c>
      <c r="H9500">
        <v>0</v>
      </c>
      <c r="I9500">
        <v>0</v>
      </c>
      <c r="J9500">
        <v>1</v>
      </c>
      <c r="K9500">
        <v>0</v>
      </c>
      <c r="L9500">
        <f t="shared" si="296"/>
        <v>3.3</v>
      </c>
      <c r="M9500">
        <f t="shared" si="297"/>
        <v>1</v>
      </c>
    </row>
    <row r="9501" spans="1:13" x14ac:dyDescent="0.3">
      <c r="A9501">
        <v>9499</v>
      </c>
      <c r="B9501">
        <v>9500</v>
      </c>
      <c r="C9501" t="s">
        <v>9579</v>
      </c>
      <c r="D9501">
        <v>2018</v>
      </c>
      <c r="E9501" t="s">
        <v>14</v>
      </c>
      <c r="F9501" t="s">
        <v>3671</v>
      </c>
      <c r="G9501">
        <v>0</v>
      </c>
      <c r="H9501">
        <v>0</v>
      </c>
      <c r="I9501">
        <v>0</v>
      </c>
      <c r="J9501">
        <v>1</v>
      </c>
      <c r="K9501">
        <v>0</v>
      </c>
      <c r="L9501">
        <f t="shared" si="296"/>
        <v>3.2</v>
      </c>
      <c r="M9501">
        <f t="shared" si="297"/>
        <v>1</v>
      </c>
    </row>
    <row r="9502" spans="1:13" x14ac:dyDescent="0.3">
      <c r="A9502">
        <v>9500</v>
      </c>
      <c r="B9502">
        <v>9501</v>
      </c>
      <c r="C9502" t="s">
        <v>9580</v>
      </c>
      <c r="D9502">
        <v>2020</v>
      </c>
      <c r="F9502" t="s">
        <v>3671</v>
      </c>
      <c r="G9502">
        <v>0</v>
      </c>
      <c r="H9502">
        <v>0</v>
      </c>
      <c r="I9502">
        <v>0</v>
      </c>
      <c r="J9502">
        <v>1</v>
      </c>
      <c r="K9502">
        <v>0</v>
      </c>
      <c r="L9502">
        <f t="shared" si="296"/>
        <v>3.2</v>
      </c>
      <c r="M9502">
        <f t="shared" si="297"/>
        <v>1</v>
      </c>
    </row>
    <row r="9503" spans="1:13" x14ac:dyDescent="0.3">
      <c r="A9503">
        <v>9501</v>
      </c>
      <c r="B9503">
        <v>9502</v>
      </c>
      <c r="C9503" t="s">
        <v>9581</v>
      </c>
      <c r="D9503">
        <v>2020</v>
      </c>
      <c r="F9503" t="s">
        <v>3683</v>
      </c>
      <c r="G9503">
        <v>0</v>
      </c>
      <c r="H9503">
        <v>0</v>
      </c>
      <c r="I9503">
        <v>0</v>
      </c>
      <c r="J9503">
        <v>1</v>
      </c>
      <c r="K9503">
        <v>0</v>
      </c>
      <c r="L9503">
        <f t="shared" si="296"/>
        <v>3.1</v>
      </c>
      <c r="M9503">
        <f t="shared" si="297"/>
        <v>1</v>
      </c>
    </row>
    <row r="9504" spans="1:13" x14ac:dyDescent="0.3">
      <c r="A9504">
        <v>9502</v>
      </c>
      <c r="B9504">
        <v>9503</v>
      </c>
      <c r="C9504" t="s">
        <v>9582</v>
      </c>
      <c r="D9504">
        <v>2020</v>
      </c>
      <c r="F9504" t="s">
        <v>3718</v>
      </c>
      <c r="G9504">
        <v>0</v>
      </c>
      <c r="H9504">
        <v>0</v>
      </c>
      <c r="I9504">
        <v>0</v>
      </c>
      <c r="J9504">
        <v>1</v>
      </c>
      <c r="K9504">
        <v>0</v>
      </c>
      <c r="L9504">
        <f t="shared" si="296"/>
        <v>1.6</v>
      </c>
      <c r="M9504">
        <f t="shared" si="297"/>
        <v>1</v>
      </c>
    </row>
    <row r="9505" spans="1:13" x14ac:dyDescent="0.3">
      <c r="A9505">
        <v>9503</v>
      </c>
      <c r="B9505">
        <v>9504</v>
      </c>
      <c r="C9505" t="s">
        <v>9583</v>
      </c>
      <c r="D9505">
        <v>2021</v>
      </c>
      <c r="E9505" t="s">
        <v>28</v>
      </c>
      <c r="F9505" t="s">
        <v>3718</v>
      </c>
      <c r="G9505">
        <v>0</v>
      </c>
      <c r="H9505">
        <v>0</v>
      </c>
      <c r="I9505">
        <v>0</v>
      </c>
      <c r="J9505">
        <v>1</v>
      </c>
      <c r="K9505">
        <v>0</v>
      </c>
      <c r="L9505">
        <f t="shared" si="296"/>
        <v>1.6</v>
      </c>
      <c r="M9505">
        <f t="shared" si="297"/>
        <v>1</v>
      </c>
    </row>
    <row r="9506" spans="1:13" x14ac:dyDescent="0.3">
      <c r="A9506">
        <v>9504</v>
      </c>
      <c r="B9506">
        <v>9505</v>
      </c>
      <c r="C9506" t="s">
        <v>9584</v>
      </c>
      <c r="D9506">
        <v>2015</v>
      </c>
      <c r="F9506" t="s">
        <v>3720</v>
      </c>
      <c r="G9506">
        <v>0</v>
      </c>
      <c r="H9506">
        <v>0</v>
      </c>
      <c r="I9506">
        <v>0</v>
      </c>
      <c r="J9506">
        <v>1</v>
      </c>
      <c r="K9506">
        <v>0</v>
      </c>
      <c r="L9506">
        <f t="shared" si="296"/>
        <v>1.5</v>
      </c>
      <c r="M9506">
        <f t="shared" si="297"/>
        <v>1</v>
      </c>
    </row>
    <row r="9507" spans="1:13" x14ac:dyDescent="0.3">
      <c r="A9507">
        <v>9505</v>
      </c>
      <c r="B9507">
        <v>9506</v>
      </c>
      <c r="C9507" t="s">
        <v>9585</v>
      </c>
      <c r="D9507">
        <v>2019</v>
      </c>
      <c r="E9507" t="s">
        <v>14</v>
      </c>
      <c r="F9507" t="s">
        <v>3727</v>
      </c>
      <c r="G9507">
        <v>0</v>
      </c>
      <c r="H9507">
        <v>0</v>
      </c>
      <c r="I9507">
        <v>0</v>
      </c>
      <c r="J9507">
        <v>1</v>
      </c>
      <c r="K9507">
        <v>0</v>
      </c>
      <c r="L9507">
        <f t="shared" si="296"/>
        <v>1.4</v>
      </c>
      <c r="M9507">
        <f t="shared" si="297"/>
        <v>1</v>
      </c>
    </row>
    <row r="9508" spans="1:13" x14ac:dyDescent="0.3">
      <c r="A9508">
        <v>9506</v>
      </c>
      <c r="B9508">
        <v>9507</v>
      </c>
      <c r="C9508" t="s">
        <v>9586</v>
      </c>
      <c r="D9508">
        <v>1950</v>
      </c>
      <c r="F9508" t="s">
        <v>3727</v>
      </c>
      <c r="G9508">
        <v>0</v>
      </c>
      <c r="H9508">
        <v>0</v>
      </c>
      <c r="I9508">
        <v>0</v>
      </c>
      <c r="J9508">
        <v>1</v>
      </c>
      <c r="K9508">
        <v>0</v>
      </c>
      <c r="L9508">
        <f t="shared" si="296"/>
        <v>1.4</v>
      </c>
      <c r="M9508">
        <f t="shared" si="297"/>
        <v>1</v>
      </c>
    </row>
    <row r="9509" spans="1:13" x14ac:dyDescent="0.3">
      <c r="A9509">
        <v>9507</v>
      </c>
      <c r="B9509">
        <v>9508</v>
      </c>
      <c r="C9509" t="s">
        <v>9587</v>
      </c>
      <c r="D9509">
        <v>2020</v>
      </c>
      <c r="E9509" t="s">
        <v>22</v>
      </c>
      <c r="F9509" t="s">
        <v>3727</v>
      </c>
      <c r="G9509">
        <v>0</v>
      </c>
      <c r="H9509">
        <v>0</v>
      </c>
      <c r="I9509">
        <v>0</v>
      </c>
      <c r="J9509">
        <v>1</v>
      </c>
      <c r="K9509">
        <v>0</v>
      </c>
      <c r="L9509">
        <f t="shared" si="296"/>
        <v>1.4</v>
      </c>
      <c r="M9509">
        <f t="shared" si="297"/>
        <v>1</v>
      </c>
    </row>
    <row r="9510" spans="1:13" x14ac:dyDescent="0.3">
      <c r="A9510">
        <v>9508</v>
      </c>
      <c r="B9510">
        <v>9509</v>
      </c>
      <c r="C9510" t="s">
        <v>9588</v>
      </c>
      <c r="D9510">
        <v>2020</v>
      </c>
      <c r="E9510" t="s">
        <v>22</v>
      </c>
      <c r="F9510" t="s">
        <v>3727</v>
      </c>
      <c r="G9510">
        <v>0</v>
      </c>
      <c r="H9510">
        <v>0</v>
      </c>
      <c r="I9510">
        <v>0</v>
      </c>
      <c r="J9510">
        <v>1</v>
      </c>
      <c r="K9510">
        <v>0</v>
      </c>
      <c r="L9510">
        <f t="shared" si="296"/>
        <v>1.4</v>
      </c>
      <c r="M9510">
        <f t="shared" si="297"/>
        <v>1</v>
      </c>
    </row>
    <row r="9511" spans="1:13" x14ac:dyDescent="0.3">
      <c r="A9511">
        <v>9509</v>
      </c>
      <c r="B9511">
        <v>9510</v>
      </c>
      <c r="C9511" t="s">
        <v>9589</v>
      </c>
      <c r="D9511">
        <v>2021</v>
      </c>
      <c r="F9511" t="s">
        <v>3727</v>
      </c>
      <c r="G9511">
        <v>0</v>
      </c>
      <c r="H9511">
        <v>0</v>
      </c>
      <c r="I9511">
        <v>0</v>
      </c>
      <c r="J9511">
        <v>1</v>
      </c>
      <c r="K9511">
        <v>0</v>
      </c>
      <c r="L9511">
        <f t="shared" si="296"/>
        <v>1.4</v>
      </c>
      <c r="M9511">
        <f t="shared" si="297"/>
        <v>1</v>
      </c>
    </row>
    <row r="9512" spans="1:13" x14ac:dyDescent="0.3">
      <c r="A9512">
        <v>9510</v>
      </c>
      <c r="B9512">
        <v>9511</v>
      </c>
      <c r="C9512" t="s">
        <v>9590</v>
      </c>
      <c r="D9512">
        <v>2020</v>
      </c>
      <c r="F9512" t="s">
        <v>3727</v>
      </c>
      <c r="G9512">
        <v>0</v>
      </c>
      <c r="H9512">
        <v>0</v>
      </c>
      <c r="I9512">
        <v>0</v>
      </c>
      <c r="J9512">
        <v>1</v>
      </c>
      <c r="K9512">
        <v>0</v>
      </c>
      <c r="L9512">
        <f t="shared" si="296"/>
        <v>1.4</v>
      </c>
      <c r="M9512">
        <f t="shared" si="297"/>
        <v>1</v>
      </c>
    </row>
    <row r="9513" spans="1:13" x14ac:dyDescent="0.3">
      <c r="A9513">
        <v>9511</v>
      </c>
      <c r="B9513">
        <v>9512</v>
      </c>
      <c r="C9513" t="s">
        <v>9591</v>
      </c>
      <c r="D9513">
        <v>2020</v>
      </c>
      <c r="F9513" t="s">
        <v>3732</v>
      </c>
      <c r="G9513">
        <v>0</v>
      </c>
      <c r="H9513">
        <v>0</v>
      </c>
      <c r="I9513">
        <v>0</v>
      </c>
      <c r="J9513">
        <v>1</v>
      </c>
      <c r="K9513">
        <v>0</v>
      </c>
      <c r="L9513">
        <f t="shared" si="296"/>
        <v>1.3</v>
      </c>
      <c r="M9513">
        <f t="shared" si="297"/>
        <v>1</v>
      </c>
    </row>
    <row r="9514" spans="1:13" x14ac:dyDescent="0.3">
      <c r="A9514">
        <v>9512</v>
      </c>
      <c r="B9514">
        <v>9513</v>
      </c>
      <c r="C9514" t="s">
        <v>9592</v>
      </c>
      <c r="D9514">
        <v>2019</v>
      </c>
      <c r="F9514" t="s">
        <v>3732</v>
      </c>
      <c r="G9514">
        <v>0</v>
      </c>
      <c r="H9514">
        <v>0</v>
      </c>
      <c r="I9514">
        <v>0</v>
      </c>
      <c r="J9514">
        <v>1</v>
      </c>
      <c r="K9514">
        <v>0</v>
      </c>
      <c r="L9514">
        <f t="shared" si="296"/>
        <v>1.3</v>
      </c>
      <c r="M9514">
        <f t="shared" si="297"/>
        <v>1</v>
      </c>
    </row>
    <row r="9515" spans="1:13" x14ac:dyDescent="0.3">
      <c r="A9515">
        <v>9513</v>
      </c>
      <c r="B9515">
        <v>9514</v>
      </c>
      <c r="C9515" t="s">
        <v>9593</v>
      </c>
      <c r="D9515">
        <v>2011</v>
      </c>
      <c r="F9515" t="s">
        <v>3761</v>
      </c>
      <c r="G9515">
        <v>0</v>
      </c>
      <c r="H9515">
        <v>0</v>
      </c>
      <c r="I9515">
        <v>0</v>
      </c>
      <c r="J9515">
        <v>1</v>
      </c>
      <c r="K9515">
        <v>0</v>
      </c>
      <c r="L9515">
        <f t="shared" si="296"/>
        <v>1</v>
      </c>
      <c r="M9515">
        <f t="shared" si="297"/>
        <v>1</v>
      </c>
    </row>
    <row r="9516" spans="1:13" x14ac:dyDescent="0.3">
      <c r="A9516">
        <v>9514</v>
      </c>
      <c r="B9516">
        <v>9515</v>
      </c>
      <c r="C9516" t="s">
        <v>9594</v>
      </c>
      <c r="D9516">
        <v>2019</v>
      </c>
      <c r="E9516" t="s">
        <v>14</v>
      </c>
      <c r="F9516" t="s">
        <v>3761</v>
      </c>
      <c r="G9516">
        <v>0</v>
      </c>
      <c r="H9516">
        <v>0</v>
      </c>
      <c r="I9516">
        <v>0</v>
      </c>
      <c r="J9516">
        <v>1</v>
      </c>
      <c r="K9516">
        <v>0</v>
      </c>
      <c r="L9516">
        <f t="shared" si="296"/>
        <v>1</v>
      </c>
      <c r="M9516">
        <f t="shared" si="297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B987-D59D-4720-A33A-F007E7010FF1}">
  <dimension ref="A1:W100"/>
  <sheetViews>
    <sheetView tabSelected="1" topLeftCell="B1" zoomScale="55" zoomScaleNormal="145" workbookViewId="0">
      <selection activeCell="N25" sqref="N25"/>
    </sheetView>
  </sheetViews>
  <sheetFormatPr defaultRowHeight="14.4" x14ac:dyDescent="0.3"/>
  <sheetData>
    <row r="1" spans="1:23" ht="25.8" x14ac:dyDescent="0.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25.8" x14ac:dyDescent="0.5">
      <c r="A2" s="6" t="s">
        <v>9596</v>
      </c>
      <c r="B2" s="6"/>
      <c r="C2" s="6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25.8" x14ac:dyDescent="0.5">
      <c r="A3" s="9" t="s">
        <v>9595</v>
      </c>
      <c r="B3" s="9"/>
      <c r="C3" s="9"/>
      <c r="D3" s="9"/>
      <c r="E3" s="9"/>
      <c r="F3" s="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25.8" x14ac:dyDescent="0.5">
      <c r="A4" s="8"/>
      <c r="B4" s="8"/>
      <c r="C4" s="8"/>
      <c r="D4" s="8"/>
      <c r="E4" s="8"/>
      <c r="F4" s="8"/>
      <c r="G4" s="8"/>
      <c r="H4" s="8"/>
      <c r="I4" s="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6" spans="1:23" ht="28.8" x14ac:dyDescent="0.55000000000000004">
      <c r="A6" s="10" t="s">
        <v>9597</v>
      </c>
      <c r="B6" s="10"/>
      <c r="C6" s="10"/>
      <c r="D6" s="10"/>
      <c r="E6" s="10"/>
      <c r="O6" s="14" t="s">
        <v>9626</v>
      </c>
      <c r="P6" s="14"/>
      <c r="Q6" s="14"/>
      <c r="R6" s="14"/>
      <c r="S6" s="14"/>
      <c r="T6" s="14"/>
      <c r="U6" s="14"/>
      <c r="V6" s="14"/>
    </row>
    <row r="7" spans="1:23" x14ac:dyDescent="0.3">
      <c r="A7" s="11"/>
      <c r="B7" s="11"/>
      <c r="C7" s="11"/>
      <c r="D7" s="11"/>
      <c r="E7" s="11"/>
      <c r="O7" s="18" t="s">
        <v>9631</v>
      </c>
      <c r="R7" s="18" t="s">
        <v>9613</v>
      </c>
    </row>
    <row r="8" spans="1:23" x14ac:dyDescent="0.3">
      <c r="A8" t="s">
        <v>9598</v>
      </c>
      <c r="D8">
        <f>COUNTA(DATA!C2:C9516)</f>
        <v>9515</v>
      </c>
      <c r="O8">
        <v>2019</v>
      </c>
      <c r="R8" cm="1">
        <f t="array" ref="R8">SUMPRODUCT(--(DATA!D2:D9516&amp;""=A2&amp;""))</f>
        <v>0</v>
      </c>
    </row>
    <row r="9" spans="1:23" x14ac:dyDescent="0.3">
      <c r="A9" t="s">
        <v>9599</v>
      </c>
      <c r="D9">
        <f>COLUMNS(A1:K1)</f>
        <v>11</v>
      </c>
      <c r="O9">
        <v>2020</v>
      </c>
      <c r="R9" cm="1">
        <f t="array" ref="R9">SUMPRODUCT(--(DATA!D3:D9517&amp;""=A3&amp;""))</f>
        <v>0</v>
      </c>
    </row>
    <row r="10" spans="1:23" x14ac:dyDescent="0.3">
      <c r="A10" t="s">
        <v>9600</v>
      </c>
      <c r="D10" s="13">
        <f>_xlfn.MINIFS(DATA!D2:D9516,DATA!D2:D9516,"&gt;0")</f>
        <v>1914</v>
      </c>
      <c r="O10">
        <v>2021</v>
      </c>
      <c r="R10" cm="1">
        <f t="array" ref="R10">SUMPRODUCT(--(DATA!D4:D9518&amp;""=A4&amp;""))</f>
        <v>2</v>
      </c>
    </row>
    <row r="11" spans="1:23" x14ac:dyDescent="0.3">
      <c r="A11" t="s">
        <v>9601</v>
      </c>
      <c r="D11">
        <f>MAX(DATA!D2:D9516)</f>
        <v>2021</v>
      </c>
      <c r="O11">
        <v>2022</v>
      </c>
      <c r="R11" cm="1">
        <f t="array" ref="R11">SUMPRODUCT(--(DATA!D5:D9519&amp;""=A5&amp;""))</f>
        <v>3</v>
      </c>
    </row>
    <row r="12" spans="1:23" x14ac:dyDescent="0.3">
      <c r="A12" t="s">
        <v>9602</v>
      </c>
      <c r="D12">
        <f>AVERAGEIFS(DATA!D2:D9516,DATA!D2:D9516,"&gt;0")</f>
        <v>2007.4223857067789</v>
      </c>
      <c r="O12">
        <v>2023</v>
      </c>
      <c r="R12" cm="1">
        <f t="array" ref="R12">SUMPRODUCT(--(DATA!D6:D9520&amp;""=A6&amp;""))</f>
        <v>0</v>
      </c>
    </row>
    <row r="13" spans="1:23" x14ac:dyDescent="0.3">
      <c r="A13" t="s">
        <v>9603</v>
      </c>
      <c r="D13">
        <f>COUNTBLANK(DATA!E2:E9516)</f>
        <v>4177</v>
      </c>
    </row>
    <row r="14" spans="1:23" x14ac:dyDescent="0.3">
      <c r="A14" t="s">
        <v>9604</v>
      </c>
      <c r="D14">
        <f>COUNTBLANK(DATA!F2:F9516)</f>
        <v>7</v>
      </c>
    </row>
    <row r="17" spans="1:5" ht="28.8" x14ac:dyDescent="0.55000000000000004">
      <c r="A17" s="14" t="s">
        <v>9607</v>
      </c>
      <c r="B17" s="14"/>
      <c r="C17" s="14"/>
      <c r="D17" s="14"/>
      <c r="E17" s="14"/>
    </row>
    <row r="19" spans="1:5" x14ac:dyDescent="0.3">
      <c r="A19" t="s">
        <v>9606</v>
      </c>
      <c r="D19">
        <f>AVERAGE(DATA!L2:L9516)</f>
        <v>5.3545014724442543</v>
      </c>
    </row>
    <row r="20" spans="1:5" x14ac:dyDescent="0.3">
      <c r="A20" t="s">
        <v>9608</v>
      </c>
      <c r="D20">
        <f>MAX(DATA!L2:L9516)</f>
        <v>9.8000000000000007</v>
      </c>
    </row>
    <row r="21" spans="1:5" x14ac:dyDescent="0.3">
      <c r="A21" t="s">
        <v>9609</v>
      </c>
      <c r="D21">
        <f>MIN(DATA!L2:L9516)</f>
        <v>1</v>
      </c>
    </row>
    <row r="22" spans="1:5" x14ac:dyDescent="0.3">
      <c r="A22" s="16" t="s">
        <v>9610</v>
      </c>
      <c r="D22" s="12">
        <f>COUNTIF(DATA!L2:L9516,"&gt;=8")</f>
        <v>335</v>
      </c>
    </row>
    <row r="25" spans="1:5" ht="28.8" x14ac:dyDescent="0.55000000000000004">
      <c r="A25" s="14" t="s">
        <v>9611</v>
      </c>
      <c r="B25" s="14"/>
      <c r="C25" s="14"/>
      <c r="D25" s="14"/>
      <c r="E25" s="14"/>
    </row>
    <row r="26" spans="1:5" x14ac:dyDescent="0.3">
      <c r="A26" s="17" t="s">
        <v>9612</v>
      </c>
      <c r="D26" s="17" t="s">
        <v>9613</v>
      </c>
    </row>
    <row r="27" spans="1:5" x14ac:dyDescent="0.3">
      <c r="A27" t="s">
        <v>5</v>
      </c>
      <c r="D27">
        <f>COUNTIF(DATA!G2:G9516,1)</f>
        <v>3695</v>
      </c>
    </row>
    <row r="28" spans="1:5" x14ac:dyDescent="0.3">
      <c r="A28" t="s">
        <v>6</v>
      </c>
      <c r="D28">
        <f>COUNTIF(DATA!H2:H9516,1)</f>
        <v>1047</v>
      </c>
    </row>
    <row r="29" spans="1:5" x14ac:dyDescent="0.3">
      <c r="A29" t="s">
        <v>7</v>
      </c>
      <c r="D29">
        <f>COUNTIF(DATA!I2:I9516,1)</f>
        <v>4113</v>
      </c>
    </row>
    <row r="30" spans="1:5" x14ac:dyDescent="0.3">
      <c r="A30" t="s">
        <v>8</v>
      </c>
      <c r="D30">
        <f>COUNTIF(DATA!J2:J9516,1)</f>
        <v>922</v>
      </c>
    </row>
    <row r="33" spans="1:5" ht="28.8" x14ac:dyDescent="0.55000000000000004">
      <c r="A33" s="14" t="s">
        <v>9614</v>
      </c>
      <c r="B33" s="14"/>
      <c r="C33" s="14"/>
      <c r="D33" s="14"/>
      <c r="E33" s="14"/>
    </row>
    <row r="34" spans="1:5" x14ac:dyDescent="0.3">
      <c r="A34" s="17" t="s">
        <v>9612</v>
      </c>
      <c r="D34" s="18" t="s">
        <v>9615</v>
      </c>
    </row>
    <row r="35" spans="1:5" x14ac:dyDescent="0.3">
      <c r="A35" t="s">
        <v>5</v>
      </c>
      <c r="D35">
        <f>COUNTIF(DATA!G2:G9516,1)/COUNTA(DATA!C2:C9516)</f>
        <v>0.38833420914345768</v>
      </c>
    </row>
    <row r="36" spans="1:5" x14ac:dyDescent="0.3">
      <c r="A36" t="s">
        <v>6</v>
      </c>
      <c r="D36">
        <f>COUNTIF(DATA!H2:H9516,1)/COUNTA(DATA!C2:C9516)</f>
        <v>0.11003678402522334</v>
      </c>
    </row>
    <row r="37" spans="1:5" x14ac:dyDescent="0.3">
      <c r="A37" t="s">
        <v>7</v>
      </c>
      <c r="D37">
        <f>COUNTIF(DATA!I2:I9516,1)/COUNTA(DATA!C2:C9516)</f>
        <v>0.432264844981608</v>
      </c>
    </row>
    <row r="38" spans="1:5" x14ac:dyDescent="0.3">
      <c r="A38" t="s">
        <v>8</v>
      </c>
      <c r="D38">
        <f>COUNTIF(DATA!J2:J9516,1)/COUNTA(DATA!C2:C9516)</f>
        <v>9.689963215974777E-2</v>
      </c>
    </row>
    <row r="46" spans="1:5" ht="28.8" x14ac:dyDescent="0.55000000000000004">
      <c r="A46" s="10" t="s">
        <v>9616</v>
      </c>
      <c r="B46" s="10"/>
      <c r="C46" s="10"/>
      <c r="D46" s="10"/>
      <c r="E46" s="10"/>
    </row>
    <row r="47" spans="1:5" x14ac:dyDescent="0.3">
      <c r="A47" s="18" t="s">
        <v>9622</v>
      </c>
      <c r="C47" s="18" t="s">
        <v>9613</v>
      </c>
    </row>
    <row r="48" spans="1:5" x14ac:dyDescent="0.3">
      <c r="A48" t="s">
        <v>9617</v>
      </c>
      <c r="C48">
        <f>COUNTIFS(DATA!L2:L9516,"&gt;=0",DATA!L2:L9516,"&lt;2")</f>
        <v>119</v>
      </c>
    </row>
    <row r="49" spans="1:5" x14ac:dyDescent="0.3">
      <c r="A49" t="s">
        <v>9618</v>
      </c>
      <c r="C49">
        <f>COUNTIFS(DATA!L2:L9516,"&gt;=2",DATA!L2:L9516,"&lt;4")</f>
        <v>1036</v>
      </c>
    </row>
    <row r="50" spans="1:5" x14ac:dyDescent="0.3">
      <c r="A50" t="s">
        <v>9619</v>
      </c>
      <c r="C50">
        <f>COUNTIFS(DATA!L2:L9516,"&gt;=4",DATA!L2:L9516,"&lt;6")</f>
        <v>5429</v>
      </c>
    </row>
    <row r="51" spans="1:5" x14ac:dyDescent="0.3">
      <c r="A51" t="s">
        <v>9620</v>
      </c>
      <c r="C51">
        <f>COUNTIFS(DATA!L2:L9516,"&gt;=6",DATA!L2:L9516,"&lt;8")</f>
        <v>2589</v>
      </c>
    </row>
    <row r="52" spans="1:5" x14ac:dyDescent="0.3">
      <c r="A52" t="s">
        <v>9621</v>
      </c>
      <c r="C52">
        <f>COUNTIFS(DATA!L2:L9516,"&gt;=8",DATA!L2:L9516,"&lt;=10")</f>
        <v>335</v>
      </c>
    </row>
    <row r="59" spans="1:5" ht="28.8" x14ac:dyDescent="0.55000000000000004">
      <c r="A59" s="14" t="s">
        <v>9623</v>
      </c>
      <c r="B59" s="14"/>
      <c r="C59" s="14"/>
      <c r="D59" s="14"/>
      <c r="E59" s="14"/>
    </row>
    <row r="60" spans="1:5" x14ac:dyDescent="0.3">
      <c r="A60" s="18" t="s">
        <v>3</v>
      </c>
      <c r="C60" s="18" t="s">
        <v>9625</v>
      </c>
    </row>
    <row r="61" spans="1:5" x14ac:dyDescent="0.3">
      <c r="A61" t="s">
        <v>11</v>
      </c>
      <c r="C61">
        <f>COUNTIF(DATA!E2:E9516,"18+")</f>
        <v>2276</v>
      </c>
    </row>
    <row r="62" spans="1:5" x14ac:dyDescent="0.3">
      <c r="A62" t="s">
        <v>28</v>
      </c>
      <c r="C62">
        <f>COUNTIF(DATA!E2:E9516,"16+")</f>
        <v>276</v>
      </c>
    </row>
    <row r="63" spans="1:5" x14ac:dyDescent="0.3">
      <c r="A63" t="s">
        <v>22</v>
      </c>
      <c r="C63">
        <f>COUNTIF(DATA!E2:E9516,"13+")</f>
        <v>998</v>
      </c>
    </row>
    <row r="64" spans="1:5" x14ac:dyDescent="0.3">
      <c r="A64" t="s">
        <v>14</v>
      </c>
      <c r="C64">
        <f>COUNTIF(DATA!E2:E9516,"7+")</f>
        <v>1090</v>
      </c>
    </row>
    <row r="65" spans="1:6" x14ac:dyDescent="0.3">
      <c r="A65" t="s">
        <v>36</v>
      </c>
      <c r="C65">
        <f>COUNTIF(DATA!E2:E9516,"all")</f>
        <v>698</v>
      </c>
    </row>
    <row r="66" spans="1:6" x14ac:dyDescent="0.3">
      <c r="A66" t="s">
        <v>9624</v>
      </c>
      <c r="C66">
        <f>COUNTBLANK(DATA!E2:E9516)</f>
        <v>4177</v>
      </c>
    </row>
    <row r="73" spans="1:6" ht="28.8" x14ac:dyDescent="0.55000000000000004">
      <c r="A73" s="14" t="s">
        <v>9627</v>
      </c>
      <c r="B73" s="14"/>
      <c r="C73" s="14"/>
      <c r="D73" s="14"/>
      <c r="E73" s="14"/>
      <c r="F73" s="15"/>
    </row>
    <row r="74" spans="1:6" x14ac:dyDescent="0.3">
      <c r="A74" s="17" t="s">
        <v>9612</v>
      </c>
      <c r="D74" s="18" t="s">
        <v>9628</v>
      </c>
    </row>
    <row r="75" spans="1:6" x14ac:dyDescent="0.3">
      <c r="A75" t="s">
        <v>5</v>
      </c>
      <c r="D75">
        <f>COUNTIFS(DATA!G2:G9516,1,DATA!L2:L9516,"&gt;=8")</f>
        <v>168</v>
      </c>
    </row>
    <row r="76" spans="1:6" x14ac:dyDescent="0.3">
      <c r="A76" t="s">
        <v>6</v>
      </c>
      <c r="D76">
        <f>COUNTIFS(DATA!H2:H9516,1,DATA!L2:L9516,"&gt;=8")</f>
        <v>49</v>
      </c>
    </row>
    <row r="77" spans="1:6" x14ac:dyDescent="0.3">
      <c r="A77" t="s">
        <v>7</v>
      </c>
      <c r="D77">
        <f>COUNTIFS(DATA!I2:I9516,1,DATA!L2:L9516,"&gt;=8")</f>
        <v>53</v>
      </c>
    </row>
    <row r="78" spans="1:6" x14ac:dyDescent="0.3">
      <c r="A78" t="s">
        <v>8</v>
      </c>
      <c r="D78">
        <f>COUNTIFS(DATA!J2:J9516,1,DATA!L2:L9516,"&gt;=8")</f>
        <v>75</v>
      </c>
    </row>
    <row r="85" spans="1:6" ht="28.8" x14ac:dyDescent="0.55000000000000004">
      <c r="A85" s="19" t="s">
        <v>9629</v>
      </c>
      <c r="B85" s="19"/>
      <c r="C85" s="19"/>
      <c r="D85" s="19"/>
      <c r="E85" s="19"/>
      <c r="F85" s="19"/>
    </row>
    <row r="86" spans="1:6" x14ac:dyDescent="0.3">
      <c r="A86" s="20" t="s">
        <v>9612</v>
      </c>
      <c r="C86" t="s">
        <v>9613</v>
      </c>
    </row>
    <row r="87" spans="1:6" x14ac:dyDescent="0.3">
      <c r="A87" s="21">
        <v>1</v>
      </c>
      <c r="C87">
        <f>COUNTIF(DATA!M2:M9516,1)</f>
        <v>9262</v>
      </c>
    </row>
    <row r="88" spans="1:6" x14ac:dyDescent="0.3">
      <c r="A88">
        <v>2</v>
      </c>
      <c r="C88">
        <f>COUNTIF(DATA!M2:M9516,2)</f>
        <v>245</v>
      </c>
    </row>
    <row r="89" spans="1:6" x14ac:dyDescent="0.3">
      <c r="A89">
        <v>3</v>
      </c>
      <c r="C89">
        <f>COUNTIF(DATA!M2:M9516,3)</f>
        <v>7</v>
      </c>
    </row>
    <row r="90" spans="1:6" x14ac:dyDescent="0.3">
      <c r="A90">
        <v>4</v>
      </c>
      <c r="C90">
        <f>COUNTIF(DATA!M2:M9516,4)</f>
        <v>1</v>
      </c>
    </row>
    <row r="100" spans="4:4" x14ac:dyDescent="0.3">
      <c r="D100" t="str" cm="1">
        <f t="array" ref="D100">IFERROR(SUMPRODUCT((VALUE(DATA!$D$2:$D$9516)=VALUE(A2))*DATA!$L$2:$L$9516)/SUMPRODUCT((VALUE(DATA!$D$2:$D$9516)=VALUE(A2))*(DATA!$L$2:$L$9516&gt;0)),"")</f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kumar</dc:creator>
  <cp:lastModifiedBy>Darshan Kumar</cp:lastModifiedBy>
  <dcterms:created xsi:type="dcterms:W3CDTF">2026-09-19T07:34:11Z</dcterms:created>
  <dcterms:modified xsi:type="dcterms:W3CDTF">2026-10-04T15:20:43Z</dcterms:modified>
</cp:coreProperties>
</file>